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Quantamental Dropbox\Rafael Lavrado\Quant_Expert\Quant_Expert\"/>
    </mc:Choice>
  </mc:AlternateContent>
  <xr:revisionPtr revIDLastSave="0" documentId="13_ncr:1_{2EE14C4E-8BB3-4AF9-8BB0-C7A6F1658041}" xr6:coauthVersionLast="45" xr6:coauthVersionMax="45" xr10:uidLastSave="{00000000-0000-0000-0000-000000000000}"/>
  <bookViews>
    <workbookView xWindow="-108" yWindow="-108" windowWidth="23256" windowHeight="13176" xr2:uid="{73D25976-B51B-42DD-B7EA-946D60502E0B}"/>
  </bookViews>
  <sheets>
    <sheet name="Exemplo_Serie" sheetId="1" r:id="rId1"/>
    <sheet name="Backtest" sheetId="3" r:id="rId2"/>
    <sheet name="Trades" sheetId="4" r:id="rId3"/>
  </sheets>
  <definedNames>
    <definedName name="Avg">OFFSET(Exemplo_Serie!$F$2,Exemplo_Serie!$K$1-1,0,COUNTIFS(Exemplo_Serie!$F:$F,"&gt;0"))</definedName>
    <definedName name="Data">OFFSET(Exemplo_Serie!$A$2,Exemplo_Serie!$K$1-1,0,COUNTIFS(Exemplo_Serie!$F:$F,"&gt;0"))</definedName>
    <definedName name="Desvio_Mais">OFFSET(Exemplo_Serie!$G$2,Exemplo_Serie!$K$1-1,0,COUNTIFS(Exemplo_Serie!$F:$F,"&gt;0"))</definedName>
    <definedName name="Desvio_menos">OFFSET(Exemplo_Serie!$H$2,Exemplo_Serie!$K$1-1,0,COUNTIFS(Exemplo_Serie!$F:$F,"&gt;0"))</definedName>
    <definedName name="Razao">OFFSET(Exemplo_Serie!$E$2,Exemplo_Serie!$K$1-1,0,COUNTIFS(Exemplo_Serie!$F:$F,"&gt;0"))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5" i="4" l="1"/>
  <c r="X4" i="4"/>
  <c r="R1" i="3"/>
  <c r="P1" i="3"/>
  <c r="N1" i="3"/>
  <c r="L1" i="3"/>
  <c r="J1" i="3"/>
  <c r="G2" i="3" s="1"/>
  <c r="F2" i="3" s="1"/>
  <c r="B1" i="4"/>
  <c r="H27" i="3" l="1"/>
  <c r="H23" i="3"/>
  <c r="H19" i="3"/>
  <c r="H15" i="3"/>
  <c r="H9" i="3"/>
  <c r="G27" i="3"/>
  <c r="G23" i="3"/>
  <c r="G19" i="3"/>
  <c r="F19" i="3" s="1"/>
  <c r="G15" i="3"/>
  <c r="H7" i="3"/>
  <c r="H29" i="3"/>
  <c r="H25" i="3"/>
  <c r="H21" i="3"/>
  <c r="H17" i="3"/>
  <c r="H13" i="3"/>
  <c r="H5" i="3"/>
  <c r="G29" i="3"/>
  <c r="G25" i="3"/>
  <c r="G21" i="3"/>
  <c r="F21" i="3" s="1"/>
  <c r="G17" i="3"/>
  <c r="F17" i="3" s="1"/>
  <c r="H11" i="3"/>
  <c r="H3" i="3"/>
  <c r="G13" i="3"/>
  <c r="F13" i="3" s="1"/>
  <c r="G11" i="3"/>
  <c r="F11" i="3" s="1"/>
  <c r="G9" i="3"/>
  <c r="F9" i="3" s="1"/>
  <c r="L9" i="3" s="1"/>
  <c r="G7" i="3"/>
  <c r="F7" i="3" s="1"/>
  <c r="J7" i="3" s="1"/>
  <c r="G5" i="3"/>
  <c r="F5" i="3" s="1"/>
  <c r="G3" i="3"/>
  <c r="F3" i="3" s="1"/>
  <c r="H30" i="3"/>
  <c r="H28" i="3"/>
  <c r="H26" i="3"/>
  <c r="H24" i="3"/>
  <c r="H22" i="3"/>
  <c r="H20" i="3"/>
  <c r="H18" i="3"/>
  <c r="H16" i="3"/>
  <c r="H14" i="3"/>
  <c r="H12" i="3"/>
  <c r="H10" i="3"/>
  <c r="H8" i="3"/>
  <c r="H6" i="3"/>
  <c r="H4" i="3"/>
  <c r="H2" i="3"/>
  <c r="G30" i="3"/>
  <c r="G28" i="3"/>
  <c r="G26" i="3"/>
  <c r="G24" i="3"/>
  <c r="G22" i="3"/>
  <c r="G20" i="3"/>
  <c r="G18" i="3"/>
  <c r="G16" i="3"/>
  <c r="F16" i="3" s="1"/>
  <c r="G14" i="3"/>
  <c r="G12" i="3"/>
  <c r="G10" i="3"/>
  <c r="F10" i="3" s="1"/>
  <c r="L10" i="3" s="1"/>
  <c r="G8" i="3"/>
  <c r="F8" i="3" s="1"/>
  <c r="K8" i="3" s="1"/>
  <c r="G6" i="3"/>
  <c r="F6" i="3" s="1"/>
  <c r="J6" i="3" s="1"/>
  <c r="G4" i="3"/>
  <c r="F4" i="3" s="1"/>
  <c r="E2593" i="3"/>
  <c r="E2592" i="3"/>
  <c r="E2591" i="3"/>
  <c r="E2590" i="3"/>
  <c r="E2589" i="3"/>
  <c r="E2588" i="3"/>
  <c r="E2587" i="3"/>
  <c r="E2586" i="3"/>
  <c r="E2585" i="3"/>
  <c r="E2584" i="3"/>
  <c r="E2583" i="3"/>
  <c r="E2582" i="3"/>
  <c r="E2581" i="3"/>
  <c r="E2580" i="3"/>
  <c r="E2579" i="3"/>
  <c r="E2578" i="3"/>
  <c r="E2577" i="3"/>
  <c r="E2576" i="3"/>
  <c r="E2575" i="3"/>
  <c r="E2574" i="3"/>
  <c r="E2573" i="3"/>
  <c r="E2572" i="3"/>
  <c r="E2571" i="3"/>
  <c r="E2570" i="3"/>
  <c r="E2569" i="3"/>
  <c r="E2568" i="3"/>
  <c r="E2567" i="3"/>
  <c r="E2566" i="3"/>
  <c r="E2565" i="3"/>
  <c r="E2564" i="3"/>
  <c r="E2563" i="3"/>
  <c r="E2562" i="3"/>
  <c r="E2561" i="3"/>
  <c r="E2560" i="3"/>
  <c r="E2559" i="3"/>
  <c r="E2558" i="3"/>
  <c r="E2557" i="3"/>
  <c r="E2556" i="3"/>
  <c r="E2555" i="3"/>
  <c r="E2554" i="3"/>
  <c r="E2553" i="3"/>
  <c r="E2552" i="3"/>
  <c r="E2551" i="3"/>
  <c r="E2550" i="3"/>
  <c r="E2549" i="3"/>
  <c r="E2548" i="3"/>
  <c r="E2547" i="3"/>
  <c r="E2546" i="3"/>
  <c r="E2545" i="3"/>
  <c r="E2544" i="3"/>
  <c r="E2543" i="3"/>
  <c r="E2542" i="3"/>
  <c r="E2541" i="3"/>
  <c r="E2540" i="3"/>
  <c r="E2539" i="3"/>
  <c r="H2539" i="3" s="1"/>
  <c r="E2538" i="3"/>
  <c r="E2537" i="3"/>
  <c r="E2536" i="3"/>
  <c r="E2535" i="3"/>
  <c r="E2534" i="3"/>
  <c r="E2533" i="3"/>
  <c r="E2532" i="3"/>
  <c r="E2531" i="3"/>
  <c r="E2530" i="3"/>
  <c r="E2529" i="3"/>
  <c r="E2528" i="3"/>
  <c r="E2527" i="3"/>
  <c r="E2526" i="3"/>
  <c r="E2525" i="3"/>
  <c r="E2524" i="3"/>
  <c r="E2523" i="3"/>
  <c r="E2522" i="3"/>
  <c r="E2521" i="3"/>
  <c r="E2520" i="3"/>
  <c r="E2519" i="3"/>
  <c r="E2518" i="3"/>
  <c r="E2517" i="3"/>
  <c r="E2516" i="3"/>
  <c r="E2515" i="3"/>
  <c r="E2514" i="3"/>
  <c r="E2513" i="3"/>
  <c r="E2512" i="3"/>
  <c r="E2511" i="3"/>
  <c r="E2510" i="3"/>
  <c r="E2509" i="3"/>
  <c r="E2508" i="3"/>
  <c r="E2507" i="3"/>
  <c r="E2506" i="3"/>
  <c r="E2505" i="3"/>
  <c r="E2504" i="3"/>
  <c r="E2503" i="3"/>
  <c r="E2502" i="3"/>
  <c r="E2501" i="3"/>
  <c r="E2500" i="3"/>
  <c r="E2499" i="3"/>
  <c r="E2498" i="3"/>
  <c r="E2497" i="3"/>
  <c r="E2496" i="3"/>
  <c r="E2495" i="3"/>
  <c r="E2494" i="3"/>
  <c r="E2493" i="3"/>
  <c r="E2492" i="3"/>
  <c r="E2491" i="3"/>
  <c r="E2490" i="3"/>
  <c r="E2489" i="3"/>
  <c r="E2488" i="3"/>
  <c r="E2487" i="3"/>
  <c r="E2486" i="3"/>
  <c r="E2485" i="3"/>
  <c r="E2484" i="3"/>
  <c r="E2483" i="3"/>
  <c r="E2482" i="3"/>
  <c r="E2481" i="3"/>
  <c r="E2480" i="3"/>
  <c r="E2479" i="3"/>
  <c r="E2478" i="3"/>
  <c r="E2477" i="3"/>
  <c r="E2476" i="3"/>
  <c r="E2475" i="3"/>
  <c r="E2474" i="3"/>
  <c r="E2473" i="3"/>
  <c r="E2472" i="3"/>
  <c r="E2471" i="3"/>
  <c r="E2470" i="3"/>
  <c r="E2469" i="3"/>
  <c r="E2468" i="3"/>
  <c r="E2467" i="3"/>
  <c r="E2466" i="3"/>
  <c r="E2465" i="3"/>
  <c r="E2464" i="3"/>
  <c r="E2463" i="3"/>
  <c r="E2462" i="3"/>
  <c r="E2461" i="3"/>
  <c r="E2460" i="3"/>
  <c r="E2459" i="3"/>
  <c r="E2458" i="3"/>
  <c r="E2457" i="3"/>
  <c r="E2456" i="3"/>
  <c r="E2455" i="3"/>
  <c r="E2454" i="3"/>
  <c r="E2453" i="3"/>
  <c r="E2452" i="3"/>
  <c r="E2451" i="3"/>
  <c r="E2450" i="3"/>
  <c r="E2449" i="3"/>
  <c r="E2448" i="3"/>
  <c r="E2447" i="3"/>
  <c r="E2446" i="3"/>
  <c r="E2445" i="3"/>
  <c r="E2444" i="3"/>
  <c r="E2443" i="3"/>
  <c r="E2442" i="3"/>
  <c r="E2441" i="3"/>
  <c r="E2440" i="3"/>
  <c r="E2439" i="3"/>
  <c r="E2438" i="3"/>
  <c r="E2437" i="3"/>
  <c r="E2436" i="3"/>
  <c r="E2435" i="3"/>
  <c r="E2434" i="3"/>
  <c r="E2433" i="3"/>
  <c r="E2432" i="3"/>
  <c r="E2431" i="3"/>
  <c r="E2430" i="3"/>
  <c r="E2429" i="3"/>
  <c r="E2428" i="3"/>
  <c r="E2427" i="3"/>
  <c r="E2426" i="3"/>
  <c r="E2425" i="3"/>
  <c r="E2424" i="3"/>
  <c r="E2423" i="3"/>
  <c r="E2422" i="3"/>
  <c r="E2421" i="3"/>
  <c r="E2420" i="3"/>
  <c r="E2419" i="3"/>
  <c r="E2418" i="3"/>
  <c r="E2417" i="3"/>
  <c r="E2416" i="3"/>
  <c r="E2415" i="3"/>
  <c r="E2414" i="3"/>
  <c r="E2413" i="3"/>
  <c r="E2412" i="3"/>
  <c r="E2411" i="3"/>
  <c r="E2410" i="3"/>
  <c r="E2409" i="3"/>
  <c r="E2408" i="3"/>
  <c r="E2407" i="3"/>
  <c r="G2433" i="3" s="1"/>
  <c r="E2406" i="3"/>
  <c r="E2405" i="3"/>
  <c r="E2404" i="3"/>
  <c r="E2403" i="3"/>
  <c r="H2430" i="3" s="1"/>
  <c r="E2402" i="3"/>
  <c r="E2401" i="3"/>
  <c r="E2400" i="3"/>
  <c r="E2399" i="3"/>
  <c r="E2398" i="3"/>
  <c r="E2397" i="3"/>
  <c r="E2396" i="3"/>
  <c r="E2395" i="3"/>
  <c r="E2394" i="3"/>
  <c r="E2393" i="3"/>
  <c r="E2392" i="3"/>
  <c r="E2391" i="3"/>
  <c r="E2390" i="3"/>
  <c r="E2389" i="3"/>
  <c r="E2388" i="3"/>
  <c r="E2387" i="3"/>
  <c r="E2386" i="3"/>
  <c r="E2385" i="3"/>
  <c r="E2384" i="3"/>
  <c r="E2383" i="3"/>
  <c r="E2382" i="3"/>
  <c r="E2381" i="3"/>
  <c r="E2380" i="3"/>
  <c r="E2379" i="3"/>
  <c r="E2378" i="3"/>
  <c r="E2377" i="3"/>
  <c r="E2376" i="3"/>
  <c r="E2375" i="3"/>
  <c r="E2374" i="3"/>
  <c r="E2373" i="3"/>
  <c r="E2372" i="3"/>
  <c r="E2371" i="3"/>
  <c r="E2370" i="3"/>
  <c r="E2369" i="3"/>
  <c r="E2368" i="3"/>
  <c r="E2367" i="3"/>
  <c r="E2366" i="3"/>
  <c r="E2365" i="3"/>
  <c r="E2364" i="3"/>
  <c r="E2363" i="3"/>
  <c r="E2362" i="3"/>
  <c r="E2361" i="3"/>
  <c r="E2360" i="3"/>
  <c r="E2359" i="3"/>
  <c r="E2358" i="3"/>
  <c r="E2357" i="3"/>
  <c r="E2356" i="3"/>
  <c r="E2355" i="3"/>
  <c r="E2354" i="3"/>
  <c r="E2353" i="3"/>
  <c r="E2352" i="3"/>
  <c r="E2351" i="3"/>
  <c r="E2350" i="3"/>
  <c r="E2349" i="3"/>
  <c r="E2348" i="3"/>
  <c r="E2347" i="3"/>
  <c r="E2346" i="3"/>
  <c r="E2345" i="3"/>
  <c r="E2344" i="3"/>
  <c r="E2343" i="3"/>
  <c r="E2342" i="3"/>
  <c r="E2341" i="3"/>
  <c r="E2340" i="3"/>
  <c r="E2339" i="3"/>
  <c r="E2338" i="3"/>
  <c r="E2337" i="3"/>
  <c r="E2336" i="3"/>
  <c r="E2335" i="3"/>
  <c r="E2334" i="3"/>
  <c r="E2333" i="3"/>
  <c r="E2332" i="3"/>
  <c r="E2331" i="3"/>
  <c r="E2330" i="3"/>
  <c r="E2329" i="3"/>
  <c r="E2328" i="3"/>
  <c r="E2327" i="3"/>
  <c r="E2326" i="3"/>
  <c r="E2325" i="3"/>
  <c r="E2324" i="3"/>
  <c r="E2323" i="3"/>
  <c r="E2322" i="3"/>
  <c r="E2321" i="3"/>
  <c r="E2320" i="3"/>
  <c r="E2319" i="3"/>
  <c r="E2318" i="3"/>
  <c r="E2317" i="3"/>
  <c r="E2316" i="3"/>
  <c r="E2315" i="3"/>
  <c r="E2314" i="3"/>
  <c r="E2313" i="3"/>
  <c r="E2312" i="3"/>
  <c r="E2311" i="3"/>
  <c r="E2310" i="3"/>
  <c r="E2309" i="3"/>
  <c r="E2308" i="3"/>
  <c r="E2307" i="3"/>
  <c r="E2306" i="3"/>
  <c r="E2305" i="3"/>
  <c r="E2304" i="3"/>
  <c r="E2303" i="3"/>
  <c r="E2302" i="3"/>
  <c r="E2301" i="3"/>
  <c r="E2300" i="3"/>
  <c r="E2299" i="3"/>
  <c r="E2298" i="3"/>
  <c r="E2297" i="3"/>
  <c r="E2296" i="3"/>
  <c r="E2295" i="3"/>
  <c r="E2294" i="3"/>
  <c r="E2293" i="3"/>
  <c r="E2292" i="3"/>
  <c r="E2291" i="3"/>
  <c r="E2290" i="3"/>
  <c r="E2289" i="3"/>
  <c r="E2288" i="3"/>
  <c r="E2287" i="3"/>
  <c r="E2286" i="3"/>
  <c r="E2285" i="3"/>
  <c r="E2284" i="3"/>
  <c r="E2283" i="3"/>
  <c r="E2282" i="3"/>
  <c r="E2281" i="3"/>
  <c r="E2280" i="3"/>
  <c r="E2279" i="3"/>
  <c r="E2278" i="3"/>
  <c r="E2277" i="3"/>
  <c r="E2276" i="3"/>
  <c r="E2275" i="3"/>
  <c r="E2274" i="3"/>
  <c r="E2273" i="3"/>
  <c r="E2272" i="3"/>
  <c r="E2271" i="3"/>
  <c r="E2270" i="3"/>
  <c r="E2269" i="3"/>
  <c r="E2268" i="3"/>
  <c r="E2267" i="3"/>
  <c r="E2266" i="3"/>
  <c r="E2265" i="3"/>
  <c r="H2272" i="3" s="1"/>
  <c r="E2264" i="3"/>
  <c r="E2263" i="3"/>
  <c r="E2262" i="3"/>
  <c r="E2261" i="3"/>
  <c r="E2260" i="3"/>
  <c r="E2259" i="3"/>
  <c r="E2258" i="3"/>
  <c r="E2257" i="3"/>
  <c r="E2256" i="3"/>
  <c r="E2255" i="3"/>
  <c r="E2254" i="3"/>
  <c r="E2253" i="3"/>
  <c r="E2252" i="3"/>
  <c r="E2251" i="3"/>
  <c r="E2250" i="3"/>
  <c r="E2249" i="3"/>
  <c r="E2248" i="3"/>
  <c r="E2247" i="3"/>
  <c r="E2246" i="3"/>
  <c r="E2245" i="3"/>
  <c r="E2244" i="3"/>
  <c r="E2243" i="3"/>
  <c r="E2242" i="3"/>
  <c r="E2241" i="3"/>
  <c r="E2240" i="3"/>
  <c r="E2239" i="3"/>
  <c r="E2238" i="3"/>
  <c r="E2237" i="3"/>
  <c r="E2236" i="3"/>
  <c r="E2235" i="3"/>
  <c r="E2234" i="3"/>
  <c r="E2233" i="3"/>
  <c r="E2232" i="3"/>
  <c r="E2231" i="3"/>
  <c r="E2230" i="3"/>
  <c r="E2229" i="3"/>
  <c r="E2228" i="3"/>
  <c r="E2227" i="3"/>
  <c r="E2226" i="3"/>
  <c r="E2225" i="3"/>
  <c r="E2224" i="3"/>
  <c r="E2223" i="3"/>
  <c r="E2222" i="3"/>
  <c r="E2221" i="3"/>
  <c r="E2220" i="3"/>
  <c r="E2219" i="3"/>
  <c r="E2218" i="3"/>
  <c r="E2217" i="3"/>
  <c r="E2216" i="3"/>
  <c r="E2215" i="3"/>
  <c r="E2214" i="3"/>
  <c r="E2213" i="3"/>
  <c r="E2212" i="3"/>
  <c r="E2211" i="3"/>
  <c r="E2210" i="3"/>
  <c r="E2209" i="3"/>
  <c r="E2208" i="3"/>
  <c r="E2207" i="3"/>
  <c r="E2206" i="3"/>
  <c r="E2205" i="3"/>
  <c r="E2204" i="3"/>
  <c r="E2203" i="3"/>
  <c r="E2202" i="3"/>
  <c r="E2201" i="3"/>
  <c r="E2200" i="3"/>
  <c r="E2199" i="3"/>
  <c r="E2198" i="3"/>
  <c r="E2197" i="3"/>
  <c r="E2196" i="3"/>
  <c r="E2195" i="3"/>
  <c r="E2194" i="3"/>
  <c r="E2193" i="3"/>
  <c r="E2192" i="3"/>
  <c r="E2191" i="3"/>
  <c r="E2190" i="3"/>
  <c r="E2189" i="3"/>
  <c r="E2188" i="3"/>
  <c r="E2187" i="3"/>
  <c r="E2186" i="3"/>
  <c r="E2185" i="3"/>
  <c r="E2184" i="3"/>
  <c r="E2183" i="3"/>
  <c r="E2182" i="3"/>
  <c r="E2181" i="3"/>
  <c r="E2180" i="3"/>
  <c r="E2179" i="3"/>
  <c r="E2178" i="3"/>
  <c r="H2178" i="3" s="1"/>
  <c r="E2177" i="3"/>
  <c r="E2176" i="3"/>
  <c r="E2175" i="3"/>
  <c r="E2174" i="3"/>
  <c r="E2173" i="3"/>
  <c r="E2172" i="3"/>
  <c r="E2171" i="3"/>
  <c r="E2170" i="3"/>
  <c r="E2169" i="3"/>
  <c r="E2168" i="3"/>
  <c r="E2167" i="3"/>
  <c r="E2166" i="3"/>
  <c r="E2165" i="3"/>
  <c r="E2164" i="3"/>
  <c r="E2163" i="3"/>
  <c r="E2162" i="3"/>
  <c r="E2161" i="3"/>
  <c r="E2160" i="3"/>
  <c r="E2159" i="3"/>
  <c r="E2158" i="3"/>
  <c r="E2157" i="3"/>
  <c r="E2156" i="3"/>
  <c r="E2155" i="3"/>
  <c r="E2154" i="3"/>
  <c r="E2153" i="3"/>
  <c r="E2152" i="3"/>
  <c r="E2151" i="3"/>
  <c r="E2150" i="3"/>
  <c r="E2149" i="3"/>
  <c r="E2148" i="3"/>
  <c r="E2147" i="3"/>
  <c r="E2146" i="3"/>
  <c r="E2145" i="3"/>
  <c r="E2144" i="3"/>
  <c r="E2143" i="3"/>
  <c r="E2142" i="3"/>
  <c r="E2141" i="3"/>
  <c r="E2140" i="3"/>
  <c r="E2139" i="3"/>
  <c r="E2138" i="3"/>
  <c r="E2137" i="3"/>
  <c r="E2136" i="3"/>
  <c r="E2135" i="3"/>
  <c r="E2134" i="3"/>
  <c r="E2133" i="3"/>
  <c r="E2132" i="3"/>
  <c r="E2131" i="3"/>
  <c r="E2130" i="3"/>
  <c r="E2129" i="3"/>
  <c r="E2128" i="3"/>
  <c r="E2127" i="3"/>
  <c r="E2126" i="3"/>
  <c r="E2125" i="3"/>
  <c r="E2124" i="3"/>
  <c r="E2123" i="3"/>
  <c r="E2122" i="3"/>
  <c r="E2121" i="3"/>
  <c r="E2120" i="3"/>
  <c r="E2119" i="3"/>
  <c r="E2118" i="3"/>
  <c r="H2144" i="3" s="1"/>
  <c r="E2117" i="3"/>
  <c r="E2116" i="3"/>
  <c r="E2115" i="3"/>
  <c r="E2114" i="3"/>
  <c r="E2113" i="3"/>
  <c r="E2112" i="3"/>
  <c r="E2111" i="3"/>
  <c r="E2110" i="3"/>
  <c r="E2109" i="3"/>
  <c r="E2108" i="3"/>
  <c r="E2107" i="3"/>
  <c r="H2136" i="3" s="1"/>
  <c r="E2106" i="3"/>
  <c r="E2105" i="3"/>
  <c r="E2104" i="3"/>
  <c r="E2103" i="3"/>
  <c r="E2102" i="3"/>
  <c r="E2101" i="3"/>
  <c r="E2100" i="3"/>
  <c r="E2099" i="3"/>
  <c r="E2098" i="3"/>
  <c r="E2097" i="3"/>
  <c r="E2096" i="3"/>
  <c r="E2095" i="3"/>
  <c r="E2094" i="3"/>
  <c r="E2093" i="3"/>
  <c r="E2092" i="3"/>
  <c r="E2091" i="3"/>
  <c r="E2090" i="3"/>
  <c r="E2089" i="3"/>
  <c r="E2088" i="3"/>
  <c r="E2087" i="3"/>
  <c r="E2086" i="3"/>
  <c r="E2085" i="3"/>
  <c r="E2084" i="3"/>
  <c r="E2083" i="3"/>
  <c r="E2082" i="3"/>
  <c r="E2081" i="3"/>
  <c r="E2080" i="3"/>
  <c r="E2079" i="3"/>
  <c r="E2078" i="3"/>
  <c r="E2077" i="3"/>
  <c r="E2076" i="3"/>
  <c r="E2075" i="3"/>
  <c r="E2074" i="3"/>
  <c r="E2073" i="3"/>
  <c r="E2072" i="3"/>
  <c r="E2071" i="3"/>
  <c r="E2070" i="3"/>
  <c r="E2069" i="3"/>
  <c r="E2068" i="3"/>
  <c r="E2067" i="3"/>
  <c r="E2066" i="3"/>
  <c r="E2065" i="3"/>
  <c r="E2064" i="3"/>
  <c r="E2063" i="3"/>
  <c r="E2062" i="3"/>
  <c r="E2061" i="3"/>
  <c r="E2060" i="3"/>
  <c r="E2059" i="3"/>
  <c r="E2058" i="3"/>
  <c r="E2057" i="3"/>
  <c r="E2056" i="3"/>
  <c r="E2055" i="3"/>
  <c r="E2054" i="3"/>
  <c r="E2053" i="3"/>
  <c r="E2052" i="3"/>
  <c r="E2051" i="3"/>
  <c r="E2050" i="3"/>
  <c r="E2049" i="3"/>
  <c r="E2048" i="3"/>
  <c r="E2047" i="3"/>
  <c r="E2046" i="3"/>
  <c r="E2045" i="3"/>
  <c r="E2044" i="3"/>
  <c r="E2043" i="3"/>
  <c r="E2042" i="3"/>
  <c r="E2041" i="3"/>
  <c r="E2040" i="3"/>
  <c r="E2039" i="3"/>
  <c r="E2038" i="3"/>
  <c r="E2037" i="3"/>
  <c r="E2036" i="3"/>
  <c r="E2035" i="3"/>
  <c r="E2034" i="3"/>
  <c r="E2033" i="3"/>
  <c r="E2032" i="3"/>
  <c r="E2031" i="3"/>
  <c r="E2030" i="3"/>
  <c r="E2029" i="3"/>
  <c r="E2028" i="3"/>
  <c r="E2027" i="3"/>
  <c r="E2026" i="3"/>
  <c r="E2025" i="3"/>
  <c r="E2024" i="3"/>
  <c r="E2023" i="3"/>
  <c r="E2022" i="3"/>
  <c r="E2021" i="3"/>
  <c r="E2020" i="3"/>
  <c r="E2019" i="3"/>
  <c r="E2018" i="3"/>
  <c r="E2017" i="3"/>
  <c r="E2016" i="3"/>
  <c r="E2015" i="3"/>
  <c r="E2014" i="3"/>
  <c r="E2013" i="3"/>
  <c r="E2012" i="3"/>
  <c r="E2011" i="3"/>
  <c r="E2010" i="3"/>
  <c r="E2009" i="3"/>
  <c r="E2008" i="3"/>
  <c r="E2007" i="3"/>
  <c r="E2006" i="3"/>
  <c r="E2005" i="3"/>
  <c r="E2004" i="3"/>
  <c r="E2003" i="3"/>
  <c r="E2002" i="3"/>
  <c r="E2001" i="3"/>
  <c r="E2000" i="3"/>
  <c r="E1999" i="3"/>
  <c r="E1998" i="3"/>
  <c r="E1997" i="3"/>
  <c r="E1996" i="3"/>
  <c r="E1995" i="3"/>
  <c r="E1994" i="3"/>
  <c r="E1993" i="3"/>
  <c r="E1992" i="3"/>
  <c r="E1991" i="3"/>
  <c r="E1990" i="3"/>
  <c r="E1989" i="3"/>
  <c r="E1988" i="3"/>
  <c r="E1987" i="3"/>
  <c r="E1986" i="3"/>
  <c r="E1985" i="3"/>
  <c r="E1984" i="3"/>
  <c r="E1983" i="3"/>
  <c r="E1982" i="3"/>
  <c r="E1981" i="3"/>
  <c r="E1980" i="3"/>
  <c r="E1979" i="3"/>
  <c r="E1978" i="3"/>
  <c r="E1977" i="3"/>
  <c r="E1976" i="3"/>
  <c r="E1975" i="3"/>
  <c r="E1974" i="3"/>
  <c r="E1973" i="3"/>
  <c r="E1972" i="3"/>
  <c r="E1971" i="3"/>
  <c r="E1970" i="3"/>
  <c r="E1969" i="3"/>
  <c r="E1968" i="3"/>
  <c r="E1967" i="3"/>
  <c r="E1966" i="3"/>
  <c r="E1965" i="3"/>
  <c r="E1964" i="3"/>
  <c r="E1963" i="3"/>
  <c r="E1962" i="3"/>
  <c r="E1961" i="3"/>
  <c r="E1960" i="3"/>
  <c r="E1959" i="3"/>
  <c r="E1958" i="3"/>
  <c r="E1957" i="3"/>
  <c r="E1956" i="3"/>
  <c r="E1955" i="3"/>
  <c r="E1954" i="3"/>
  <c r="E1953" i="3"/>
  <c r="E1952" i="3"/>
  <c r="E1951" i="3"/>
  <c r="E1950" i="3"/>
  <c r="E1949" i="3"/>
  <c r="E1948" i="3"/>
  <c r="E1947" i="3"/>
  <c r="E1946" i="3"/>
  <c r="E1945" i="3"/>
  <c r="E1944" i="3"/>
  <c r="E1943" i="3"/>
  <c r="E1942" i="3"/>
  <c r="E1941" i="3"/>
  <c r="E1940" i="3"/>
  <c r="E1939" i="3"/>
  <c r="E1938" i="3"/>
  <c r="E1937" i="3"/>
  <c r="E1936" i="3"/>
  <c r="E1935" i="3"/>
  <c r="E1934" i="3"/>
  <c r="E1933" i="3"/>
  <c r="E1932" i="3"/>
  <c r="E1931" i="3"/>
  <c r="E1930" i="3"/>
  <c r="E1929" i="3"/>
  <c r="E1928" i="3"/>
  <c r="E1927" i="3"/>
  <c r="E1926" i="3"/>
  <c r="E1925" i="3"/>
  <c r="E1924" i="3"/>
  <c r="E1923" i="3"/>
  <c r="E1922" i="3"/>
  <c r="E1921" i="3"/>
  <c r="E1920" i="3"/>
  <c r="E1919" i="3"/>
  <c r="E1918" i="3"/>
  <c r="E1917" i="3"/>
  <c r="E1916" i="3"/>
  <c r="E1915" i="3"/>
  <c r="E1914" i="3"/>
  <c r="E1913" i="3"/>
  <c r="E1912" i="3"/>
  <c r="E1911" i="3"/>
  <c r="E1910" i="3"/>
  <c r="E1909" i="3"/>
  <c r="E1908" i="3"/>
  <c r="E1907" i="3"/>
  <c r="E1906" i="3"/>
  <c r="E1905" i="3"/>
  <c r="E1904" i="3"/>
  <c r="E1903" i="3"/>
  <c r="E1902" i="3"/>
  <c r="E1901" i="3"/>
  <c r="E1900" i="3"/>
  <c r="E1899" i="3"/>
  <c r="E1898" i="3"/>
  <c r="E1897" i="3"/>
  <c r="E1896" i="3"/>
  <c r="E1895" i="3"/>
  <c r="E1894" i="3"/>
  <c r="E1893" i="3"/>
  <c r="E1892" i="3"/>
  <c r="E1891" i="3"/>
  <c r="E1890" i="3"/>
  <c r="E1889" i="3"/>
  <c r="E1888" i="3"/>
  <c r="E1887" i="3"/>
  <c r="E1886" i="3"/>
  <c r="E1885" i="3"/>
  <c r="E1884" i="3"/>
  <c r="E1883" i="3"/>
  <c r="E1882" i="3"/>
  <c r="E1881" i="3"/>
  <c r="E1880" i="3"/>
  <c r="E1879" i="3"/>
  <c r="E1878" i="3"/>
  <c r="E1877" i="3"/>
  <c r="E1876" i="3"/>
  <c r="E1875" i="3"/>
  <c r="E1874" i="3"/>
  <c r="E1873" i="3"/>
  <c r="E1872" i="3"/>
  <c r="E1871" i="3"/>
  <c r="E1870" i="3"/>
  <c r="E1869" i="3"/>
  <c r="E1868" i="3"/>
  <c r="E1867" i="3"/>
  <c r="E1866" i="3"/>
  <c r="E1865" i="3"/>
  <c r="E1864" i="3"/>
  <c r="E1863" i="3"/>
  <c r="E1862" i="3"/>
  <c r="E1861" i="3"/>
  <c r="E1860" i="3"/>
  <c r="E1859" i="3"/>
  <c r="E1858" i="3"/>
  <c r="E1857" i="3"/>
  <c r="E1856" i="3"/>
  <c r="E1855" i="3"/>
  <c r="E1854" i="3"/>
  <c r="E1853" i="3"/>
  <c r="E1852" i="3"/>
  <c r="E1851" i="3"/>
  <c r="E1850" i="3"/>
  <c r="E1849" i="3"/>
  <c r="E1848" i="3"/>
  <c r="E1847" i="3"/>
  <c r="E1846" i="3"/>
  <c r="E1845" i="3"/>
  <c r="E1844" i="3"/>
  <c r="E1843" i="3"/>
  <c r="E1842" i="3"/>
  <c r="E1841" i="3"/>
  <c r="E1840" i="3"/>
  <c r="E1839" i="3"/>
  <c r="E1838" i="3"/>
  <c r="E1837" i="3"/>
  <c r="E1836" i="3"/>
  <c r="E1835" i="3"/>
  <c r="E1834" i="3"/>
  <c r="E1833" i="3"/>
  <c r="E1832" i="3"/>
  <c r="E1831" i="3"/>
  <c r="E1830" i="3"/>
  <c r="E1829" i="3"/>
  <c r="E1828" i="3"/>
  <c r="E1827" i="3"/>
  <c r="E1826" i="3"/>
  <c r="E1825" i="3"/>
  <c r="E1824" i="3"/>
  <c r="E1823" i="3"/>
  <c r="E1822" i="3"/>
  <c r="E1821" i="3"/>
  <c r="E1820" i="3"/>
  <c r="E1819" i="3"/>
  <c r="E1818" i="3"/>
  <c r="E1817" i="3"/>
  <c r="E1816" i="3"/>
  <c r="E1815" i="3"/>
  <c r="E1814" i="3"/>
  <c r="G1841" i="3" s="1"/>
  <c r="E1813" i="3"/>
  <c r="E1812" i="3"/>
  <c r="E1811" i="3"/>
  <c r="E1810" i="3"/>
  <c r="E1809" i="3"/>
  <c r="E1808" i="3"/>
  <c r="E1807" i="3"/>
  <c r="E1806" i="3"/>
  <c r="G1835" i="3" s="1"/>
  <c r="E1805" i="3"/>
  <c r="E1804" i="3"/>
  <c r="E1803" i="3"/>
  <c r="E1802" i="3"/>
  <c r="E1801" i="3"/>
  <c r="E1800" i="3"/>
  <c r="E1799" i="3"/>
  <c r="E1798" i="3"/>
  <c r="E1797" i="3"/>
  <c r="E1796" i="3"/>
  <c r="E1795" i="3"/>
  <c r="E1794" i="3"/>
  <c r="E1793" i="3"/>
  <c r="E1792" i="3"/>
  <c r="E1791" i="3"/>
  <c r="G1817" i="3" s="1"/>
  <c r="E1790" i="3"/>
  <c r="E1789" i="3"/>
  <c r="E1788" i="3"/>
  <c r="E1787" i="3"/>
  <c r="E1786" i="3"/>
  <c r="E1785" i="3"/>
  <c r="E1784" i="3"/>
  <c r="E1783" i="3"/>
  <c r="E1782" i="3"/>
  <c r="E1781" i="3"/>
  <c r="E1780" i="3"/>
  <c r="E1779" i="3"/>
  <c r="E1778" i="3"/>
  <c r="E1777" i="3"/>
  <c r="E1776" i="3"/>
  <c r="E1775" i="3"/>
  <c r="E1774" i="3"/>
  <c r="E1773" i="3"/>
  <c r="E1772" i="3"/>
  <c r="E1771" i="3"/>
  <c r="E1770" i="3"/>
  <c r="E1769" i="3"/>
  <c r="E1768" i="3"/>
  <c r="G1797" i="3" s="1"/>
  <c r="E1767" i="3"/>
  <c r="E1766" i="3"/>
  <c r="E1765" i="3"/>
  <c r="E1764" i="3"/>
  <c r="E1763" i="3"/>
  <c r="E1762" i="3"/>
  <c r="E1761" i="3"/>
  <c r="E1760" i="3"/>
  <c r="E1759" i="3"/>
  <c r="E1758" i="3"/>
  <c r="E1757" i="3"/>
  <c r="E1756" i="3"/>
  <c r="E1755" i="3"/>
  <c r="E1754" i="3"/>
  <c r="E1753" i="3"/>
  <c r="E1752" i="3"/>
  <c r="E1751" i="3"/>
  <c r="E1750" i="3"/>
  <c r="E1749" i="3"/>
  <c r="E1748" i="3"/>
  <c r="E1747" i="3"/>
  <c r="E1746" i="3"/>
  <c r="E1745" i="3"/>
  <c r="E1744" i="3"/>
  <c r="E1743" i="3"/>
  <c r="E1742" i="3"/>
  <c r="E1741" i="3"/>
  <c r="E1740" i="3"/>
  <c r="E1739" i="3"/>
  <c r="E1738" i="3"/>
  <c r="E1737" i="3"/>
  <c r="E1736" i="3"/>
  <c r="E1735" i="3"/>
  <c r="E1734" i="3"/>
  <c r="E1733" i="3"/>
  <c r="E1732" i="3"/>
  <c r="E1731" i="3"/>
  <c r="E1730" i="3"/>
  <c r="E1729" i="3"/>
  <c r="E1728" i="3"/>
  <c r="E1727" i="3"/>
  <c r="E1726" i="3"/>
  <c r="E1725" i="3"/>
  <c r="E1724" i="3"/>
  <c r="E1723" i="3"/>
  <c r="E1722" i="3"/>
  <c r="E1721" i="3"/>
  <c r="E1720" i="3"/>
  <c r="E1719" i="3"/>
  <c r="E1718" i="3"/>
  <c r="E1717" i="3"/>
  <c r="E1716" i="3"/>
  <c r="E1715" i="3"/>
  <c r="E1714" i="3"/>
  <c r="E1713" i="3"/>
  <c r="E1712" i="3"/>
  <c r="E1711" i="3"/>
  <c r="E1710" i="3"/>
  <c r="E1709" i="3"/>
  <c r="E1708" i="3"/>
  <c r="E1707" i="3"/>
  <c r="E1706" i="3"/>
  <c r="E1705" i="3"/>
  <c r="E1704" i="3"/>
  <c r="E1703" i="3"/>
  <c r="E1702" i="3"/>
  <c r="E1701" i="3"/>
  <c r="E1700" i="3"/>
  <c r="E1699" i="3"/>
  <c r="E1698" i="3"/>
  <c r="E1697" i="3"/>
  <c r="E1696" i="3"/>
  <c r="E1695" i="3"/>
  <c r="E1694" i="3"/>
  <c r="E1693" i="3"/>
  <c r="E1692" i="3"/>
  <c r="E1691" i="3"/>
  <c r="E1690" i="3"/>
  <c r="E1689" i="3"/>
  <c r="E1688" i="3"/>
  <c r="E1687" i="3"/>
  <c r="E1686" i="3"/>
  <c r="E1685" i="3"/>
  <c r="E1684" i="3"/>
  <c r="G1713" i="3" s="1"/>
  <c r="E1683" i="3"/>
  <c r="E1682" i="3"/>
  <c r="E1681" i="3"/>
  <c r="E1680" i="3"/>
  <c r="E1679" i="3"/>
  <c r="E1678" i="3"/>
  <c r="E1677" i="3"/>
  <c r="E1676" i="3"/>
  <c r="G1705" i="3" s="1"/>
  <c r="E1675" i="3"/>
  <c r="E1674" i="3"/>
  <c r="E1673" i="3"/>
  <c r="E1672" i="3"/>
  <c r="E1671" i="3"/>
  <c r="E1670" i="3"/>
  <c r="E1669" i="3"/>
  <c r="E1668" i="3"/>
  <c r="E1667" i="3"/>
  <c r="E1666" i="3"/>
  <c r="E1665" i="3"/>
  <c r="E1664" i="3"/>
  <c r="E1663" i="3"/>
  <c r="E1662" i="3"/>
  <c r="E1661" i="3"/>
  <c r="E1660" i="3"/>
  <c r="E1659" i="3"/>
  <c r="E1658" i="3"/>
  <c r="E1657" i="3"/>
  <c r="E1656" i="3"/>
  <c r="E1655" i="3"/>
  <c r="E1654" i="3"/>
  <c r="E1653" i="3"/>
  <c r="E1652" i="3"/>
  <c r="E1651" i="3"/>
  <c r="E1650" i="3"/>
  <c r="E1649" i="3"/>
  <c r="E1648" i="3"/>
  <c r="E1647" i="3"/>
  <c r="E1646" i="3"/>
  <c r="E1645" i="3"/>
  <c r="E1644" i="3"/>
  <c r="E1643" i="3"/>
  <c r="E1642" i="3"/>
  <c r="E1641" i="3"/>
  <c r="E1640" i="3"/>
  <c r="E1639" i="3"/>
  <c r="E1638" i="3"/>
  <c r="E1637" i="3"/>
  <c r="E1636" i="3"/>
  <c r="E1635" i="3"/>
  <c r="E1634" i="3"/>
  <c r="E1633" i="3"/>
  <c r="E1632" i="3"/>
  <c r="E1631" i="3"/>
  <c r="E1630" i="3"/>
  <c r="E1629" i="3"/>
  <c r="E1628" i="3"/>
  <c r="E1627" i="3"/>
  <c r="E1626" i="3"/>
  <c r="E1625" i="3"/>
  <c r="G1625" i="3" s="1"/>
  <c r="E1624" i="3"/>
  <c r="E1623" i="3"/>
  <c r="E1622" i="3"/>
  <c r="E1621" i="3"/>
  <c r="E1620" i="3"/>
  <c r="E1619" i="3"/>
  <c r="E1618" i="3"/>
  <c r="E1617" i="3"/>
  <c r="E1616" i="3"/>
  <c r="E1615" i="3"/>
  <c r="E1614" i="3"/>
  <c r="E1613" i="3"/>
  <c r="E1612" i="3"/>
  <c r="E1611" i="3"/>
  <c r="E1610" i="3"/>
  <c r="E1609" i="3"/>
  <c r="E1608" i="3"/>
  <c r="E1607" i="3"/>
  <c r="E1606" i="3"/>
  <c r="E1605" i="3"/>
  <c r="E1604" i="3"/>
  <c r="E1603" i="3"/>
  <c r="E1602" i="3"/>
  <c r="E1601" i="3"/>
  <c r="E1600" i="3"/>
  <c r="E1599" i="3"/>
  <c r="E1598" i="3"/>
  <c r="E1597" i="3"/>
  <c r="E1596" i="3"/>
  <c r="E1595" i="3"/>
  <c r="E1594" i="3"/>
  <c r="E1593" i="3"/>
  <c r="E1592" i="3"/>
  <c r="E1591" i="3"/>
  <c r="E1590" i="3"/>
  <c r="E1589" i="3"/>
  <c r="E1588" i="3"/>
  <c r="E1587" i="3"/>
  <c r="E1586" i="3"/>
  <c r="E1585" i="3"/>
  <c r="E1584" i="3"/>
  <c r="E1583" i="3"/>
  <c r="E1582" i="3"/>
  <c r="E1581" i="3"/>
  <c r="E1580" i="3"/>
  <c r="E1579" i="3"/>
  <c r="E1578" i="3"/>
  <c r="E1577" i="3"/>
  <c r="E1576" i="3"/>
  <c r="E1575" i="3"/>
  <c r="E1574" i="3"/>
  <c r="E1573" i="3"/>
  <c r="E1572" i="3"/>
  <c r="E1571" i="3"/>
  <c r="E1570" i="3"/>
  <c r="E1569" i="3"/>
  <c r="E1568" i="3"/>
  <c r="E1567" i="3"/>
  <c r="E1566" i="3"/>
  <c r="E1565" i="3"/>
  <c r="E1564" i="3"/>
  <c r="E1563" i="3"/>
  <c r="E1562" i="3"/>
  <c r="E1561" i="3"/>
  <c r="E1560" i="3"/>
  <c r="E1559" i="3"/>
  <c r="E1558" i="3"/>
  <c r="E1557" i="3"/>
  <c r="E1556" i="3"/>
  <c r="E1555" i="3"/>
  <c r="E1554" i="3"/>
  <c r="G1554" i="3" s="1"/>
  <c r="E1553" i="3"/>
  <c r="E1552" i="3"/>
  <c r="E1551" i="3"/>
  <c r="E1550" i="3"/>
  <c r="E1549" i="3"/>
  <c r="E1548" i="3"/>
  <c r="E1547" i="3"/>
  <c r="E1546" i="3"/>
  <c r="E1545" i="3"/>
  <c r="E1544" i="3"/>
  <c r="E1543" i="3"/>
  <c r="E1542" i="3"/>
  <c r="E1541" i="3"/>
  <c r="E1540" i="3"/>
  <c r="E1539" i="3"/>
  <c r="E1538" i="3"/>
  <c r="E1537" i="3"/>
  <c r="E1536" i="3"/>
  <c r="E1535" i="3"/>
  <c r="E1534" i="3"/>
  <c r="E1533" i="3"/>
  <c r="E1532" i="3"/>
  <c r="E1531" i="3"/>
  <c r="E1530" i="3"/>
  <c r="E1529" i="3"/>
  <c r="E1528" i="3"/>
  <c r="E1527" i="3"/>
  <c r="E1526" i="3"/>
  <c r="E1525" i="3"/>
  <c r="E1524" i="3"/>
  <c r="E1523" i="3"/>
  <c r="E1522" i="3"/>
  <c r="E1521" i="3"/>
  <c r="E1520" i="3"/>
  <c r="E1519" i="3"/>
  <c r="E1518" i="3"/>
  <c r="E1517" i="3"/>
  <c r="E1516" i="3"/>
  <c r="E1515" i="3"/>
  <c r="E1514" i="3"/>
  <c r="H1542" i="3" s="1"/>
  <c r="E1513" i="3"/>
  <c r="E1512" i="3"/>
  <c r="E1511" i="3"/>
  <c r="E1510" i="3"/>
  <c r="E1509" i="3"/>
  <c r="E1508" i="3"/>
  <c r="E1507" i="3"/>
  <c r="E1506" i="3"/>
  <c r="H1534" i="3" s="1"/>
  <c r="E1505" i="3"/>
  <c r="E1504" i="3"/>
  <c r="E1503" i="3"/>
  <c r="E1502" i="3"/>
  <c r="E1501" i="3"/>
  <c r="E1500" i="3"/>
  <c r="E1499" i="3"/>
  <c r="E1498" i="3"/>
  <c r="E1497" i="3"/>
  <c r="E1496" i="3"/>
  <c r="E1495" i="3"/>
  <c r="E1494" i="3"/>
  <c r="E1493" i="3"/>
  <c r="E1492" i="3"/>
  <c r="E1491" i="3"/>
  <c r="E1490" i="3"/>
  <c r="E1489" i="3"/>
  <c r="E1488" i="3"/>
  <c r="E1487" i="3"/>
  <c r="E1486" i="3"/>
  <c r="E1485" i="3"/>
  <c r="E1484" i="3"/>
  <c r="E1483" i="3"/>
  <c r="E1482" i="3"/>
  <c r="E1481" i="3"/>
  <c r="E1480" i="3"/>
  <c r="E1479" i="3"/>
  <c r="E1478" i="3"/>
  <c r="E1477" i="3"/>
  <c r="E1476" i="3"/>
  <c r="E1475" i="3"/>
  <c r="E1474" i="3"/>
  <c r="E1473" i="3"/>
  <c r="E1472" i="3"/>
  <c r="E1471" i="3"/>
  <c r="E1470" i="3"/>
  <c r="E1469" i="3"/>
  <c r="E1468" i="3"/>
  <c r="E1467" i="3"/>
  <c r="E1466" i="3"/>
  <c r="E1465" i="3"/>
  <c r="E1464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4" i="3"/>
  <c r="E1443" i="3"/>
  <c r="E1442" i="3"/>
  <c r="E1441" i="3"/>
  <c r="E1440" i="3"/>
  <c r="E1439" i="3"/>
  <c r="E1438" i="3"/>
  <c r="E1437" i="3"/>
  <c r="E1436" i="3"/>
  <c r="E1435" i="3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G1340" i="3" s="1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G1294" i="3" s="1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G1174" i="3" s="1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G1126" i="3" s="1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G1070" i="3" s="1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G966" i="3" s="1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G918" i="3" s="1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G876" i="3" s="1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H821" i="3" s="1"/>
  <c r="E820" i="3"/>
  <c r="E819" i="3"/>
  <c r="E818" i="3"/>
  <c r="G818" i="3" s="1"/>
  <c r="E817" i="3"/>
  <c r="E816" i="3"/>
  <c r="E815" i="3"/>
  <c r="E814" i="3"/>
  <c r="E813" i="3"/>
  <c r="H841" i="3" s="1"/>
  <c r="E812" i="3"/>
  <c r="E811" i="3"/>
  <c r="E810" i="3"/>
  <c r="G810" i="3" s="1"/>
  <c r="E809" i="3"/>
  <c r="E808" i="3"/>
  <c r="E807" i="3"/>
  <c r="E806" i="3"/>
  <c r="E805" i="3"/>
  <c r="E804" i="3"/>
  <c r="E803" i="3"/>
  <c r="E802" i="3"/>
  <c r="E801" i="3"/>
  <c r="E800" i="3"/>
  <c r="G800" i="3" s="1"/>
  <c r="E799" i="3"/>
  <c r="E798" i="3"/>
  <c r="E797" i="3"/>
  <c r="E796" i="3"/>
  <c r="E795" i="3"/>
  <c r="E794" i="3"/>
  <c r="E793" i="3"/>
  <c r="E792" i="3"/>
  <c r="G792" i="3" s="1"/>
  <c r="E791" i="3"/>
  <c r="E790" i="3"/>
  <c r="E789" i="3"/>
  <c r="H789" i="3" s="1"/>
  <c r="E788" i="3"/>
  <c r="E787" i="3"/>
  <c r="E786" i="3"/>
  <c r="G786" i="3" s="1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G772" i="3" s="1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G741" i="3" s="1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G728" i="3" s="1"/>
  <c r="E698" i="3"/>
  <c r="E697" i="3"/>
  <c r="G726" i="3" s="1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G686" i="3" s="1"/>
  <c r="E656" i="3"/>
  <c r="E655" i="3"/>
  <c r="H655" i="3" s="1"/>
  <c r="E654" i="3"/>
  <c r="E653" i="3"/>
  <c r="E652" i="3"/>
  <c r="E651" i="3"/>
  <c r="E650" i="3"/>
  <c r="E649" i="3"/>
  <c r="H649" i="3" s="1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H633" i="3" s="1"/>
  <c r="E632" i="3"/>
  <c r="E631" i="3"/>
  <c r="E630" i="3"/>
  <c r="E629" i="3"/>
  <c r="E628" i="3"/>
  <c r="G628" i="3" s="1"/>
  <c r="E627" i="3"/>
  <c r="E626" i="3"/>
  <c r="E625" i="3"/>
  <c r="E624" i="3"/>
  <c r="H650" i="3" s="1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G626" i="3" s="1"/>
  <c r="E596" i="3"/>
  <c r="E595" i="3"/>
  <c r="E594" i="3"/>
  <c r="E593" i="3"/>
  <c r="E592" i="3"/>
  <c r="G592" i="3" s="1"/>
  <c r="E591" i="3"/>
  <c r="E590" i="3"/>
  <c r="E589" i="3"/>
  <c r="E588" i="3"/>
  <c r="E587" i="3"/>
  <c r="E586" i="3"/>
  <c r="E585" i="3"/>
  <c r="E584" i="3"/>
  <c r="E583" i="3"/>
  <c r="H609" i="3" s="1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G568" i="3" s="1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G522" i="3" s="1"/>
  <c r="E521" i="3"/>
  <c r="E520" i="3"/>
  <c r="E519" i="3"/>
  <c r="E518" i="3"/>
  <c r="E517" i="3"/>
  <c r="E516" i="3"/>
  <c r="E515" i="3"/>
  <c r="E514" i="3"/>
  <c r="E513" i="3"/>
  <c r="G542" i="3" s="1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G470" i="3" s="1"/>
  <c r="E441" i="3"/>
  <c r="E440" i="3"/>
  <c r="E439" i="3"/>
  <c r="E438" i="3"/>
  <c r="E437" i="3"/>
  <c r="H437" i="3" s="1"/>
  <c r="E436" i="3"/>
  <c r="E435" i="3"/>
  <c r="E434" i="3"/>
  <c r="G434" i="3" s="1"/>
  <c r="E433" i="3"/>
  <c r="E432" i="3"/>
  <c r="E431" i="3"/>
  <c r="E430" i="3"/>
  <c r="E429" i="3"/>
  <c r="E428" i="3"/>
  <c r="E427" i="3"/>
  <c r="E426" i="3"/>
  <c r="E425" i="3"/>
  <c r="H453" i="3" s="1"/>
  <c r="E424" i="3"/>
  <c r="E423" i="3"/>
  <c r="E422" i="3"/>
  <c r="E421" i="3"/>
  <c r="E420" i="3"/>
  <c r="E419" i="3"/>
  <c r="E418" i="3"/>
  <c r="E417" i="3"/>
  <c r="E416" i="3"/>
  <c r="E415" i="3"/>
  <c r="E414" i="3"/>
  <c r="G442" i="3" s="1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G416" i="3" s="1"/>
  <c r="E386" i="3"/>
  <c r="E385" i="3"/>
  <c r="E384" i="3"/>
  <c r="E383" i="3"/>
  <c r="E382" i="3"/>
  <c r="E381" i="3"/>
  <c r="E380" i="3"/>
  <c r="E379" i="3"/>
  <c r="E378" i="3"/>
  <c r="E377" i="3"/>
  <c r="E376" i="3"/>
  <c r="E375" i="3"/>
  <c r="G404" i="3" s="1"/>
  <c r="E374" i="3"/>
  <c r="E373" i="3"/>
  <c r="E372" i="3"/>
  <c r="E371" i="3"/>
  <c r="E370" i="3"/>
  <c r="E369" i="3"/>
  <c r="E368" i="3"/>
  <c r="G368" i="3" s="1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G348" i="3" s="1"/>
  <c r="E318" i="3"/>
  <c r="E317" i="3"/>
  <c r="E316" i="3"/>
  <c r="G316" i="3" s="1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G328" i="3" s="1"/>
  <c r="E298" i="3"/>
  <c r="E297" i="3"/>
  <c r="E296" i="3"/>
  <c r="H325" i="3" s="1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H261" i="3" s="1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H235" i="3" s="1"/>
  <c r="E234" i="3"/>
  <c r="E233" i="3"/>
  <c r="E232" i="3"/>
  <c r="G232" i="3" s="1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H230" i="3" s="1"/>
  <c r="E200" i="3"/>
  <c r="G229" i="3" s="1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H214" i="3" s="1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G187" i="3" s="1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G167" i="3" s="1"/>
  <c r="E139" i="3"/>
  <c r="E138" i="3"/>
  <c r="E137" i="3"/>
  <c r="E136" i="3"/>
  <c r="G163" i="3" s="1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G135" i="3" s="1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G115" i="3" s="1"/>
  <c r="E87" i="3"/>
  <c r="E86" i="3"/>
  <c r="E85" i="3"/>
  <c r="E84" i="3"/>
  <c r="G111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G83" i="3" s="1"/>
  <c r="E55" i="3"/>
  <c r="E54" i="3"/>
  <c r="E53" i="3"/>
  <c r="E52" i="3"/>
  <c r="G79" i="3" s="1"/>
  <c r="E51" i="3"/>
  <c r="E50" i="3"/>
  <c r="E49" i="3"/>
  <c r="E48" i="3"/>
  <c r="G75" i="3" s="1"/>
  <c r="E47" i="3"/>
  <c r="E46" i="3"/>
  <c r="E45" i="3"/>
  <c r="E44" i="3"/>
  <c r="G71" i="3" s="1"/>
  <c r="E43" i="3"/>
  <c r="E42" i="3"/>
  <c r="E41" i="3"/>
  <c r="E40" i="3"/>
  <c r="G67" i="3" s="1"/>
  <c r="E39" i="3"/>
  <c r="E38" i="3"/>
  <c r="E37" i="3"/>
  <c r="E36" i="3"/>
  <c r="G63" i="3" s="1"/>
  <c r="E35" i="3"/>
  <c r="E34" i="3"/>
  <c r="E33" i="3"/>
  <c r="E32" i="3"/>
  <c r="G59" i="3" s="1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" i="3"/>
  <c r="E1" i="1"/>
  <c r="E3" i="1"/>
  <c r="E4" i="1"/>
  <c r="I4" i="1" s="1"/>
  <c r="G4" i="1" s="1"/>
  <c r="E5" i="1"/>
  <c r="E6" i="1"/>
  <c r="E7" i="1"/>
  <c r="F7" i="1" s="1"/>
  <c r="E8" i="1"/>
  <c r="I8" i="1" s="1"/>
  <c r="G8" i="1" s="1"/>
  <c r="E9" i="1"/>
  <c r="E10" i="1"/>
  <c r="I10" i="1" s="1"/>
  <c r="G10" i="1" s="1"/>
  <c r="E11" i="1"/>
  <c r="F11" i="1" s="1"/>
  <c r="E12" i="1"/>
  <c r="I12" i="1" s="1"/>
  <c r="G12" i="1" s="1"/>
  <c r="E13" i="1"/>
  <c r="E14" i="1"/>
  <c r="I14" i="1" s="1"/>
  <c r="G14" i="1" s="1"/>
  <c r="E15" i="1"/>
  <c r="F15" i="1" s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F2152" i="1" s="1"/>
  <c r="E2153" i="1"/>
  <c r="E2154" i="1"/>
  <c r="E2155" i="1"/>
  <c r="E2156" i="1"/>
  <c r="E2157" i="1"/>
  <c r="E2158" i="1"/>
  <c r="E2159" i="1"/>
  <c r="E2160" i="1"/>
  <c r="I2160" i="1" s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I2220" i="1" s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I2240" i="1" s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I2256" i="1" s="1"/>
  <c r="E2257" i="1"/>
  <c r="E2258" i="1"/>
  <c r="E2259" i="1"/>
  <c r="E2260" i="1"/>
  <c r="I2260" i="1" s="1"/>
  <c r="E2261" i="1"/>
  <c r="E2262" i="1"/>
  <c r="E2263" i="1"/>
  <c r="E2264" i="1"/>
  <c r="I2264" i="1" s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I2288" i="1" s="1"/>
  <c r="E2289" i="1"/>
  <c r="E2290" i="1"/>
  <c r="E2291" i="1"/>
  <c r="E2292" i="1"/>
  <c r="I2292" i="1" s="1"/>
  <c r="E2293" i="1"/>
  <c r="E2294" i="1"/>
  <c r="E2295" i="1"/>
  <c r="E2296" i="1"/>
  <c r="I2296" i="1" s="1"/>
  <c r="E2297" i="1"/>
  <c r="E2298" i="1"/>
  <c r="E2299" i="1"/>
  <c r="F2299" i="1" s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I2320" i="1" s="1"/>
  <c r="E2321" i="1"/>
  <c r="E2322" i="1"/>
  <c r="E2323" i="1"/>
  <c r="E2324" i="1"/>
  <c r="I2324" i="1" s="1"/>
  <c r="E2325" i="1"/>
  <c r="E2326" i="1"/>
  <c r="E2327" i="1"/>
  <c r="E2328" i="1"/>
  <c r="I2328" i="1" s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F2348" i="1" s="1"/>
  <c r="E2349" i="1"/>
  <c r="E2350" i="1"/>
  <c r="E2351" i="1"/>
  <c r="E2352" i="1"/>
  <c r="I2352" i="1" s="1"/>
  <c r="E2353" i="1"/>
  <c r="E2354" i="1"/>
  <c r="E2355" i="1"/>
  <c r="E2356" i="1"/>
  <c r="I2356" i="1" s="1"/>
  <c r="E2357" i="1"/>
  <c r="E2358" i="1"/>
  <c r="E2359" i="1"/>
  <c r="E2360" i="1"/>
  <c r="I2360" i="1" s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F2380" i="1" s="1"/>
  <c r="E2381" i="1"/>
  <c r="E2382" i="1"/>
  <c r="E2383" i="1"/>
  <c r="E2384" i="1"/>
  <c r="F2384" i="1" s="1"/>
  <c r="E2385" i="1"/>
  <c r="E2386" i="1"/>
  <c r="E2387" i="1"/>
  <c r="E2388" i="1"/>
  <c r="F2388" i="1" s="1"/>
  <c r="E2389" i="1"/>
  <c r="E2390" i="1"/>
  <c r="E2391" i="1"/>
  <c r="E2392" i="1"/>
  <c r="F2392" i="1" s="1"/>
  <c r="E2393" i="1"/>
  <c r="E2394" i="1"/>
  <c r="E2395" i="1"/>
  <c r="E2396" i="1"/>
  <c r="F2396" i="1" s="1"/>
  <c r="E2397" i="1"/>
  <c r="E2398" i="1"/>
  <c r="E2399" i="1"/>
  <c r="E2400" i="1"/>
  <c r="I2400" i="1" s="1"/>
  <c r="E2401" i="1"/>
  <c r="E2402" i="1"/>
  <c r="E2403" i="1"/>
  <c r="E2404" i="1"/>
  <c r="I2404" i="1" s="1"/>
  <c r="E2405" i="1"/>
  <c r="E2406" i="1"/>
  <c r="E2407" i="1"/>
  <c r="E2408" i="1"/>
  <c r="I2408" i="1" s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F2420" i="1" s="1"/>
  <c r="E2421" i="1"/>
  <c r="E2422" i="1"/>
  <c r="E2423" i="1"/>
  <c r="E2424" i="1"/>
  <c r="I2424" i="1" s="1"/>
  <c r="E2425" i="1"/>
  <c r="E2426" i="1"/>
  <c r="E2427" i="1"/>
  <c r="E2428" i="1"/>
  <c r="E2429" i="1"/>
  <c r="E2430" i="1"/>
  <c r="E2431" i="1"/>
  <c r="E2432" i="1"/>
  <c r="F2432" i="1" s="1"/>
  <c r="E2433" i="1"/>
  <c r="E2434" i="1"/>
  <c r="E2435" i="1"/>
  <c r="E2436" i="1"/>
  <c r="I2436" i="1" s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F2448" i="1" s="1"/>
  <c r="E2449" i="1"/>
  <c r="E2450" i="1"/>
  <c r="E2451" i="1"/>
  <c r="E2452" i="1"/>
  <c r="I2452" i="1" s="1"/>
  <c r="E2453" i="1"/>
  <c r="E2454" i="1"/>
  <c r="E2455" i="1"/>
  <c r="E2456" i="1"/>
  <c r="E2457" i="1"/>
  <c r="E2458" i="1"/>
  <c r="E2459" i="1"/>
  <c r="E2460" i="1"/>
  <c r="F2487" i="1" s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F2496" i="1" s="1"/>
  <c r="E2497" i="1"/>
  <c r="E2498" i="1"/>
  <c r="E2499" i="1"/>
  <c r="E2500" i="1"/>
  <c r="I2500" i="1" s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I2516" i="1" s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F2528" i="1" s="1"/>
  <c r="E2529" i="1"/>
  <c r="E2530" i="1"/>
  <c r="E2531" i="1"/>
  <c r="E2532" i="1"/>
  <c r="I2532" i="1" s="1"/>
  <c r="E2533" i="1"/>
  <c r="E2534" i="1"/>
  <c r="E2535" i="1"/>
  <c r="E2536" i="1"/>
  <c r="E2537" i="1"/>
  <c r="E2538" i="1"/>
  <c r="E2539" i="1"/>
  <c r="I2539" i="1" s="1"/>
  <c r="E2540" i="1"/>
  <c r="E2541" i="1"/>
  <c r="E2542" i="1"/>
  <c r="E2543" i="1"/>
  <c r="E2544" i="1"/>
  <c r="E2545" i="1"/>
  <c r="E2546" i="1"/>
  <c r="E2547" i="1"/>
  <c r="E2548" i="1"/>
  <c r="I2548" i="1" s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F2560" i="1" s="1"/>
  <c r="E2561" i="1"/>
  <c r="E2562" i="1"/>
  <c r="E2563" i="1"/>
  <c r="E2564" i="1"/>
  <c r="I2564" i="1" s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I2576" i="1" s="1"/>
  <c r="E2577" i="1"/>
  <c r="E2578" i="1"/>
  <c r="E2579" i="1"/>
  <c r="E2580" i="1"/>
  <c r="I2580" i="1" s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F2592" i="1" s="1"/>
  <c r="E2593" i="1"/>
  <c r="E2" i="1"/>
  <c r="F3" i="1"/>
  <c r="I6" i="1"/>
  <c r="G6" i="1" s="1"/>
  <c r="I2415" i="1"/>
  <c r="F2512" i="1"/>
  <c r="I2" i="1"/>
  <c r="G2" i="1" s="1"/>
  <c r="H1" i="1"/>
  <c r="G1" i="1"/>
  <c r="F23" i="3" l="1"/>
  <c r="F27" i="3"/>
  <c r="F18" i="3"/>
  <c r="F12" i="3"/>
  <c r="K12" i="3" s="1"/>
  <c r="K13" i="3" s="1"/>
  <c r="F20" i="3"/>
  <c r="F14" i="3"/>
  <c r="F22" i="3"/>
  <c r="K11" i="3"/>
  <c r="F15" i="3"/>
  <c r="F29" i="3"/>
  <c r="F30" i="3"/>
  <c r="F25" i="3"/>
  <c r="K9" i="3"/>
  <c r="F26" i="3"/>
  <c r="J8" i="3"/>
  <c r="J9" i="3"/>
  <c r="L8" i="3"/>
  <c r="Q8" i="3" s="1"/>
  <c r="F28" i="3"/>
  <c r="K10" i="3"/>
  <c r="J10" i="3"/>
  <c r="J11" i="3" s="1"/>
  <c r="L11" i="3" s="1"/>
  <c r="Q11" i="3" s="1"/>
  <c r="F24" i="3"/>
  <c r="N10" i="3"/>
  <c r="O10" i="3"/>
  <c r="P10" i="3"/>
  <c r="Q10" i="3"/>
  <c r="G171" i="3"/>
  <c r="G175" i="3"/>
  <c r="G179" i="3"/>
  <c r="G183" i="3"/>
  <c r="G191" i="3"/>
  <c r="G195" i="3"/>
  <c r="G199" i="3"/>
  <c r="H215" i="3"/>
  <c r="H219" i="3"/>
  <c r="H227" i="3"/>
  <c r="H229" i="3"/>
  <c r="F229" i="3" s="1"/>
  <c r="G261" i="3"/>
  <c r="F261" i="3" s="1"/>
  <c r="H267" i="3"/>
  <c r="G286" i="3"/>
  <c r="H293" i="3"/>
  <c r="G296" i="3"/>
  <c r="G300" i="3"/>
  <c r="G304" i="3"/>
  <c r="G312" i="3"/>
  <c r="H337" i="3"/>
  <c r="H341" i="3"/>
  <c r="G356" i="3"/>
  <c r="G364" i="3"/>
  <c r="G406" i="3"/>
  <c r="G410" i="3"/>
  <c r="H421" i="3"/>
  <c r="H429" i="3"/>
  <c r="G436" i="3"/>
  <c r="G446" i="3"/>
  <c r="G456" i="3"/>
  <c r="G464" i="3"/>
  <c r="G468" i="3"/>
  <c r="G490" i="3"/>
  <c r="G498" i="3"/>
  <c r="G502" i="3"/>
  <c r="G510" i="3"/>
  <c r="G518" i="3"/>
  <c r="G544" i="3"/>
  <c r="G560" i="3"/>
  <c r="G594" i="3"/>
  <c r="G598" i="3"/>
  <c r="G606" i="3"/>
  <c r="G612" i="3"/>
  <c r="G620" i="3"/>
  <c r="G630" i="3"/>
  <c r="G633" i="3"/>
  <c r="F633" i="3" s="1"/>
  <c r="G636" i="3"/>
  <c r="G644" i="3"/>
  <c r="G654" i="3"/>
  <c r="H679" i="3"/>
  <c r="G700" i="3"/>
  <c r="G708" i="3"/>
  <c r="G716" i="3"/>
  <c r="H719" i="3"/>
  <c r="H723" i="3"/>
  <c r="G740" i="3"/>
  <c r="H743" i="3"/>
  <c r="G749" i="3"/>
  <c r="G752" i="3"/>
  <c r="G756" i="3"/>
  <c r="G760" i="3"/>
  <c r="G764" i="3"/>
  <c r="H771" i="3"/>
  <c r="G782" i="3"/>
  <c r="G802" i="3"/>
  <c r="H817" i="3"/>
  <c r="G830" i="3"/>
  <c r="G834" i="3"/>
  <c r="G844" i="3"/>
  <c r="G848" i="3"/>
  <c r="G856" i="3"/>
  <c r="G860" i="3"/>
  <c r="G864" i="3"/>
  <c r="G872" i="3"/>
  <c r="G922" i="3"/>
  <c r="G926" i="3"/>
  <c r="G934" i="3"/>
  <c r="G938" i="3"/>
  <c r="G942" i="3"/>
  <c r="G950" i="3"/>
  <c r="G954" i="3"/>
  <c r="G958" i="3"/>
  <c r="G1182" i="3"/>
  <c r="G1186" i="3"/>
  <c r="G1190" i="3"/>
  <c r="G1198" i="3"/>
  <c r="G1202" i="3"/>
  <c r="G1206" i="3"/>
  <c r="G1296" i="3"/>
  <c r="H1411" i="3"/>
  <c r="H1423" i="3"/>
  <c r="H1443" i="3"/>
  <c r="H1459" i="3"/>
  <c r="H1463" i="3"/>
  <c r="H1475" i="3"/>
  <c r="H1491" i="3"/>
  <c r="H1499" i="3"/>
  <c r="H1507" i="3"/>
  <c r="H1515" i="3"/>
  <c r="G1544" i="3"/>
  <c r="H1523" i="3"/>
  <c r="G1526" i="3"/>
  <c r="H1545" i="3"/>
  <c r="G1560" i="3"/>
  <c r="G1687" i="3"/>
  <c r="G1691" i="3"/>
  <c r="G1699" i="3"/>
  <c r="G1706" i="3"/>
  <c r="H1714" i="3"/>
  <c r="G1722" i="3"/>
  <c r="H1730" i="3"/>
  <c r="G1765" i="3"/>
  <c r="G1769" i="3"/>
  <c r="G1905" i="3"/>
  <c r="H2182" i="3"/>
  <c r="H2186" i="3"/>
  <c r="H2190" i="3"/>
  <c r="H2194" i="3"/>
  <c r="H2198" i="3"/>
  <c r="H2276" i="3"/>
  <c r="H2280" i="3"/>
  <c r="H2284" i="3"/>
  <c r="H2288" i="3"/>
  <c r="H2292" i="3"/>
  <c r="H2296" i="3"/>
  <c r="H2360" i="3"/>
  <c r="H2364" i="3"/>
  <c r="H2368" i="3"/>
  <c r="H2372" i="3"/>
  <c r="H2376" i="3"/>
  <c r="H2380" i="3"/>
  <c r="H2384" i="3"/>
  <c r="H2388" i="3"/>
  <c r="G216" i="3"/>
  <c r="G224" i="3"/>
  <c r="G228" i="3"/>
  <c r="H239" i="3"/>
  <c r="H243" i="3"/>
  <c r="H247" i="3"/>
  <c r="H251" i="3"/>
  <c r="H259" i="3"/>
  <c r="G264" i="3"/>
  <c r="G272" i="3"/>
  <c r="G280" i="3"/>
  <c r="G284" i="3"/>
  <c r="G294" i="3"/>
  <c r="H297" i="3"/>
  <c r="H301" i="3"/>
  <c r="H305" i="3"/>
  <c r="H309" i="3"/>
  <c r="G320" i="3"/>
  <c r="G330" i="3"/>
  <c r="G334" i="3"/>
  <c r="G346" i="3"/>
  <c r="H349" i="3"/>
  <c r="H357" i="3"/>
  <c r="H361" i="3"/>
  <c r="H365" i="3"/>
  <c r="G372" i="3"/>
  <c r="G380" i="3"/>
  <c r="G384" i="3"/>
  <c r="G388" i="3"/>
  <c r="G400" i="3"/>
  <c r="G426" i="3"/>
  <c r="G454" i="3"/>
  <c r="H461" i="3"/>
  <c r="H469" i="3"/>
  <c r="G476" i="3"/>
  <c r="G480" i="3"/>
  <c r="G484" i="3"/>
  <c r="G488" i="3"/>
  <c r="G530" i="3"/>
  <c r="G538" i="3"/>
  <c r="G576" i="3"/>
  <c r="G584" i="3"/>
  <c r="H607" i="3"/>
  <c r="H631" i="3"/>
  <c r="G662" i="3"/>
  <c r="G670" i="3"/>
  <c r="G673" i="3"/>
  <c r="G676" i="3"/>
  <c r="G684" i="3"/>
  <c r="H687" i="3"/>
  <c r="H690" i="3"/>
  <c r="G694" i="3"/>
  <c r="G717" i="3"/>
  <c r="G720" i="3"/>
  <c r="G724" i="3"/>
  <c r="H727" i="3"/>
  <c r="H737" i="3"/>
  <c r="H747" i="3"/>
  <c r="H775" i="3"/>
  <c r="G796" i="3"/>
  <c r="G814" i="3"/>
  <c r="G824" i="3"/>
  <c r="G828" i="3"/>
  <c r="H853" i="3"/>
  <c r="H857" i="3"/>
  <c r="H869" i="3"/>
  <c r="H873" i="3"/>
  <c r="G880" i="3"/>
  <c r="G892" i="3"/>
  <c r="G896" i="3"/>
  <c r="G970" i="3"/>
  <c r="G982" i="3"/>
  <c r="G986" i="3"/>
  <c r="G990" i="3"/>
  <c r="G998" i="3"/>
  <c r="G1002" i="3"/>
  <c r="G1006" i="3"/>
  <c r="G1014" i="3"/>
  <c r="G1018" i="3"/>
  <c r="H1207" i="3"/>
  <c r="H1211" i="3"/>
  <c r="H1215" i="3"/>
  <c r="G1218" i="3"/>
  <c r="G1222" i="3"/>
  <c r="G1230" i="3"/>
  <c r="G1234" i="3"/>
  <c r="G1238" i="3"/>
  <c r="G1246" i="3"/>
  <c r="G1250" i="3"/>
  <c r="G1254" i="3"/>
  <c r="G1262" i="3"/>
  <c r="G1266" i="3"/>
  <c r="G1270" i="3"/>
  <c r="G1278" i="3"/>
  <c r="G1282" i="3"/>
  <c r="G1290" i="3"/>
  <c r="G1344" i="3"/>
  <c r="G1348" i="3"/>
  <c r="G1364" i="3"/>
  <c r="G1368" i="3"/>
  <c r="G1372" i="3"/>
  <c r="G1380" i="3"/>
  <c r="G1388" i="3"/>
  <c r="G1392" i="3"/>
  <c r="G1400" i="3"/>
  <c r="G1404" i="3"/>
  <c r="G1416" i="3"/>
  <c r="G1424" i="3"/>
  <c r="G1432" i="3"/>
  <c r="G1546" i="3"/>
  <c r="H1550" i="3"/>
  <c r="G1550" i="3"/>
  <c r="H1601" i="3"/>
  <c r="G1633" i="3"/>
  <c r="G1637" i="3"/>
  <c r="G1641" i="3"/>
  <c r="G1645" i="3"/>
  <c r="G1649" i="3"/>
  <c r="G1653" i="3"/>
  <c r="G1657" i="3"/>
  <c r="G1665" i="3"/>
  <c r="G1715" i="3"/>
  <c r="G1853" i="3"/>
  <c r="G1869" i="3"/>
  <c r="H1873" i="3"/>
  <c r="G1902" i="3"/>
  <c r="G1873" i="3"/>
  <c r="G1977" i="3"/>
  <c r="G2029" i="3"/>
  <c r="G2012" i="3"/>
  <c r="G2076" i="3"/>
  <c r="H2100" i="3"/>
  <c r="H2104" i="3"/>
  <c r="H2112" i="3"/>
  <c r="H2200" i="3"/>
  <c r="H2242" i="3"/>
  <c r="H2246" i="3"/>
  <c r="H2250" i="3"/>
  <c r="H2254" i="3"/>
  <c r="H2258" i="3"/>
  <c r="H2262" i="3"/>
  <c r="H2543" i="3"/>
  <c r="H2547" i="3"/>
  <c r="H2551" i="3"/>
  <c r="H2555" i="3"/>
  <c r="H2559" i="3"/>
  <c r="H2563" i="3"/>
  <c r="H2567" i="3"/>
  <c r="H2575" i="3"/>
  <c r="H2579" i="3"/>
  <c r="H2583" i="3"/>
  <c r="H2587" i="3"/>
  <c r="H2591" i="3"/>
  <c r="G236" i="3"/>
  <c r="G240" i="3"/>
  <c r="G244" i="3"/>
  <c r="G248" i="3"/>
  <c r="G256" i="3"/>
  <c r="H273" i="3"/>
  <c r="H277" i="3"/>
  <c r="G288" i="3"/>
  <c r="G298" i="3"/>
  <c r="G302" i="3"/>
  <c r="G314" i="3"/>
  <c r="H321" i="3"/>
  <c r="G350" i="3"/>
  <c r="G354" i="3"/>
  <c r="G358" i="3"/>
  <c r="G366" i="3"/>
  <c r="H373" i="3"/>
  <c r="H381" i="3"/>
  <c r="H389" i="3"/>
  <c r="H397" i="3"/>
  <c r="G412" i="3"/>
  <c r="G448" i="3"/>
  <c r="G452" i="3"/>
  <c r="G458" i="3"/>
  <c r="H485" i="3"/>
  <c r="G500" i="3"/>
  <c r="G508" i="3"/>
  <c r="G512" i="3"/>
  <c r="G516" i="3"/>
  <c r="G546" i="3"/>
  <c r="G550" i="3"/>
  <c r="G554" i="3"/>
  <c r="G558" i="3"/>
  <c r="G562" i="3"/>
  <c r="G600" i="3"/>
  <c r="G604" i="3"/>
  <c r="H610" i="3"/>
  <c r="G614" i="3"/>
  <c r="G622" i="3"/>
  <c r="G638" i="3"/>
  <c r="G646" i="3"/>
  <c r="G652" i="3"/>
  <c r="H663" i="3"/>
  <c r="H671" i="3"/>
  <c r="H673" i="3"/>
  <c r="H695" i="3"/>
  <c r="H698" i="3"/>
  <c r="G725" i="3"/>
  <c r="H735" i="3"/>
  <c r="G748" i="3"/>
  <c r="H751" i="3"/>
  <c r="G766" i="3"/>
  <c r="H769" i="3"/>
  <c r="G776" i="3"/>
  <c r="G780" i="3"/>
  <c r="G784" i="3"/>
  <c r="H793" i="3"/>
  <c r="G808" i="3"/>
  <c r="H825" i="3"/>
  <c r="G832" i="3"/>
  <c r="G846" i="3"/>
  <c r="G850" i="3"/>
  <c r="G858" i="3"/>
  <c r="G862" i="3"/>
  <c r="G866" i="3"/>
  <c r="G874" i="3"/>
  <c r="H881" i="3"/>
  <c r="G1078" i="3"/>
  <c r="G1082" i="3"/>
  <c r="G1086" i="3"/>
  <c r="G1094" i="3"/>
  <c r="G1098" i="3"/>
  <c r="G1110" i="3"/>
  <c r="G1114" i="3"/>
  <c r="G1118" i="3"/>
  <c r="G1176" i="3"/>
  <c r="G1184" i="3"/>
  <c r="G1188" i="3"/>
  <c r="G1192" i="3"/>
  <c r="G1200" i="3"/>
  <c r="G1204" i="3"/>
  <c r="G1208" i="3"/>
  <c r="H1223" i="3"/>
  <c r="H1227" i="3"/>
  <c r="H1231" i="3"/>
  <c r="H1239" i="3"/>
  <c r="H1243" i="3"/>
  <c r="H1247" i="3"/>
  <c r="H1255" i="3"/>
  <c r="H1259" i="3"/>
  <c r="H1263" i="3"/>
  <c r="H1271" i="3"/>
  <c r="H1275" i="3"/>
  <c r="H1279" i="3"/>
  <c r="H1287" i="3"/>
  <c r="G1302" i="3"/>
  <c r="G1306" i="3"/>
  <c r="G1310" i="3"/>
  <c r="G1314" i="3"/>
  <c r="G1322" i="3"/>
  <c r="G1334" i="3"/>
  <c r="G1402" i="3"/>
  <c r="H1531" i="3"/>
  <c r="G1534" i="3"/>
  <c r="F1534" i="3" s="1"/>
  <c r="G1536" i="3"/>
  <c r="H1558" i="3"/>
  <c r="G1558" i="3"/>
  <c r="H1565" i="3"/>
  <c r="H1579" i="3"/>
  <c r="H1583" i="3"/>
  <c r="H1587" i="3"/>
  <c r="H1591" i="3"/>
  <c r="G1710" i="3"/>
  <c r="G1801" i="3"/>
  <c r="G1805" i="3"/>
  <c r="G1809" i="3"/>
  <c r="G1861" i="3"/>
  <c r="H1910" i="3"/>
  <c r="G1929" i="3"/>
  <c r="G1933" i="3"/>
  <c r="G1961" i="3"/>
  <c r="H2026" i="3"/>
  <c r="G1997" i="3"/>
  <c r="G2061" i="3"/>
  <c r="H2148" i="3"/>
  <c r="H2152" i="3"/>
  <c r="H2156" i="3"/>
  <c r="H2160" i="3"/>
  <c r="H2164" i="3"/>
  <c r="H2168" i="3"/>
  <c r="H2176" i="3"/>
  <c r="H2264" i="3"/>
  <c r="G2322" i="3"/>
  <c r="H231" i="3"/>
  <c r="H262" i="3"/>
  <c r="G270" i="3"/>
  <c r="G282" i="3"/>
  <c r="H289" i="3"/>
  <c r="G318" i="3"/>
  <c r="G332" i="3"/>
  <c r="G344" i="3"/>
  <c r="G374" i="3"/>
  <c r="G382" i="3"/>
  <c r="G386" i="3"/>
  <c r="G390" i="3"/>
  <c r="G398" i="3"/>
  <c r="G402" i="3"/>
  <c r="H405" i="3"/>
  <c r="G420" i="3"/>
  <c r="G424" i="3"/>
  <c r="G432" i="3"/>
  <c r="G438" i="3"/>
  <c r="G478" i="3"/>
  <c r="G486" i="3"/>
  <c r="H501" i="3"/>
  <c r="H517" i="3"/>
  <c r="G528" i="3"/>
  <c r="G536" i="3"/>
  <c r="G570" i="3"/>
  <c r="G574" i="3"/>
  <c r="G578" i="3"/>
  <c r="G582" i="3"/>
  <c r="G586" i="3"/>
  <c r="H615" i="3"/>
  <c r="H623" i="3"/>
  <c r="H639" i="3"/>
  <c r="H647" i="3"/>
  <c r="G660" i="3"/>
  <c r="G668" i="3"/>
  <c r="G678" i="3"/>
  <c r="G692" i="3"/>
  <c r="H703" i="3"/>
  <c r="H711" i="3"/>
  <c r="H715" i="3"/>
  <c r="G718" i="3"/>
  <c r="G732" i="3"/>
  <c r="H739" i="3"/>
  <c r="H745" i="3"/>
  <c r="H755" i="3"/>
  <c r="H759" i="3"/>
  <c r="H763" i="3"/>
  <c r="H767" i="3"/>
  <c r="G882" i="3"/>
  <c r="G894" i="3"/>
  <c r="G898" i="3"/>
  <c r="G906" i="3"/>
  <c r="G1130" i="3"/>
  <c r="G1134" i="3"/>
  <c r="G1142" i="3"/>
  <c r="G1146" i="3"/>
  <c r="G1150" i="3"/>
  <c r="G1158" i="3"/>
  <c r="H1162" i="3"/>
  <c r="G1216" i="3"/>
  <c r="G1220" i="3"/>
  <c r="G1224" i="3"/>
  <c r="G1232" i="3"/>
  <c r="G1236" i="3"/>
  <c r="G1240" i="3"/>
  <c r="G1248" i="3"/>
  <c r="G1252" i="3"/>
  <c r="G1438" i="3"/>
  <c r="G1442" i="3"/>
  <c r="G1454" i="3"/>
  <c r="G1462" i="3"/>
  <c r="G1466" i="3"/>
  <c r="H1482" i="3"/>
  <c r="G1522" i="3"/>
  <c r="H1526" i="3"/>
  <c r="G1528" i="3"/>
  <c r="H1537" i="3"/>
  <c r="G1552" i="3"/>
  <c r="G1562" i="3"/>
  <c r="H1573" i="3"/>
  <c r="G1600" i="3"/>
  <c r="G1671" i="3"/>
  <c r="G1675" i="3"/>
  <c r="G1683" i="3"/>
  <c r="G1694" i="3"/>
  <c r="H1698" i="3"/>
  <c r="G1717" i="3"/>
  <c r="G1721" i="3"/>
  <c r="G1733" i="3"/>
  <c r="G1741" i="3"/>
  <c r="G1745" i="3"/>
  <c r="G1753" i="3"/>
  <c r="G1757" i="3"/>
  <c r="G1771" i="3"/>
  <c r="G1779" i="3"/>
  <c r="G1795" i="3"/>
  <c r="G1843" i="3"/>
  <c r="G1829" i="3"/>
  <c r="G1833" i="3"/>
  <c r="G1867" i="3"/>
  <c r="H1986" i="3"/>
  <c r="H1994" i="3"/>
  <c r="H2034" i="3"/>
  <c r="H2042" i="3"/>
  <c r="H2050" i="3"/>
  <c r="G2054" i="3"/>
  <c r="H2058" i="3"/>
  <c r="H2114" i="3"/>
  <c r="H2118" i="3"/>
  <c r="H2122" i="3"/>
  <c r="H2126" i="3"/>
  <c r="H2130" i="3"/>
  <c r="H2134" i="3"/>
  <c r="H2208" i="3"/>
  <c r="H2212" i="3"/>
  <c r="H2216" i="3"/>
  <c r="H2220" i="3"/>
  <c r="H2224" i="3"/>
  <c r="H2228" i="3"/>
  <c r="H2232" i="3"/>
  <c r="H2240" i="3"/>
  <c r="G2307" i="3"/>
  <c r="H2307" i="3"/>
  <c r="H2415" i="3"/>
  <c r="H2423" i="3"/>
  <c r="G2441" i="3"/>
  <c r="G2449" i="3"/>
  <c r="G2457" i="3"/>
  <c r="G2461" i="3"/>
  <c r="H2473" i="3"/>
  <c r="H2477" i="3"/>
  <c r="H2481" i="3"/>
  <c r="H2489" i="3"/>
  <c r="H2493" i="3"/>
  <c r="H2501" i="3"/>
  <c r="H2509" i="3"/>
  <c r="H2513" i="3"/>
  <c r="H2521" i="3"/>
  <c r="H2525" i="3"/>
  <c r="H2533" i="3"/>
  <c r="G1849" i="3"/>
  <c r="G1881" i="3"/>
  <c r="G1885" i="3"/>
  <c r="G1893" i="3"/>
  <c r="G1897" i="3"/>
  <c r="G1945" i="3"/>
  <c r="G1949" i="3"/>
  <c r="G2005" i="3"/>
  <c r="G2013" i="3"/>
  <c r="G2021" i="3"/>
  <c r="G2028" i="3"/>
  <c r="G2069" i="3"/>
  <c r="G2077" i="3"/>
  <c r="H2081" i="3"/>
  <c r="G2085" i="3"/>
  <c r="G2093" i="3"/>
  <c r="H2108" i="3"/>
  <c r="H2138" i="3"/>
  <c r="H2142" i="3"/>
  <c r="H2172" i="3"/>
  <c r="H2202" i="3"/>
  <c r="H2206" i="3"/>
  <c r="H2236" i="3"/>
  <c r="H2266" i="3"/>
  <c r="H2270" i="3"/>
  <c r="H2300" i="3"/>
  <c r="G2311" i="3"/>
  <c r="G2315" i="3"/>
  <c r="G2319" i="3"/>
  <c r="G2329" i="3"/>
  <c r="G2337" i="3"/>
  <c r="G2341" i="3"/>
  <c r="G2349" i="3"/>
  <c r="G2353" i="3"/>
  <c r="H2392" i="3"/>
  <c r="H2396" i="3"/>
  <c r="H2400" i="3"/>
  <c r="H2404" i="3"/>
  <c r="H2408" i="3"/>
  <c r="H2412" i="3"/>
  <c r="H2420" i="3"/>
  <c r="H2428" i="3"/>
  <c r="H2431" i="3"/>
  <c r="H2490" i="3"/>
  <c r="G2498" i="3"/>
  <c r="G2506" i="3"/>
  <c r="H2518" i="3"/>
  <c r="H2534" i="3"/>
  <c r="H2537" i="3"/>
  <c r="G773" i="3"/>
  <c r="H777" i="3"/>
  <c r="G794" i="3"/>
  <c r="G798" i="3"/>
  <c r="H805" i="3"/>
  <c r="H809" i="3"/>
  <c r="G812" i="3"/>
  <c r="G816" i="3"/>
  <c r="H833" i="3"/>
  <c r="H837" i="3"/>
  <c r="G878" i="3"/>
  <c r="H885" i="3"/>
  <c r="H889" i="3"/>
  <c r="H897" i="3"/>
  <c r="H901" i="3"/>
  <c r="G1022" i="3"/>
  <c r="G1030" i="3"/>
  <c r="G1034" i="3"/>
  <c r="G1046" i="3"/>
  <c r="G1050" i="3"/>
  <c r="G1054" i="3"/>
  <c r="G1062" i="3"/>
  <c r="G1066" i="3"/>
  <c r="H1179" i="3"/>
  <c r="H1183" i="3"/>
  <c r="H1191" i="3"/>
  <c r="H1195" i="3"/>
  <c r="H1199" i="3"/>
  <c r="G1214" i="3"/>
  <c r="G1256" i="3"/>
  <c r="G1264" i="3"/>
  <c r="G1268" i="3"/>
  <c r="G1272" i="3"/>
  <c r="G1280" i="3"/>
  <c r="G1284" i="3"/>
  <c r="G1292" i="3"/>
  <c r="H1295" i="3"/>
  <c r="H1311" i="3"/>
  <c r="H1319" i="3"/>
  <c r="H1327" i="3"/>
  <c r="G1342" i="3"/>
  <c r="G1350" i="3"/>
  <c r="H1354" i="3"/>
  <c r="G1366" i="3"/>
  <c r="G1374" i="3"/>
  <c r="G1378" i="3"/>
  <c r="G1390" i="3"/>
  <c r="G1398" i="3"/>
  <c r="G1440" i="3"/>
  <c r="G1444" i="3"/>
  <c r="G1456" i="3"/>
  <c r="G1464" i="3"/>
  <c r="G1468" i="3"/>
  <c r="G1480" i="3"/>
  <c r="H1529" i="3"/>
  <c r="G1538" i="3"/>
  <c r="H1547" i="3"/>
  <c r="H1555" i="3"/>
  <c r="H1563" i="3"/>
  <c r="H1567" i="3"/>
  <c r="H1571" i="3"/>
  <c r="H1581" i="3"/>
  <c r="H1589" i="3"/>
  <c r="G1669" i="3"/>
  <c r="G1673" i="3"/>
  <c r="G1681" i="3"/>
  <c r="G1719" i="3"/>
  <c r="G1723" i="3"/>
  <c r="G1739" i="3"/>
  <c r="G1747" i="3"/>
  <c r="G1763" i="3"/>
  <c r="G1773" i="3"/>
  <c r="G1803" i="3"/>
  <c r="G1811" i="3"/>
  <c r="H1894" i="3"/>
  <c r="H1905" i="3"/>
  <c r="G1965" i="3"/>
  <c r="G1969" i="3"/>
  <c r="H2002" i="3"/>
  <c r="H2010" i="3"/>
  <c r="H2018" i="3"/>
  <c r="G2044" i="3"/>
  <c r="H2066" i="3"/>
  <c r="G2070" i="3"/>
  <c r="H2074" i="3"/>
  <c r="H2082" i="3"/>
  <c r="G2086" i="3"/>
  <c r="H2090" i="3"/>
  <c r="H2098" i="3"/>
  <c r="H2102" i="3"/>
  <c r="H2116" i="3"/>
  <c r="H2120" i="3"/>
  <c r="H2124" i="3"/>
  <c r="H2128" i="3"/>
  <c r="H2132" i="3"/>
  <c r="H2146" i="3"/>
  <c r="H2150" i="3"/>
  <c r="H2154" i="3"/>
  <c r="H2158" i="3"/>
  <c r="H2162" i="3"/>
  <c r="H2166" i="3"/>
  <c r="H2180" i="3"/>
  <c r="H2184" i="3"/>
  <c r="H2188" i="3"/>
  <c r="H2192" i="3"/>
  <c r="H2196" i="3"/>
  <c r="H2210" i="3"/>
  <c r="H2214" i="3"/>
  <c r="H2218" i="3"/>
  <c r="H2222" i="3"/>
  <c r="H2226" i="3"/>
  <c r="H2230" i="3"/>
  <c r="H2244" i="3"/>
  <c r="H2248" i="3"/>
  <c r="H2252" i="3"/>
  <c r="H2256" i="3"/>
  <c r="H2260" i="3"/>
  <c r="H2274" i="3"/>
  <c r="H2278" i="3"/>
  <c r="H2282" i="3"/>
  <c r="H2286" i="3"/>
  <c r="H2290" i="3"/>
  <c r="H2294" i="3"/>
  <c r="G2305" i="3"/>
  <c r="H2319" i="3"/>
  <c r="G2334" i="3"/>
  <c r="H2362" i="3"/>
  <c r="H2366" i="3"/>
  <c r="H2370" i="3"/>
  <c r="H2374" i="3"/>
  <c r="H2378" i="3"/>
  <c r="H2382" i="3"/>
  <c r="H2386" i="3"/>
  <c r="G2417" i="3"/>
  <c r="G2425" i="3"/>
  <c r="H2439" i="3"/>
  <c r="H2447" i="3"/>
  <c r="H2511" i="3"/>
  <c r="H2515" i="3"/>
  <c r="H2519" i="3"/>
  <c r="H2523" i="3"/>
  <c r="H2527" i="3"/>
  <c r="H2531" i="3"/>
  <c r="G2534" i="3"/>
  <c r="G2537" i="3"/>
  <c r="H2545" i="3"/>
  <c r="H2549" i="3"/>
  <c r="H2557" i="3"/>
  <c r="H2561" i="3"/>
  <c r="H2565" i="3"/>
  <c r="H2569" i="3"/>
  <c r="H2573" i="3"/>
  <c r="H2577" i="3"/>
  <c r="H2585" i="3"/>
  <c r="H2589" i="3"/>
  <c r="G1300" i="3"/>
  <c r="G1304" i="3"/>
  <c r="G1312" i="3"/>
  <c r="G1316" i="3"/>
  <c r="G1324" i="3"/>
  <c r="G1332" i="3"/>
  <c r="H1359" i="3"/>
  <c r="H1379" i="3"/>
  <c r="H1395" i="3"/>
  <c r="H1399" i="3"/>
  <c r="G1414" i="3"/>
  <c r="G1422" i="3"/>
  <c r="G1430" i="3"/>
  <c r="H1489" i="3"/>
  <c r="H1497" i="3"/>
  <c r="H1505" i="3"/>
  <c r="H1513" i="3"/>
  <c r="H1521" i="3"/>
  <c r="G1530" i="3"/>
  <c r="H1539" i="3"/>
  <c r="G1542" i="3"/>
  <c r="F1542" i="3" s="1"/>
  <c r="H1553" i="3"/>
  <c r="H1561" i="3"/>
  <c r="H1575" i="3"/>
  <c r="G1604" i="3"/>
  <c r="G1608" i="3"/>
  <c r="G1616" i="3"/>
  <c r="G1620" i="3"/>
  <c r="G1624" i="3"/>
  <c r="G1631" i="3"/>
  <c r="G1639" i="3"/>
  <c r="G1647" i="3"/>
  <c r="G1663" i="3"/>
  <c r="G1674" i="3"/>
  <c r="G1678" i="3"/>
  <c r="G1689" i="3"/>
  <c r="G1697" i="3"/>
  <c r="G1701" i="3"/>
  <c r="G1707" i="3"/>
  <c r="G1777" i="3"/>
  <c r="G1785" i="3"/>
  <c r="G1789" i="3"/>
  <c r="G1827" i="3"/>
  <c r="G1837" i="3"/>
  <c r="G1875" i="3"/>
  <c r="G1891" i="3"/>
  <c r="G1913" i="3"/>
  <c r="G1917" i="3"/>
  <c r="G1921" i="3"/>
  <c r="G1981" i="3"/>
  <c r="G1989" i="3"/>
  <c r="G1996" i="3"/>
  <c r="G2037" i="3"/>
  <c r="G2045" i="3"/>
  <c r="H2049" i="3"/>
  <c r="G2053" i="3"/>
  <c r="G2060" i="3"/>
  <c r="H2106" i="3"/>
  <c r="H2110" i="3"/>
  <c r="H2140" i="3"/>
  <c r="H2170" i="3"/>
  <c r="H2174" i="3"/>
  <c r="H2204" i="3"/>
  <c r="H2234" i="3"/>
  <c r="H2238" i="3"/>
  <c r="H2268" i="3"/>
  <c r="H2298" i="3"/>
  <c r="H2302" i="3"/>
  <c r="G2309" i="3"/>
  <c r="G2317" i="3"/>
  <c r="G2323" i="3"/>
  <c r="G2327" i="3"/>
  <c r="G2331" i="3"/>
  <c r="G2339" i="3"/>
  <c r="G2343" i="3"/>
  <c r="G2351" i="3"/>
  <c r="G2355" i="3"/>
  <c r="H2390" i="3"/>
  <c r="H2394" i="3"/>
  <c r="H2398" i="3"/>
  <c r="H2402" i="3"/>
  <c r="H2406" i="3"/>
  <c r="H2410" i="3"/>
  <c r="H2436" i="3"/>
  <c r="H2444" i="3"/>
  <c r="H2452" i="3"/>
  <c r="G2484" i="3"/>
  <c r="G2488" i="3"/>
  <c r="G2492" i="3"/>
  <c r="G2496" i="3"/>
  <c r="G2500" i="3"/>
  <c r="G2504" i="3"/>
  <c r="H2508" i="3"/>
  <c r="H2535" i="3"/>
  <c r="H2538" i="3"/>
  <c r="H2554" i="3"/>
  <c r="H2566" i="3"/>
  <c r="H2570" i="3"/>
  <c r="H2582" i="3"/>
  <c r="F2583" i="1"/>
  <c r="F2519" i="1"/>
  <c r="I2509" i="1"/>
  <c r="I2468" i="1"/>
  <c r="F2464" i="1"/>
  <c r="F2455" i="1"/>
  <c r="I2373" i="1"/>
  <c r="I2367" i="1"/>
  <c r="I2339" i="1"/>
  <c r="I2326" i="1"/>
  <c r="I2309" i="1"/>
  <c r="I2279" i="1"/>
  <c r="I2254" i="1"/>
  <c r="F2243" i="1"/>
  <c r="F2167" i="1"/>
  <c r="I2115" i="1"/>
  <c r="I2589" i="1"/>
  <c r="F2551" i="1"/>
  <c r="I2461" i="1"/>
  <c r="I2573" i="1"/>
  <c r="I2541" i="1"/>
  <c r="F2363" i="1"/>
  <c r="F2365" i="1"/>
  <c r="F2333" i="1"/>
  <c r="F2284" i="1"/>
  <c r="I2284" i="1"/>
  <c r="F2301" i="1"/>
  <c r="I2262" i="1"/>
  <c r="F2197" i="1"/>
  <c r="I2557" i="1"/>
  <c r="I2507" i="1"/>
  <c r="F2480" i="1"/>
  <c r="I2431" i="1"/>
  <c r="F2409" i="1"/>
  <c r="F2360" i="1"/>
  <c r="H2360" i="1" s="1"/>
  <c r="I2445" i="1"/>
  <c r="F2316" i="1"/>
  <c r="I2343" i="1"/>
  <c r="I2275" i="1"/>
  <c r="I2277" i="1"/>
  <c r="F2137" i="1"/>
  <c r="F2576" i="1"/>
  <c r="G2576" i="1" s="1"/>
  <c r="I2525" i="1"/>
  <c r="I2526" i="1"/>
  <c r="F2503" i="1"/>
  <c r="I2459" i="1"/>
  <c r="F2427" i="1"/>
  <c r="I2371" i="1"/>
  <c r="F2331" i="1"/>
  <c r="I2307" i="1"/>
  <c r="I2271" i="1"/>
  <c r="F2267" i="1"/>
  <c r="F2247" i="1"/>
  <c r="F2227" i="1"/>
  <c r="I2175" i="1"/>
  <c r="F2099" i="1"/>
  <c r="I2484" i="1"/>
  <c r="F2484" i="1"/>
  <c r="I2448" i="1"/>
  <c r="H2448" i="1" s="1"/>
  <c r="I2477" i="1"/>
  <c r="I2417" i="1"/>
  <c r="I2341" i="1"/>
  <c r="I2303" i="1"/>
  <c r="I2212" i="1"/>
  <c r="F2212" i="1"/>
  <c r="I2475" i="1"/>
  <c r="F2425" i="1"/>
  <c r="F2269" i="1"/>
  <c r="F2567" i="1"/>
  <c r="F2535" i="1"/>
  <c r="I2491" i="1"/>
  <c r="F2471" i="1"/>
  <c r="F2439" i="1"/>
  <c r="I2358" i="1"/>
  <c r="I2375" i="1"/>
  <c r="I2335" i="1"/>
  <c r="I2294" i="1"/>
  <c r="I2571" i="1"/>
  <c r="F2544" i="1"/>
  <c r="I2493" i="1"/>
  <c r="I2443" i="1"/>
  <c r="F2418" i="1"/>
  <c r="I2555" i="1"/>
  <c r="I2578" i="1"/>
  <c r="I2562" i="1"/>
  <c r="I2546" i="1"/>
  <c r="I2530" i="1"/>
  <c r="I2514" i="1"/>
  <c r="F2494" i="1"/>
  <c r="F2478" i="1"/>
  <c r="I2466" i="1"/>
  <c r="I2438" i="1"/>
  <c r="I2406" i="1"/>
  <c r="F2398" i="1"/>
  <c r="F2390" i="1"/>
  <c r="F2378" i="1"/>
  <c r="F2346" i="1"/>
  <c r="I2314" i="1"/>
  <c r="I2290" i="1"/>
  <c r="F2182" i="1"/>
  <c r="F2122" i="1"/>
  <c r="F2590" i="1"/>
  <c r="F2574" i="1"/>
  <c r="F2558" i="1"/>
  <c r="F2542" i="1"/>
  <c r="F2526" i="1"/>
  <c r="F2510" i="1"/>
  <c r="I2498" i="1"/>
  <c r="I2482" i="1"/>
  <c r="F2462" i="1"/>
  <c r="I2450" i="1"/>
  <c r="F2446" i="1"/>
  <c r="I2402" i="1"/>
  <c r="F2394" i="1"/>
  <c r="F2386" i="1"/>
  <c r="F2382" i="1"/>
  <c r="I2354" i="1"/>
  <c r="I2322" i="1"/>
  <c r="F2282" i="1"/>
  <c r="I2258" i="1"/>
  <c r="I2190" i="1"/>
  <c r="I2130" i="1"/>
  <c r="I2587" i="1"/>
  <c r="I2523" i="1"/>
  <c r="F2411" i="1"/>
  <c r="I2311" i="1"/>
  <c r="F2581" i="1"/>
  <c r="F2565" i="1"/>
  <c r="F2549" i="1"/>
  <c r="F2533" i="1"/>
  <c r="F2517" i="1"/>
  <c r="F2501" i="1"/>
  <c r="F2485" i="1"/>
  <c r="F2469" i="1"/>
  <c r="F2453" i="1"/>
  <c r="I2429" i="1"/>
  <c r="F2413" i="1"/>
  <c r="I2377" i="1"/>
  <c r="I2369" i="1"/>
  <c r="F2361" i="1"/>
  <c r="I2345" i="1"/>
  <c r="I2337" i="1"/>
  <c r="F2329" i="1"/>
  <c r="I2313" i="1"/>
  <c r="I2305" i="1"/>
  <c r="F2297" i="1"/>
  <c r="I2281" i="1"/>
  <c r="I2273" i="1"/>
  <c r="F2265" i="1"/>
  <c r="I2205" i="1"/>
  <c r="I2145" i="1"/>
  <c r="G47" i="3"/>
  <c r="H657" i="3"/>
  <c r="H697" i="3"/>
  <c r="G697" i="3"/>
  <c r="G774" i="3"/>
  <c r="G246" i="3"/>
  <c r="G649" i="3"/>
  <c r="F649" i="3" s="1"/>
  <c r="G91" i="3"/>
  <c r="G99" i="3"/>
  <c r="G107" i="3"/>
  <c r="G119" i="3"/>
  <c r="G123" i="3"/>
  <c r="G127" i="3"/>
  <c r="G131" i="3"/>
  <c r="G139" i="3"/>
  <c r="G143" i="3"/>
  <c r="G147" i="3"/>
  <c r="G151" i="3"/>
  <c r="G155" i="3"/>
  <c r="G159" i="3"/>
  <c r="G245" i="3"/>
  <c r="H246" i="3"/>
  <c r="H634" i="3"/>
  <c r="H710" i="3"/>
  <c r="G710" i="3"/>
  <c r="H721" i="3"/>
  <c r="G87" i="3"/>
  <c r="G95" i="3"/>
  <c r="G103" i="3"/>
  <c r="G230" i="3"/>
  <c r="F230" i="3" s="1"/>
  <c r="H245" i="3"/>
  <c r="G262" i="3"/>
  <c r="G609" i="3"/>
  <c r="F609" i="3" s="1"/>
  <c r="H674" i="3"/>
  <c r="H626" i="3"/>
  <c r="F626" i="3" s="1"/>
  <c r="H718" i="3"/>
  <c r="H726" i="3"/>
  <c r="F726" i="3" s="1"/>
  <c r="H1494" i="3"/>
  <c r="H1510" i="3"/>
  <c r="H2419" i="3"/>
  <c r="G2422" i="3"/>
  <c r="G2443" i="3"/>
  <c r="H2451" i="3"/>
  <c r="G2454" i="3"/>
  <c r="H2482" i="3"/>
  <c r="G2489" i="3"/>
  <c r="G2577" i="3"/>
  <c r="G1493" i="3"/>
  <c r="G1509" i="3"/>
  <c r="G1597" i="3"/>
  <c r="H1613" i="3"/>
  <c r="G1714" i="3"/>
  <c r="H2343" i="3"/>
  <c r="H2414" i="3"/>
  <c r="H2446" i="3"/>
  <c r="G2466" i="3"/>
  <c r="G2525" i="3"/>
  <c r="G690" i="3"/>
  <c r="G737" i="3"/>
  <c r="G745" i="3"/>
  <c r="H1493" i="3"/>
  <c r="H1509" i="3"/>
  <c r="H1597" i="3"/>
  <c r="G1698" i="3"/>
  <c r="H2355" i="3"/>
  <c r="G2427" i="3"/>
  <c r="H2435" i="3"/>
  <c r="G2438" i="3"/>
  <c r="H2470" i="3"/>
  <c r="G2473" i="3"/>
  <c r="G40" i="3"/>
  <c r="G214" i="3"/>
  <c r="F214" i="3" s="1"/>
  <c r="H221" i="3"/>
  <c r="H237" i="3"/>
  <c r="H253" i="3"/>
  <c r="H269" i="3"/>
  <c r="G610" i="3"/>
  <c r="H617" i="3"/>
  <c r="G634" i="3"/>
  <c r="F634" i="3" s="1"/>
  <c r="H641" i="3"/>
  <c r="G650" i="3"/>
  <c r="F650" i="3" s="1"/>
  <c r="G657" i="3"/>
  <c r="H658" i="3"/>
  <c r="H665" i="3"/>
  <c r="G674" i="3"/>
  <c r="H681" i="3"/>
  <c r="G698" i="3"/>
  <c r="H705" i="3"/>
  <c r="H713" i="3"/>
  <c r="G721" i="3"/>
  <c r="F721" i="3" s="1"/>
  <c r="H729" i="3"/>
  <c r="H734" i="3"/>
  <c r="H742" i="3"/>
  <c r="H750" i="3"/>
  <c r="H766" i="3"/>
  <c r="H753" i="3"/>
  <c r="G753" i="3"/>
  <c r="G56" i="3"/>
  <c r="G222" i="3"/>
  <c r="G238" i="3"/>
  <c r="G254" i="3"/>
  <c r="G602" i="3"/>
  <c r="G618" i="3"/>
  <c r="G625" i="3"/>
  <c r="G642" i="3"/>
  <c r="G666" i="3"/>
  <c r="G682" i="3"/>
  <c r="G689" i="3"/>
  <c r="G706" i="3"/>
  <c r="H758" i="3"/>
  <c r="G758" i="3"/>
  <c r="H761" i="3"/>
  <c r="G31" i="3"/>
  <c r="G221" i="3"/>
  <c r="H222" i="3"/>
  <c r="G237" i="3"/>
  <c r="H238" i="3"/>
  <c r="G253" i="3"/>
  <c r="H254" i="3"/>
  <c r="G269" i="3"/>
  <c r="F269" i="3" s="1"/>
  <c r="H602" i="3"/>
  <c r="G617" i="3"/>
  <c r="F617" i="3" s="1"/>
  <c r="H618" i="3"/>
  <c r="H625" i="3"/>
  <c r="G641" i="3"/>
  <c r="H642" i="3"/>
  <c r="G658" i="3"/>
  <c r="F658" i="3" s="1"/>
  <c r="G665" i="3"/>
  <c r="F665" i="3" s="1"/>
  <c r="H666" i="3"/>
  <c r="G681" i="3"/>
  <c r="F681" i="3" s="1"/>
  <c r="H682" i="3"/>
  <c r="H689" i="3"/>
  <c r="G705" i="3"/>
  <c r="H706" i="3"/>
  <c r="G713" i="3"/>
  <c r="G729" i="3"/>
  <c r="G734" i="3"/>
  <c r="G742" i="3"/>
  <c r="G750" i="3"/>
  <c r="G761" i="3"/>
  <c r="F761" i="3" s="1"/>
  <c r="H1418" i="3"/>
  <c r="H1937" i="3"/>
  <c r="G1937" i="3"/>
  <c r="H774" i="3"/>
  <c r="G1418" i="3"/>
  <c r="G1486" i="3"/>
  <c r="G1502" i="3"/>
  <c r="G1518" i="3"/>
  <c r="G1525" i="3"/>
  <c r="G1533" i="3"/>
  <c r="G1541" i="3"/>
  <c r="G1549" i="3"/>
  <c r="G1557" i="3"/>
  <c r="G1609" i="3"/>
  <c r="G1621" i="3"/>
  <c r="G769" i="3"/>
  <c r="G1482" i="3"/>
  <c r="G1485" i="3"/>
  <c r="H1486" i="3"/>
  <c r="G1501" i="3"/>
  <c r="H1502" i="3"/>
  <c r="G1517" i="3"/>
  <c r="H1518" i="3"/>
  <c r="H1525" i="3"/>
  <c r="H1533" i="3"/>
  <c r="H1541" i="3"/>
  <c r="H1549" i="3"/>
  <c r="H1557" i="3"/>
  <c r="G1605" i="3"/>
  <c r="H1609" i="3"/>
  <c r="G1617" i="3"/>
  <c r="H1621" i="3"/>
  <c r="H1682" i="3"/>
  <c r="G1682" i="3"/>
  <c r="G1162" i="3"/>
  <c r="G1354" i="3"/>
  <c r="H1485" i="3"/>
  <c r="G1494" i="3"/>
  <c r="F1494" i="3" s="1"/>
  <c r="H1501" i="3"/>
  <c r="G1510" i="3"/>
  <c r="H1517" i="3"/>
  <c r="G1601" i="3"/>
  <c r="H1605" i="3"/>
  <c r="G1613" i="3"/>
  <c r="H1617" i="3"/>
  <c r="H2065" i="3"/>
  <c r="G1730" i="3"/>
  <c r="G2477" i="3"/>
  <c r="G2486" i="3"/>
  <c r="H2498" i="3"/>
  <c r="G2501" i="3"/>
  <c r="G2518" i="3"/>
  <c r="G2521" i="3"/>
  <c r="G2565" i="3"/>
  <c r="H2315" i="3"/>
  <c r="H2327" i="3"/>
  <c r="H2339" i="3"/>
  <c r="H2351" i="3"/>
  <c r="H2422" i="3"/>
  <c r="H2427" i="3"/>
  <c r="H2438" i="3"/>
  <c r="H2443" i="3"/>
  <c r="H2454" i="3"/>
  <c r="H2466" i="3"/>
  <c r="H2486" i="3"/>
  <c r="G2414" i="3"/>
  <c r="F2414" i="3" s="1"/>
  <c r="G2419" i="3"/>
  <c r="G2430" i="3"/>
  <c r="F2430" i="3" s="1"/>
  <c r="G2435" i="3"/>
  <c r="G2446" i="3"/>
  <c r="G2451" i="3"/>
  <c r="F2451" i="3" s="1"/>
  <c r="G2470" i="3"/>
  <c r="G2482" i="3"/>
  <c r="F2482" i="3" s="1"/>
  <c r="G2493" i="3"/>
  <c r="H2506" i="3"/>
  <c r="G2513" i="3"/>
  <c r="G2589" i="3"/>
  <c r="H184" i="3"/>
  <c r="H192" i="3"/>
  <c r="H276" i="3"/>
  <c r="G303" i="3"/>
  <c r="H308" i="3"/>
  <c r="H310" i="3"/>
  <c r="G317" i="3"/>
  <c r="H324" i="3"/>
  <c r="H342" i="3"/>
  <c r="G377" i="3"/>
  <c r="G395" i="3"/>
  <c r="G419" i="3"/>
  <c r="G481" i="3"/>
  <c r="H730" i="3"/>
  <c r="G730" i="3"/>
  <c r="H736" i="3"/>
  <c r="H757" i="3"/>
  <c r="G785" i="3"/>
  <c r="H790" i="3"/>
  <c r="G790" i="3"/>
  <c r="G813" i="3"/>
  <c r="H813" i="3"/>
  <c r="G851" i="3"/>
  <c r="H888" i="3"/>
  <c r="H890" i="3"/>
  <c r="G895" i="3"/>
  <c r="H946" i="3"/>
  <c r="G946" i="3"/>
  <c r="G993" i="3"/>
  <c r="G1000" i="3"/>
  <c r="G1057" i="3"/>
  <c r="G1064" i="3"/>
  <c r="G1121" i="3"/>
  <c r="G1125" i="3"/>
  <c r="G1131" i="3"/>
  <c r="H1138" i="3"/>
  <c r="G1138" i="3"/>
  <c r="G1172" i="3"/>
  <c r="G1175" i="3"/>
  <c r="H1180" i="3"/>
  <c r="G1180" i="3"/>
  <c r="H1244" i="3"/>
  <c r="G1244" i="3"/>
  <c r="H1288" i="3"/>
  <c r="G1288" i="3"/>
  <c r="H1318" i="3"/>
  <c r="G1318" i="3"/>
  <c r="G1367" i="3"/>
  <c r="H1367" i="3"/>
  <c r="G1391" i="3"/>
  <c r="H1391" i="3"/>
  <c r="G1417" i="3"/>
  <c r="G1441" i="3"/>
  <c r="H1446" i="3"/>
  <c r="G1446" i="3"/>
  <c r="H1470" i="3"/>
  <c r="G1470" i="3"/>
  <c r="G1483" i="3"/>
  <c r="G1487" i="3"/>
  <c r="H1487" i="3"/>
  <c r="G1503" i="3"/>
  <c r="H1503" i="3"/>
  <c r="G1593" i="3"/>
  <c r="H1593" i="3"/>
  <c r="H1643" i="3"/>
  <c r="G1643" i="3"/>
  <c r="H1655" i="3"/>
  <c r="G1655" i="3"/>
  <c r="H1695" i="3"/>
  <c r="G1695" i="3"/>
  <c r="H1737" i="3"/>
  <c r="G1737" i="3"/>
  <c r="H1953" i="3"/>
  <c r="G1953" i="3"/>
  <c r="G36" i="3"/>
  <c r="G64" i="3"/>
  <c r="G76" i="3"/>
  <c r="G88" i="3"/>
  <c r="G100" i="3"/>
  <c r="G112" i="3"/>
  <c r="G120" i="3"/>
  <c r="G132" i="3"/>
  <c r="G144" i="3"/>
  <c r="G148" i="3"/>
  <c r="G160" i="3"/>
  <c r="G172" i="3"/>
  <c r="G184" i="3"/>
  <c r="G192" i="3"/>
  <c r="G196" i="3"/>
  <c r="H210" i="3"/>
  <c r="H201" i="3"/>
  <c r="H220" i="3"/>
  <c r="G223" i="3"/>
  <c r="G234" i="3"/>
  <c r="G250" i="3"/>
  <c r="H252" i="3"/>
  <c r="G255" i="3"/>
  <c r="H260" i="3"/>
  <c r="G263" i="3"/>
  <c r="G276" i="3"/>
  <c r="G283" i="3"/>
  <c r="H290" i="3"/>
  <c r="G308" i="3"/>
  <c r="G315" i="3"/>
  <c r="H322" i="3"/>
  <c r="G331" i="3"/>
  <c r="H338" i="3"/>
  <c r="G342" i="3"/>
  <c r="G359" i="3"/>
  <c r="G393" i="3"/>
  <c r="H414" i="3"/>
  <c r="H422" i="3"/>
  <c r="G441" i="3"/>
  <c r="G463" i="3"/>
  <c r="H466" i="3"/>
  <c r="H474" i="3"/>
  <c r="G493" i="3"/>
  <c r="G509" i="3"/>
  <c r="H509" i="3"/>
  <c r="G515" i="3"/>
  <c r="H520" i="3"/>
  <c r="G537" i="3"/>
  <c r="H572" i="3"/>
  <c r="G572" i="3"/>
  <c r="G601" i="3"/>
  <c r="H608" i="3"/>
  <c r="G608" i="3"/>
  <c r="H640" i="3"/>
  <c r="G640" i="3"/>
  <c r="H672" i="3"/>
  <c r="G672" i="3"/>
  <c r="H702" i="3"/>
  <c r="H733" i="3"/>
  <c r="H738" i="3"/>
  <c r="G738" i="3"/>
  <c r="H744" i="3"/>
  <c r="H765" i="3"/>
  <c r="H770" i="3"/>
  <c r="G770" i="3"/>
  <c r="G803" i="3"/>
  <c r="H840" i="3"/>
  <c r="G847" i="3"/>
  <c r="H852" i="3"/>
  <c r="G852" i="3"/>
  <c r="G865" i="3"/>
  <c r="G893" i="3"/>
  <c r="H893" i="3"/>
  <c r="H910" i="3"/>
  <c r="G977" i="3"/>
  <c r="G984" i="3"/>
  <c r="G1028" i="3"/>
  <c r="G1041" i="3"/>
  <c r="G1048" i="3"/>
  <c r="H1058" i="3"/>
  <c r="G1058" i="3"/>
  <c r="G1092" i="3"/>
  <c r="G1105" i="3"/>
  <c r="G1112" i="3"/>
  <c r="G1156" i="3"/>
  <c r="G1159" i="3"/>
  <c r="H1166" i="3"/>
  <c r="G1173" i="3"/>
  <c r="H1178" i="3"/>
  <c r="G1178" i="3"/>
  <c r="G1237" i="3"/>
  <c r="H1242" i="3"/>
  <c r="G1242" i="3"/>
  <c r="H1260" i="3"/>
  <c r="G1260" i="3"/>
  <c r="G1283" i="3"/>
  <c r="H1286" i="3"/>
  <c r="G1286" i="3"/>
  <c r="G1305" i="3"/>
  <c r="H1308" i="3"/>
  <c r="G1308" i="3"/>
  <c r="G1343" i="3"/>
  <c r="H1343" i="3"/>
  <c r="H1362" i="3"/>
  <c r="G1362" i="3"/>
  <c r="H1386" i="3"/>
  <c r="G1386" i="3"/>
  <c r="H1412" i="3"/>
  <c r="G1412" i="3"/>
  <c r="H1436" i="3"/>
  <c r="G1436" i="3"/>
  <c r="H1478" i="3"/>
  <c r="G1478" i="3"/>
  <c r="G1582" i="3"/>
  <c r="H1582" i="3"/>
  <c r="G1585" i="3"/>
  <c r="H1585" i="3"/>
  <c r="G1618" i="3"/>
  <c r="H1618" i="3"/>
  <c r="G1623" i="3"/>
  <c r="H1629" i="3"/>
  <c r="G1629" i="3"/>
  <c r="H1690" i="3"/>
  <c r="G1690" i="3"/>
  <c r="H1731" i="3"/>
  <c r="G1731" i="3"/>
  <c r="H1865" i="3"/>
  <c r="G1865" i="3"/>
  <c r="H180" i="3"/>
  <c r="H200" i="3"/>
  <c r="G285" i="3"/>
  <c r="H292" i="3"/>
  <c r="H326" i="3"/>
  <c r="H454" i="3"/>
  <c r="G52" i="3"/>
  <c r="G60" i="3"/>
  <c r="G72" i="3"/>
  <c r="G84" i="3"/>
  <c r="G96" i="3"/>
  <c r="G108" i="3"/>
  <c r="G116" i="3"/>
  <c r="G128" i="3"/>
  <c r="G140" i="3"/>
  <c r="G152" i="3"/>
  <c r="G164" i="3"/>
  <c r="G176" i="3"/>
  <c r="G188" i="3"/>
  <c r="H202" i="3"/>
  <c r="H213" i="3"/>
  <c r="H193" i="3"/>
  <c r="G218" i="3"/>
  <c r="G242" i="3"/>
  <c r="G258" i="3"/>
  <c r="H268" i="3"/>
  <c r="H274" i="3"/>
  <c r="G281" i="3"/>
  <c r="H285" i="3"/>
  <c r="G292" i="3"/>
  <c r="G299" i="3"/>
  <c r="H306" i="3"/>
  <c r="G313" i="3"/>
  <c r="H317" i="3"/>
  <c r="G324" i="3"/>
  <c r="G329" i="3"/>
  <c r="H336" i="3"/>
  <c r="G345" i="3"/>
  <c r="H352" i="3"/>
  <c r="H362" i="3"/>
  <c r="G362" i="3"/>
  <c r="H370" i="3"/>
  <c r="H377" i="3"/>
  <c r="H396" i="3"/>
  <c r="G403" i="3"/>
  <c r="G427" i="3"/>
  <c r="H444" i="3"/>
  <c r="G457" i="3"/>
  <c r="G479" i="3"/>
  <c r="H496" i="3"/>
  <c r="G503" i="3"/>
  <c r="H526" i="3"/>
  <c r="G531" i="3"/>
  <c r="H540" i="3"/>
  <c r="G540" i="3"/>
  <c r="H552" i="3"/>
  <c r="G563" i="3"/>
  <c r="G569" i="3"/>
  <c r="H590" i="3"/>
  <c r="G603" i="3"/>
  <c r="H603" i="3"/>
  <c r="H629" i="3"/>
  <c r="G629" i="3"/>
  <c r="G635" i="3"/>
  <c r="H635" i="3"/>
  <c r="G667" i="3"/>
  <c r="H667" i="3"/>
  <c r="H704" i="3"/>
  <c r="G704" i="3"/>
  <c r="H712" i="3"/>
  <c r="G731" i="3"/>
  <c r="G736" i="3"/>
  <c r="G757" i="3"/>
  <c r="H778" i="3"/>
  <c r="H788" i="3"/>
  <c r="G788" i="3"/>
  <c r="G801" i="3"/>
  <c r="G829" i="3"/>
  <c r="H829" i="3"/>
  <c r="H842" i="3"/>
  <c r="G867" i="3"/>
  <c r="G888" i="3"/>
  <c r="F888" i="3" s="1"/>
  <c r="G890" i="3"/>
  <c r="F890" i="3" s="1"/>
  <c r="H904" i="3"/>
  <c r="H930" i="3"/>
  <c r="G930" i="3"/>
  <c r="H974" i="3"/>
  <c r="G981" i="3"/>
  <c r="G987" i="3"/>
  <c r="H994" i="3"/>
  <c r="G994" i="3"/>
  <c r="G1031" i="3"/>
  <c r="H1038" i="3"/>
  <c r="G1045" i="3"/>
  <c r="G1051" i="3"/>
  <c r="G1095" i="3"/>
  <c r="H1102" i="3"/>
  <c r="G1109" i="3"/>
  <c r="G1115" i="3"/>
  <c r="H1122" i="3"/>
  <c r="G1122" i="3"/>
  <c r="G1169" i="3"/>
  <c r="H1175" i="3"/>
  <c r="H1196" i="3"/>
  <c r="G1196" i="3"/>
  <c r="G1219" i="3"/>
  <c r="H1219" i="3"/>
  <c r="G32" i="3"/>
  <c r="G39" i="3"/>
  <c r="G48" i="3"/>
  <c r="G55" i="3"/>
  <c r="H34" i="3"/>
  <c r="H38" i="3"/>
  <c r="H42" i="3"/>
  <c r="H46" i="3"/>
  <c r="H50" i="3"/>
  <c r="H54" i="3"/>
  <c r="H58" i="3"/>
  <c r="H62" i="3"/>
  <c r="H66" i="3"/>
  <c r="H70" i="3"/>
  <c r="H74" i="3"/>
  <c r="H78" i="3"/>
  <c r="H82" i="3"/>
  <c r="H86" i="3"/>
  <c r="H90" i="3"/>
  <c r="H94" i="3"/>
  <c r="H98" i="3"/>
  <c r="H102" i="3"/>
  <c r="H106" i="3"/>
  <c r="H110" i="3"/>
  <c r="H114" i="3"/>
  <c r="H118" i="3"/>
  <c r="H122" i="3"/>
  <c r="H126" i="3"/>
  <c r="H130" i="3"/>
  <c r="H134" i="3"/>
  <c r="H138" i="3"/>
  <c r="H142" i="3"/>
  <c r="H146" i="3"/>
  <c r="H150" i="3"/>
  <c r="H154" i="3"/>
  <c r="H158" i="3"/>
  <c r="H162" i="3"/>
  <c r="H166" i="3"/>
  <c r="H170" i="3"/>
  <c r="H174" i="3"/>
  <c r="H178" i="3"/>
  <c r="H182" i="3"/>
  <c r="H186" i="3"/>
  <c r="H190" i="3"/>
  <c r="H194" i="3"/>
  <c r="H198" i="3"/>
  <c r="G217" i="3"/>
  <c r="H218" i="3"/>
  <c r="G220" i="3"/>
  <c r="H223" i="3"/>
  <c r="G225" i="3"/>
  <c r="H226" i="3"/>
  <c r="G233" i="3"/>
  <c r="H234" i="3"/>
  <c r="G241" i="3"/>
  <c r="H242" i="3"/>
  <c r="G249" i="3"/>
  <c r="H250" i="3"/>
  <c r="G252" i="3"/>
  <c r="F252" i="3" s="1"/>
  <c r="H255" i="3"/>
  <c r="G257" i="3"/>
  <c r="H258" i="3"/>
  <c r="G260" i="3"/>
  <c r="H263" i="3"/>
  <c r="G265" i="3"/>
  <c r="H266" i="3"/>
  <c r="G268" i="3"/>
  <c r="F268" i="3" s="1"/>
  <c r="H270" i="3"/>
  <c r="G274" i="3"/>
  <c r="G277" i="3"/>
  <c r="G279" i="3"/>
  <c r="H281" i="3"/>
  <c r="H284" i="3"/>
  <c r="H286" i="3"/>
  <c r="G290" i="3"/>
  <c r="G293" i="3"/>
  <c r="G295" i="3"/>
  <c r="H300" i="3"/>
  <c r="H302" i="3"/>
  <c r="G306" i="3"/>
  <c r="G309" i="3"/>
  <c r="G311" i="3"/>
  <c r="H313" i="3"/>
  <c r="H316" i="3"/>
  <c r="F316" i="3" s="1"/>
  <c r="H318" i="3"/>
  <c r="G322" i="3"/>
  <c r="G325" i="3"/>
  <c r="F325" i="3" s="1"/>
  <c r="G327" i="3"/>
  <c r="H329" i="3"/>
  <c r="H332" i="3"/>
  <c r="H334" i="3"/>
  <c r="G336" i="3"/>
  <c r="G338" i="3"/>
  <c r="G341" i="3"/>
  <c r="G343" i="3"/>
  <c r="H345" i="3"/>
  <c r="H348" i="3"/>
  <c r="F348" i="3" s="1"/>
  <c r="H350" i="3"/>
  <c r="G352" i="3"/>
  <c r="G355" i="3"/>
  <c r="H360" i="3"/>
  <c r="G360" i="3"/>
  <c r="G363" i="3"/>
  <c r="H368" i="3"/>
  <c r="F368" i="3" s="1"/>
  <c r="G370" i="3"/>
  <c r="G373" i="3"/>
  <c r="G375" i="3"/>
  <c r="H378" i="3"/>
  <c r="G378" i="3"/>
  <c r="H386" i="3"/>
  <c r="H393" i="3"/>
  <c r="G396" i="3"/>
  <c r="G401" i="3"/>
  <c r="H401" i="3"/>
  <c r="G409" i="3"/>
  <c r="H412" i="3"/>
  <c r="G414" i="3"/>
  <c r="G417" i="3"/>
  <c r="G422" i="3"/>
  <c r="F422" i="3" s="1"/>
  <c r="G425" i="3"/>
  <c r="H428" i="3"/>
  <c r="G428" i="3"/>
  <c r="G431" i="3"/>
  <c r="H434" i="3"/>
  <c r="F434" i="3" s="1"/>
  <c r="H442" i="3"/>
  <c r="F442" i="3" s="1"/>
  <c r="G444" i="3"/>
  <c r="G447" i="3"/>
  <c r="H450" i="3"/>
  <c r="G450" i="3"/>
  <c r="G461" i="3"/>
  <c r="H464" i="3"/>
  <c r="G466" i="3"/>
  <c r="G469" i="3"/>
  <c r="G471" i="3"/>
  <c r="G474" i="3"/>
  <c r="F474" i="3" s="1"/>
  <c r="G477" i="3"/>
  <c r="H477" i="3"/>
  <c r="G483" i="3"/>
  <c r="H488" i="3"/>
  <c r="H493" i="3"/>
  <c r="G496" i="3"/>
  <c r="G499" i="3"/>
  <c r="H504" i="3"/>
  <c r="G504" i="3"/>
  <c r="H510" i="3"/>
  <c r="H516" i="3"/>
  <c r="H518" i="3"/>
  <c r="G520" i="3"/>
  <c r="F520" i="3" s="1"/>
  <c r="G523" i="3"/>
  <c r="G526" i="3"/>
  <c r="G529" i="3"/>
  <c r="H532" i="3"/>
  <c r="G532" i="3"/>
  <c r="G541" i="3"/>
  <c r="H544" i="3"/>
  <c r="H550" i="3"/>
  <c r="G552" i="3"/>
  <c r="F552" i="3" s="1"/>
  <c r="G555" i="3"/>
  <c r="G561" i="3"/>
  <c r="H564" i="3"/>
  <c r="G564" i="3"/>
  <c r="G573" i="3"/>
  <c r="H576" i="3"/>
  <c r="H582" i="3"/>
  <c r="G587" i="3"/>
  <c r="G590" i="3"/>
  <c r="G593" i="3"/>
  <c r="H596" i="3"/>
  <c r="G596" i="3"/>
  <c r="H621" i="3"/>
  <c r="G621" i="3"/>
  <c r="G627" i="3"/>
  <c r="H627" i="3"/>
  <c r="H630" i="3"/>
  <c r="H632" i="3"/>
  <c r="G632" i="3"/>
  <c r="H653" i="3"/>
  <c r="G653" i="3"/>
  <c r="G659" i="3"/>
  <c r="H659" i="3"/>
  <c r="H662" i="3"/>
  <c r="H664" i="3"/>
  <c r="G664" i="3"/>
  <c r="H685" i="3"/>
  <c r="G685" i="3"/>
  <c r="G691" i="3"/>
  <c r="H691" i="3"/>
  <c r="H694" i="3"/>
  <c r="H696" i="3"/>
  <c r="G696" i="3"/>
  <c r="G702" i="3"/>
  <c r="F702" i="3" s="1"/>
  <c r="G712" i="3"/>
  <c r="H714" i="3"/>
  <c r="G714" i="3"/>
  <c r="H720" i="3"/>
  <c r="H731" i="3"/>
  <c r="G733" i="3"/>
  <c r="G739" i="3"/>
  <c r="H741" i="3"/>
  <c r="F741" i="3" s="1"/>
  <c r="G744" i="3"/>
  <c r="H746" i="3"/>
  <c r="G746" i="3"/>
  <c r="H752" i="3"/>
  <c r="G765" i="3"/>
  <c r="F765" i="3" s="1"/>
  <c r="G771" i="3"/>
  <c r="H773" i="3"/>
  <c r="G778" i="3"/>
  <c r="F778" i="3" s="1"/>
  <c r="G781" i="3"/>
  <c r="H781" i="3"/>
  <c r="H792" i="3"/>
  <c r="F792" i="3" s="1"/>
  <c r="H794" i="3"/>
  <c r="G799" i="3"/>
  <c r="H801" i="3"/>
  <c r="H804" i="3"/>
  <c r="G804" i="3"/>
  <c r="G817" i="3"/>
  <c r="G819" i="3"/>
  <c r="H822" i="3"/>
  <c r="G822" i="3"/>
  <c r="G840" i="3"/>
  <c r="F840" i="3" s="1"/>
  <c r="G842" i="3"/>
  <c r="F842" i="3" s="1"/>
  <c r="G845" i="3"/>
  <c r="H845" i="3"/>
  <c r="H856" i="3"/>
  <c r="H858" i="3"/>
  <c r="G863" i="3"/>
  <c r="H865" i="3"/>
  <c r="H868" i="3"/>
  <c r="G868" i="3"/>
  <c r="G881" i="3"/>
  <c r="G883" i="3"/>
  <c r="H886" i="3"/>
  <c r="G886" i="3"/>
  <c r="G904" i="3"/>
  <c r="G910" i="3"/>
  <c r="F910" i="3" s="1"/>
  <c r="H914" i="3"/>
  <c r="G914" i="3"/>
  <c r="H958" i="3"/>
  <c r="G974" i="3"/>
  <c r="H978" i="3"/>
  <c r="G978" i="3"/>
  <c r="G1012" i="3"/>
  <c r="G1015" i="3"/>
  <c r="H1022" i="3"/>
  <c r="G1025" i="3"/>
  <c r="G1029" i="3"/>
  <c r="G1032" i="3"/>
  <c r="G1035" i="3"/>
  <c r="G1038" i="3"/>
  <c r="H1042" i="3"/>
  <c r="G1042" i="3"/>
  <c r="G1076" i="3"/>
  <c r="G1079" i="3"/>
  <c r="H1086" i="3"/>
  <c r="G1089" i="3"/>
  <c r="G1093" i="3"/>
  <c r="G1096" i="3"/>
  <c r="G1099" i="3"/>
  <c r="G1102" i="3"/>
  <c r="H1106" i="3"/>
  <c r="G1106" i="3"/>
  <c r="G1140" i="3"/>
  <c r="G1143" i="3"/>
  <c r="H1150" i="3"/>
  <c r="G1153" i="3"/>
  <c r="G1157" i="3"/>
  <c r="G1160" i="3"/>
  <c r="G1163" i="3"/>
  <c r="G1166" i="3"/>
  <c r="H1170" i="3"/>
  <c r="G1170" i="3"/>
  <c r="H1182" i="3"/>
  <c r="H1184" i="3"/>
  <c r="H1194" i="3"/>
  <c r="G1194" i="3"/>
  <c r="H1212" i="3"/>
  <c r="G1212" i="3"/>
  <c r="G1235" i="3"/>
  <c r="H1235" i="3"/>
  <c r="G1253" i="3"/>
  <c r="H1258" i="3"/>
  <c r="G1258" i="3"/>
  <c r="H1276" i="3"/>
  <c r="G1276" i="3"/>
  <c r="G1303" i="3"/>
  <c r="H1303" i="3"/>
  <c r="G1325" i="3"/>
  <c r="H1338" i="3"/>
  <c r="G1338" i="3"/>
  <c r="G1383" i="3"/>
  <c r="H1383" i="3"/>
  <c r="H1410" i="3"/>
  <c r="G1410" i="3"/>
  <c r="H1452" i="3"/>
  <c r="G1452" i="3"/>
  <c r="G1495" i="3"/>
  <c r="H1495" i="3"/>
  <c r="G1511" i="3"/>
  <c r="H1511" i="3"/>
  <c r="G1574" i="3"/>
  <c r="H1574" i="3"/>
  <c r="G1577" i="3"/>
  <c r="H1577" i="3"/>
  <c r="G1602" i="3"/>
  <c r="H1602" i="3"/>
  <c r="G1607" i="3"/>
  <c r="H1612" i="3"/>
  <c r="G1612" i="3"/>
  <c r="H1666" i="3"/>
  <c r="G1672" i="3"/>
  <c r="H1677" i="3"/>
  <c r="G1677" i="3"/>
  <c r="G1680" i="3"/>
  <c r="H1685" i="3"/>
  <c r="G1685" i="3"/>
  <c r="H1729" i="3"/>
  <c r="G1729" i="3"/>
  <c r="H1839" i="3"/>
  <c r="H1845" i="3"/>
  <c r="G1845" i="3"/>
  <c r="H1859" i="3"/>
  <c r="G1859" i="3"/>
  <c r="H176" i="3"/>
  <c r="H188" i="3"/>
  <c r="H196" i="3"/>
  <c r="G271" i="3"/>
  <c r="H278" i="3"/>
  <c r="G287" i="3"/>
  <c r="H294" i="3"/>
  <c r="G301" i="3"/>
  <c r="G319" i="3"/>
  <c r="G333" i="3"/>
  <c r="G335" i="3"/>
  <c r="H340" i="3"/>
  <c r="G349" i="3"/>
  <c r="H354" i="3"/>
  <c r="G369" i="3"/>
  <c r="H369" i="3"/>
  <c r="H380" i="3"/>
  <c r="H382" i="3"/>
  <c r="G387" i="3"/>
  <c r="H392" i="3"/>
  <c r="G392" i="3"/>
  <c r="H400" i="3"/>
  <c r="G405" i="3"/>
  <c r="G407" i="3"/>
  <c r="G413" i="3"/>
  <c r="H413" i="3"/>
  <c r="H424" i="3"/>
  <c r="G435" i="3"/>
  <c r="H440" i="3"/>
  <c r="G440" i="3"/>
  <c r="H446" i="3"/>
  <c r="H452" i="3"/>
  <c r="G459" i="3"/>
  <c r="H462" i="3"/>
  <c r="G462" i="3"/>
  <c r="G473" i="3"/>
  <c r="H476" i="3"/>
  <c r="G489" i="3"/>
  <c r="H492" i="3"/>
  <c r="G492" i="3"/>
  <c r="G495" i="3"/>
  <c r="H498" i="3"/>
  <c r="H506" i="3"/>
  <c r="G511" i="3"/>
  <c r="H514" i="3"/>
  <c r="G514" i="3"/>
  <c r="G525" i="3"/>
  <c r="H528" i="3"/>
  <c r="H534" i="3"/>
  <c r="G539" i="3"/>
  <c r="G545" i="3"/>
  <c r="H548" i="3"/>
  <c r="G548" i="3"/>
  <c r="G557" i="3"/>
  <c r="H560" i="3"/>
  <c r="H566" i="3"/>
  <c r="G571" i="3"/>
  <c r="G577" i="3"/>
  <c r="H580" i="3"/>
  <c r="G580" i="3"/>
  <c r="H598" i="3"/>
  <c r="H605" i="3"/>
  <c r="G605" i="3"/>
  <c r="G611" i="3"/>
  <c r="H611" i="3"/>
  <c r="H614" i="3"/>
  <c r="H616" i="3"/>
  <c r="G616" i="3"/>
  <c r="H637" i="3"/>
  <c r="G637" i="3"/>
  <c r="G643" i="3"/>
  <c r="H643" i="3"/>
  <c r="H646" i="3"/>
  <c r="H648" i="3"/>
  <c r="G648" i="3"/>
  <c r="H669" i="3"/>
  <c r="G669" i="3"/>
  <c r="G675" i="3"/>
  <c r="H675" i="3"/>
  <c r="H678" i="3"/>
  <c r="H680" i="3"/>
  <c r="G680" i="3"/>
  <c r="H701" i="3"/>
  <c r="G701" i="3"/>
  <c r="G707" i="3"/>
  <c r="H707" i="3"/>
  <c r="G723" i="3"/>
  <c r="H725" i="3"/>
  <c r="G755" i="3"/>
  <c r="H762" i="3"/>
  <c r="G762" i="3"/>
  <c r="H768" i="3"/>
  <c r="G787" i="3"/>
  <c r="H824" i="3"/>
  <c r="H826" i="3"/>
  <c r="G831" i="3"/>
  <c r="H836" i="3"/>
  <c r="G836" i="3"/>
  <c r="G849" i="3"/>
  <c r="H854" i="3"/>
  <c r="G854" i="3"/>
  <c r="G877" i="3"/>
  <c r="H877" i="3"/>
  <c r="H900" i="3"/>
  <c r="G900" i="3"/>
  <c r="H926" i="3"/>
  <c r="G980" i="3"/>
  <c r="G983" i="3"/>
  <c r="H990" i="3"/>
  <c r="G997" i="3"/>
  <c r="G1003" i="3"/>
  <c r="H1010" i="3"/>
  <c r="G1010" i="3"/>
  <c r="G1044" i="3"/>
  <c r="G1047" i="3"/>
  <c r="H1054" i="3"/>
  <c r="G1061" i="3"/>
  <c r="G1067" i="3"/>
  <c r="H1074" i="3"/>
  <c r="G1074" i="3"/>
  <c r="G1108" i="3"/>
  <c r="G1111" i="3"/>
  <c r="H1118" i="3"/>
  <c r="G1128" i="3"/>
  <c r="G1203" i="3"/>
  <c r="H1203" i="3"/>
  <c r="G1221" i="3"/>
  <c r="H1226" i="3"/>
  <c r="G1226" i="3"/>
  <c r="G1267" i="3"/>
  <c r="H1267" i="3"/>
  <c r="G1315" i="3"/>
  <c r="H1330" i="3"/>
  <c r="G1330" i="3"/>
  <c r="G1345" i="3"/>
  <c r="G1351" i="3"/>
  <c r="H1351" i="3"/>
  <c r="H1420" i="3"/>
  <c r="G1420" i="3"/>
  <c r="G1467" i="3"/>
  <c r="G1519" i="3"/>
  <c r="H1519" i="3"/>
  <c r="G1590" i="3"/>
  <c r="H1590" i="3"/>
  <c r="H1634" i="3"/>
  <c r="G1692" i="3"/>
  <c r="H1703" i="3"/>
  <c r="G1703" i="3"/>
  <c r="H1883" i="3"/>
  <c r="G1883" i="3"/>
  <c r="H1909" i="3"/>
  <c r="G1909" i="3"/>
  <c r="H1943" i="3"/>
  <c r="G43" i="3"/>
  <c r="G68" i="3"/>
  <c r="G80" i="3"/>
  <c r="G92" i="3"/>
  <c r="G104" i="3"/>
  <c r="G124" i="3"/>
  <c r="G136" i="3"/>
  <c r="G156" i="3"/>
  <c r="G168" i="3"/>
  <c r="G180" i="3"/>
  <c r="H206" i="3"/>
  <c r="H189" i="3"/>
  <c r="H197" i="3"/>
  <c r="G215" i="3"/>
  <c r="G226" i="3"/>
  <c r="H228" i="3"/>
  <c r="G231" i="3"/>
  <c r="H236" i="3"/>
  <c r="G239" i="3"/>
  <c r="H244" i="3"/>
  <c r="G247" i="3"/>
  <c r="G266" i="3"/>
  <c r="H272" i="3"/>
  <c r="G278" i="3"/>
  <c r="F278" i="3" s="1"/>
  <c r="H288" i="3"/>
  <c r="G297" i="3"/>
  <c r="H304" i="3"/>
  <c r="G310" i="3"/>
  <c r="H320" i="3"/>
  <c r="G326" i="3"/>
  <c r="H333" i="3"/>
  <c r="G340" i="3"/>
  <c r="G347" i="3"/>
  <c r="G357" i="3"/>
  <c r="G385" i="3"/>
  <c r="H385" i="3"/>
  <c r="H398" i="3"/>
  <c r="H408" i="3"/>
  <c r="G408" i="3"/>
  <c r="H420" i="3"/>
  <c r="H430" i="3"/>
  <c r="G430" i="3"/>
  <c r="G449" i="3"/>
  <c r="H460" i="3"/>
  <c r="G460" i="3"/>
  <c r="H482" i="3"/>
  <c r="G482" i="3"/>
  <c r="G501" i="3"/>
  <c r="G506" i="3"/>
  <c r="G534" i="3"/>
  <c r="G549" i="3"/>
  <c r="H558" i="3"/>
  <c r="G566" i="3"/>
  <c r="G581" i="3"/>
  <c r="G595" i="3"/>
  <c r="H606" i="3"/>
  <c r="H638" i="3"/>
  <c r="H661" i="3"/>
  <c r="G661" i="3"/>
  <c r="H670" i="3"/>
  <c r="H693" i="3"/>
  <c r="G693" i="3"/>
  <c r="G699" i="3"/>
  <c r="H699" i="3"/>
  <c r="G763" i="3"/>
  <c r="G768" i="3"/>
  <c r="H776" i="3"/>
  <c r="G783" i="3"/>
  <c r="H785" i="3"/>
  <c r="H806" i="3"/>
  <c r="G806" i="3"/>
  <c r="G826" i="3"/>
  <c r="H849" i="3"/>
  <c r="H870" i="3"/>
  <c r="G870" i="3"/>
  <c r="G1191" i="3"/>
  <c r="G35" i="3"/>
  <c r="G44" i="3"/>
  <c r="G51" i="3"/>
  <c r="H31" i="3"/>
  <c r="H35" i="3"/>
  <c r="H39" i="3"/>
  <c r="H43" i="3"/>
  <c r="H47" i="3"/>
  <c r="H51" i="3"/>
  <c r="H55" i="3"/>
  <c r="H59" i="3"/>
  <c r="F59" i="3" s="1"/>
  <c r="H63" i="3"/>
  <c r="F63" i="3" s="1"/>
  <c r="H67" i="3"/>
  <c r="F67" i="3" s="1"/>
  <c r="H71" i="3"/>
  <c r="F71" i="3" s="1"/>
  <c r="H75" i="3"/>
  <c r="F75" i="3" s="1"/>
  <c r="H79" i="3"/>
  <c r="F79" i="3" s="1"/>
  <c r="H83" i="3"/>
  <c r="F83" i="3" s="1"/>
  <c r="H87" i="3"/>
  <c r="H91" i="3"/>
  <c r="H95" i="3"/>
  <c r="H99" i="3"/>
  <c r="H103" i="3"/>
  <c r="H107" i="3"/>
  <c r="H111" i="3"/>
  <c r="F111" i="3" s="1"/>
  <c r="H115" i="3"/>
  <c r="F115" i="3" s="1"/>
  <c r="H119" i="3"/>
  <c r="H123" i="3"/>
  <c r="H127" i="3"/>
  <c r="H131" i="3"/>
  <c r="H135" i="3"/>
  <c r="F135" i="3" s="1"/>
  <c r="H139" i="3"/>
  <c r="H143" i="3"/>
  <c r="H147" i="3"/>
  <c r="H151" i="3"/>
  <c r="H155" i="3"/>
  <c r="H159" i="3"/>
  <c r="H163" i="3"/>
  <c r="F163" i="3" s="1"/>
  <c r="H167" i="3"/>
  <c r="F167" i="3" s="1"/>
  <c r="H171" i="3"/>
  <c r="G204" i="3"/>
  <c r="G208" i="3"/>
  <c r="G212" i="3"/>
  <c r="H187" i="3"/>
  <c r="F187" i="3" s="1"/>
  <c r="H191" i="3"/>
  <c r="H195" i="3"/>
  <c r="H199" i="3"/>
  <c r="H216" i="3"/>
  <c r="H217" i="3"/>
  <c r="G219" i="3"/>
  <c r="H224" i="3"/>
  <c r="H225" i="3"/>
  <c r="G227" i="3"/>
  <c r="H232" i="3"/>
  <c r="F232" i="3" s="1"/>
  <c r="H233" i="3"/>
  <c r="G235" i="3"/>
  <c r="F235" i="3" s="1"/>
  <c r="H240" i="3"/>
  <c r="H241" i="3"/>
  <c r="G243" i="3"/>
  <c r="H248" i="3"/>
  <c r="H249" i="3"/>
  <c r="G251" i="3"/>
  <c r="H256" i="3"/>
  <c r="H257" i="3"/>
  <c r="G259" i="3"/>
  <c r="H264" i="3"/>
  <c r="H265" i="3"/>
  <c r="G267" i="3"/>
  <c r="G273" i="3"/>
  <c r="G275" i="3"/>
  <c r="H280" i="3"/>
  <c r="H282" i="3"/>
  <c r="G289" i="3"/>
  <c r="G291" i="3"/>
  <c r="H296" i="3"/>
  <c r="H298" i="3"/>
  <c r="G305" i="3"/>
  <c r="G307" i="3"/>
  <c r="H312" i="3"/>
  <c r="H314" i="3"/>
  <c r="G321" i="3"/>
  <c r="G323" i="3"/>
  <c r="H328" i="3"/>
  <c r="F328" i="3" s="1"/>
  <c r="H330" i="3"/>
  <c r="G337" i="3"/>
  <c r="G339" i="3"/>
  <c r="H344" i="3"/>
  <c r="H346" i="3"/>
  <c r="G353" i="3"/>
  <c r="H353" i="3"/>
  <c r="G361" i="3"/>
  <c r="H364" i="3"/>
  <c r="H366" i="3"/>
  <c r="G371" i="3"/>
  <c r="H376" i="3"/>
  <c r="G376" i="3"/>
  <c r="G379" i="3"/>
  <c r="H384" i="3"/>
  <c r="G389" i="3"/>
  <c r="G391" i="3"/>
  <c r="H394" i="3"/>
  <c r="G394" i="3"/>
  <c r="H402" i="3"/>
  <c r="H410" i="3"/>
  <c r="G415" i="3"/>
  <c r="H418" i="3"/>
  <c r="G418" i="3"/>
  <c r="G429" i="3"/>
  <c r="H432" i="3"/>
  <c r="G437" i="3"/>
  <c r="F437" i="3" s="1"/>
  <c r="G439" i="3"/>
  <c r="G445" i="3"/>
  <c r="H445" i="3"/>
  <c r="G451" i="3"/>
  <c r="H456" i="3"/>
  <c r="G467" i="3"/>
  <c r="H472" i="3"/>
  <c r="G472" i="3"/>
  <c r="H478" i="3"/>
  <c r="H484" i="3"/>
  <c r="H486" i="3"/>
  <c r="G491" i="3"/>
  <c r="H494" i="3"/>
  <c r="G494" i="3"/>
  <c r="G505" i="3"/>
  <c r="H508" i="3"/>
  <c r="G513" i="3"/>
  <c r="G521" i="3"/>
  <c r="H524" i="3"/>
  <c r="G524" i="3"/>
  <c r="G533" i="3"/>
  <c r="H536" i="3"/>
  <c r="H542" i="3"/>
  <c r="F542" i="3" s="1"/>
  <c r="G547" i="3"/>
  <c r="G553" i="3"/>
  <c r="H556" i="3"/>
  <c r="G556" i="3"/>
  <c r="G565" i="3"/>
  <c r="H568" i="3"/>
  <c r="F568" i="3" s="1"/>
  <c r="H574" i="3"/>
  <c r="G579" i="3"/>
  <c r="G585" i="3"/>
  <c r="H588" i="3"/>
  <c r="G588" i="3"/>
  <c r="H613" i="3"/>
  <c r="G613" i="3"/>
  <c r="G619" i="3"/>
  <c r="H619" i="3"/>
  <c r="H622" i="3"/>
  <c r="H624" i="3"/>
  <c r="G624" i="3"/>
  <c r="H645" i="3"/>
  <c r="G645" i="3"/>
  <c r="G651" i="3"/>
  <c r="H651" i="3"/>
  <c r="H654" i="3"/>
  <c r="H656" i="3"/>
  <c r="G656" i="3"/>
  <c r="H677" i="3"/>
  <c r="G677" i="3"/>
  <c r="G683" i="3"/>
  <c r="H683" i="3"/>
  <c r="H686" i="3"/>
  <c r="F686" i="3" s="1"/>
  <c r="H688" i="3"/>
  <c r="G688" i="3"/>
  <c r="G709" i="3"/>
  <c r="H709" i="3"/>
  <c r="G715" i="3"/>
  <c r="H717" i="3"/>
  <c r="H722" i="3"/>
  <c r="G722" i="3"/>
  <c r="H728" i="3"/>
  <c r="F728" i="3" s="1"/>
  <c r="G747" i="3"/>
  <c r="H749" i="3"/>
  <c r="H754" i="3"/>
  <c r="G754" i="3"/>
  <c r="H760" i="3"/>
  <c r="G797" i="3"/>
  <c r="H797" i="3"/>
  <c r="H808" i="3"/>
  <c r="H810" i="3"/>
  <c r="F810" i="3" s="1"/>
  <c r="G815" i="3"/>
  <c r="H820" i="3"/>
  <c r="G820" i="3"/>
  <c r="G833" i="3"/>
  <c r="G835" i="3"/>
  <c r="H838" i="3"/>
  <c r="G838" i="3"/>
  <c r="G861" i="3"/>
  <c r="H861" i="3"/>
  <c r="H872" i="3"/>
  <c r="H874" i="3"/>
  <c r="G879" i="3"/>
  <c r="H884" i="3"/>
  <c r="G884" i="3"/>
  <c r="G897" i="3"/>
  <c r="G899" i="3"/>
  <c r="H902" i="3"/>
  <c r="G902" i="3"/>
  <c r="H942" i="3"/>
  <c r="H962" i="3"/>
  <c r="G962" i="3"/>
  <c r="G996" i="3"/>
  <c r="G999" i="3"/>
  <c r="H1006" i="3"/>
  <c r="G1009" i="3"/>
  <c r="G1013" i="3"/>
  <c r="G1016" i="3"/>
  <c r="G1019" i="3"/>
  <c r="H1026" i="3"/>
  <c r="G1026" i="3"/>
  <c r="G1060" i="3"/>
  <c r="G1063" i="3"/>
  <c r="H1070" i="3"/>
  <c r="F1070" i="3" s="1"/>
  <c r="G1073" i="3"/>
  <c r="G1077" i="3"/>
  <c r="G1080" i="3"/>
  <c r="G1083" i="3"/>
  <c r="H1090" i="3"/>
  <c r="G1090" i="3"/>
  <c r="G1124" i="3"/>
  <c r="G1127" i="3"/>
  <c r="H1134" i="3"/>
  <c r="G1137" i="3"/>
  <c r="G1141" i="3"/>
  <c r="G1144" i="3"/>
  <c r="G1147" i="3"/>
  <c r="H1154" i="3"/>
  <c r="G1154" i="3"/>
  <c r="G1187" i="3"/>
  <c r="H1187" i="3"/>
  <c r="G1205" i="3"/>
  <c r="H1210" i="3"/>
  <c r="G1210" i="3"/>
  <c r="H1228" i="3"/>
  <c r="G1228" i="3"/>
  <c r="G1251" i="3"/>
  <c r="H1251" i="3"/>
  <c r="G1269" i="3"/>
  <c r="H1274" i="3"/>
  <c r="G1274" i="3"/>
  <c r="G1293" i="3"/>
  <c r="H1298" i="3"/>
  <c r="G1298" i="3"/>
  <c r="H1320" i="3"/>
  <c r="G1320" i="3"/>
  <c r="G1335" i="3"/>
  <c r="H1335" i="3"/>
  <c r="G1357" i="3"/>
  <c r="G1369" i="3"/>
  <c r="G1375" i="3"/>
  <c r="H1375" i="3"/>
  <c r="G1393" i="3"/>
  <c r="H1396" i="3"/>
  <c r="G1396" i="3"/>
  <c r="G1407" i="3"/>
  <c r="H1407" i="3"/>
  <c r="H1428" i="3"/>
  <c r="G1428" i="3"/>
  <c r="G1449" i="3"/>
  <c r="G1473" i="3"/>
  <c r="G1527" i="3"/>
  <c r="H1527" i="3"/>
  <c r="G1535" i="3"/>
  <c r="H1535" i="3"/>
  <c r="G1543" i="3"/>
  <c r="H1543" i="3"/>
  <c r="G1551" i="3"/>
  <c r="H1551" i="3"/>
  <c r="G1559" i="3"/>
  <c r="H1559" i="3"/>
  <c r="G1566" i="3"/>
  <c r="H1566" i="3"/>
  <c r="G1569" i="3"/>
  <c r="H1569" i="3"/>
  <c r="H1596" i="3"/>
  <c r="G1596" i="3"/>
  <c r="H1661" i="3"/>
  <c r="G1661" i="3"/>
  <c r="H1718" i="3"/>
  <c r="G1718" i="3"/>
  <c r="H1726" i="3"/>
  <c r="G1726" i="3"/>
  <c r="H1755" i="3"/>
  <c r="G1755" i="3"/>
  <c r="H1783" i="3"/>
  <c r="H1793" i="3"/>
  <c r="G1793" i="3"/>
  <c r="H1821" i="3"/>
  <c r="G1821" i="3"/>
  <c r="H1963" i="3"/>
  <c r="H1973" i="3"/>
  <c r="G1973" i="3"/>
  <c r="H1993" i="3"/>
  <c r="G1993" i="3"/>
  <c r="H2009" i="3"/>
  <c r="G2009" i="3"/>
  <c r="H2025" i="3"/>
  <c r="G2025" i="3"/>
  <c r="H2041" i="3"/>
  <c r="G2041" i="3"/>
  <c r="H2101" i="3"/>
  <c r="G2101" i="3"/>
  <c r="H2109" i="3"/>
  <c r="G2109" i="3"/>
  <c r="H2117" i="3"/>
  <c r="G2117" i="3"/>
  <c r="H2125" i="3"/>
  <c r="G2125" i="3"/>
  <c r="H2133" i="3"/>
  <c r="G2133" i="3"/>
  <c r="H2141" i="3"/>
  <c r="G2141" i="3"/>
  <c r="H2149" i="3"/>
  <c r="G2149" i="3"/>
  <c r="H2157" i="3"/>
  <c r="G2157" i="3"/>
  <c r="H2165" i="3"/>
  <c r="G2165" i="3"/>
  <c r="H2173" i="3"/>
  <c r="G2173" i="3"/>
  <c r="H2181" i="3"/>
  <c r="G2181" i="3"/>
  <c r="H2189" i="3"/>
  <c r="G2189" i="3"/>
  <c r="H2197" i="3"/>
  <c r="G2197" i="3"/>
  <c r="H2205" i="3"/>
  <c r="G2205" i="3"/>
  <c r="H2213" i="3"/>
  <c r="G2213" i="3"/>
  <c r="H2221" i="3"/>
  <c r="G2221" i="3"/>
  <c r="H2229" i="3"/>
  <c r="G2229" i="3"/>
  <c r="H2237" i="3"/>
  <c r="G2237" i="3"/>
  <c r="H2245" i="3"/>
  <c r="G2245" i="3"/>
  <c r="H2253" i="3"/>
  <c r="G2253" i="3"/>
  <c r="H2261" i="3"/>
  <c r="G2261" i="3"/>
  <c r="H2269" i="3"/>
  <c r="G2269" i="3"/>
  <c r="H2277" i="3"/>
  <c r="G2277" i="3"/>
  <c r="H2285" i="3"/>
  <c r="G2285" i="3"/>
  <c r="H2293" i="3"/>
  <c r="G2293" i="3"/>
  <c r="H2301" i="3"/>
  <c r="G2301" i="3"/>
  <c r="H2313" i="3"/>
  <c r="G2313" i="3"/>
  <c r="H2325" i="3"/>
  <c r="G2325" i="3"/>
  <c r="H2361" i="3"/>
  <c r="G2361" i="3"/>
  <c r="H2369" i="3"/>
  <c r="G2369" i="3"/>
  <c r="H2377" i="3"/>
  <c r="G2377" i="3"/>
  <c r="H2385" i="3"/>
  <c r="G2385" i="3"/>
  <c r="H2393" i="3"/>
  <c r="G2393" i="3"/>
  <c r="H2401" i="3"/>
  <c r="G2401" i="3"/>
  <c r="H2409" i="3"/>
  <c r="G2409" i="3"/>
  <c r="H2421" i="3"/>
  <c r="G2421" i="3"/>
  <c r="H2426" i="3"/>
  <c r="G2426" i="3"/>
  <c r="H2437" i="3"/>
  <c r="G2437" i="3"/>
  <c r="H2442" i="3"/>
  <c r="G2442" i="3"/>
  <c r="H2453" i="3"/>
  <c r="G2453" i="3"/>
  <c r="H2485" i="3"/>
  <c r="G2485" i="3"/>
  <c r="H2497" i="3"/>
  <c r="G2497" i="3"/>
  <c r="H2517" i="3"/>
  <c r="G2517" i="3"/>
  <c r="H2571" i="3"/>
  <c r="H2586" i="3"/>
  <c r="H2593" i="3"/>
  <c r="G2593" i="3"/>
  <c r="G351" i="3"/>
  <c r="H356" i="3"/>
  <c r="H358" i="3"/>
  <c r="G365" i="3"/>
  <c r="G367" i="3"/>
  <c r="H372" i="3"/>
  <c r="H374" i="3"/>
  <c r="G381" i="3"/>
  <c r="G383" i="3"/>
  <c r="H388" i="3"/>
  <c r="H390" i="3"/>
  <c r="G397" i="3"/>
  <c r="G399" i="3"/>
  <c r="H404" i="3"/>
  <c r="F404" i="3" s="1"/>
  <c r="H406" i="3"/>
  <c r="G411" i="3"/>
  <c r="H416" i="3"/>
  <c r="F416" i="3" s="1"/>
  <c r="G421" i="3"/>
  <c r="G423" i="3"/>
  <c r="H426" i="3"/>
  <c r="G433" i="3"/>
  <c r="H436" i="3"/>
  <c r="H438" i="3"/>
  <c r="G443" i="3"/>
  <c r="H448" i="3"/>
  <c r="G453" i="3"/>
  <c r="F453" i="3" s="1"/>
  <c r="G455" i="3"/>
  <c r="H458" i="3"/>
  <c r="G465" i="3"/>
  <c r="H468" i="3"/>
  <c r="H470" i="3"/>
  <c r="F470" i="3" s="1"/>
  <c r="G475" i="3"/>
  <c r="H480" i="3"/>
  <c r="G485" i="3"/>
  <c r="G487" i="3"/>
  <c r="H490" i="3"/>
  <c r="G497" i="3"/>
  <c r="H500" i="3"/>
  <c r="H502" i="3"/>
  <c r="G507" i="3"/>
  <c r="H512" i="3"/>
  <c r="G517" i="3"/>
  <c r="G519" i="3"/>
  <c r="H522" i="3"/>
  <c r="F522" i="3" s="1"/>
  <c r="G527" i="3"/>
  <c r="H530" i="3"/>
  <c r="G535" i="3"/>
  <c r="H538" i="3"/>
  <c r="G543" i="3"/>
  <c r="H546" i="3"/>
  <c r="G551" i="3"/>
  <c r="H554" i="3"/>
  <c r="G559" i="3"/>
  <c r="H562" i="3"/>
  <c r="G567" i="3"/>
  <c r="H570" i="3"/>
  <c r="G575" i="3"/>
  <c r="H578" i="3"/>
  <c r="G583" i="3"/>
  <c r="H586" i="3"/>
  <c r="G591" i="3"/>
  <c r="H594" i="3"/>
  <c r="G599" i="3"/>
  <c r="G711" i="3"/>
  <c r="H716" i="3"/>
  <c r="G719" i="3"/>
  <c r="H724" i="3"/>
  <c r="G727" i="3"/>
  <c r="H732" i="3"/>
  <c r="G735" i="3"/>
  <c r="H740" i="3"/>
  <c r="G743" i="3"/>
  <c r="H748" i="3"/>
  <c r="G751" i="3"/>
  <c r="H756" i="3"/>
  <c r="G759" i="3"/>
  <c r="H764" i="3"/>
  <c r="G767" i="3"/>
  <c r="H772" i="3"/>
  <c r="F772" i="3" s="1"/>
  <c r="G775" i="3"/>
  <c r="G777" i="3"/>
  <c r="G779" i="3"/>
  <c r="H784" i="3"/>
  <c r="H786" i="3"/>
  <c r="F786" i="3" s="1"/>
  <c r="G793" i="3"/>
  <c r="G795" i="3"/>
  <c r="H800" i="3"/>
  <c r="F800" i="3" s="1"/>
  <c r="H802" i="3"/>
  <c r="G809" i="3"/>
  <c r="G811" i="3"/>
  <c r="H816" i="3"/>
  <c r="H818" i="3"/>
  <c r="F818" i="3" s="1"/>
  <c r="G825" i="3"/>
  <c r="G827" i="3"/>
  <c r="H832" i="3"/>
  <c r="H834" i="3"/>
  <c r="G841" i="3"/>
  <c r="F841" i="3" s="1"/>
  <c r="G843" i="3"/>
  <c r="H848" i="3"/>
  <c r="H850" i="3"/>
  <c r="G857" i="3"/>
  <c r="G859" i="3"/>
  <c r="H864" i="3"/>
  <c r="H866" i="3"/>
  <c r="G873" i="3"/>
  <c r="G875" i="3"/>
  <c r="H880" i="3"/>
  <c r="H882" i="3"/>
  <c r="G889" i="3"/>
  <c r="G891" i="3"/>
  <c r="H896" i="3"/>
  <c r="H898" i="3"/>
  <c r="H918" i="3"/>
  <c r="F918" i="3" s="1"/>
  <c r="H934" i="3"/>
  <c r="H950" i="3"/>
  <c r="H966" i="3"/>
  <c r="F966" i="3" s="1"/>
  <c r="H982" i="3"/>
  <c r="G985" i="3"/>
  <c r="G988" i="3"/>
  <c r="G991" i="3"/>
  <c r="H998" i="3"/>
  <c r="G1001" i="3"/>
  <c r="G1004" i="3"/>
  <c r="G1007" i="3"/>
  <c r="H1014" i="3"/>
  <c r="G1017" i="3"/>
  <c r="G1020" i="3"/>
  <c r="G1023" i="3"/>
  <c r="H1030" i="3"/>
  <c r="G1033" i="3"/>
  <c r="G1036" i="3"/>
  <c r="G1039" i="3"/>
  <c r="H1046" i="3"/>
  <c r="G1049" i="3"/>
  <c r="G1052" i="3"/>
  <c r="G1055" i="3"/>
  <c r="H1062" i="3"/>
  <c r="G1065" i="3"/>
  <c r="G1068" i="3"/>
  <c r="G1071" i="3"/>
  <c r="H1078" i="3"/>
  <c r="G1081" i="3"/>
  <c r="G1084" i="3"/>
  <c r="G1087" i="3"/>
  <c r="H1094" i="3"/>
  <c r="G1097" i="3"/>
  <c r="G1100" i="3"/>
  <c r="G1103" i="3"/>
  <c r="H1110" i="3"/>
  <c r="G1113" i="3"/>
  <c r="G1116" i="3"/>
  <c r="G1119" i="3"/>
  <c r="H1126" i="3"/>
  <c r="F1126" i="3" s="1"/>
  <c r="G1129" i="3"/>
  <c r="G1132" i="3"/>
  <c r="G1135" i="3"/>
  <c r="H1142" i="3"/>
  <c r="G1145" i="3"/>
  <c r="G1148" i="3"/>
  <c r="G1151" i="3"/>
  <c r="H1158" i="3"/>
  <c r="G1161" i="3"/>
  <c r="G1164" i="3"/>
  <c r="G1167" i="3"/>
  <c r="H1174" i="3"/>
  <c r="F1174" i="3" s="1"/>
  <c r="H1176" i="3"/>
  <c r="G1183" i="3"/>
  <c r="H1190" i="3"/>
  <c r="H1192" i="3"/>
  <c r="G1199" i="3"/>
  <c r="H1206" i="3"/>
  <c r="H1208" i="3"/>
  <c r="G1215" i="3"/>
  <c r="G1217" i="3"/>
  <c r="H1222" i="3"/>
  <c r="H1224" i="3"/>
  <c r="G1231" i="3"/>
  <c r="G1233" i="3"/>
  <c r="H1238" i="3"/>
  <c r="H1240" i="3"/>
  <c r="G1247" i="3"/>
  <c r="G1249" i="3"/>
  <c r="H1254" i="3"/>
  <c r="H1256" i="3"/>
  <c r="G1263" i="3"/>
  <c r="G1265" i="3"/>
  <c r="H1270" i="3"/>
  <c r="H1272" i="3"/>
  <c r="G1279" i="3"/>
  <c r="G1281" i="3"/>
  <c r="H1284" i="3"/>
  <c r="G1291" i="3"/>
  <c r="H1294" i="3"/>
  <c r="F1294" i="3" s="1"/>
  <c r="H1296" i="3"/>
  <c r="G1301" i="3"/>
  <c r="H1306" i="3"/>
  <c r="G1311" i="3"/>
  <c r="G1313" i="3"/>
  <c r="H1316" i="3"/>
  <c r="G1323" i="3"/>
  <c r="H1326" i="3"/>
  <c r="H1328" i="3"/>
  <c r="G1333" i="3"/>
  <c r="G1341" i="3"/>
  <c r="H1346" i="3"/>
  <c r="G1346" i="3"/>
  <c r="H1352" i="3"/>
  <c r="H1358" i="3"/>
  <c r="H1360" i="3"/>
  <c r="G1365" i="3"/>
  <c r="H1370" i="3"/>
  <c r="G1370" i="3"/>
  <c r="H1376" i="3"/>
  <c r="G1389" i="3"/>
  <c r="H1394" i="3"/>
  <c r="G1394" i="3"/>
  <c r="G1397" i="3"/>
  <c r="H1402" i="3"/>
  <c r="G1415" i="3"/>
  <c r="H1415" i="3"/>
  <c r="G1421" i="3"/>
  <c r="H1426" i="3"/>
  <c r="G1431" i="3"/>
  <c r="G1433" i="3"/>
  <c r="G1439" i="3"/>
  <c r="H1439" i="3"/>
  <c r="G1447" i="3"/>
  <c r="H1450" i="3"/>
  <c r="G1455" i="3"/>
  <c r="G1457" i="3"/>
  <c r="H1460" i="3"/>
  <c r="G1460" i="3"/>
  <c r="G1471" i="3"/>
  <c r="H1474" i="3"/>
  <c r="H1476" i="3"/>
  <c r="G1481" i="3"/>
  <c r="H1484" i="3"/>
  <c r="G1484" i="3"/>
  <c r="H1488" i="3"/>
  <c r="H1490" i="3"/>
  <c r="H1492" i="3"/>
  <c r="G1492" i="3"/>
  <c r="H1496" i="3"/>
  <c r="H1498" i="3"/>
  <c r="H1500" i="3"/>
  <c r="G1500" i="3"/>
  <c r="H1504" i="3"/>
  <c r="H1506" i="3"/>
  <c r="H1508" i="3"/>
  <c r="G1508" i="3"/>
  <c r="H1512" i="3"/>
  <c r="H1514" i="3"/>
  <c r="H1516" i="3"/>
  <c r="G1516" i="3"/>
  <c r="H1520" i="3"/>
  <c r="H1522" i="3"/>
  <c r="H1524" i="3"/>
  <c r="G1524" i="3"/>
  <c r="H1528" i="3"/>
  <c r="H1530" i="3"/>
  <c r="H1532" i="3"/>
  <c r="G1532" i="3"/>
  <c r="H1536" i="3"/>
  <c r="H1538" i="3"/>
  <c r="H1540" i="3"/>
  <c r="G1540" i="3"/>
  <c r="H1544" i="3"/>
  <c r="H1546" i="3"/>
  <c r="H1548" i="3"/>
  <c r="G1548" i="3"/>
  <c r="H1552" i="3"/>
  <c r="H1554" i="3"/>
  <c r="F1554" i="3" s="1"/>
  <c r="H1556" i="3"/>
  <c r="G1556" i="3"/>
  <c r="H1560" i="3"/>
  <c r="H1562" i="3"/>
  <c r="H1564" i="3"/>
  <c r="G1564" i="3"/>
  <c r="G1567" i="3"/>
  <c r="H1572" i="3"/>
  <c r="G1572" i="3"/>
  <c r="G1575" i="3"/>
  <c r="H1580" i="3"/>
  <c r="G1580" i="3"/>
  <c r="G1583" i="3"/>
  <c r="H1588" i="3"/>
  <c r="G1588" i="3"/>
  <c r="G1591" i="3"/>
  <c r="G1598" i="3"/>
  <c r="H1598" i="3"/>
  <c r="G1603" i="3"/>
  <c r="H1608" i="3"/>
  <c r="G1614" i="3"/>
  <c r="H1614" i="3"/>
  <c r="G1619" i="3"/>
  <c r="H1624" i="3"/>
  <c r="H1626" i="3"/>
  <c r="H1635" i="3"/>
  <c r="G1635" i="3"/>
  <c r="H1647" i="3"/>
  <c r="H1653" i="3"/>
  <c r="H1658" i="3"/>
  <c r="H1667" i="3"/>
  <c r="G1667" i="3"/>
  <c r="H1678" i="3"/>
  <c r="H1681" i="3"/>
  <c r="H1683" i="3"/>
  <c r="G1688" i="3"/>
  <c r="H1693" i="3"/>
  <c r="G1693" i="3"/>
  <c r="G1696" i="3"/>
  <c r="H1701" i="3"/>
  <c r="H1706" i="3"/>
  <c r="H1711" i="3"/>
  <c r="G1711" i="3"/>
  <c r="H1719" i="3"/>
  <c r="H1743" i="3"/>
  <c r="H1749" i="3"/>
  <c r="G1749" i="3"/>
  <c r="H1763" i="3"/>
  <c r="H1769" i="3"/>
  <c r="H1787" i="3"/>
  <c r="G1787" i="3"/>
  <c r="H1815" i="3"/>
  <c r="H1825" i="3"/>
  <c r="G1825" i="3"/>
  <c r="H1853" i="3"/>
  <c r="H1871" i="3"/>
  <c r="H1877" i="3"/>
  <c r="G1877" i="3"/>
  <c r="H1891" i="3"/>
  <c r="H1897" i="3"/>
  <c r="H1906" i="3"/>
  <c r="G1906" i="3"/>
  <c r="H1947" i="3"/>
  <c r="H1957" i="3"/>
  <c r="G1957" i="3"/>
  <c r="G1984" i="3"/>
  <c r="G1990" i="3"/>
  <c r="H1990" i="3"/>
  <c r="G2000" i="3"/>
  <c r="G2006" i="3"/>
  <c r="H2006" i="3"/>
  <c r="G2016" i="3"/>
  <c r="G2022" i="3"/>
  <c r="H2022" i="3"/>
  <c r="G2032" i="3"/>
  <c r="G2038" i="3"/>
  <c r="H2038" i="3"/>
  <c r="G2048" i="3"/>
  <c r="G2064" i="3"/>
  <c r="G2080" i="3"/>
  <c r="G2096" i="3"/>
  <c r="G2107" i="3"/>
  <c r="H2107" i="3"/>
  <c r="G2115" i="3"/>
  <c r="H2115" i="3"/>
  <c r="G2123" i="3"/>
  <c r="H2123" i="3"/>
  <c r="G2131" i="3"/>
  <c r="H2131" i="3"/>
  <c r="G2139" i="3"/>
  <c r="H2139" i="3"/>
  <c r="G2147" i="3"/>
  <c r="H2147" i="3"/>
  <c r="G2155" i="3"/>
  <c r="H2155" i="3"/>
  <c r="G2163" i="3"/>
  <c r="H2163" i="3"/>
  <c r="G2171" i="3"/>
  <c r="H2171" i="3"/>
  <c r="G2179" i="3"/>
  <c r="H2179" i="3"/>
  <c r="G2187" i="3"/>
  <c r="H2187" i="3"/>
  <c r="G2195" i="3"/>
  <c r="H2195" i="3"/>
  <c r="G2203" i="3"/>
  <c r="H2203" i="3"/>
  <c r="G2211" i="3"/>
  <c r="H2211" i="3"/>
  <c r="G2219" i="3"/>
  <c r="H2219" i="3"/>
  <c r="G2227" i="3"/>
  <c r="H2227" i="3"/>
  <c r="G2235" i="3"/>
  <c r="H2235" i="3"/>
  <c r="G2243" i="3"/>
  <c r="H2243" i="3"/>
  <c r="G2251" i="3"/>
  <c r="H2251" i="3"/>
  <c r="G2259" i="3"/>
  <c r="H2259" i="3"/>
  <c r="G2267" i="3"/>
  <c r="H2267" i="3"/>
  <c r="G2275" i="3"/>
  <c r="H2275" i="3"/>
  <c r="G2283" i="3"/>
  <c r="H2283" i="3"/>
  <c r="G2291" i="3"/>
  <c r="H2291" i="3"/>
  <c r="G2299" i="3"/>
  <c r="H2299" i="3"/>
  <c r="H2310" i="3"/>
  <c r="G2335" i="3"/>
  <c r="H2335" i="3"/>
  <c r="G2347" i="3"/>
  <c r="H2347" i="3"/>
  <c r="G2359" i="3"/>
  <c r="H2359" i="3"/>
  <c r="G2367" i="3"/>
  <c r="H2367" i="3"/>
  <c r="G2375" i="3"/>
  <c r="H2375" i="3"/>
  <c r="G2383" i="3"/>
  <c r="H2383" i="3"/>
  <c r="G2391" i="3"/>
  <c r="H2391" i="3"/>
  <c r="G2399" i="3"/>
  <c r="H2399" i="3"/>
  <c r="G2407" i="3"/>
  <c r="H2407" i="3"/>
  <c r="G2424" i="3"/>
  <c r="H2424" i="3"/>
  <c r="G2440" i="3"/>
  <c r="H2440" i="3"/>
  <c r="H2462" i="3"/>
  <c r="G2462" i="3"/>
  <c r="G2480" i="3"/>
  <c r="G2494" i="3"/>
  <c r="H2494" i="3"/>
  <c r="H2541" i="3"/>
  <c r="G2541" i="3"/>
  <c r="H2553" i="3"/>
  <c r="G2553" i="3"/>
  <c r="H584" i="3"/>
  <c r="G589" i="3"/>
  <c r="H592" i="3"/>
  <c r="F592" i="3" s="1"/>
  <c r="G597" i="3"/>
  <c r="H600" i="3"/>
  <c r="H604" i="3"/>
  <c r="G607" i="3"/>
  <c r="H612" i="3"/>
  <c r="G615" i="3"/>
  <c r="H620" i="3"/>
  <c r="G623" i="3"/>
  <c r="H628" i="3"/>
  <c r="F628" i="3" s="1"/>
  <c r="G631" i="3"/>
  <c r="H636" i="3"/>
  <c r="G639" i="3"/>
  <c r="H644" i="3"/>
  <c r="G647" i="3"/>
  <c r="H652" i="3"/>
  <c r="G655" i="3"/>
  <c r="F655" i="3" s="1"/>
  <c r="H660" i="3"/>
  <c r="G663" i="3"/>
  <c r="H668" i="3"/>
  <c r="G671" i="3"/>
  <c r="H676" i="3"/>
  <c r="G679" i="3"/>
  <c r="H684" i="3"/>
  <c r="G687" i="3"/>
  <c r="H692" i="3"/>
  <c r="G695" i="3"/>
  <c r="H700" i="3"/>
  <c r="G703" i="3"/>
  <c r="H708" i="3"/>
  <c r="H780" i="3"/>
  <c r="H782" i="3"/>
  <c r="G789" i="3"/>
  <c r="F789" i="3" s="1"/>
  <c r="G791" i="3"/>
  <c r="H796" i="3"/>
  <c r="H798" i="3"/>
  <c r="G805" i="3"/>
  <c r="G807" i="3"/>
  <c r="H812" i="3"/>
  <c r="H814" i="3"/>
  <c r="G821" i="3"/>
  <c r="F821" i="3" s="1"/>
  <c r="G823" i="3"/>
  <c r="H828" i="3"/>
  <c r="H830" i="3"/>
  <c r="G837" i="3"/>
  <c r="G839" i="3"/>
  <c r="H844" i="3"/>
  <c r="H846" i="3"/>
  <c r="G853" i="3"/>
  <c r="G855" i="3"/>
  <c r="H860" i="3"/>
  <c r="H862" i="3"/>
  <c r="G869" i="3"/>
  <c r="G871" i="3"/>
  <c r="H876" i="3"/>
  <c r="F876" i="3" s="1"/>
  <c r="H878" i="3"/>
  <c r="G885" i="3"/>
  <c r="G887" i="3"/>
  <c r="H892" i="3"/>
  <c r="H894" i="3"/>
  <c r="G901" i="3"/>
  <c r="G903" i="3"/>
  <c r="H906" i="3"/>
  <c r="H922" i="3"/>
  <c r="H938" i="3"/>
  <c r="H954" i="3"/>
  <c r="H970" i="3"/>
  <c r="G976" i="3"/>
  <c r="G979" i="3"/>
  <c r="H986" i="3"/>
  <c r="G989" i="3"/>
  <c r="G992" i="3"/>
  <c r="G995" i="3"/>
  <c r="H1002" i="3"/>
  <c r="G1005" i="3"/>
  <c r="G1008" i="3"/>
  <c r="G1011" i="3"/>
  <c r="H1018" i="3"/>
  <c r="G1021" i="3"/>
  <c r="G1024" i="3"/>
  <c r="G1027" i="3"/>
  <c r="H1034" i="3"/>
  <c r="G1037" i="3"/>
  <c r="G1040" i="3"/>
  <c r="G1043" i="3"/>
  <c r="H1050" i="3"/>
  <c r="G1053" i="3"/>
  <c r="G1056" i="3"/>
  <c r="G1059" i="3"/>
  <c r="H1066" i="3"/>
  <c r="G1069" i="3"/>
  <c r="G1072" i="3"/>
  <c r="G1075" i="3"/>
  <c r="H1082" i="3"/>
  <c r="G1085" i="3"/>
  <c r="G1088" i="3"/>
  <c r="G1091" i="3"/>
  <c r="H1098" i="3"/>
  <c r="G1101" i="3"/>
  <c r="G1104" i="3"/>
  <c r="G1107" i="3"/>
  <c r="H1114" i="3"/>
  <c r="G1117" i="3"/>
  <c r="G1120" i="3"/>
  <c r="G1123" i="3"/>
  <c r="H1130" i="3"/>
  <c r="G1133" i="3"/>
  <c r="G1136" i="3"/>
  <c r="G1139" i="3"/>
  <c r="H1146" i="3"/>
  <c r="G1149" i="3"/>
  <c r="G1152" i="3"/>
  <c r="G1155" i="3"/>
  <c r="G1165" i="3"/>
  <c r="G1168" i="3"/>
  <c r="G1171" i="3"/>
  <c r="G1179" i="3"/>
  <c r="H1186" i="3"/>
  <c r="H1188" i="3"/>
  <c r="G1195" i="3"/>
  <c r="H1202" i="3"/>
  <c r="H1204" i="3"/>
  <c r="G1211" i="3"/>
  <c r="G1213" i="3"/>
  <c r="H1218" i="3"/>
  <c r="H1220" i="3"/>
  <c r="G1227" i="3"/>
  <c r="G1229" i="3"/>
  <c r="H1234" i="3"/>
  <c r="H1236" i="3"/>
  <c r="G1243" i="3"/>
  <c r="G1245" i="3"/>
  <c r="H1250" i="3"/>
  <c r="H1252" i="3"/>
  <c r="G1259" i="3"/>
  <c r="G1261" i="3"/>
  <c r="H1266" i="3"/>
  <c r="H1268" i="3"/>
  <c r="G1275" i="3"/>
  <c r="G1277" i="3"/>
  <c r="H1282" i="3"/>
  <c r="G1287" i="3"/>
  <c r="G1289" i="3"/>
  <c r="H1292" i="3"/>
  <c r="G1299" i="3"/>
  <c r="H1302" i="3"/>
  <c r="H1304" i="3"/>
  <c r="G1309" i="3"/>
  <c r="H1314" i="3"/>
  <c r="G1319" i="3"/>
  <c r="G1321" i="3"/>
  <c r="H1324" i="3"/>
  <c r="G1326" i="3"/>
  <c r="G1328" i="3"/>
  <c r="G1331" i="3"/>
  <c r="H1334" i="3"/>
  <c r="H1336" i="3"/>
  <c r="G1336" i="3"/>
  <c r="G1347" i="3"/>
  <c r="H1350" i="3"/>
  <c r="G1352" i="3"/>
  <c r="G1355" i="3"/>
  <c r="G1358" i="3"/>
  <c r="F1358" i="3" s="1"/>
  <c r="G1360" i="3"/>
  <c r="F1360" i="3" s="1"/>
  <c r="G1363" i="3"/>
  <c r="H1363" i="3"/>
  <c r="G1371" i="3"/>
  <c r="H1374" i="3"/>
  <c r="G1376" i="3"/>
  <c r="G1379" i="3"/>
  <c r="G1381" i="3"/>
  <c r="H1384" i="3"/>
  <c r="G1384" i="3"/>
  <c r="G1395" i="3"/>
  <c r="H1398" i="3"/>
  <c r="H1400" i="3"/>
  <c r="G1405" i="3"/>
  <c r="H1408" i="3"/>
  <c r="G1408" i="3"/>
  <c r="H1416" i="3"/>
  <c r="H1422" i="3"/>
  <c r="H1424" i="3"/>
  <c r="G1426" i="3"/>
  <c r="G1429" i="3"/>
  <c r="H1431" i="3"/>
  <c r="H1434" i="3"/>
  <c r="G1434" i="3"/>
  <c r="H1440" i="3"/>
  <c r="H1447" i="3"/>
  <c r="G1450" i="3"/>
  <c r="G1453" i="3"/>
  <c r="H1455" i="3"/>
  <c r="H1458" i="3"/>
  <c r="G1458" i="3"/>
  <c r="G1461" i="3"/>
  <c r="H1466" i="3"/>
  <c r="H1471" i="3"/>
  <c r="G1474" i="3"/>
  <c r="G1476" i="3"/>
  <c r="G1479" i="3"/>
  <c r="H1479" i="3"/>
  <c r="G1488" i="3"/>
  <c r="F1488" i="3" s="1"/>
  <c r="G1490" i="3"/>
  <c r="F1490" i="3" s="1"/>
  <c r="G1496" i="3"/>
  <c r="G1498" i="3"/>
  <c r="G1504" i="3"/>
  <c r="F1504" i="3" s="1"/>
  <c r="G1506" i="3"/>
  <c r="F1506" i="3" s="1"/>
  <c r="G1512" i="3"/>
  <c r="G1514" i="3"/>
  <c r="G1520" i="3"/>
  <c r="F1520" i="3" s="1"/>
  <c r="G1565" i="3"/>
  <c r="G1570" i="3"/>
  <c r="H1570" i="3"/>
  <c r="G1573" i="3"/>
  <c r="G1578" i="3"/>
  <c r="H1578" i="3"/>
  <c r="G1581" i="3"/>
  <c r="G1586" i="3"/>
  <c r="H1586" i="3"/>
  <c r="G1589" i="3"/>
  <c r="G1594" i="3"/>
  <c r="H1594" i="3"/>
  <c r="G1599" i="3"/>
  <c r="H1604" i="3"/>
  <c r="G1610" i="3"/>
  <c r="H1610" i="3"/>
  <c r="G1615" i="3"/>
  <c r="H1620" i="3"/>
  <c r="H1627" i="3"/>
  <c r="G1627" i="3"/>
  <c r="H1639" i="3"/>
  <c r="H1645" i="3"/>
  <c r="H1650" i="3"/>
  <c r="H1659" i="3"/>
  <c r="G1659" i="3"/>
  <c r="H1671" i="3"/>
  <c r="H1686" i="3"/>
  <c r="G1686" i="3"/>
  <c r="H1694" i="3"/>
  <c r="H1697" i="3"/>
  <c r="H1699" i="3"/>
  <c r="H1709" i="3"/>
  <c r="G1709" i="3"/>
  <c r="H1717" i="3"/>
  <c r="H1722" i="3"/>
  <c r="H1727" i="3"/>
  <c r="G1727" i="3"/>
  <c r="H1757" i="3"/>
  <c r="H1775" i="3"/>
  <c r="H1781" i="3"/>
  <c r="G1781" i="3"/>
  <c r="H1795" i="3"/>
  <c r="H1801" i="3"/>
  <c r="H1819" i="3"/>
  <c r="G1819" i="3"/>
  <c r="H1847" i="3"/>
  <c r="H1857" i="3"/>
  <c r="G1857" i="3"/>
  <c r="H1885" i="3"/>
  <c r="H1901" i="3"/>
  <c r="G1901" i="3"/>
  <c r="H1921" i="3"/>
  <c r="H1941" i="3"/>
  <c r="G1941" i="3"/>
  <c r="H1975" i="3"/>
  <c r="H1985" i="3"/>
  <c r="G1985" i="3"/>
  <c r="H2001" i="3"/>
  <c r="G2001" i="3"/>
  <c r="H2017" i="3"/>
  <c r="G2017" i="3"/>
  <c r="H2033" i="3"/>
  <c r="G2033" i="3"/>
  <c r="H2105" i="3"/>
  <c r="G2105" i="3"/>
  <c r="H2113" i="3"/>
  <c r="G2113" i="3"/>
  <c r="H2121" i="3"/>
  <c r="G2121" i="3"/>
  <c r="H2129" i="3"/>
  <c r="G2129" i="3"/>
  <c r="H2137" i="3"/>
  <c r="G2137" i="3"/>
  <c r="H2145" i="3"/>
  <c r="G2145" i="3"/>
  <c r="H2153" i="3"/>
  <c r="G2153" i="3"/>
  <c r="H2161" i="3"/>
  <c r="G2161" i="3"/>
  <c r="H2169" i="3"/>
  <c r="G2169" i="3"/>
  <c r="H2177" i="3"/>
  <c r="G2177" i="3"/>
  <c r="H2185" i="3"/>
  <c r="G2185" i="3"/>
  <c r="H2193" i="3"/>
  <c r="G2193" i="3"/>
  <c r="H2201" i="3"/>
  <c r="G2201" i="3"/>
  <c r="H2209" i="3"/>
  <c r="G2209" i="3"/>
  <c r="H2217" i="3"/>
  <c r="G2217" i="3"/>
  <c r="H2225" i="3"/>
  <c r="G2225" i="3"/>
  <c r="H2233" i="3"/>
  <c r="G2233" i="3"/>
  <c r="H2241" i="3"/>
  <c r="G2241" i="3"/>
  <c r="H2249" i="3"/>
  <c r="G2249" i="3"/>
  <c r="H2257" i="3"/>
  <c r="G2257" i="3"/>
  <c r="H2265" i="3"/>
  <c r="G2265" i="3"/>
  <c r="H2273" i="3"/>
  <c r="G2273" i="3"/>
  <c r="H2281" i="3"/>
  <c r="G2281" i="3"/>
  <c r="H2289" i="3"/>
  <c r="G2289" i="3"/>
  <c r="H2297" i="3"/>
  <c r="G2297" i="3"/>
  <c r="G2320" i="3"/>
  <c r="H2333" i="3"/>
  <c r="G2333" i="3"/>
  <c r="G2344" i="3"/>
  <c r="G2356" i="3"/>
  <c r="H2365" i="3"/>
  <c r="G2365" i="3"/>
  <c r="H2373" i="3"/>
  <c r="G2373" i="3"/>
  <c r="H2381" i="3"/>
  <c r="G2381" i="3"/>
  <c r="H2389" i="3"/>
  <c r="G2389" i="3"/>
  <c r="H2397" i="3"/>
  <c r="G2397" i="3"/>
  <c r="H2405" i="3"/>
  <c r="G2405" i="3"/>
  <c r="H2413" i="3"/>
  <c r="G2413" i="3"/>
  <c r="H2418" i="3"/>
  <c r="G2418" i="3"/>
  <c r="H2429" i="3"/>
  <c r="G2429" i="3"/>
  <c r="H2434" i="3"/>
  <c r="G2434" i="3"/>
  <c r="H2445" i="3"/>
  <c r="G2445" i="3"/>
  <c r="H2450" i="3"/>
  <c r="G2450" i="3"/>
  <c r="H2469" i="3"/>
  <c r="G2469" i="3"/>
  <c r="H2505" i="3"/>
  <c r="G2505" i="3"/>
  <c r="H2550" i="3"/>
  <c r="G2550" i="3"/>
  <c r="H1198" i="3"/>
  <c r="H1200" i="3"/>
  <c r="G1207" i="3"/>
  <c r="G1209" i="3"/>
  <c r="H1214" i="3"/>
  <c r="H1216" i="3"/>
  <c r="G1223" i="3"/>
  <c r="G1225" i="3"/>
  <c r="H1230" i="3"/>
  <c r="H1232" i="3"/>
  <c r="G1239" i="3"/>
  <c r="G1241" i="3"/>
  <c r="H1246" i="3"/>
  <c r="H1248" i="3"/>
  <c r="G1255" i="3"/>
  <c r="G1257" i="3"/>
  <c r="H1262" i="3"/>
  <c r="H1264" i="3"/>
  <c r="G1271" i="3"/>
  <c r="G1273" i="3"/>
  <c r="H1278" i="3"/>
  <c r="H1280" i="3"/>
  <c r="G1285" i="3"/>
  <c r="H1290" i="3"/>
  <c r="G1295" i="3"/>
  <c r="G1297" i="3"/>
  <c r="H1300" i="3"/>
  <c r="G1307" i="3"/>
  <c r="H1310" i="3"/>
  <c r="H1312" i="3"/>
  <c r="G1317" i="3"/>
  <c r="H1322" i="3"/>
  <c r="G1327" i="3"/>
  <c r="G1329" i="3"/>
  <c r="H1332" i="3"/>
  <c r="G1337" i="3"/>
  <c r="H1340" i="3"/>
  <c r="F1340" i="3" s="1"/>
  <c r="H1348" i="3"/>
  <c r="G1353" i="3"/>
  <c r="H1356" i="3"/>
  <c r="G1356" i="3"/>
  <c r="H1364" i="3"/>
  <c r="H1372" i="3"/>
  <c r="G1377" i="3"/>
  <c r="H1382" i="3"/>
  <c r="G1382" i="3"/>
  <c r="G1385" i="3"/>
  <c r="H1388" i="3"/>
  <c r="G1403" i="3"/>
  <c r="H1406" i="3"/>
  <c r="G1406" i="3"/>
  <c r="G1409" i="3"/>
  <c r="H1414" i="3"/>
  <c r="G1419" i="3"/>
  <c r="G1427" i="3"/>
  <c r="H1427" i="3"/>
  <c r="G1435" i="3"/>
  <c r="H1438" i="3"/>
  <c r="G1443" i="3"/>
  <c r="G1445" i="3"/>
  <c r="H1448" i="3"/>
  <c r="G1448" i="3"/>
  <c r="G1459" i="3"/>
  <c r="H1462" i="3"/>
  <c r="H1464" i="3"/>
  <c r="G1469" i="3"/>
  <c r="H1472" i="3"/>
  <c r="G1472" i="3"/>
  <c r="H1480" i="3"/>
  <c r="G1489" i="3"/>
  <c r="G1491" i="3"/>
  <c r="G1497" i="3"/>
  <c r="G1499" i="3"/>
  <c r="G1505" i="3"/>
  <c r="G1507" i="3"/>
  <c r="G1513" i="3"/>
  <c r="G1515" i="3"/>
  <c r="G1521" i="3"/>
  <c r="G1523" i="3"/>
  <c r="G1529" i="3"/>
  <c r="G1531" i="3"/>
  <c r="G1537" i="3"/>
  <c r="G1539" i="3"/>
  <c r="G1545" i="3"/>
  <c r="G1547" i="3"/>
  <c r="G1553" i="3"/>
  <c r="G1555" i="3"/>
  <c r="G1561" i="3"/>
  <c r="G1563" i="3"/>
  <c r="H1568" i="3"/>
  <c r="G1568" i="3"/>
  <c r="G1571" i="3"/>
  <c r="H1576" i="3"/>
  <c r="G1576" i="3"/>
  <c r="G1579" i="3"/>
  <c r="H1584" i="3"/>
  <c r="G1584" i="3"/>
  <c r="G1587" i="3"/>
  <c r="H1592" i="3"/>
  <c r="G1592" i="3"/>
  <c r="H1600" i="3"/>
  <c r="G1606" i="3"/>
  <c r="H1606" i="3"/>
  <c r="G1611" i="3"/>
  <c r="H1616" i="3"/>
  <c r="G1622" i="3"/>
  <c r="H1622" i="3"/>
  <c r="H1631" i="3"/>
  <c r="H1637" i="3"/>
  <c r="H1642" i="3"/>
  <c r="H1651" i="3"/>
  <c r="G1651" i="3"/>
  <c r="H1663" i="3"/>
  <c r="H1669" i="3"/>
  <c r="H1674" i="3"/>
  <c r="G1676" i="3"/>
  <c r="H1679" i="3"/>
  <c r="G1679" i="3"/>
  <c r="H1687" i="3"/>
  <c r="H1702" i="3"/>
  <c r="G1702" i="3"/>
  <c r="H1710" i="3"/>
  <c r="H1713" i="3"/>
  <c r="F1713" i="3" s="1"/>
  <c r="H1715" i="3"/>
  <c r="H1725" i="3"/>
  <c r="G1725" i="3"/>
  <c r="H1733" i="3"/>
  <c r="H1739" i="3"/>
  <c r="H1745" i="3"/>
  <c r="H1751" i="3"/>
  <c r="H1761" i="3"/>
  <c r="G1761" i="3"/>
  <c r="H1789" i="3"/>
  <c r="H1807" i="3"/>
  <c r="H1813" i="3"/>
  <c r="G1813" i="3"/>
  <c r="H1827" i="3"/>
  <c r="H1833" i="3"/>
  <c r="H1851" i="3"/>
  <c r="G1851" i="3"/>
  <c r="H1879" i="3"/>
  <c r="H1889" i="3"/>
  <c r="G1889" i="3"/>
  <c r="H1925" i="3"/>
  <c r="G1925" i="3"/>
  <c r="H1959" i="3"/>
  <c r="H1969" i="3"/>
  <c r="H1979" i="3"/>
  <c r="G1982" i="3"/>
  <c r="H1982" i="3"/>
  <c r="G1992" i="3"/>
  <c r="G1998" i="3"/>
  <c r="H1998" i="3"/>
  <c r="G2008" i="3"/>
  <c r="G2014" i="3"/>
  <c r="H2014" i="3"/>
  <c r="G2024" i="3"/>
  <c r="G2030" i="3"/>
  <c r="H2030" i="3"/>
  <c r="G2040" i="3"/>
  <c r="G2046" i="3"/>
  <c r="H2046" i="3"/>
  <c r="G2056" i="3"/>
  <c r="G2072" i="3"/>
  <c r="G2088" i="3"/>
  <c r="G2103" i="3"/>
  <c r="H2103" i="3"/>
  <c r="G2111" i="3"/>
  <c r="H2111" i="3"/>
  <c r="G2119" i="3"/>
  <c r="H2119" i="3"/>
  <c r="G2127" i="3"/>
  <c r="H2127" i="3"/>
  <c r="G2135" i="3"/>
  <c r="H2135" i="3"/>
  <c r="G2143" i="3"/>
  <c r="H2143" i="3"/>
  <c r="G2151" i="3"/>
  <c r="H2151" i="3"/>
  <c r="G2159" i="3"/>
  <c r="H2159" i="3"/>
  <c r="G2167" i="3"/>
  <c r="H2167" i="3"/>
  <c r="G2175" i="3"/>
  <c r="H2175" i="3"/>
  <c r="G2183" i="3"/>
  <c r="H2183" i="3"/>
  <c r="G2191" i="3"/>
  <c r="H2191" i="3"/>
  <c r="G2199" i="3"/>
  <c r="H2199" i="3"/>
  <c r="G2207" i="3"/>
  <c r="H2207" i="3"/>
  <c r="G2215" i="3"/>
  <c r="H2215" i="3"/>
  <c r="G2223" i="3"/>
  <c r="H2223" i="3"/>
  <c r="G2231" i="3"/>
  <c r="H2231" i="3"/>
  <c r="G2239" i="3"/>
  <c r="H2239" i="3"/>
  <c r="G2247" i="3"/>
  <c r="H2247" i="3"/>
  <c r="G2255" i="3"/>
  <c r="H2255" i="3"/>
  <c r="G2263" i="3"/>
  <c r="H2263" i="3"/>
  <c r="G2271" i="3"/>
  <c r="H2271" i="3"/>
  <c r="G2279" i="3"/>
  <c r="H2279" i="3"/>
  <c r="G2287" i="3"/>
  <c r="H2287" i="3"/>
  <c r="G2295" i="3"/>
  <c r="H2295" i="3"/>
  <c r="G2303" i="3"/>
  <c r="H2303" i="3"/>
  <c r="H2318" i="3"/>
  <c r="G2318" i="3"/>
  <c r="H2342" i="3"/>
  <c r="G2342" i="3"/>
  <c r="H2354" i="3"/>
  <c r="G2354" i="3"/>
  <c r="G2363" i="3"/>
  <c r="H2363" i="3"/>
  <c r="G2371" i="3"/>
  <c r="H2371" i="3"/>
  <c r="G2379" i="3"/>
  <c r="H2379" i="3"/>
  <c r="G2387" i="3"/>
  <c r="H2387" i="3"/>
  <c r="G2395" i="3"/>
  <c r="H2395" i="3"/>
  <c r="G2403" i="3"/>
  <c r="H2403" i="3"/>
  <c r="G2411" i="3"/>
  <c r="H2411" i="3"/>
  <c r="G2416" i="3"/>
  <c r="H2416" i="3"/>
  <c r="G2432" i="3"/>
  <c r="H2432" i="3"/>
  <c r="G2448" i="3"/>
  <c r="H2448" i="3"/>
  <c r="G2464" i="3"/>
  <c r="H2478" i="3"/>
  <c r="G2478" i="3"/>
  <c r="G2502" i="3"/>
  <c r="H2502" i="3"/>
  <c r="H2522" i="3"/>
  <c r="H2529" i="3"/>
  <c r="G2529" i="3"/>
  <c r="H2581" i="3"/>
  <c r="G2581" i="3"/>
  <c r="H2057" i="3"/>
  <c r="G2062" i="3"/>
  <c r="H2073" i="3"/>
  <c r="G2078" i="3"/>
  <c r="H2089" i="3"/>
  <c r="G2094" i="3"/>
  <c r="H2097" i="3"/>
  <c r="H2306" i="3"/>
  <c r="G2308" i="3"/>
  <c r="G2316" i="3"/>
  <c r="H2321" i="3"/>
  <c r="G2328" i="3"/>
  <c r="H2338" i="3"/>
  <c r="G2340" i="3"/>
  <c r="H2345" i="3"/>
  <c r="H2350" i="3"/>
  <c r="G2352" i="3"/>
  <c r="H2357" i="3"/>
  <c r="G2460" i="3"/>
  <c r="H2465" i="3"/>
  <c r="G2476" i="3"/>
  <c r="G1339" i="3"/>
  <c r="H1342" i="3"/>
  <c r="H1344" i="3"/>
  <c r="G1349" i="3"/>
  <c r="G1359" i="3"/>
  <c r="G1361" i="3"/>
  <c r="H1366" i="3"/>
  <c r="H1368" i="3"/>
  <c r="G1373" i="3"/>
  <c r="H1378" i="3"/>
  <c r="H1380" i="3"/>
  <c r="G1387" i="3"/>
  <c r="H1390" i="3"/>
  <c r="H1392" i="3"/>
  <c r="G1399" i="3"/>
  <c r="G1401" i="3"/>
  <c r="H1404" i="3"/>
  <c r="G1411" i="3"/>
  <c r="G1413" i="3"/>
  <c r="G1423" i="3"/>
  <c r="G1425" i="3"/>
  <c r="H1430" i="3"/>
  <c r="H1432" i="3"/>
  <c r="G1437" i="3"/>
  <c r="H1442" i="3"/>
  <c r="H1444" i="3"/>
  <c r="G1451" i="3"/>
  <c r="H1454" i="3"/>
  <c r="H1456" i="3"/>
  <c r="G1463" i="3"/>
  <c r="G1465" i="3"/>
  <c r="H1468" i="3"/>
  <c r="G1475" i="3"/>
  <c r="G1477" i="3"/>
  <c r="H1625" i="3"/>
  <c r="F1625" i="3" s="1"/>
  <c r="H1630" i="3"/>
  <c r="H1633" i="3"/>
  <c r="H1638" i="3"/>
  <c r="H1641" i="3"/>
  <c r="H1646" i="3"/>
  <c r="H1649" i="3"/>
  <c r="H1654" i="3"/>
  <c r="H1657" i="3"/>
  <c r="H1662" i="3"/>
  <c r="H1665" i="3"/>
  <c r="H1670" i="3"/>
  <c r="H1673" i="3"/>
  <c r="H1675" i="3"/>
  <c r="G1684" i="3"/>
  <c r="H1689" i="3"/>
  <c r="H1691" i="3"/>
  <c r="H1705" i="3"/>
  <c r="F1705" i="3" s="1"/>
  <c r="H1707" i="3"/>
  <c r="H1721" i="3"/>
  <c r="H1723" i="3"/>
  <c r="H1735" i="3"/>
  <c r="H1741" i="3"/>
  <c r="H1747" i="3"/>
  <c r="H1753" i="3"/>
  <c r="H1767" i="3"/>
  <c r="H1773" i="3"/>
  <c r="H1779" i="3"/>
  <c r="H1785" i="3"/>
  <c r="H1799" i="3"/>
  <c r="H1805" i="3"/>
  <c r="H1811" i="3"/>
  <c r="H1817" i="3"/>
  <c r="F1817" i="3" s="1"/>
  <c r="H1831" i="3"/>
  <c r="H1837" i="3"/>
  <c r="H1843" i="3"/>
  <c r="H1849" i="3"/>
  <c r="H1863" i="3"/>
  <c r="H1869" i="3"/>
  <c r="H1875" i="3"/>
  <c r="H1881" i="3"/>
  <c r="H1913" i="3"/>
  <c r="H1929" i="3"/>
  <c r="H1935" i="3"/>
  <c r="H1945" i="3"/>
  <c r="H1951" i="3"/>
  <c r="H1961" i="3"/>
  <c r="H1967" i="3"/>
  <c r="H1977" i="3"/>
  <c r="G1988" i="3"/>
  <c r="G2004" i="3"/>
  <c r="G2020" i="3"/>
  <c r="G2036" i="3"/>
  <c r="G2049" i="3"/>
  <c r="G2052" i="3"/>
  <c r="H2054" i="3"/>
  <c r="G2057" i="3"/>
  <c r="H2062" i="3"/>
  <c r="G2065" i="3"/>
  <c r="G2068" i="3"/>
  <c r="H2070" i="3"/>
  <c r="G2073" i="3"/>
  <c r="H2078" i="3"/>
  <c r="G2081" i="3"/>
  <c r="G2084" i="3"/>
  <c r="H2086" i="3"/>
  <c r="G2089" i="3"/>
  <c r="G2092" i="3"/>
  <c r="H2094" i="3"/>
  <c r="G2097" i="3"/>
  <c r="G2100" i="3"/>
  <c r="G2102" i="3"/>
  <c r="G2104" i="3"/>
  <c r="G2106" i="3"/>
  <c r="G2108" i="3"/>
  <c r="G2110" i="3"/>
  <c r="G2112" i="3"/>
  <c r="G2114" i="3"/>
  <c r="G2116" i="3"/>
  <c r="G2118" i="3"/>
  <c r="G2120" i="3"/>
  <c r="G2122" i="3"/>
  <c r="G2124" i="3"/>
  <c r="G2126" i="3"/>
  <c r="G2128" i="3"/>
  <c r="G2130" i="3"/>
  <c r="G2132" i="3"/>
  <c r="G2134" i="3"/>
  <c r="G2136" i="3"/>
  <c r="F2136" i="3" s="1"/>
  <c r="G2138" i="3"/>
  <c r="G2140" i="3"/>
  <c r="G2142" i="3"/>
  <c r="G2144" i="3"/>
  <c r="F2144" i="3" s="1"/>
  <c r="G2146" i="3"/>
  <c r="G2148" i="3"/>
  <c r="G2150" i="3"/>
  <c r="G2152" i="3"/>
  <c r="G2154" i="3"/>
  <c r="G2156" i="3"/>
  <c r="G2158" i="3"/>
  <c r="G2160" i="3"/>
  <c r="G2162" i="3"/>
  <c r="G2164" i="3"/>
  <c r="G2166" i="3"/>
  <c r="G2168" i="3"/>
  <c r="G2170" i="3"/>
  <c r="G2172" i="3"/>
  <c r="G2174" i="3"/>
  <c r="G2176" i="3"/>
  <c r="G2178" i="3"/>
  <c r="F2178" i="3" s="1"/>
  <c r="G2180" i="3"/>
  <c r="G2182" i="3"/>
  <c r="G2184" i="3"/>
  <c r="G2186" i="3"/>
  <c r="G2188" i="3"/>
  <c r="G2190" i="3"/>
  <c r="G2192" i="3"/>
  <c r="G2194" i="3"/>
  <c r="G2196" i="3"/>
  <c r="G2198" i="3"/>
  <c r="G2200" i="3"/>
  <c r="G2202" i="3"/>
  <c r="G2204" i="3"/>
  <c r="G2206" i="3"/>
  <c r="G2208" i="3"/>
  <c r="G2210" i="3"/>
  <c r="G2212" i="3"/>
  <c r="G2214" i="3"/>
  <c r="G2216" i="3"/>
  <c r="G2218" i="3"/>
  <c r="G2220" i="3"/>
  <c r="G2222" i="3"/>
  <c r="G2224" i="3"/>
  <c r="G2226" i="3"/>
  <c r="G2228" i="3"/>
  <c r="G2230" i="3"/>
  <c r="G2232" i="3"/>
  <c r="G2234" i="3"/>
  <c r="G2236" i="3"/>
  <c r="G2238" i="3"/>
  <c r="G2240" i="3"/>
  <c r="G2242" i="3"/>
  <c r="G2244" i="3"/>
  <c r="G2246" i="3"/>
  <c r="G2248" i="3"/>
  <c r="G2250" i="3"/>
  <c r="G2252" i="3"/>
  <c r="G2254" i="3"/>
  <c r="G2256" i="3"/>
  <c r="G2258" i="3"/>
  <c r="G2260" i="3"/>
  <c r="G2262" i="3"/>
  <c r="G2264" i="3"/>
  <c r="G2266" i="3"/>
  <c r="G2268" i="3"/>
  <c r="G2270" i="3"/>
  <c r="G2272" i="3"/>
  <c r="F2272" i="3" s="1"/>
  <c r="G2274" i="3"/>
  <c r="G2276" i="3"/>
  <c r="G2278" i="3"/>
  <c r="G2280" i="3"/>
  <c r="G2282" i="3"/>
  <c r="G2284" i="3"/>
  <c r="G2286" i="3"/>
  <c r="G2288" i="3"/>
  <c r="G2290" i="3"/>
  <c r="G2292" i="3"/>
  <c r="G2294" i="3"/>
  <c r="G2296" i="3"/>
  <c r="G2298" i="3"/>
  <c r="G2300" i="3"/>
  <c r="G2302" i="3"/>
  <c r="G2306" i="3"/>
  <c r="F2306" i="3" s="1"/>
  <c r="H2309" i="3"/>
  <c r="H2311" i="3"/>
  <c r="H2317" i="3"/>
  <c r="G2321" i="3"/>
  <c r="H2323" i="3"/>
  <c r="H2329" i="3"/>
  <c r="H2331" i="3"/>
  <c r="H2334" i="3"/>
  <c r="G2336" i="3"/>
  <c r="G2338" i="3"/>
  <c r="H2341" i="3"/>
  <c r="G2345" i="3"/>
  <c r="G2348" i="3"/>
  <c r="G2350" i="3"/>
  <c r="H2353" i="3"/>
  <c r="G2357" i="3"/>
  <c r="G2360" i="3"/>
  <c r="G2362" i="3"/>
  <c r="G2364" i="3"/>
  <c r="G2366" i="3"/>
  <c r="G2368" i="3"/>
  <c r="G2370" i="3"/>
  <c r="G2372" i="3"/>
  <c r="G2374" i="3"/>
  <c r="G2376" i="3"/>
  <c r="G2378" i="3"/>
  <c r="G2380" i="3"/>
  <c r="G2382" i="3"/>
  <c r="G2384" i="3"/>
  <c r="G2386" i="3"/>
  <c r="G2388" i="3"/>
  <c r="G2390" i="3"/>
  <c r="G2392" i="3"/>
  <c r="G2394" i="3"/>
  <c r="G2396" i="3"/>
  <c r="G2398" i="3"/>
  <c r="G2400" i="3"/>
  <c r="G2402" i="3"/>
  <c r="G2404" i="3"/>
  <c r="G2406" i="3"/>
  <c r="G2408" i="3"/>
  <c r="G2410" i="3"/>
  <c r="G2412" i="3"/>
  <c r="G2415" i="3"/>
  <c r="H2417" i="3"/>
  <c r="G2420" i="3"/>
  <c r="G2423" i="3"/>
  <c r="H2425" i="3"/>
  <c r="G2428" i="3"/>
  <c r="G2431" i="3"/>
  <c r="H2433" i="3"/>
  <c r="F2433" i="3" s="1"/>
  <c r="G2436" i="3"/>
  <c r="G2439" i="3"/>
  <c r="H2441" i="3"/>
  <c r="G2444" i="3"/>
  <c r="G2447" i="3"/>
  <c r="H2449" i="3"/>
  <c r="G2452" i="3"/>
  <c r="G2456" i="3"/>
  <c r="G2458" i="3"/>
  <c r="H2461" i="3"/>
  <c r="G2465" i="3"/>
  <c r="G2472" i="3"/>
  <c r="G2474" i="3"/>
  <c r="G2481" i="3"/>
  <c r="G2490" i="3"/>
  <c r="G2508" i="3"/>
  <c r="G2533" i="3"/>
  <c r="G2545" i="3"/>
  <c r="G2557" i="3"/>
  <c r="G2566" i="3"/>
  <c r="G2569" i="3"/>
  <c r="H1759" i="3"/>
  <c r="H1765" i="3"/>
  <c r="H1771" i="3"/>
  <c r="H1777" i="3"/>
  <c r="H1791" i="3"/>
  <c r="H1797" i="3"/>
  <c r="F1797" i="3" s="1"/>
  <c r="H1803" i="3"/>
  <c r="H1809" i="3"/>
  <c r="H1823" i="3"/>
  <c r="H1829" i="3"/>
  <c r="H1835" i="3"/>
  <c r="F1835" i="3" s="1"/>
  <c r="H1841" i="3"/>
  <c r="F1841" i="3" s="1"/>
  <c r="H1855" i="3"/>
  <c r="H1861" i="3"/>
  <c r="H1867" i="3"/>
  <c r="H1887" i="3"/>
  <c r="H1893" i="3"/>
  <c r="H1902" i="3"/>
  <c r="H1917" i="3"/>
  <c r="H1933" i="3"/>
  <c r="H1939" i="3"/>
  <c r="H1949" i="3"/>
  <c r="H1955" i="3"/>
  <c r="H1965" i="3"/>
  <c r="H1971" i="3"/>
  <c r="H1981" i="3"/>
  <c r="G1986" i="3"/>
  <c r="H1989" i="3"/>
  <c r="G1994" i="3"/>
  <c r="H1997" i="3"/>
  <c r="G2002" i="3"/>
  <c r="H2005" i="3"/>
  <c r="G2010" i="3"/>
  <c r="H2013" i="3"/>
  <c r="G2018" i="3"/>
  <c r="H2021" i="3"/>
  <c r="G2026" i="3"/>
  <c r="H2029" i="3"/>
  <c r="G2034" i="3"/>
  <c r="H2037" i="3"/>
  <c r="G2042" i="3"/>
  <c r="H2045" i="3"/>
  <c r="G2050" i="3"/>
  <c r="H2053" i="3"/>
  <c r="G2058" i="3"/>
  <c r="H2061" i="3"/>
  <c r="G2066" i="3"/>
  <c r="H2069" i="3"/>
  <c r="G2074" i="3"/>
  <c r="H2077" i="3"/>
  <c r="G2082" i="3"/>
  <c r="H2085" i="3"/>
  <c r="G2090" i="3"/>
  <c r="H2093" i="3"/>
  <c r="G2098" i="3"/>
  <c r="H2305" i="3"/>
  <c r="G2312" i="3"/>
  <c r="H2322" i="3"/>
  <c r="G2324" i="3"/>
  <c r="G2332" i="3"/>
  <c r="H2337" i="3"/>
  <c r="H2349" i="3"/>
  <c r="H2358" i="3"/>
  <c r="H2457" i="3"/>
  <c r="H2458" i="3"/>
  <c r="G2468" i="3"/>
  <c r="H2474" i="3"/>
  <c r="G2549" i="3"/>
  <c r="G2561" i="3"/>
  <c r="G2573" i="3"/>
  <c r="G2582" i="3"/>
  <c r="G2585" i="3"/>
  <c r="G33" i="3"/>
  <c r="G37" i="3"/>
  <c r="G41" i="3"/>
  <c r="G45" i="3"/>
  <c r="G49" i="3"/>
  <c r="G53" i="3"/>
  <c r="G57" i="3"/>
  <c r="G61" i="3"/>
  <c r="G65" i="3"/>
  <c r="G69" i="3"/>
  <c r="G73" i="3"/>
  <c r="G77" i="3"/>
  <c r="G81" i="3"/>
  <c r="G85" i="3"/>
  <c r="G89" i="3"/>
  <c r="G93" i="3"/>
  <c r="G97" i="3"/>
  <c r="G101" i="3"/>
  <c r="G105" i="3"/>
  <c r="G109" i="3"/>
  <c r="G113" i="3"/>
  <c r="G117" i="3"/>
  <c r="G121" i="3"/>
  <c r="G125" i="3"/>
  <c r="G129" i="3"/>
  <c r="G133" i="3"/>
  <c r="G137" i="3"/>
  <c r="G141" i="3"/>
  <c r="G145" i="3"/>
  <c r="G149" i="3"/>
  <c r="G153" i="3"/>
  <c r="G157" i="3"/>
  <c r="G161" i="3"/>
  <c r="G165" i="3"/>
  <c r="G169" i="3"/>
  <c r="G173" i="3"/>
  <c r="G177" i="3"/>
  <c r="G181" i="3"/>
  <c r="G185" i="3"/>
  <c r="G189" i="3"/>
  <c r="G193" i="3"/>
  <c r="G197" i="3"/>
  <c r="G201" i="3"/>
  <c r="G203" i="3"/>
  <c r="H204" i="3"/>
  <c r="G207" i="3"/>
  <c r="H208" i="3"/>
  <c r="G211" i="3"/>
  <c r="H212" i="3"/>
  <c r="H417" i="3"/>
  <c r="H433" i="3"/>
  <c r="H449" i="3"/>
  <c r="H465" i="3"/>
  <c r="H481" i="3"/>
  <c r="H497" i="3"/>
  <c r="H513" i="3"/>
  <c r="G34" i="3"/>
  <c r="G38" i="3"/>
  <c r="G42" i="3"/>
  <c r="G46" i="3"/>
  <c r="G50" i="3"/>
  <c r="G54" i="3"/>
  <c r="G58" i="3"/>
  <c r="G62" i="3"/>
  <c r="G66" i="3"/>
  <c r="G70" i="3"/>
  <c r="G74" i="3"/>
  <c r="G78" i="3"/>
  <c r="G82" i="3"/>
  <c r="G86" i="3"/>
  <c r="G90" i="3"/>
  <c r="G94" i="3"/>
  <c r="G98" i="3"/>
  <c r="G102" i="3"/>
  <c r="G106" i="3"/>
  <c r="G110" i="3"/>
  <c r="G114" i="3"/>
  <c r="G118" i="3"/>
  <c r="G122" i="3"/>
  <c r="G126" i="3"/>
  <c r="G130" i="3"/>
  <c r="G134" i="3"/>
  <c r="G138" i="3"/>
  <c r="G142" i="3"/>
  <c r="G146" i="3"/>
  <c r="G150" i="3"/>
  <c r="G154" i="3"/>
  <c r="G158" i="3"/>
  <c r="G162" i="3"/>
  <c r="G166" i="3"/>
  <c r="G170" i="3"/>
  <c r="G174" i="3"/>
  <c r="H175" i="3"/>
  <c r="G178" i="3"/>
  <c r="H179" i="3"/>
  <c r="G182" i="3"/>
  <c r="H183" i="3"/>
  <c r="G186" i="3"/>
  <c r="F186" i="3" s="1"/>
  <c r="G190" i="3"/>
  <c r="F190" i="3" s="1"/>
  <c r="G194" i="3"/>
  <c r="F194" i="3" s="1"/>
  <c r="G198" i="3"/>
  <c r="F198" i="3" s="1"/>
  <c r="G202" i="3"/>
  <c r="G205" i="3"/>
  <c r="G206" i="3"/>
  <c r="G209" i="3"/>
  <c r="G210" i="3"/>
  <c r="G213" i="3"/>
  <c r="H271" i="3"/>
  <c r="H275" i="3"/>
  <c r="H279" i="3"/>
  <c r="H283" i="3"/>
  <c r="H287" i="3"/>
  <c r="H291" i="3"/>
  <c r="H295" i="3"/>
  <c r="H299" i="3"/>
  <c r="H303" i="3"/>
  <c r="H307" i="3"/>
  <c r="H311" i="3"/>
  <c r="H315" i="3"/>
  <c r="H319" i="3"/>
  <c r="H323" i="3"/>
  <c r="H327" i="3"/>
  <c r="H331" i="3"/>
  <c r="H335" i="3"/>
  <c r="H339" i="3"/>
  <c r="H343" i="3"/>
  <c r="H347" i="3"/>
  <c r="H351" i="3"/>
  <c r="H355" i="3"/>
  <c r="H359" i="3"/>
  <c r="H363" i="3"/>
  <c r="H367" i="3"/>
  <c r="H371" i="3"/>
  <c r="H375" i="3"/>
  <c r="H379" i="3"/>
  <c r="H383" i="3"/>
  <c r="H387" i="3"/>
  <c r="H391" i="3"/>
  <c r="H395" i="3"/>
  <c r="H399" i="3"/>
  <c r="H403" i="3"/>
  <c r="H407" i="3"/>
  <c r="H32" i="3"/>
  <c r="H36" i="3"/>
  <c r="H40" i="3"/>
  <c r="H44" i="3"/>
  <c r="H48" i="3"/>
  <c r="H52" i="3"/>
  <c r="H56" i="3"/>
  <c r="H60" i="3"/>
  <c r="H64" i="3"/>
  <c r="H68" i="3"/>
  <c r="H72" i="3"/>
  <c r="H76" i="3"/>
  <c r="H80" i="3"/>
  <c r="H84" i="3"/>
  <c r="H88" i="3"/>
  <c r="H92" i="3"/>
  <c r="H96" i="3"/>
  <c r="H100" i="3"/>
  <c r="H104" i="3"/>
  <c r="H108" i="3"/>
  <c r="H112" i="3"/>
  <c r="H116" i="3"/>
  <c r="H120" i="3"/>
  <c r="H124" i="3"/>
  <c r="H128" i="3"/>
  <c r="H132" i="3"/>
  <c r="H136" i="3"/>
  <c r="H140" i="3"/>
  <c r="H144" i="3"/>
  <c r="H148" i="3"/>
  <c r="H152" i="3"/>
  <c r="H156" i="3"/>
  <c r="H160" i="3"/>
  <c r="H164" i="3"/>
  <c r="H168" i="3"/>
  <c r="H172" i="3"/>
  <c r="H409" i="3"/>
  <c r="H425" i="3"/>
  <c r="H441" i="3"/>
  <c r="H457" i="3"/>
  <c r="H473" i="3"/>
  <c r="H489" i="3"/>
  <c r="H505" i="3"/>
  <c r="H33" i="3"/>
  <c r="H37" i="3"/>
  <c r="H41" i="3"/>
  <c r="H45" i="3"/>
  <c r="H49" i="3"/>
  <c r="H53" i="3"/>
  <c r="H57" i="3"/>
  <c r="H61" i="3"/>
  <c r="H65" i="3"/>
  <c r="H69" i="3"/>
  <c r="H73" i="3"/>
  <c r="H77" i="3"/>
  <c r="H81" i="3"/>
  <c r="H85" i="3"/>
  <c r="H89" i="3"/>
  <c r="H93" i="3"/>
  <c r="H97" i="3"/>
  <c r="H101" i="3"/>
  <c r="H105" i="3"/>
  <c r="H109" i="3"/>
  <c r="H113" i="3"/>
  <c r="H117" i="3"/>
  <c r="H121" i="3"/>
  <c r="H125" i="3"/>
  <c r="H129" i="3"/>
  <c r="H133" i="3"/>
  <c r="H137" i="3"/>
  <c r="H141" i="3"/>
  <c r="H145" i="3"/>
  <c r="H149" i="3"/>
  <c r="H153" i="3"/>
  <c r="H157" i="3"/>
  <c r="H161" i="3"/>
  <c r="H165" i="3"/>
  <c r="H169" i="3"/>
  <c r="H173" i="3"/>
  <c r="H177" i="3"/>
  <c r="H181" i="3"/>
  <c r="H185" i="3"/>
  <c r="G200" i="3"/>
  <c r="H203" i="3"/>
  <c r="H205" i="3"/>
  <c r="H207" i="3"/>
  <c r="H209" i="3"/>
  <c r="H211" i="3"/>
  <c r="H411" i="3"/>
  <c r="H415" i="3"/>
  <c r="H419" i="3"/>
  <c r="H423" i="3"/>
  <c r="H427" i="3"/>
  <c r="H431" i="3"/>
  <c r="H435" i="3"/>
  <c r="H439" i="3"/>
  <c r="H443" i="3"/>
  <c r="H447" i="3"/>
  <c r="H451" i="3"/>
  <c r="H455" i="3"/>
  <c r="H459" i="3"/>
  <c r="H463" i="3"/>
  <c r="H467" i="3"/>
  <c r="H471" i="3"/>
  <c r="H475" i="3"/>
  <c r="H479" i="3"/>
  <c r="H483" i="3"/>
  <c r="H487" i="3"/>
  <c r="H491" i="3"/>
  <c r="H495" i="3"/>
  <c r="H499" i="3"/>
  <c r="H503" i="3"/>
  <c r="H507" i="3"/>
  <c r="H511" i="3"/>
  <c r="H515" i="3"/>
  <c r="H519" i="3"/>
  <c r="H523" i="3"/>
  <c r="H527" i="3"/>
  <c r="H531" i="3"/>
  <c r="H535" i="3"/>
  <c r="H539" i="3"/>
  <c r="H543" i="3"/>
  <c r="H547" i="3"/>
  <c r="H551" i="3"/>
  <c r="H555" i="3"/>
  <c r="H559" i="3"/>
  <c r="H563" i="3"/>
  <c r="H567" i="3"/>
  <c r="H571" i="3"/>
  <c r="H575" i="3"/>
  <c r="H579" i="3"/>
  <c r="H583" i="3"/>
  <c r="H587" i="3"/>
  <c r="H591" i="3"/>
  <c r="H595" i="3"/>
  <c r="H599" i="3"/>
  <c r="H521" i="3"/>
  <c r="H525" i="3"/>
  <c r="H529" i="3"/>
  <c r="H533" i="3"/>
  <c r="H537" i="3"/>
  <c r="H541" i="3"/>
  <c r="H545" i="3"/>
  <c r="H549" i="3"/>
  <c r="H553" i="3"/>
  <c r="H557" i="3"/>
  <c r="H561" i="3"/>
  <c r="H565" i="3"/>
  <c r="H569" i="3"/>
  <c r="H573" i="3"/>
  <c r="H577" i="3"/>
  <c r="H581" i="3"/>
  <c r="H585" i="3"/>
  <c r="H589" i="3"/>
  <c r="H593" i="3"/>
  <c r="H597" i="3"/>
  <c r="H601" i="3"/>
  <c r="G911" i="3"/>
  <c r="H911" i="3"/>
  <c r="G913" i="3"/>
  <c r="H913" i="3"/>
  <c r="G920" i="3"/>
  <c r="H920" i="3"/>
  <c r="G927" i="3"/>
  <c r="H927" i="3"/>
  <c r="G929" i="3"/>
  <c r="H929" i="3"/>
  <c r="G936" i="3"/>
  <c r="H936" i="3"/>
  <c r="G943" i="3"/>
  <c r="H943" i="3"/>
  <c r="G945" i="3"/>
  <c r="H945" i="3"/>
  <c r="G952" i="3"/>
  <c r="H952" i="3"/>
  <c r="G959" i="3"/>
  <c r="H959" i="3"/>
  <c r="G961" i="3"/>
  <c r="H961" i="3"/>
  <c r="G968" i="3"/>
  <c r="H968" i="3"/>
  <c r="G975" i="3"/>
  <c r="H975" i="3"/>
  <c r="G908" i="3"/>
  <c r="H908" i="3"/>
  <c r="G915" i="3"/>
  <c r="H915" i="3"/>
  <c r="G917" i="3"/>
  <c r="H917" i="3"/>
  <c r="G924" i="3"/>
  <c r="H924" i="3"/>
  <c r="G931" i="3"/>
  <c r="H931" i="3"/>
  <c r="G933" i="3"/>
  <c r="H933" i="3"/>
  <c r="G940" i="3"/>
  <c r="H940" i="3"/>
  <c r="G947" i="3"/>
  <c r="H947" i="3"/>
  <c r="G949" i="3"/>
  <c r="H949" i="3"/>
  <c r="G956" i="3"/>
  <c r="H956" i="3"/>
  <c r="G963" i="3"/>
  <c r="H963" i="3"/>
  <c r="G965" i="3"/>
  <c r="H965" i="3"/>
  <c r="G972" i="3"/>
  <c r="H972" i="3"/>
  <c r="H779" i="3"/>
  <c r="H783" i="3"/>
  <c r="H787" i="3"/>
  <c r="H791" i="3"/>
  <c r="H795" i="3"/>
  <c r="H799" i="3"/>
  <c r="H803" i="3"/>
  <c r="H807" i="3"/>
  <c r="H811" i="3"/>
  <c r="H815" i="3"/>
  <c r="H819" i="3"/>
  <c r="H823" i="3"/>
  <c r="H827" i="3"/>
  <c r="H831" i="3"/>
  <c r="H835" i="3"/>
  <c r="H839" i="3"/>
  <c r="H843" i="3"/>
  <c r="H847" i="3"/>
  <c r="H851" i="3"/>
  <c r="H855" i="3"/>
  <c r="H859" i="3"/>
  <c r="H863" i="3"/>
  <c r="H867" i="3"/>
  <c r="H871" i="3"/>
  <c r="H875" i="3"/>
  <c r="H879" i="3"/>
  <c r="H883" i="3"/>
  <c r="H887" i="3"/>
  <c r="H891" i="3"/>
  <c r="H895" i="3"/>
  <c r="H899" i="3"/>
  <c r="H903" i="3"/>
  <c r="G905" i="3"/>
  <c r="H905" i="3"/>
  <c r="G912" i="3"/>
  <c r="H912" i="3"/>
  <c r="G919" i="3"/>
  <c r="H919" i="3"/>
  <c r="G921" i="3"/>
  <c r="H921" i="3"/>
  <c r="G928" i="3"/>
  <c r="H928" i="3"/>
  <c r="G935" i="3"/>
  <c r="H935" i="3"/>
  <c r="G937" i="3"/>
  <c r="H937" i="3"/>
  <c r="G944" i="3"/>
  <c r="H944" i="3"/>
  <c r="G951" i="3"/>
  <c r="H951" i="3"/>
  <c r="G953" i="3"/>
  <c r="H953" i="3"/>
  <c r="G960" i="3"/>
  <c r="H960" i="3"/>
  <c r="G967" i="3"/>
  <c r="H967" i="3"/>
  <c r="G969" i="3"/>
  <c r="H969" i="3"/>
  <c r="G907" i="3"/>
  <c r="H907" i="3"/>
  <c r="G909" i="3"/>
  <c r="H909" i="3"/>
  <c r="G916" i="3"/>
  <c r="H916" i="3"/>
  <c r="G923" i="3"/>
  <c r="H923" i="3"/>
  <c r="G925" i="3"/>
  <c r="H925" i="3"/>
  <c r="G932" i="3"/>
  <c r="H932" i="3"/>
  <c r="G939" i="3"/>
  <c r="H939" i="3"/>
  <c r="G941" i="3"/>
  <c r="H941" i="3"/>
  <c r="G948" i="3"/>
  <c r="H948" i="3"/>
  <c r="G955" i="3"/>
  <c r="H955" i="3"/>
  <c r="G957" i="3"/>
  <c r="H957" i="3"/>
  <c r="G964" i="3"/>
  <c r="H964" i="3"/>
  <c r="G971" i="3"/>
  <c r="H971" i="3"/>
  <c r="G973" i="3"/>
  <c r="H973" i="3"/>
  <c r="G1177" i="3"/>
  <c r="H1177" i="3"/>
  <c r="G1181" i="3"/>
  <c r="H1181" i="3"/>
  <c r="G1185" i="3"/>
  <c r="H1185" i="3"/>
  <c r="G1189" i="3"/>
  <c r="H1189" i="3"/>
  <c r="G1193" i="3"/>
  <c r="H1193" i="3"/>
  <c r="G1197" i="3"/>
  <c r="H1197" i="3"/>
  <c r="G1201" i="3"/>
  <c r="H1201" i="3"/>
  <c r="H2530" i="3"/>
  <c r="G2530" i="3"/>
  <c r="H976" i="3"/>
  <c r="H977" i="3"/>
  <c r="H979" i="3"/>
  <c r="H980" i="3"/>
  <c r="H981" i="3"/>
  <c r="H983" i="3"/>
  <c r="H984" i="3"/>
  <c r="H985" i="3"/>
  <c r="H987" i="3"/>
  <c r="H988" i="3"/>
  <c r="H989" i="3"/>
  <c r="H991" i="3"/>
  <c r="H992" i="3"/>
  <c r="H993" i="3"/>
  <c r="H995" i="3"/>
  <c r="H996" i="3"/>
  <c r="H997" i="3"/>
  <c r="H999" i="3"/>
  <c r="H1000" i="3"/>
  <c r="H1001" i="3"/>
  <c r="H1003" i="3"/>
  <c r="H1004" i="3"/>
  <c r="H1005" i="3"/>
  <c r="H1007" i="3"/>
  <c r="H1008" i="3"/>
  <c r="H1009" i="3"/>
  <c r="H1011" i="3"/>
  <c r="H1012" i="3"/>
  <c r="H1013" i="3"/>
  <c r="H1015" i="3"/>
  <c r="H1016" i="3"/>
  <c r="H1017" i="3"/>
  <c r="H1019" i="3"/>
  <c r="H1020" i="3"/>
  <c r="H1021" i="3"/>
  <c r="H1023" i="3"/>
  <c r="H1024" i="3"/>
  <c r="H1025" i="3"/>
  <c r="H1027" i="3"/>
  <c r="H1028" i="3"/>
  <c r="H1029" i="3"/>
  <c r="H1031" i="3"/>
  <c r="H1032" i="3"/>
  <c r="H1033" i="3"/>
  <c r="H1035" i="3"/>
  <c r="H1036" i="3"/>
  <c r="H1037" i="3"/>
  <c r="H1039" i="3"/>
  <c r="H1040" i="3"/>
  <c r="H1041" i="3"/>
  <c r="H1043" i="3"/>
  <c r="H1044" i="3"/>
  <c r="H1045" i="3"/>
  <c r="H1047" i="3"/>
  <c r="H1048" i="3"/>
  <c r="H1049" i="3"/>
  <c r="H1051" i="3"/>
  <c r="H1052" i="3"/>
  <c r="H1053" i="3"/>
  <c r="H1055" i="3"/>
  <c r="H1056" i="3"/>
  <c r="H1057" i="3"/>
  <c r="H1059" i="3"/>
  <c r="H1060" i="3"/>
  <c r="H1061" i="3"/>
  <c r="H1063" i="3"/>
  <c r="H1064" i="3"/>
  <c r="H1065" i="3"/>
  <c r="H1067" i="3"/>
  <c r="H1068" i="3"/>
  <c r="H1069" i="3"/>
  <c r="H1071" i="3"/>
  <c r="H1072" i="3"/>
  <c r="H1073" i="3"/>
  <c r="H1075" i="3"/>
  <c r="H1076" i="3"/>
  <c r="H1077" i="3"/>
  <c r="H1079" i="3"/>
  <c r="H1080" i="3"/>
  <c r="H1081" i="3"/>
  <c r="H1083" i="3"/>
  <c r="H1084" i="3"/>
  <c r="H1085" i="3"/>
  <c r="H1087" i="3"/>
  <c r="H1088" i="3"/>
  <c r="H1089" i="3"/>
  <c r="H1091" i="3"/>
  <c r="H1092" i="3"/>
  <c r="H1093" i="3"/>
  <c r="H1095" i="3"/>
  <c r="H1096" i="3"/>
  <c r="H1097" i="3"/>
  <c r="H1099" i="3"/>
  <c r="H1100" i="3"/>
  <c r="H1101" i="3"/>
  <c r="H1103" i="3"/>
  <c r="H1104" i="3"/>
  <c r="H1105" i="3"/>
  <c r="H1107" i="3"/>
  <c r="H1108" i="3"/>
  <c r="H1109" i="3"/>
  <c r="H1111" i="3"/>
  <c r="H1112" i="3"/>
  <c r="H1113" i="3"/>
  <c r="H1115" i="3"/>
  <c r="H1116" i="3"/>
  <c r="H1117" i="3"/>
  <c r="H1119" i="3"/>
  <c r="H1120" i="3"/>
  <c r="H1121" i="3"/>
  <c r="H1123" i="3"/>
  <c r="H1124" i="3"/>
  <c r="H1125" i="3"/>
  <c r="H1127" i="3"/>
  <c r="H1128" i="3"/>
  <c r="H1129" i="3"/>
  <c r="H1131" i="3"/>
  <c r="H1132" i="3"/>
  <c r="H1133" i="3"/>
  <c r="H1135" i="3"/>
  <c r="H1136" i="3"/>
  <c r="H1137" i="3"/>
  <c r="H1139" i="3"/>
  <c r="H1140" i="3"/>
  <c r="H1141" i="3"/>
  <c r="H1143" i="3"/>
  <c r="H1144" i="3"/>
  <c r="H1145" i="3"/>
  <c r="H1147" i="3"/>
  <c r="H1148" i="3"/>
  <c r="H1149" i="3"/>
  <c r="H1151" i="3"/>
  <c r="H1152" i="3"/>
  <c r="H1153" i="3"/>
  <c r="H1155" i="3"/>
  <c r="H1156" i="3"/>
  <c r="H1157" i="3"/>
  <c r="H1159" i="3"/>
  <c r="H1160" i="3"/>
  <c r="H1161" i="3"/>
  <c r="H1163" i="3"/>
  <c r="H1164" i="3"/>
  <c r="H1165" i="3"/>
  <c r="H1167" i="3"/>
  <c r="H1168" i="3"/>
  <c r="H1169" i="3"/>
  <c r="H1171" i="3"/>
  <c r="H1172" i="3"/>
  <c r="H1173" i="3"/>
  <c r="H1291" i="3"/>
  <c r="H1307" i="3"/>
  <c r="H1323" i="3"/>
  <c r="H1339" i="3"/>
  <c r="H1355" i="3"/>
  <c r="H1371" i="3"/>
  <c r="H1387" i="3"/>
  <c r="H1403" i="3"/>
  <c r="H1419" i="3"/>
  <c r="H1435" i="3"/>
  <c r="H1451" i="3"/>
  <c r="H1467" i="3"/>
  <c r="H1483" i="3"/>
  <c r="H1205" i="3"/>
  <c r="H1209" i="3"/>
  <c r="H1213" i="3"/>
  <c r="H1217" i="3"/>
  <c r="H1221" i="3"/>
  <c r="H1225" i="3"/>
  <c r="H1229" i="3"/>
  <c r="H1233" i="3"/>
  <c r="H1237" i="3"/>
  <c r="H1241" i="3"/>
  <c r="H1245" i="3"/>
  <c r="H1249" i="3"/>
  <c r="H1253" i="3"/>
  <c r="H1257" i="3"/>
  <c r="H1261" i="3"/>
  <c r="H1265" i="3"/>
  <c r="H1269" i="3"/>
  <c r="H1273" i="3"/>
  <c r="H1277" i="3"/>
  <c r="H1283" i="3"/>
  <c r="H1299" i="3"/>
  <c r="H1315" i="3"/>
  <c r="H1331" i="3"/>
  <c r="H1347" i="3"/>
  <c r="H1907" i="3"/>
  <c r="G1907" i="3"/>
  <c r="G1595" i="3"/>
  <c r="H1595" i="3"/>
  <c r="G1628" i="3"/>
  <c r="H1628" i="3"/>
  <c r="G1632" i="3"/>
  <c r="H1632" i="3"/>
  <c r="G1636" i="3"/>
  <c r="H1636" i="3"/>
  <c r="G1640" i="3"/>
  <c r="H1640" i="3"/>
  <c r="G1644" i="3"/>
  <c r="H1644" i="3"/>
  <c r="G1648" i="3"/>
  <c r="H1648" i="3"/>
  <c r="G1652" i="3"/>
  <c r="H1652" i="3"/>
  <c r="G1656" i="3"/>
  <c r="H1656" i="3"/>
  <c r="G1660" i="3"/>
  <c r="H1660" i="3"/>
  <c r="G1664" i="3"/>
  <c r="H1664" i="3"/>
  <c r="G1668" i="3"/>
  <c r="H1668" i="3"/>
  <c r="H1914" i="3"/>
  <c r="G1914" i="3"/>
  <c r="G1924" i="3"/>
  <c r="H1924" i="3"/>
  <c r="H1927" i="3"/>
  <c r="G1927" i="3"/>
  <c r="H1930" i="3"/>
  <c r="G1930" i="3"/>
  <c r="G1940" i="3"/>
  <c r="H1940" i="3"/>
  <c r="H1946" i="3"/>
  <c r="G1946" i="3"/>
  <c r="G1956" i="3"/>
  <c r="H1956" i="3"/>
  <c r="H1962" i="3"/>
  <c r="G1962" i="3"/>
  <c r="G1972" i="3"/>
  <c r="H1972" i="3"/>
  <c r="H1978" i="3"/>
  <c r="G1978" i="3"/>
  <c r="H1281" i="3"/>
  <c r="H1285" i="3"/>
  <c r="H1289" i="3"/>
  <c r="H1293" i="3"/>
  <c r="H1297" i="3"/>
  <c r="H1301" i="3"/>
  <c r="H1305" i="3"/>
  <c r="H1309" i="3"/>
  <c r="H1313" i="3"/>
  <c r="H1317" i="3"/>
  <c r="H1321" i="3"/>
  <c r="H1325" i="3"/>
  <c r="H1329" i="3"/>
  <c r="H1333" i="3"/>
  <c r="H1337" i="3"/>
  <c r="H1341" i="3"/>
  <c r="H1345" i="3"/>
  <c r="H1349" i="3"/>
  <c r="H1353" i="3"/>
  <c r="H1357" i="3"/>
  <c r="H1361" i="3"/>
  <c r="H1365" i="3"/>
  <c r="H1369" i="3"/>
  <c r="H1373" i="3"/>
  <c r="H1377" i="3"/>
  <c r="H1381" i="3"/>
  <c r="H1385" i="3"/>
  <c r="H1389" i="3"/>
  <c r="H1393" i="3"/>
  <c r="H1397" i="3"/>
  <c r="H1401" i="3"/>
  <c r="H1405" i="3"/>
  <c r="H1409" i="3"/>
  <c r="H1413" i="3"/>
  <c r="H1417" i="3"/>
  <c r="H1421" i="3"/>
  <c r="H1425" i="3"/>
  <c r="H1429" i="3"/>
  <c r="H1433" i="3"/>
  <c r="H1437" i="3"/>
  <c r="H1441" i="3"/>
  <c r="H1445" i="3"/>
  <c r="H1449" i="3"/>
  <c r="H1453" i="3"/>
  <c r="H1457" i="3"/>
  <c r="H1461" i="3"/>
  <c r="H1465" i="3"/>
  <c r="H1469" i="3"/>
  <c r="H1473" i="3"/>
  <c r="H1477" i="3"/>
  <c r="H1481" i="3"/>
  <c r="G1626" i="3"/>
  <c r="F1626" i="3" s="1"/>
  <c r="G1630" i="3"/>
  <c r="G1634" i="3"/>
  <c r="G1638" i="3"/>
  <c r="G1642" i="3"/>
  <c r="F1642" i="3" s="1"/>
  <c r="G1646" i="3"/>
  <c r="G1650" i="3"/>
  <c r="G1654" i="3"/>
  <c r="G1658" i="3"/>
  <c r="G1662" i="3"/>
  <c r="G1666" i="3"/>
  <c r="G1670" i="3"/>
  <c r="H1898" i="3"/>
  <c r="G1898" i="3"/>
  <c r="G1912" i="3"/>
  <c r="H1912" i="3"/>
  <c r="H2562" i="3"/>
  <c r="G2562" i="3"/>
  <c r="G1896" i="3"/>
  <c r="H1896" i="3"/>
  <c r="H1599" i="3"/>
  <c r="H1603" i="3"/>
  <c r="H1607" i="3"/>
  <c r="H1611" i="3"/>
  <c r="H1615" i="3"/>
  <c r="H1619" i="3"/>
  <c r="H1623" i="3"/>
  <c r="G1700" i="3"/>
  <c r="H1700" i="3"/>
  <c r="G1704" i="3"/>
  <c r="H1704" i="3"/>
  <c r="G1708" i="3"/>
  <c r="H1708" i="3"/>
  <c r="G1712" i="3"/>
  <c r="H1712" i="3"/>
  <c r="G1716" i="3"/>
  <c r="H1716" i="3"/>
  <c r="G1720" i="3"/>
  <c r="H1720" i="3"/>
  <c r="G1724" i="3"/>
  <c r="H1724" i="3"/>
  <c r="G1728" i="3"/>
  <c r="H1728" i="3"/>
  <c r="G1732" i="3"/>
  <c r="H1732" i="3"/>
  <c r="H1738" i="3"/>
  <c r="G1738" i="3"/>
  <c r="G1740" i="3"/>
  <c r="H1740" i="3"/>
  <c r="H1746" i="3"/>
  <c r="G1746" i="3"/>
  <c r="G1748" i="3"/>
  <c r="H1748" i="3"/>
  <c r="H1754" i="3"/>
  <c r="G1754" i="3"/>
  <c r="G1756" i="3"/>
  <c r="H1756" i="3"/>
  <c r="H1762" i="3"/>
  <c r="G1762" i="3"/>
  <c r="G1764" i="3"/>
  <c r="H1764" i="3"/>
  <c r="H1770" i="3"/>
  <c r="G1770" i="3"/>
  <c r="G1772" i="3"/>
  <c r="H1772" i="3"/>
  <c r="H1778" i="3"/>
  <c r="G1778" i="3"/>
  <c r="G1780" i="3"/>
  <c r="H1780" i="3"/>
  <c r="H1786" i="3"/>
  <c r="G1786" i="3"/>
  <c r="G1788" i="3"/>
  <c r="H1788" i="3"/>
  <c r="H1794" i="3"/>
  <c r="G1794" i="3"/>
  <c r="G1796" i="3"/>
  <c r="H1796" i="3"/>
  <c r="H1802" i="3"/>
  <c r="G1802" i="3"/>
  <c r="G1804" i="3"/>
  <c r="H1804" i="3"/>
  <c r="H1810" i="3"/>
  <c r="G1810" i="3"/>
  <c r="G1812" i="3"/>
  <c r="H1812" i="3"/>
  <c r="H1818" i="3"/>
  <c r="G1818" i="3"/>
  <c r="G1820" i="3"/>
  <c r="H1820" i="3"/>
  <c r="H1826" i="3"/>
  <c r="G1826" i="3"/>
  <c r="G1828" i="3"/>
  <c r="H1828" i="3"/>
  <c r="H1834" i="3"/>
  <c r="G1834" i="3"/>
  <c r="G1836" i="3"/>
  <c r="H1836" i="3"/>
  <c r="H1842" i="3"/>
  <c r="G1842" i="3"/>
  <c r="G1844" i="3"/>
  <c r="H1844" i="3"/>
  <c r="H1850" i="3"/>
  <c r="G1850" i="3"/>
  <c r="G1852" i="3"/>
  <c r="H1852" i="3"/>
  <c r="H1858" i="3"/>
  <c r="G1858" i="3"/>
  <c r="G1860" i="3"/>
  <c r="H1860" i="3"/>
  <c r="H1866" i="3"/>
  <c r="G1866" i="3"/>
  <c r="G1868" i="3"/>
  <c r="H1868" i="3"/>
  <c r="H1874" i="3"/>
  <c r="G1874" i="3"/>
  <c r="G1876" i="3"/>
  <c r="H1876" i="3"/>
  <c r="H1882" i="3"/>
  <c r="G1882" i="3"/>
  <c r="G1884" i="3"/>
  <c r="H1884" i="3"/>
  <c r="H1890" i="3"/>
  <c r="G1890" i="3"/>
  <c r="G1892" i="3"/>
  <c r="H1892" i="3"/>
  <c r="H1903" i="3"/>
  <c r="G1903" i="3"/>
  <c r="G1908" i="3"/>
  <c r="H1908" i="3"/>
  <c r="H1915" i="3"/>
  <c r="G1915" i="3"/>
  <c r="H1918" i="3"/>
  <c r="G1918" i="3"/>
  <c r="G1928" i="3"/>
  <c r="H1928" i="3"/>
  <c r="H1931" i="3"/>
  <c r="G1931" i="3"/>
  <c r="H1934" i="3"/>
  <c r="G1934" i="3"/>
  <c r="G1944" i="3"/>
  <c r="H1944" i="3"/>
  <c r="H1950" i="3"/>
  <c r="G1950" i="3"/>
  <c r="G1960" i="3"/>
  <c r="H1960" i="3"/>
  <c r="H1966" i="3"/>
  <c r="G1966" i="3"/>
  <c r="G1976" i="3"/>
  <c r="H1976" i="3"/>
  <c r="H2326" i="3"/>
  <c r="G2326" i="3"/>
  <c r="G2528" i="3"/>
  <c r="H2528" i="3"/>
  <c r="G2560" i="3"/>
  <c r="H2560" i="3"/>
  <c r="G2592" i="3"/>
  <c r="H2592" i="3"/>
  <c r="H1672" i="3"/>
  <c r="H1676" i="3"/>
  <c r="H1680" i="3"/>
  <c r="H1684" i="3"/>
  <c r="H1688" i="3"/>
  <c r="H1692" i="3"/>
  <c r="H1696" i="3"/>
  <c r="G1735" i="3"/>
  <c r="F1735" i="3" s="1"/>
  <c r="G1743" i="3"/>
  <c r="G1751" i="3"/>
  <c r="G1759" i="3"/>
  <c r="G1767" i="3"/>
  <c r="G1775" i="3"/>
  <c r="F1775" i="3" s="1"/>
  <c r="G1783" i="3"/>
  <c r="F1783" i="3" s="1"/>
  <c r="G1791" i="3"/>
  <c r="G1799" i="3"/>
  <c r="F1799" i="3" s="1"/>
  <c r="G1807" i="3"/>
  <c r="G1815" i="3"/>
  <c r="G1823" i="3"/>
  <c r="G1831" i="3"/>
  <c r="F1831" i="3" s="1"/>
  <c r="G1839" i="3"/>
  <c r="G1847" i="3"/>
  <c r="G1855" i="3"/>
  <c r="G1863" i="3"/>
  <c r="F1863" i="3" s="1"/>
  <c r="G1871" i="3"/>
  <c r="G1879" i="3"/>
  <c r="G1887" i="3"/>
  <c r="F1887" i="3" s="1"/>
  <c r="G1894" i="3"/>
  <c r="H1899" i="3"/>
  <c r="G1899" i="3"/>
  <c r="G1904" i="3"/>
  <c r="H1904" i="3"/>
  <c r="G1910" i="3"/>
  <c r="G1916" i="3"/>
  <c r="H1916" i="3"/>
  <c r="H1919" i="3"/>
  <c r="G1919" i="3"/>
  <c r="H1922" i="3"/>
  <c r="G1922" i="3"/>
  <c r="G1932" i="3"/>
  <c r="H1932" i="3"/>
  <c r="H1938" i="3"/>
  <c r="G1938" i="3"/>
  <c r="G1948" i="3"/>
  <c r="H1948" i="3"/>
  <c r="H1954" i="3"/>
  <c r="G1954" i="3"/>
  <c r="G1964" i="3"/>
  <c r="H1964" i="3"/>
  <c r="H1970" i="3"/>
  <c r="G1970" i="3"/>
  <c r="G1980" i="3"/>
  <c r="H1980" i="3"/>
  <c r="H2514" i="3"/>
  <c r="G2514" i="3"/>
  <c r="H2546" i="3"/>
  <c r="G2546" i="3"/>
  <c r="H2578" i="3"/>
  <c r="G2578" i="3"/>
  <c r="H1734" i="3"/>
  <c r="G1734" i="3"/>
  <c r="G1736" i="3"/>
  <c r="H1736" i="3"/>
  <c r="H1742" i="3"/>
  <c r="G1742" i="3"/>
  <c r="G1744" i="3"/>
  <c r="H1744" i="3"/>
  <c r="H1750" i="3"/>
  <c r="G1750" i="3"/>
  <c r="G1752" i="3"/>
  <c r="H1752" i="3"/>
  <c r="H1758" i="3"/>
  <c r="G1758" i="3"/>
  <c r="G1760" i="3"/>
  <c r="H1760" i="3"/>
  <c r="H1766" i="3"/>
  <c r="G1766" i="3"/>
  <c r="G1768" i="3"/>
  <c r="H1768" i="3"/>
  <c r="H1774" i="3"/>
  <c r="G1774" i="3"/>
  <c r="G1776" i="3"/>
  <c r="H1776" i="3"/>
  <c r="H1782" i="3"/>
  <c r="G1782" i="3"/>
  <c r="G1784" i="3"/>
  <c r="H1784" i="3"/>
  <c r="H1790" i="3"/>
  <c r="G1790" i="3"/>
  <c r="G1792" i="3"/>
  <c r="H1792" i="3"/>
  <c r="H1798" i="3"/>
  <c r="G1798" i="3"/>
  <c r="G1800" i="3"/>
  <c r="H1800" i="3"/>
  <c r="H1806" i="3"/>
  <c r="G1806" i="3"/>
  <c r="G1808" i="3"/>
  <c r="H1808" i="3"/>
  <c r="H1814" i="3"/>
  <c r="G1814" i="3"/>
  <c r="G1816" i="3"/>
  <c r="H1816" i="3"/>
  <c r="H1822" i="3"/>
  <c r="G1822" i="3"/>
  <c r="G1824" i="3"/>
  <c r="H1824" i="3"/>
  <c r="H1830" i="3"/>
  <c r="G1830" i="3"/>
  <c r="G1832" i="3"/>
  <c r="H1832" i="3"/>
  <c r="H1838" i="3"/>
  <c r="G1838" i="3"/>
  <c r="G1840" i="3"/>
  <c r="H1840" i="3"/>
  <c r="H1846" i="3"/>
  <c r="G1846" i="3"/>
  <c r="G1848" i="3"/>
  <c r="H1848" i="3"/>
  <c r="H1854" i="3"/>
  <c r="G1854" i="3"/>
  <c r="G1856" i="3"/>
  <c r="H1856" i="3"/>
  <c r="H1862" i="3"/>
  <c r="G1862" i="3"/>
  <c r="G1864" i="3"/>
  <c r="H1864" i="3"/>
  <c r="H1870" i="3"/>
  <c r="G1870" i="3"/>
  <c r="G1872" i="3"/>
  <c r="H1872" i="3"/>
  <c r="H1878" i="3"/>
  <c r="G1878" i="3"/>
  <c r="G1880" i="3"/>
  <c r="H1880" i="3"/>
  <c r="H1886" i="3"/>
  <c r="G1886" i="3"/>
  <c r="G1888" i="3"/>
  <c r="H1888" i="3"/>
  <c r="H1895" i="3"/>
  <c r="G1895" i="3"/>
  <c r="G1900" i="3"/>
  <c r="H1900" i="3"/>
  <c r="H1911" i="3"/>
  <c r="G1911" i="3"/>
  <c r="G1920" i="3"/>
  <c r="H1920" i="3"/>
  <c r="H1923" i="3"/>
  <c r="G1923" i="3"/>
  <c r="H1926" i="3"/>
  <c r="G1926" i="3"/>
  <c r="G1936" i="3"/>
  <c r="H1936" i="3"/>
  <c r="H1942" i="3"/>
  <c r="G1942" i="3"/>
  <c r="G1952" i="3"/>
  <c r="H1952" i="3"/>
  <c r="H1958" i="3"/>
  <c r="G1958" i="3"/>
  <c r="G1968" i="3"/>
  <c r="H1968" i="3"/>
  <c r="H1974" i="3"/>
  <c r="G1974" i="3"/>
  <c r="H2314" i="3"/>
  <c r="G2314" i="3"/>
  <c r="G2491" i="3"/>
  <c r="H2491" i="3"/>
  <c r="G2507" i="3"/>
  <c r="H2507" i="3"/>
  <c r="G2512" i="3"/>
  <c r="H2512" i="3"/>
  <c r="G2544" i="3"/>
  <c r="H2544" i="3"/>
  <c r="G2576" i="3"/>
  <c r="H2576" i="3"/>
  <c r="G2503" i="3"/>
  <c r="H2503" i="3"/>
  <c r="G2310" i="3"/>
  <c r="H2346" i="3"/>
  <c r="G2346" i="3"/>
  <c r="G2459" i="3"/>
  <c r="H2459" i="3"/>
  <c r="G2463" i="3"/>
  <c r="H2463" i="3"/>
  <c r="G1935" i="3"/>
  <c r="G1939" i="3"/>
  <c r="G1943" i="3"/>
  <c r="G1947" i="3"/>
  <c r="G1951" i="3"/>
  <c r="G1955" i="3"/>
  <c r="F1955" i="3" s="1"/>
  <c r="G1959" i="3"/>
  <c r="G1963" i="3"/>
  <c r="G1967" i="3"/>
  <c r="G1971" i="3"/>
  <c r="G1975" i="3"/>
  <c r="G1979" i="3"/>
  <c r="G1983" i="3"/>
  <c r="H1983" i="3"/>
  <c r="G1987" i="3"/>
  <c r="H1987" i="3"/>
  <c r="G1991" i="3"/>
  <c r="H1991" i="3"/>
  <c r="G1995" i="3"/>
  <c r="H1995" i="3"/>
  <c r="G1999" i="3"/>
  <c r="H1999" i="3"/>
  <c r="G2003" i="3"/>
  <c r="H2003" i="3"/>
  <c r="G2007" i="3"/>
  <c r="H2007" i="3"/>
  <c r="G2011" i="3"/>
  <c r="H2011" i="3"/>
  <c r="G2015" i="3"/>
  <c r="H2015" i="3"/>
  <c r="G2019" i="3"/>
  <c r="H2019" i="3"/>
  <c r="G2023" i="3"/>
  <c r="H2023" i="3"/>
  <c r="G2027" i="3"/>
  <c r="H2027" i="3"/>
  <c r="G2031" i="3"/>
  <c r="H2031" i="3"/>
  <c r="G2035" i="3"/>
  <c r="H2035" i="3"/>
  <c r="G2039" i="3"/>
  <c r="H2039" i="3"/>
  <c r="G2043" i="3"/>
  <c r="H2043" i="3"/>
  <c r="G2047" i="3"/>
  <c r="H2047" i="3"/>
  <c r="G2051" i="3"/>
  <c r="H2051" i="3"/>
  <c r="G2055" i="3"/>
  <c r="H2055" i="3"/>
  <c r="G2059" i="3"/>
  <c r="H2059" i="3"/>
  <c r="G2063" i="3"/>
  <c r="H2063" i="3"/>
  <c r="G2067" i="3"/>
  <c r="H2067" i="3"/>
  <c r="G2071" i="3"/>
  <c r="H2071" i="3"/>
  <c r="G2075" i="3"/>
  <c r="H2075" i="3"/>
  <c r="G2079" i="3"/>
  <c r="H2079" i="3"/>
  <c r="G2083" i="3"/>
  <c r="H2083" i="3"/>
  <c r="G2087" i="3"/>
  <c r="H2087" i="3"/>
  <c r="G2091" i="3"/>
  <c r="H2091" i="3"/>
  <c r="G2095" i="3"/>
  <c r="H2095" i="3"/>
  <c r="G2099" i="3"/>
  <c r="H2099" i="3"/>
  <c r="H2330" i="3"/>
  <c r="G2330" i="3"/>
  <c r="G2358" i="3"/>
  <c r="G2475" i="3"/>
  <c r="H2475" i="3"/>
  <c r="G2479" i="3"/>
  <c r="H2479" i="3"/>
  <c r="G2499" i="3"/>
  <c r="H2499" i="3"/>
  <c r="G2495" i="3"/>
  <c r="H2495" i="3"/>
  <c r="H1984" i="3"/>
  <c r="H1988" i="3"/>
  <c r="H1992" i="3"/>
  <c r="H1996" i="3"/>
  <c r="H2000" i="3"/>
  <c r="H2004" i="3"/>
  <c r="H2008" i="3"/>
  <c r="H2012" i="3"/>
  <c r="H2016" i="3"/>
  <c r="H2020" i="3"/>
  <c r="H2024" i="3"/>
  <c r="H2028" i="3"/>
  <c r="H2032" i="3"/>
  <c r="H2036" i="3"/>
  <c r="H2040" i="3"/>
  <c r="H2044" i="3"/>
  <c r="H2048" i="3"/>
  <c r="H2052" i="3"/>
  <c r="H2056" i="3"/>
  <c r="H2060" i="3"/>
  <c r="H2064" i="3"/>
  <c r="H2068" i="3"/>
  <c r="H2072" i="3"/>
  <c r="H2076" i="3"/>
  <c r="H2080" i="3"/>
  <c r="H2084" i="3"/>
  <c r="H2088" i="3"/>
  <c r="H2092" i="3"/>
  <c r="H2096" i="3"/>
  <c r="G2304" i="3"/>
  <c r="H2304" i="3"/>
  <c r="G2467" i="3"/>
  <c r="H2467" i="3"/>
  <c r="G2483" i="3"/>
  <c r="H2483" i="3"/>
  <c r="H2510" i="3"/>
  <c r="G2510" i="3"/>
  <c r="H2526" i="3"/>
  <c r="G2526" i="3"/>
  <c r="H2542" i="3"/>
  <c r="G2542" i="3"/>
  <c r="H2558" i="3"/>
  <c r="G2558" i="3"/>
  <c r="H2574" i="3"/>
  <c r="G2574" i="3"/>
  <c r="H2590" i="3"/>
  <c r="G2590" i="3"/>
  <c r="G2455" i="3"/>
  <c r="H2455" i="3"/>
  <c r="G2471" i="3"/>
  <c r="H2471" i="3"/>
  <c r="G2487" i="3"/>
  <c r="H2487" i="3"/>
  <c r="G2524" i="3"/>
  <c r="H2524" i="3"/>
  <c r="G2540" i="3"/>
  <c r="H2540" i="3"/>
  <c r="G2556" i="3"/>
  <c r="H2556" i="3"/>
  <c r="G2572" i="3"/>
  <c r="H2572" i="3"/>
  <c r="G2588" i="3"/>
  <c r="H2588" i="3"/>
  <c r="H2308" i="3"/>
  <c r="H2312" i="3"/>
  <c r="H2316" i="3"/>
  <c r="H2320" i="3"/>
  <c r="H2324" i="3"/>
  <c r="H2328" i="3"/>
  <c r="H2332" i="3"/>
  <c r="H2336" i="3"/>
  <c r="H2340" i="3"/>
  <c r="H2344" i="3"/>
  <c r="H2348" i="3"/>
  <c r="H2352" i="3"/>
  <c r="H2356" i="3"/>
  <c r="G2520" i="3"/>
  <c r="H2520" i="3"/>
  <c r="G2536" i="3"/>
  <c r="H2536" i="3"/>
  <c r="G2552" i="3"/>
  <c r="H2552" i="3"/>
  <c r="G2568" i="3"/>
  <c r="H2568" i="3"/>
  <c r="G2584" i="3"/>
  <c r="H2584" i="3"/>
  <c r="G2516" i="3"/>
  <c r="H2516" i="3"/>
  <c r="G2522" i="3"/>
  <c r="G2532" i="3"/>
  <c r="H2532" i="3"/>
  <c r="G2538" i="3"/>
  <c r="G2548" i="3"/>
  <c r="H2548" i="3"/>
  <c r="G2554" i="3"/>
  <c r="G2564" i="3"/>
  <c r="H2564" i="3"/>
  <c r="G2570" i="3"/>
  <c r="G2580" i="3"/>
  <c r="H2580" i="3"/>
  <c r="G2586" i="3"/>
  <c r="H2456" i="3"/>
  <c r="H2460" i="3"/>
  <c r="H2464" i="3"/>
  <c r="H2468" i="3"/>
  <c r="H2472" i="3"/>
  <c r="H2476" i="3"/>
  <c r="H2480" i="3"/>
  <c r="H2484" i="3"/>
  <c r="H2488" i="3"/>
  <c r="H2492" i="3"/>
  <c r="H2496" i="3"/>
  <c r="H2500" i="3"/>
  <c r="H2504" i="3"/>
  <c r="G2509" i="3"/>
  <c r="G2511" i="3"/>
  <c r="G2515" i="3"/>
  <c r="G2519" i="3"/>
  <c r="G2523" i="3"/>
  <c r="G2527" i="3"/>
  <c r="G2531" i="3"/>
  <c r="G2535" i="3"/>
  <c r="G2539" i="3"/>
  <c r="F2539" i="3" s="1"/>
  <c r="G2543" i="3"/>
  <c r="G2547" i="3"/>
  <c r="G2551" i="3"/>
  <c r="G2555" i="3"/>
  <c r="G2559" i="3"/>
  <c r="G2563" i="3"/>
  <c r="G2567" i="3"/>
  <c r="G2571" i="3"/>
  <c r="G2575" i="3"/>
  <c r="G2579" i="3"/>
  <c r="G2583" i="3"/>
  <c r="G2587" i="3"/>
  <c r="G2591" i="3"/>
  <c r="F2314" i="1"/>
  <c r="I2398" i="1"/>
  <c r="I2047" i="1"/>
  <c r="F2039" i="1"/>
  <c r="F2032" i="1"/>
  <c r="I1987" i="1"/>
  <c r="F1971" i="1"/>
  <c r="I1919" i="1"/>
  <c r="F1911" i="1"/>
  <c r="I1859" i="1"/>
  <c r="F1843" i="1"/>
  <c r="I1791" i="1"/>
  <c r="F1783" i="1"/>
  <c r="F1671" i="1"/>
  <c r="F1491" i="1"/>
  <c r="I1399" i="1"/>
  <c r="F1275" i="1"/>
  <c r="F991" i="1"/>
  <c r="F2562" i="1"/>
  <c r="I2519" i="1"/>
  <c r="I2182" i="1"/>
  <c r="I2590" i="1"/>
  <c r="F2555" i="1"/>
  <c r="I2512" i="1"/>
  <c r="G2512" i="1" s="1"/>
  <c r="I2462" i="1"/>
  <c r="G2462" i="1" s="1"/>
  <c r="I2420" i="1"/>
  <c r="I2382" i="1"/>
  <c r="F2352" i="1"/>
  <c r="G2352" i="1" s="1"/>
  <c r="I2299" i="1"/>
  <c r="H2299" i="1" s="1"/>
  <c r="F2254" i="1"/>
  <c r="I2152" i="1"/>
  <c r="G2152" i="1" s="1"/>
  <c r="F2491" i="1"/>
  <c r="F2367" i="1"/>
  <c r="F10" i="1"/>
  <c r="I2427" i="1"/>
  <c r="I2390" i="1"/>
  <c r="F2307" i="1"/>
  <c r="F2262" i="1"/>
  <c r="F2092" i="1"/>
  <c r="F1612" i="1"/>
  <c r="I16" i="1"/>
  <c r="I2583" i="1"/>
  <c r="F2548" i="1"/>
  <c r="G2548" i="1" s="1"/>
  <c r="F2498" i="1"/>
  <c r="I2455" i="1"/>
  <c r="F2406" i="1"/>
  <c r="F2375" i="1"/>
  <c r="F2322" i="1"/>
  <c r="F2292" i="1"/>
  <c r="H2292" i="1" s="1"/>
  <c r="F2240" i="1"/>
  <c r="G2240" i="1" s="1"/>
  <c r="I2122" i="1"/>
  <c r="G2122" i="1" s="1"/>
  <c r="I2062" i="1"/>
  <c r="F2054" i="1"/>
  <c r="I2002" i="1"/>
  <c r="F1994" i="1"/>
  <c r="I1934" i="1"/>
  <c r="F1926" i="1"/>
  <c r="I1874" i="1"/>
  <c r="F1866" i="1"/>
  <c r="I1806" i="1"/>
  <c r="F1798" i="1"/>
  <c r="F1582" i="1"/>
  <c r="I1522" i="1"/>
  <c r="F1306" i="1"/>
  <c r="F8" i="1"/>
  <c r="F2002" i="1"/>
  <c r="F1791" i="1"/>
  <c r="I2077" i="1"/>
  <c r="F2069" i="1"/>
  <c r="I2017" i="1"/>
  <c r="F2009" i="1"/>
  <c r="I1949" i="1"/>
  <c r="F1941" i="1"/>
  <c r="I1889" i="1"/>
  <c r="F1881" i="1"/>
  <c r="I1821" i="1"/>
  <c r="F1813" i="1"/>
  <c r="F1761" i="1"/>
  <c r="I1701" i="1"/>
  <c r="F1641" i="1"/>
  <c r="F1429" i="1"/>
  <c r="F1337" i="1"/>
  <c r="I1245" i="1"/>
  <c r="I1213" i="1"/>
  <c r="F1117" i="1"/>
  <c r="F14" i="1"/>
  <c r="F6" i="1"/>
  <c r="I1971" i="1"/>
  <c r="I1491" i="1"/>
  <c r="I2092" i="1"/>
  <c r="F2084" i="1"/>
  <c r="I2032" i="1"/>
  <c r="F2024" i="1"/>
  <c r="I1964" i="1"/>
  <c r="F1956" i="1"/>
  <c r="I1904" i="1"/>
  <c r="F1896" i="1"/>
  <c r="I1836" i="1"/>
  <c r="F1828" i="1"/>
  <c r="I1776" i="1"/>
  <c r="I1612" i="1"/>
  <c r="F1552" i="1"/>
  <c r="F1460" i="1"/>
  <c r="I1368" i="1"/>
  <c r="F16" i="1"/>
  <c r="F12" i="1"/>
  <c r="F4" i="1"/>
  <c r="F2062" i="1"/>
  <c r="I1911" i="1"/>
  <c r="F1368" i="1"/>
  <c r="I2521" i="1"/>
  <c r="F2521" i="1"/>
  <c r="F2513" i="1"/>
  <c r="I2513" i="1"/>
  <c r="I2473" i="1"/>
  <c r="F2473" i="1"/>
  <c r="F2465" i="1"/>
  <c r="I2465" i="1"/>
  <c r="I2441" i="1"/>
  <c r="F2441" i="1"/>
  <c r="F2421" i="1"/>
  <c r="I2421" i="1"/>
  <c r="F2405" i="1"/>
  <c r="I2405" i="1"/>
  <c r="F2393" i="1"/>
  <c r="I2393" i="1"/>
  <c r="F2353" i="1"/>
  <c r="I2353" i="1"/>
  <c r="F2349" i="1"/>
  <c r="I2349" i="1"/>
  <c r="F2321" i="1"/>
  <c r="I2321" i="1"/>
  <c r="F2253" i="1"/>
  <c r="I2253" i="1"/>
  <c r="I2241" i="1"/>
  <c r="F2241" i="1"/>
  <c r="F2229" i="1"/>
  <c r="I2229" i="1"/>
  <c r="F2217" i="1"/>
  <c r="I2217" i="1"/>
  <c r="I2209" i="1"/>
  <c r="F2209" i="1"/>
  <c r="F2201" i="1"/>
  <c r="I2201" i="1"/>
  <c r="F2193" i="1"/>
  <c r="I2193" i="1"/>
  <c r="F2181" i="1"/>
  <c r="I2181" i="1"/>
  <c r="F2169" i="1"/>
  <c r="I2169" i="1"/>
  <c r="F2161" i="1"/>
  <c r="I2161" i="1"/>
  <c r="F2153" i="1"/>
  <c r="I2153" i="1"/>
  <c r="F2125" i="1"/>
  <c r="I2125" i="1"/>
  <c r="I2113" i="1"/>
  <c r="F2113" i="1"/>
  <c r="I2109" i="1"/>
  <c r="F2109" i="1"/>
  <c r="F2097" i="1"/>
  <c r="I2097" i="1"/>
  <c r="F2085" i="1"/>
  <c r="I2085" i="1"/>
  <c r="I2081" i="1"/>
  <c r="F2081" i="1"/>
  <c r="F2073" i="1"/>
  <c r="I2073" i="1"/>
  <c r="F2061" i="1"/>
  <c r="I2061" i="1"/>
  <c r="I2049" i="1"/>
  <c r="F2049" i="1"/>
  <c r="F2037" i="1"/>
  <c r="I2037" i="1"/>
  <c r="F2005" i="1"/>
  <c r="I2005" i="1"/>
  <c r="F1997" i="1"/>
  <c r="I1997" i="1"/>
  <c r="I1985" i="1"/>
  <c r="F1985" i="1"/>
  <c r="F1973" i="1"/>
  <c r="I1973" i="1"/>
  <c r="F1961" i="1"/>
  <c r="I1961" i="1"/>
  <c r="F1929" i="1"/>
  <c r="I1929" i="1"/>
  <c r="I1921" i="1"/>
  <c r="F1921" i="1"/>
  <c r="F1909" i="1"/>
  <c r="I1909" i="1"/>
  <c r="F1905" i="1"/>
  <c r="I1905" i="1"/>
  <c r="F1897" i="1"/>
  <c r="I1897" i="1"/>
  <c r="F1873" i="1"/>
  <c r="I1873" i="1"/>
  <c r="F1861" i="1"/>
  <c r="I1861" i="1"/>
  <c r="I1853" i="1"/>
  <c r="F1853" i="1"/>
  <c r="F1845" i="1"/>
  <c r="I1845" i="1"/>
  <c r="F1833" i="1"/>
  <c r="I1833" i="1"/>
  <c r="F1809" i="1"/>
  <c r="I1809" i="1"/>
  <c r="F1797" i="1"/>
  <c r="I1797" i="1"/>
  <c r="I1789" i="1"/>
  <c r="F1789" i="1"/>
  <c r="F1777" i="1"/>
  <c r="I1777" i="1"/>
  <c r="I1769" i="1"/>
  <c r="F1769" i="1"/>
  <c r="F1757" i="1"/>
  <c r="I1757" i="1"/>
  <c r="F1745" i="1"/>
  <c r="I1745" i="1"/>
  <c r="I1733" i="1"/>
  <c r="F1733" i="1"/>
  <c r="F1725" i="1"/>
  <c r="I1725" i="1"/>
  <c r="F1713" i="1"/>
  <c r="I1713" i="1"/>
  <c r="I1705" i="1"/>
  <c r="F1705" i="1"/>
  <c r="F1693" i="1"/>
  <c r="I1693" i="1"/>
  <c r="I1681" i="1"/>
  <c r="F1681" i="1"/>
  <c r="F1669" i="1"/>
  <c r="I1669" i="1"/>
  <c r="F1661" i="1"/>
  <c r="I1661" i="1"/>
  <c r="I1649" i="1"/>
  <c r="F1649" i="1"/>
  <c r="F1637" i="1"/>
  <c r="I1637" i="1"/>
  <c r="F1625" i="1"/>
  <c r="I1625" i="1"/>
  <c r="F1617" i="1"/>
  <c r="I1617" i="1"/>
  <c r="F1609" i="1"/>
  <c r="I1609" i="1"/>
  <c r="F1597" i="1"/>
  <c r="I1597" i="1"/>
  <c r="F1585" i="1"/>
  <c r="I1585" i="1"/>
  <c r="F1577" i="1"/>
  <c r="I1577" i="1"/>
  <c r="F1565" i="1"/>
  <c r="I1565" i="1"/>
  <c r="F1557" i="1"/>
  <c r="I1557" i="1"/>
  <c r="F1549" i="1"/>
  <c r="I1549" i="1"/>
  <c r="I1545" i="1"/>
  <c r="F1545" i="1"/>
  <c r="F1537" i="1"/>
  <c r="I1537" i="1"/>
  <c r="F1529" i="1"/>
  <c r="I1529" i="1"/>
  <c r="F1521" i="1"/>
  <c r="I1521" i="1"/>
  <c r="I1513" i="1"/>
  <c r="F1513" i="1"/>
  <c r="I1505" i="1"/>
  <c r="F1505" i="1"/>
  <c r="I1497" i="1"/>
  <c r="F1497" i="1"/>
  <c r="F1489" i="1"/>
  <c r="I1489" i="1"/>
  <c r="F1481" i="1"/>
  <c r="I1481" i="1"/>
  <c r="F1473" i="1"/>
  <c r="I1473" i="1"/>
  <c r="F1465" i="1"/>
  <c r="I1465" i="1"/>
  <c r="I1457" i="1"/>
  <c r="F1457" i="1"/>
  <c r="F1449" i="1"/>
  <c r="I1449" i="1"/>
  <c r="F1441" i="1"/>
  <c r="I1441" i="1"/>
  <c r="F1437" i="1"/>
  <c r="I1437" i="1"/>
  <c r="F1433" i="1"/>
  <c r="I1433" i="1"/>
  <c r="F1425" i="1"/>
  <c r="I1425" i="1"/>
  <c r="F1417" i="1"/>
  <c r="I1417" i="1"/>
  <c r="F1405" i="1"/>
  <c r="I1405" i="1"/>
  <c r="I1397" i="1"/>
  <c r="F1397" i="1"/>
  <c r="F1385" i="1"/>
  <c r="I1385" i="1"/>
  <c r="F1369" i="1"/>
  <c r="I1369" i="1"/>
  <c r="F1361" i="1"/>
  <c r="I1361" i="1"/>
  <c r="F1349" i="1"/>
  <c r="I1349" i="1"/>
  <c r="I1345" i="1"/>
  <c r="F1345" i="1"/>
  <c r="F1333" i="1"/>
  <c r="I1333" i="1"/>
  <c r="F1325" i="1"/>
  <c r="I1325" i="1"/>
  <c r="F1313" i="1"/>
  <c r="I1313" i="1"/>
  <c r="I1301" i="1"/>
  <c r="F1301" i="1"/>
  <c r="I1289" i="1"/>
  <c r="F1289" i="1"/>
  <c r="F1281" i="1"/>
  <c r="I1281" i="1"/>
  <c r="F1269" i="1"/>
  <c r="I1269" i="1"/>
  <c r="F1233" i="1"/>
  <c r="I1233" i="1"/>
  <c r="F1229" i="1"/>
  <c r="I1229" i="1"/>
  <c r="F1221" i="1"/>
  <c r="I1221" i="1"/>
  <c r="F1201" i="1"/>
  <c r="I1201" i="1"/>
  <c r="F1189" i="1"/>
  <c r="I1189" i="1"/>
  <c r="F1173" i="1"/>
  <c r="I1173" i="1"/>
  <c r="F1161" i="1"/>
  <c r="I1161" i="1"/>
  <c r="F1149" i="1"/>
  <c r="I1149" i="1"/>
  <c r="F1141" i="1"/>
  <c r="I1141" i="1"/>
  <c r="I1129" i="1"/>
  <c r="F1129" i="1"/>
  <c r="F1121" i="1"/>
  <c r="I1121" i="1"/>
  <c r="F1113" i="1"/>
  <c r="I1113" i="1"/>
  <c r="F1101" i="1"/>
  <c r="I1101" i="1"/>
  <c r="F1085" i="1"/>
  <c r="I1085" i="1"/>
  <c r="F1073" i="1"/>
  <c r="I1073" i="1"/>
  <c r="F1061" i="1"/>
  <c r="I1061" i="1"/>
  <c r="F1049" i="1"/>
  <c r="I1049" i="1"/>
  <c r="F1029" i="1"/>
  <c r="I1029" i="1"/>
  <c r="I1017" i="1"/>
  <c r="F1017" i="1"/>
  <c r="F1005" i="1"/>
  <c r="I1005" i="1"/>
  <c r="F993" i="1"/>
  <c r="I993" i="1"/>
  <c r="F985" i="1"/>
  <c r="I985" i="1"/>
  <c r="F973" i="1"/>
  <c r="I973" i="1"/>
  <c r="I961" i="1"/>
  <c r="F961" i="1"/>
  <c r="F949" i="1"/>
  <c r="I949" i="1"/>
  <c r="F945" i="1"/>
  <c r="I945" i="1"/>
  <c r="F929" i="1"/>
  <c r="I929" i="1"/>
  <c r="F921" i="1"/>
  <c r="I921" i="1"/>
  <c r="I909" i="1"/>
  <c r="F909" i="1"/>
  <c r="I893" i="1"/>
  <c r="F893" i="1"/>
  <c r="F881" i="1"/>
  <c r="I881" i="1"/>
  <c r="F869" i="1"/>
  <c r="I869" i="1"/>
  <c r="F857" i="1"/>
  <c r="I857" i="1"/>
  <c r="I845" i="1"/>
  <c r="F845" i="1"/>
  <c r="I833" i="1"/>
  <c r="F833" i="1"/>
  <c r="F821" i="1"/>
  <c r="I821" i="1"/>
  <c r="F809" i="1"/>
  <c r="I809" i="1"/>
  <c r="F797" i="1"/>
  <c r="I797" i="1"/>
  <c r="F785" i="1"/>
  <c r="I785" i="1"/>
  <c r="I773" i="1"/>
  <c r="F773" i="1"/>
  <c r="F761" i="1"/>
  <c r="I761" i="1"/>
  <c r="F741" i="1"/>
  <c r="I741" i="1"/>
  <c r="F729" i="1"/>
  <c r="I729" i="1"/>
  <c r="F721" i="1"/>
  <c r="I721" i="1"/>
  <c r="I709" i="1"/>
  <c r="F709" i="1"/>
  <c r="I701" i="1"/>
  <c r="F701" i="1"/>
  <c r="F689" i="1"/>
  <c r="I689" i="1"/>
  <c r="I677" i="1"/>
  <c r="F677" i="1"/>
  <c r="F665" i="1"/>
  <c r="I665" i="1"/>
  <c r="F653" i="1"/>
  <c r="I653" i="1"/>
  <c r="F641" i="1"/>
  <c r="I641" i="1"/>
  <c r="F629" i="1"/>
  <c r="I629" i="1"/>
  <c r="I617" i="1"/>
  <c r="F617" i="1"/>
  <c r="F609" i="1"/>
  <c r="I609" i="1"/>
  <c r="F597" i="1"/>
  <c r="I597" i="1"/>
  <c r="F585" i="1"/>
  <c r="I585" i="1"/>
  <c r="F569" i="1"/>
  <c r="I569" i="1"/>
  <c r="F557" i="1"/>
  <c r="I557" i="1"/>
  <c r="I545" i="1"/>
  <c r="F545" i="1"/>
  <c r="F541" i="1"/>
  <c r="I541" i="1"/>
  <c r="F529" i="1"/>
  <c r="I529" i="1"/>
  <c r="F513" i="1"/>
  <c r="I513" i="1"/>
  <c r="F501" i="1"/>
  <c r="I501" i="1"/>
  <c r="F493" i="1"/>
  <c r="I493" i="1"/>
  <c r="F481" i="1"/>
  <c r="I481" i="1"/>
  <c r="F465" i="1"/>
  <c r="I465" i="1"/>
  <c r="I453" i="1"/>
  <c r="F453" i="1"/>
  <c r="I441" i="1"/>
  <c r="F441" i="1"/>
  <c r="I429" i="1"/>
  <c r="F429" i="1"/>
  <c r="F417" i="1"/>
  <c r="I417" i="1"/>
  <c r="I409" i="1"/>
  <c r="F409" i="1"/>
  <c r="F397" i="1"/>
  <c r="I397" i="1"/>
  <c r="F385" i="1"/>
  <c r="I385" i="1"/>
  <c r="I373" i="1"/>
  <c r="F373" i="1"/>
  <c r="F361" i="1"/>
  <c r="I361" i="1"/>
  <c r="F353" i="1"/>
  <c r="I353" i="1"/>
  <c r="F341" i="1"/>
  <c r="I341" i="1"/>
  <c r="I329" i="1"/>
  <c r="F329" i="1"/>
  <c r="F317" i="1"/>
  <c r="I317" i="1"/>
  <c r="F305" i="1"/>
  <c r="I305" i="1"/>
  <c r="F297" i="1"/>
  <c r="I297" i="1"/>
  <c r="I289" i="1"/>
  <c r="F289" i="1"/>
  <c r="F277" i="1"/>
  <c r="I277" i="1"/>
  <c r="F265" i="1"/>
  <c r="I265" i="1"/>
  <c r="I257" i="1"/>
  <c r="F257" i="1"/>
  <c r="F245" i="1"/>
  <c r="I245" i="1"/>
  <c r="F233" i="1"/>
  <c r="I233" i="1"/>
  <c r="I221" i="1"/>
  <c r="F221" i="1"/>
  <c r="F213" i="1"/>
  <c r="I213" i="1"/>
  <c r="F201" i="1"/>
  <c r="I201" i="1"/>
  <c r="I189" i="1"/>
  <c r="F189" i="1"/>
  <c r="F177" i="1"/>
  <c r="I177" i="1"/>
  <c r="I165" i="1"/>
  <c r="F165" i="1"/>
  <c r="F153" i="1"/>
  <c r="I153" i="1"/>
  <c r="F145" i="1"/>
  <c r="I145" i="1"/>
  <c r="I137" i="1"/>
  <c r="F137" i="1"/>
  <c r="F125" i="1"/>
  <c r="I125" i="1"/>
  <c r="F113" i="1"/>
  <c r="I113" i="1"/>
  <c r="F101" i="1"/>
  <c r="I101" i="1"/>
  <c r="F89" i="1"/>
  <c r="I89" i="1"/>
  <c r="F77" i="1"/>
  <c r="I77" i="1"/>
  <c r="F69" i="1"/>
  <c r="I69" i="1"/>
  <c r="F57" i="1"/>
  <c r="I57" i="1"/>
  <c r="F45" i="1"/>
  <c r="I45" i="1"/>
  <c r="F33" i="1"/>
  <c r="I33" i="1"/>
  <c r="F21" i="1"/>
  <c r="I21" i="1"/>
  <c r="F9" i="1"/>
  <c r="I9" i="1"/>
  <c r="G9" i="1" s="1"/>
  <c r="F2477" i="1"/>
  <c r="I2469" i="1"/>
  <c r="F2345" i="1"/>
  <c r="I2329" i="1"/>
  <c r="I2269" i="1"/>
  <c r="I1941" i="1"/>
  <c r="I1881" i="1"/>
  <c r="F1245" i="1"/>
  <c r="F2588" i="1"/>
  <c r="I2588" i="1"/>
  <c r="F2584" i="1"/>
  <c r="I2584" i="1"/>
  <c r="F2572" i="1"/>
  <c r="I2572" i="1"/>
  <c r="F2568" i="1"/>
  <c r="I2568" i="1"/>
  <c r="F2556" i="1"/>
  <c r="I2556" i="1"/>
  <c r="F2552" i="1"/>
  <c r="I2552" i="1"/>
  <c r="F2540" i="1"/>
  <c r="I2540" i="1"/>
  <c r="F2536" i="1"/>
  <c r="I2536" i="1"/>
  <c r="F2524" i="1"/>
  <c r="I2524" i="1"/>
  <c r="F2520" i="1"/>
  <c r="I2520" i="1"/>
  <c r="F2508" i="1"/>
  <c r="I2508" i="1"/>
  <c r="F2504" i="1"/>
  <c r="I2504" i="1"/>
  <c r="F2492" i="1"/>
  <c r="I2492" i="1"/>
  <c r="F2488" i="1"/>
  <c r="I2488" i="1"/>
  <c r="F2476" i="1"/>
  <c r="I2476" i="1"/>
  <c r="F2472" i="1"/>
  <c r="I2472" i="1"/>
  <c r="F2460" i="1"/>
  <c r="I2460" i="1"/>
  <c r="F2456" i="1"/>
  <c r="I2456" i="1"/>
  <c r="F2444" i="1"/>
  <c r="I2444" i="1"/>
  <c r="F2440" i="1"/>
  <c r="I2440" i="1"/>
  <c r="F2428" i="1"/>
  <c r="I2428" i="1"/>
  <c r="F2416" i="1"/>
  <c r="I2416" i="1"/>
  <c r="F2412" i="1"/>
  <c r="I2412" i="1"/>
  <c r="F2376" i="1"/>
  <c r="I2376" i="1"/>
  <c r="F2372" i="1"/>
  <c r="I2372" i="1"/>
  <c r="F2368" i="1"/>
  <c r="I2368" i="1"/>
  <c r="F2364" i="1"/>
  <c r="I2364" i="1"/>
  <c r="F2344" i="1"/>
  <c r="I2344" i="1"/>
  <c r="F2340" i="1"/>
  <c r="I2340" i="1"/>
  <c r="F2336" i="1"/>
  <c r="I2336" i="1"/>
  <c r="F2332" i="1"/>
  <c r="I2332" i="1"/>
  <c r="F2312" i="1"/>
  <c r="I2312" i="1"/>
  <c r="F2308" i="1"/>
  <c r="I2308" i="1"/>
  <c r="F2304" i="1"/>
  <c r="I2304" i="1"/>
  <c r="F2300" i="1"/>
  <c r="I2300" i="1"/>
  <c r="F2280" i="1"/>
  <c r="I2280" i="1"/>
  <c r="F2276" i="1"/>
  <c r="I2276" i="1"/>
  <c r="F2272" i="1"/>
  <c r="I2272" i="1"/>
  <c r="F2268" i="1"/>
  <c r="I2268" i="1"/>
  <c r="I2252" i="1"/>
  <c r="F2252" i="1"/>
  <c r="F2248" i="1"/>
  <c r="I2248" i="1"/>
  <c r="F2244" i="1"/>
  <c r="I2244" i="1"/>
  <c r="F2236" i="1"/>
  <c r="I2236" i="1"/>
  <c r="F2232" i="1"/>
  <c r="I2232" i="1"/>
  <c r="F2228" i="1"/>
  <c r="I2228" i="1"/>
  <c r="I2224" i="1"/>
  <c r="F2224" i="1"/>
  <c r="F2216" i="1"/>
  <c r="I2216" i="1"/>
  <c r="F2208" i="1"/>
  <c r="I2208" i="1"/>
  <c r="F2204" i="1"/>
  <c r="I2204" i="1"/>
  <c r="F2200" i="1"/>
  <c r="I2200" i="1"/>
  <c r="F2196" i="1"/>
  <c r="I2196" i="1"/>
  <c r="I2192" i="1"/>
  <c r="F2192" i="1"/>
  <c r="I2188" i="1"/>
  <c r="F2188" i="1"/>
  <c r="F2184" i="1"/>
  <c r="I2184" i="1"/>
  <c r="F2180" i="1"/>
  <c r="I2180" i="1"/>
  <c r="F2176" i="1"/>
  <c r="I2176" i="1"/>
  <c r="F2172" i="1"/>
  <c r="I2172" i="1"/>
  <c r="F2168" i="1"/>
  <c r="I2168" i="1"/>
  <c r="F2164" i="1"/>
  <c r="I2164" i="1"/>
  <c r="I2156" i="1"/>
  <c r="F2156" i="1"/>
  <c r="F2148" i="1"/>
  <c r="I2148" i="1"/>
  <c r="F2144" i="1"/>
  <c r="I2144" i="1"/>
  <c r="F2140" i="1"/>
  <c r="I2140" i="1"/>
  <c r="F2136" i="1"/>
  <c r="I2136" i="1"/>
  <c r="F2132" i="1"/>
  <c r="I2132" i="1"/>
  <c r="I2128" i="1"/>
  <c r="F2128" i="1"/>
  <c r="I2124" i="1"/>
  <c r="F2124" i="1"/>
  <c r="F2120" i="1"/>
  <c r="I2120" i="1"/>
  <c r="F2116" i="1"/>
  <c r="I2116" i="1"/>
  <c r="F2112" i="1"/>
  <c r="I2112" i="1"/>
  <c r="F2108" i="1"/>
  <c r="I2108" i="1"/>
  <c r="F2104" i="1"/>
  <c r="I2104" i="1"/>
  <c r="F2100" i="1"/>
  <c r="I2100" i="1"/>
  <c r="I2096" i="1"/>
  <c r="F2096" i="1"/>
  <c r="F2088" i="1"/>
  <c r="I2088" i="1"/>
  <c r="F2080" i="1"/>
  <c r="I2080" i="1"/>
  <c r="F2076" i="1"/>
  <c r="I2076" i="1"/>
  <c r="F2072" i="1"/>
  <c r="I2072" i="1"/>
  <c r="F2068" i="1"/>
  <c r="I2068" i="1"/>
  <c r="I2064" i="1"/>
  <c r="F2064" i="1"/>
  <c r="I2060" i="1"/>
  <c r="F2060" i="1"/>
  <c r="F2056" i="1"/>
  <c r="I2056" i="1"/>
  <c r="F2052" i="1"/>
  <c r="I2052" i="1"/>
  <c r="F2048" i="1"/>
  <c r="I2048" i="1"/>
  <c r="F2044" i="1"/>
  <c r="I2044" i="1"/>
  <c r="F2040" i="1"/>
  <c r="I2040" i="1"/>
  <c r="F2036" i="1"/>
  <c r="I2036" i="1"/>
  <c r="I2028" i="1"/>
  <c r="F2028" i="1"/>
  <c r="F2020" i="1"/>
  <c r="I2020" i="1"/>
  <c r="F2016" i="1"/>
  <c r="I2016" i="1"/>
  <c r="F2012" i="1"/>
  <c r="I2012" i="1"/>
  <c r="F2008" i="1"/>
  <c r="I2008" i="1"/>
  <c r="F2004" i="1"/>
  <c r="I2004" i="1"/>
  <c r="I2000" i="1"/>
  <c r="F2000" i="1"/>
  <c r="I1996" i="1"/>
  <c r="F1996" i="1"/>
  <c r="F1992" i="1"/>
  <c r="I1992" i="1"/>
  <c r="F1988" i="1"/>
  <c r="I1988" i="1"/>
  <c r="F1984" i="1"/>
  <c r="I1984" i="1"/>
  <c r="F1980" i="1"/>
  <c r="I1980" i="1"/>
  <c r="F1976" i="1"/>
  <c r="I1976" i="1"/>
  <c r="F1972" i="1"/>
  <c r="I1972" i="1"/>
  <c r="I1968" i="1"/>
  <c r="F1968" i="1"/>
  <c r="F1960" i="1"/>
  <c r="I1960" i="1"/>
  <c r="F1952" i="1"/>
  <c r="I1952" i="1"/>
  <c r="F1948" i="1"/>
  <c r="I1948" i="1"/>
  <c r="F1944" i="1"/>
  <c r="I1944" i="1"/>
  <c r="F1940" i="1"/>
  <c r="I1940" i="1"/>
  <c r="I1936" i="1"/>
  <c r="F1936" i="1"/>
  <c r="I1932" i="1"/>
  <c r="F1932" i="1"/>
  <c r="F1928" i="1"/>
  <c r="I1928" i="1"/>
  <c r="F1924" i="1"/>
  <c r="I1924" i="1"/>
  <c r="F1920" i="1"/>
  <c r="I1920" i="1"/>
  <c r="F1916" i="1"/>
  <c r="I1916" i="1"/>
  <c r="F1912" i="1"/>
  <c r="I1912" i="1"/>
  <c r="F1908" i="1"/>
  <c r="I1908" i="1"/>
  <c r="I1900" i="1"/>
  <c r="F1900" i="1"/>
  <c r="F1892" i="1"/>
  <c r="I1892" i="1"/>
  <c r="F1888" i="1"/>
  <c r="I1888" i="1"/>
  <c r="F1884" i="1"/>
  <c r="I1884" i="1"/>
  <c r="F1880" i="1"/>
  <c r="I1880" i="1"/>
  <c r="F1876" i="1"/>
  <c r="I1876" i="1"/>
  <c r="I1872" i="1"/>
  <c r="F1872" i="1"/>
  <c r="I1868" i="1"/>
  <c r="F1868" i="1"/>
  <c r="F1864" i="1"/>
  <c r="I1864" i="1"/>
  <c r="F1860" i="1"/>
  <c r="I1860" i="1"/>
  <c r="F1856" i="1"/>
  <c r="I1856" i="1"/>
  <c r="F1852" i="1"/>
  <c r="I1852" i="1"/>
  <c r="F1848" i="1"/>
  <c r="I1848" i="1"/>
  <c r="F1844" i="1"/>
  <c r="I1844" i="1"/>
  <c r="I1840" i="1"/>
  <c r="F1840" i="1"/>
  <c r="F1832" i="1"/>
  <c r="I1832" i="1"/>
  <c r="F1824" i="1"/>
  <c r="I1824" i="1"/>
  <c r="F1820" i="1"/>
  <c r="I1820" i="1"/>
  <c r="F1816" i="1"/>
  <c r="I1816" i="1"/>
  <c r="F1812" i="1"/>
  <c r="I1812" i="1"/>
  <c r="I1808" i="1"/>
  <c r="F1808" i="1"/>
  <c r="I1804" i="1"/>
  <c r="F1804" i="1"/>
  <c r="F1800" i="1"/>
  <c r="I1800" i="1"/>
  <c r="F1796" i="1"/>
  <c r="I1796" i="1"/>
  <c r="F1792" i="1"/>
  <c r="I1792" i="1"/>
  <c r="F1788" i="1"/>
  <c r="I1788" i="1"/>
  <c r="F1784" i="1"/>
  <c r="I1784" i="1"/>
  <c r="F1780" i="1"/>
  <c r="I1780" i="1"/>
  <c r="I1772" i="1"/>
  <c r="F1772" i="1"/>
  <c r="F1768" i="1"/>
  <c r="I1768" i="1"/>
  <c r="F1764" i="1"/>
  <c r="I1764" i="1"/>
  <c r="F1760" i="1"/>
  <c r="I1760" i="1"/>
  <c r="F1756" i="1"/>
  <c r="I1756" i="1"/>
  <c r="I1752" i="1"/>
  <c r="F1752" i="1"/>
  <c r="I1748" i="1"/>
  <c r="F1748" i="1"/>
  <c r="F1744" i="1"/>
  <c r="I1744" i="1"/>
  <c r="F1740" i="1"/>
  <c r="I1740" i="1"/>
  <c r="F1736" i="1"/>
  <c r="I1736" i="1"/>
  <c r="F1732" i="1"/>
  <c r="I1732" i="1"/>
  <c r="F1728" i="1"/>
  <c r="I1728" i="1"/>
  <c r="F1724" i="1"/>
  <c r="I1724" i="1"/>
  <c r="I1720" i="1"/>
  <c r="F1720" i="1"/>
  <c r="I1716" i="1"/>
  <c r="F1716" i="1"/>
  <c r="F1712" i="1"/>
  <c r="I1712" i="1"/>
  <c r="F1708" i="1"/>
  <c r="I1708" i="1"/>
  <c r="F1704" i="1"/>
  <c r="I1704" i="1"/>
  <c r="F1700" i="1"/>
  <c r="I1700" i="1"/>
  <c r="F1696" i="1"/>
  <c r="I1696" i="1"/>
  <c r="F1692" i="1"/>
  <c r="I1692" i="1"/>
  <c r="I1688" i="1"/>
  <c r="F1688" i="1"/>
  <c r="F1684" i="1"/>
  <c r="I1684" i="1"/>
  <c r="F1680" i="1"/>
  <c r="I1680" i="1"/>
  <c r="F1676" i="1"/>
  <c r="I1676" i="1"/>
  <c r="F1672" i="1"/>
  <c r="I1672" i="1"/>
  <c r="F1668" i="1"/>
  <c r="I1668" i="1"/>
  <c r="I1664" i="1"/>
  <c r="F1664" i="1"/>
  <c r="F1660" i="1"/>
  <c r="I1660" i="1"/>
  <c r="F1656" i="1"/>
  <c r="I1656" i="1"/>
  <c r="F1652" i="1"/>
  <c r="I1652" i="1"/>
  <c r="F1648" i="1"/>
  <c r="I1648" i="1"/>
  <c r="F1644" i="1"/>
  <c r="I1644" i="1"/>
  <c r="I1640" i="1"/>
  <c r="F1640" i="1"/>
  <c r="I1636" i="1"/>
  <c r="F1636" i="1"/>
  <c r="F1632" i="1"/>
  <c r="I1632" i="1"/>
  <c r="F1628" i="1"/>
  <c r="I1628" i="1"/>
  <c r="F1624" i="1"/>
  <c r="I1624" i="1"/>
  <c r="F1620" i="1"/>
  <c r="I1620" i="1"/>
  <c r="I1616" i="1"/>
  <c r="F1616" i="1"/>
  <c r="I1608" i="1"/>
  <c r="F1608" i="1"/>
  <c r="F1604" i="1"/>
  <c r="I1604" i="1"/>
  <c r="F1600" i="1"/>
  <c r="I1600" i="1"/>
  <c r="F1596" i="1"/>
  <c r="I1596" i="1"/>
  <c r="I1592" i="1"/>
  <c r="F1592" i="1"/>
  <c r="I1588" i="1"/>
  <c r="F1588" i="1"/>
  <c r="F1584" i="1"/>
  <c r="I1584" i="1"/>
  <c r="F1580" i="1"/>
  <c r="I1580" i="1"/>
  <c r="F1576" i="1"/>
  <c r="I1576" i="1"/>
  <c r="F1572" i="1"/>
  <c r="I1572" i="1"/>
  <c r="F1568" i="1"/>
  <c r="I1568" i="1"/>
  <c r="F1564" i="1"/>
  <c r="I1564" i="1"/>
  <c r="I1560" i="1"/>
  <c r="F1560" i="1"/>
  <c r="F1556" i="1"/>
  <c r="I1556" i="1"/>
  <c r="F1548" i="1"/>
  <c r="I1548" i="1"/>
  <c r="F1544" i="1"/>
  <c r="I1544" i="1"/>
  <c r="F1540" i="1"/>
  <c r="I1540" i="1"/>
  <c r="I1536" i="1"/>
  <c r="F1536" i="1"/>
  <c r="I1532" i="1"/>
  <c r="F1532" i="1"/>
  <c r="I1528" i="1"/>
  <c r="F1528" i="1"/>
  <c r="I1524" i="1"/>
  <c r="F1524" i="1"/>
  <c r="F1520" i="1"/>
  <c r="I1520" i="1"/>
  <c r="F1516" i="1"/>
  <c r="I1516" i="1"/>
  <c r="F1512" i="1"/>
  <c r="I1512" i="1"/>
  <c r="F1508" i="1"/>
  <c r="I1508" i="1"/>
  <c r="F1504" i="1"/>
  <c r="I1504" i="1"/>
  <c r="F1500" i="1"/>
  <c r="I1500" i="1"/>
  <c r="F1496" i="1"/>
  <c r="I1496" i="1"/>
  <c r="F1492" i="1"/>
  <c r="I1492" i="1"/>
  <c r="F1488" i="1"/>
  <c r="I1488" i="1"/>
  <c r="F1484" i="1"/>
  <c r="I1484" i="1"/>
  <c r="F1480" i="1"/>
  <c r="I1480" i="1"/>
  <c r="F1476" i="1"/>
  <c r="I1476" i="1"/>
  <c r="I1472" i="1"/>
  <c r="F1472" i="1"/>
  <c r="I1468" i="1"/>
  <c r="F1468" i="1"/>
  <c r="F1464" i="1"/>
  <c r="I1464" i="1"/>
  <c r="F1456" i="1"/>
  <c r="I1456" i="1"/>
  <c r="F1452" i="1"/>
  <c r="I1452" i="1"/>
  <c r="F1448" i="1"/>
  <c r="I1448" i="1"/>
  <c r="F1444" i="1"/>
  <c r="I1444" i="1"/>
  <c r="F1440" i="1"/>
  <c r="I1440" i="1"/>
  <c r="F1436" i="1"/>
  <c r="I1436" i="1"/>
  <c r="F1432" i="1"/>
  <c r="I1432" i="1"/>
  <c r="F1428" i="1"/>
  <c r="I1428" i="1"/>
  <c r="I1424" i="1"/>
  <c r="F1424" i="1"/>
  <c r="I1420" i="1"/>
  <c r="F1420" i="1"/>
  <c r="I1416" i="1"/>
  <c r="F1416" i="1"/>
  <c r="I1412" i="1"/>
  <c r="F1412" i="1"/>
  <c r="F1408" i="1"/>
  <c r="I1408" i="1"/>
  <c r="F1404" i="1"/>
  <c r="I1404" i="1"/>
  <c r="F1400" i="1"/>
  <c r="I1400" i="1"/>
  <c r="F1396" i="1"/>
  <c r="I1396" i="1"/>
  <c r="F1392" i="1"/>
  <c r="I1392" i="1"/>
  <c r="F1388" i="1"/>
  <c r="I1388" i="1"/>
  <c r="I1384" i="1"/>
  <c r="F1384" i="1"/>
  <c r="I1380" i="1"/>
  <c r="F1380" i="1"/>
  <c r="I1376" i="1"/>
  <c r="F1376" i="1"/>
  <c r="I1372" i="1"/>
  <c r="F1372" i="1"/>
  <c r="F1364" i="1"/>
  <c r="I1364" i="1"/>
  <c r="F1360" i="1"/>
  <c r="I1360" i="1"/>
  <c r="F1356" i="1"/>
  <c r="I1356" i="1"/>
  <c r="F1352" i="1"/>
  <c r="I1352" i="1"/>
  <c r="F1348" i="1"/>
  <c r="I1348" i="1"/>
  <c r="F1344" i="1"/>
  <c r="I1344" i="1"/>
  <c r="F1340" i="1"/>
  <c r="I1340" i="1"/>
  <c r="F1336" i="1"/>
  <c r="I1336" i="1"/>
  <c r="F1332" i="1"/>
  <c r="I1332" i="1"/>
  <c r="I1328" i="1"/>
  <c r="F1328" i="1"/>
  <c r="I1324" i="1"/>
  <c r="F1324" i="1"/>
  <c r="F1320" i="1"/>
  <c r="I1320" i="1"/>
  <c r="F1316" i="1"/>
  <c r="I1316" i="1"/>
  <c r="F1312" i="1"/>
  <c r="I1312" i="1"/>
  <c r="F1308" i="1"/>
  <c r="I1308" i="1"/>
  <c r="F1304" i="1"/>
  <c r="I1304" i="1"/>
  <c r="F1300" i="1"/>
  <c r="I1300" i="1"/>
  <c r="F1296" i="1"/>
  <c r="I1296" i="1"/>
  <c r="F1292" i="1"/>
  <c r="I1292" i="1"/>
  <c r="F1288" i="1"/>
  <c r="I1288" i="1"/>
  <c r="F1284" i="1"/>
  <c r="I1284" i="1"/>
  <c r="F1280" i="1"/>
  <c r="I1280" i="1"/>
  <c r="F1276" i="1"/>
  <c r="I1276" i="1"/>
  <c r="I1272" i="1"/>
  <c r="F1272" i="1"/>
  <c r="I1268" i="1"/>
  <c r="F1268" i="1"/>
  <c r="F1264" i="1"/>
  <c r="I1264" i="1"/>
  <c r="F1260" i="1"/>
  <c r="I1260" i="1"/>
  <c r="F1256" i="1"/>
  <c r="I1256" i="1"/>
  <c r="F1252" i="1"/>
  <c r="I1252" i="1"/>
  <c r="F1248" i="1"/>
  <c r="I1248" i="1"/>
  <c r="F1244" i="1"/>
  <c r="I1244" i="1"/>
  <c r="F1240" i="1"/>
  <c r="I1240" i="1"/>
  <c r="F1236" i="1"/>
  <c r="I1236" i="1"/>
  <c r="F1232" i="1"/>
  <c r="I1232" i="1"/>
  <c r="F1228" i="1"/>
  <c r="I1228" i="1"/>
  <c r="I1224" i="1"/>
  <c r="F1224" i="1"/>
  <c r="F1220" i="1"/>
  <c r="I1220" i="1"/>
  <c r="F1216" i="1"/>
  <c r="I1216" i="1"/>
  <c r="I1212" i="1"/>
  <c r="F1212" i="1"/>
  <c r="I1208" i="1"/>
  <c r="F1208" i="1"/>
  <c r="I1204" i="1"/>
  <c r="F1204" i="1"/>
  <c r="I1200" i="1"/>
  <c r="F1200" i="1"/>
  <c r="F1196" i="1"/>
  <c r="I1196" i="1"/>
  <c r="F1192" i="1"/>
  <c r="I1192" i="1"/>
  <c r="F1188" i="1"/>
  <c r="I1188" i="1"/>
  <c r="F1184" i="1"/>
  <c r="I1184" i="1"/>
  <c r="F1180" i="1"/>
  <c r="I1180" i="1"/>
  <c r="F1176" i="1"/>
  <c r="I1176" i="1"/>
  <c r="F1172" i="1"/>
  <c r="I1172" i="1"/>
  <c r="F1168" i="1"/>
  <c r="I1168" i="1"/>
  <c r="F1164" i="1"/>
  <c r="I1164" i="1"/>
  <c r="F1160" i="1"/>
  <c r="I1160" i="1"/>
  <c r="F1156" i="1"/>
  <c r="I1156" i="1"/>
  <c r="F1152" i="1"/>
  <c r="I1152" i="1"/>
  <c r="I1148" i="1"/>
  <c r="F1148" i="1"/>
  <c r="I1144" i="1"/>
  <c r="F1144" i="1"/>
  <c r="F1140" i="1"/>
  <c r="I1140" i="1"/>
  <c r="F1136" i="1"/>
  <c r="I1136" i="1"/>
  <c r="F1132" i="1"/>
  <c r="I1132" i="1"/>
  <c r="F1128" i="1"/>
  <c r="I1128" i="1"/>
  <c r="F1124" i="1"/>
  <c r="I1124" i="1"/>
  <c r="F1120" i="1"/>
  <c r="I1120" i="1"/>
  <c r="F1116" i="1"/>
  <c r="I1116" i="1"/>
  <c r="F1112" i="1"/>
  <c r="I1112" i="1"/>
  <c r="I1108" i="1"/>
  <c r="F1108" i="1"/>
  <c r="I1104" i="1"/>
  <c r="F1104" i="1"/>
  <c r="I1100" i="1"/>
  <c r="F1100" i="1"/>
  <c r="I1096" i="1"/>
  <c r="F1096" i="1"/>
  <c r="I1092" i="1"/>
  <c r="F1092" i="1"/>
  <c r="I1088" i="1"/>
  <c r="F1088" i="1"/>
  <c r="I1084" i="1"/>
  <c r="F1084" i="1"/>
  <c r="I1080" i="1"/>
  <c r="F1080" i="1"/>
  <c r="I1076" i="1"/>
  <c r="F1076" i="1"/>
  <c r="F1072" i="1"/>
  <c r="I1072" i="1"/>
  <c r="F1068" i="1"/>
  <c r="I1068" i="1"/>
  <c r="F1064" i="1"/>
  <c r="I1064" i="1"/>
  <c r="F1060" i="1"/>
  <c r="I1060" i="1"/>
  <c r="F1056" i="1"/>
  <c r="I1056" i="1"/>
  <c r="F1052" i="1"/>
  <c r="I1052" i="1"/>
  <c r="F1048" i="1"/>
  <c r="I1048" i="1"/>
  <c r="F1044" i="1"/>
  <c r="I1044" i="1"/>
  <c r="F1040" i="1"/>
  <c r="I1040" i="1"/>
  <c r="F1036" i="1"/>
  <c r="I1036" i="1"/>
  <c r="F1032" i="1"/>
  <c r="I1032" i="1"/>
  <c r="F1028" i="1"/>
  <c r="I1028" i="1"/>
  <c r="F1024" i="1"/>
  <c r="I1024" i="1"/>
  <c r="F1020" i="1"/>
  <c r="I1020" i="1"/>
  <c r="F1016" i="1"/>
  <c r="I1016" i="1"/>
  <c r="F1012" i="1"/>
  <c r="I1012" i="1"/>
  <c r="F1008" i="1"/>
  <c r="I1008" i="1"/>
  <c r="F1004" i="1"/>
  <c r="I1004" i="1"/>
  <c r="F1000" i="1"/>
  <c r="I1000" i="1"/>
  <c r="F996" i="1"/>
  <c r="I996" i="1"/>
  <c r="F992" i="1"/>
  <c r="I992" i="1"/>
  <c r="F988" i="1"/>
  <c r="I988" i="1"/>
  <c r="I984" i="1"/>
  <c r="F984" i="1"/>
  <c r="I980" i="1"/>
  <c r="F980" i="1"/>
  <c r="I976" i="1"/>
  <c r="F976" i="1"/>
  <c r="F972" i="1"/>
  <c r="I972" i="1"/>
  <c r="F968" i="1"/>
  <c r="I968" i="1"/>
  <c r="F964" i="1"/>
  <c r="I964" i="1"/>
  <c r="F960" i="1"/>
  <c r="I960" i="1"/>
  <c r="F956" i="1"/>
  <c r="I956" i="1"/>
  <c r="F952" i="1"/>
  <c r="I952" i="1"/>
  <c r="F948" i="1"/>
  <c r="I948" i="1"/>
  <c r="F944" i="1"/>
  <c r="I944" i="1"/>
  <c r="I940" i="1"/>
  <c r="F940" i="1"/>
  <c r="I936" i="1"/>
  <c r="F936" i="1"/>
  <c r="I932" i="1"/>
  <c r="F932" i="1"/>
  <c r="I928" i="1"/>
  <c r="F928" i="1"/>
  <c r="I924" i="1"/>
  <c r="F924" i="1"/>
  <c r="F920" i="1"/>
  <c r="I920" i="1"/>
  <c r="F916" i="1"/>
  <c r="I916" i="1"/>
  <c r="F912" i="1"/>
  <c r="I912" i="1"/>
  <c r="F908" i="1"/>
  <c r="I908" i="1"/>
  <c r="F904" i="1"/>
  <c r="I904" i="1"/>
  <c r="F900" i="1"/>
  <c r="I900" i="1"/>
  <c r="F896" i="1"/>
  <c r="I896" i="1"/>
  <c r="F892" i="1"/>
  <c r="I892" i="1"/>
  <c r="F888" i="1"/>
  <c r="I888" i="1"/>
  <c r="F884" i="1"/>
  <c r="I884" i="1"/>
  <c r="F880" i="1"/>
  <c r="I880" i="1"/>
  <c r="I876" i="1"/>
  <c r="F876" i="1"/>
  <c r="I872" i="1"/>
  <c r="F872" i="1"/>
  <c r="I868" i="1"/>
  <c r="F868" i="1"/>
  <c r="I864" i="1"/>
  <c r="F864" i="1"/>
  <c r="I860" i="1"/>
  <c r="F860" i="1"/>
  <c r="F856" i="1"/>
  <c r="I856" i="1"/>
  <c r="F852" i="1"/>
  <c r="I852" i="1"/>
  <c r="F848" i="1"/>
  <c r="I848" i="1"/>
  <c r="F844" i="1"/>
  <c r="I844" i="1"/>
  <c r="F840" i="1"/>
  <c r="I840" i="1"/>
  <c r="F836" i="1"/>
  <c r="I836" i="1"/>
  <c r="F832" i="1"/>
  <c r="I832" i="1"/>
  <c r="F828" i="1"/>
  <c r="I828" i="1"/>
  <c r="F824" i="1"/>
  <c r="I824" i="1"/>
  <c r="F820" i="1"/>
  <c r="I820" i="1"/>
  <c r="F816" i="1"/>
  <c r="I816" i="1"/>
  <c r="I812" i="1"/>
  <c r="F812" i="1"/>
  <c r="I808" i="1"/>
  <c r="F808" i="1"/>
  <c r="I804" i="1"/>
  <c r="F804" i="1"/>
  <c r="I800" i="1"/>
  <c r="F800" i="1"/>
  <c r="I796" i="1"/>
  <c r="F796" i="1"/>
  <c r="F792" i="1"/>
  <c r="I792" i="1"/>
  <c r="F788" i="1"/>
  <c r="I788" i="1"/>
  <c r="F784" i="1"/>
  <c r="I784" i="1"/>
  <c r="F780" i="1"/>
  <c r="I780" i="1"/>
  <c r="F776" i="1"/>
  <c r="I776" i="1"/>
  <c r="F772" i="1"/>
  <c r="I772" i="1"/>
  <c r="F768" i="1"/>
  <c r="I768" i="1"/>
  <c r="F764" i="1"/>
  <c r="I764" i="1"/>
  <c r="F760" i="1"/>
  <c r="I760" i="1"/>
  <c r="F756" i="1"/>
  <c r="I756" i="1"/>
  <c r="F752" i="1"/>
  <c r="I752" i="1"/>
  <c r="I748" i="1"/>
  <c r="F748" i="1"/>
  <c r="I744" i="1"/>
  <c r="F744" i="1"/>
  <c r="F2589" i="1"/>
  <c r="I2581" i="1"/>
  <c r="I2574" i="1"/>
  <c r="I2567" i="1"/>
  <c r="I2560" i="1"/>
  <c r="F2546" i="1"/>
  <c r="F2539" i="1"/>
  <c r="H2539" i="1" s="1"/>
  <c r="F2532" i="1"/>
  <c r="H2532" i="1" s="1"/>
  <c r="F2525" i="1"/>
  <c r="I2517" i="1"/>
  <c r="I2510" i="1"/>
  <c r="I2503" i="1"/>
  <c r="I2496" i="1"/>
  <c r="F2482" i="1"/>
  <c r="F2475" i="1"/>
  <c r="F2468" i="1"/>
  <c r="F2461" i="1"/>
  <c r="I2453" i="1"/>
  <c r="I2446" i="1"/>
  <c r="I2439" i="1"/>
  <c r="I2432" i="1"/>
  <c r="G2432" i="1" s="1"/>
  <c r="I2425" i="1"/>
  <c r="I2418" i="1"/>
  <c r="I2411" i="1"/>
  <c r="F2404" i="1"/>
  <c r="H2404" i="1" s="1"/>
  <c r="I2396" i="1"/>
  <c r="I2388" i="1"/>
  <c r="H2388" i="1" s="1"/>
  <c r="I2380" i="1"/>
  <c r="F2373" i="1"/>
  <c r="I2365" i="1"/>
  <c r="F2358" i="1"/>
  <c r="F2343" i="1"/>
  <c r="F2335" i="1"/>
  <c r="F2328" i="1"/>
  <c r="G2328" i="1" s="1"/>
  <c r="F2320" i="1"/>
  <c r="G2320" i="1" s="1"/>
  <c r="F2313" i="1"/>
  <c r="F2305" i="1"/>
  <c r="I2297" i="1"/>
  <c r="F2290" i="1"/>
  <c r="I2282" i="1"/>
  <c r="F2275" i="1"/>
  <c r="I2267" i="1"/>
  <c r="F2260" i="1"/>
  <c r="G2260" i="1" s="1"/>
  <c r="F2205" i="1"/>
  <c r="F2175" i="1"/>
  <c r="F2145" i="1"/>
  <c r="F2115" i="1"/>
  <c r="I2084" i="1"/>
  <c r="I2054" i="1"/>
  <c r="I2024" i="1"/>
  <c r="I1994" i="1"/>
  <c r="F1964" i="1"/>
  <c r="F1934" i="1"/>
  <c r="F1904" i="1"/>
  <c r="F1874" i="1"/>
  <c r="I1843" i="1"/>
  <c r="I1813" i="1"/>
  <c r="I1783" i="1"/>
  <c r="F1701" i="1"/>
  <c r="I1582" i="1"/>
  <c r="I1460" i="1"/>
  <c r="I1337" i="1"/>
  <c r="F1213" i="1"/>
  <c r="F2593" i="1"/>
  <c r="I2593" i="1"/>
  <c r="I2585" i="1"/>
  <c r="F2585" i="1"/>
  <c r="F2577" i="1"/>
  <c r="I2577" i="1"/>
  <c r="I2553" i="1"/>
  <c r="F2553" i="1"/>
  <c r="I2505" i="1"/>
  <c r="F2505" i="1"/>
  <c r="F2497" i="1"/>
  <c r="I2497" i="1"/>
  <c r="I2489" i="1"/>
  <c r="F2489" i="1"/>
  <c r="F2433" i="1"/>
  <c r="I2433" i="1"/>
  <c r="F2397" i="1"/>
  <c r="I2397" i="1"/>
  <c r="F2385" i="1"/>
  <c r="I2385" i="1"/>
  <c r="F2357" i="1"/>
  <c r="I2357" i="1"/>
  <c r="F2289" i="1"/>
  <c r="I2289" i="1"/>
  <c r="F2261" i="1"/>
  <c r="I2261" i="1"/>
  <c r="F2249" i="1"/>
  <c r="I2249" i="1"/>
  <c r="I2237" i="1"/>
  <c r="F2237" i="1"/>
  <c r="F2221" i="1"/>
  <c r="I2221" i="1"/>
  <c r="F2189" i="1"/>
  <c r="I2189" i="1"/>
  <c r="I2177" i="1"/>
  <c r="F2177" i="1"/>
  <c r="F2133" i="1"/>
  <c r="I2133" i="1"/>
  <c r="F2117" i="1"/>
  <c r="I2117" i="1"/>
  <c r="F2101" i="1"/>
  <c r="I2101" i="1"/>
  <c r="F2089" i="1"/>
  <c r="I2089" i="1"/>
  <c r="F2053" i="1"/>
  <c r="I2053" i="1"/>
  <c r="F2041" i="1"/>
  <c r="I2041" i="1"/>
  <c r="F2029" i="1"/>
  <c r="I2029" i="1"/>
  <c r="F1993" i="1"/>
  <c r="I1993" i="1"/>
  <c r="I1981" i="1"/>
  <c r="F1981" i="1"/>
  <c r="F1969" i="1"/>
  <c r="I1969" i="1"/>
  <c r="F1937" i="1"/>
  <c r="I1937" i="1"/>
  <c r="I1917" i="1"/>
  <c r="F1917" i="1"/>
  <c r="F1865" i="1"/>
  <c r="I1865" i="1"/>
  <c r="F1801" i="1"/>
  <c r="I1801" i="1"/>
  <c r="F1785" i="1"/>
  <c r="I1785" i="1"/>
  <c r="F1749" i="1"/>
  <c r="I1749" i="1"/>
  <c r="I1737" i="1"/>
  <c r="F1737" i="1"/>
  <c r="F1721" i="1"/>
  <c r="I1721" i="1"/>
  <c r="F1689" i="1"/>
  <c r="I1689" i="1"/>
  <c r="I1677" i="1"/>
  <c r="F1677" i="1"/>
  <c r="F1665" i="1"/>
  <c r="I1665" i="1"/>
  <c r="I1653" i="1"/>
  <c r="F1653" i="1"/>
  <c r="F1645" i="1"/>
  <c r="I1645" i="1"/>
  <c r="I1629" i="1"/>
  <c r="F1629" i="1"/>
  <c r="I1601" i="1"/>
  <c r="F1601" i="1"/>
  <c r="I1401" i="1"/>
  <c r="F1401" i="1"/>
  <c r="F1389" i="1"/>
  <c r="I1389" i="1"/>
  <c r="F1377" i="1"/>
  <c r="I1377" i="1"/>
  <c r="F1357" i="1"/>
  <c r="I1357" i="1"/>
  <c r="F1321" i="1"/>
  <c r="I1321" i="1"/>
  <c r="F1305" i="1"/>
  <c r="I1305" i="1"/>
  <c r="I1293" i="1"/>
  <c r="F1293" i="1"/>
  <c r="F1273" i="1"/>
  <c r="I1273" i="1"/>
  <c r="F1261" i="1"/>
  <c r="I1261" i="1"/>
  <c r="I1253" i="1"/>
  <c r="F1253" i="1"/>
  <c r="I1241" i="1"/>
  <c r="F1241" i="1"/>
  <c r="I1205" i="1"/>
  <c r="F1205" i="1"/>
  <c r="F1193" i="1"/>
  <c r="I1193" i="1"/>
  <c r="I1181" i="1"/>
  <c r="F1181" i="1"/>
  <c r="F1169" i="1"/>
  <c r="I1169" i="1"/>
  <c r="F1157" i="1"/>
  <c r="I1157" i="1"/>
  <c r="F1137" i="1"/>
  <c r="I1137" i="1"/>
  <c r="F1105" i="1"/>
  <c r="I1105" i="1"/>
  <c r="F1093" i="1"/>
  <c r="I1093" i="1"/>
  <c r="F1081" i="1"/>
  <c r="I1081" i="1"/>
  <c r="F1069" i="1"/>
  <c r="I1069" i="1"/>
  <c r="F1057" i="1"/>
  <c r="I1057" i="1"/>
  <c r="F1045" i="1"/>
  <c r="I1045" i="1"/>
  <c r="F1037" i="1"/>
  <c r="I1037" i="1"/>
  <c r="F1025" i="1"/>
  <c r="I1025" i="1"/>
  <c r="I1013" i="1"/>
  <c r="F1013" i="1"/>
  <c r="F997" i="1"/>
  <c r="I997" i="1"/>
  <c r="F981" i="1"/>
  <c r="I981" i="1"/>
  <c r="F965" i="1"/>
  <c r="I965" i="1"/>
  <c r="F953" i="1"/>
  <c r="I953" i="1"/>
  <c r="I937" i="1"/>
  <c r="F937" i="1"/>
  <c r="F925" i="1"/>
  <c r="I925" i="1"/>
  <c r="F913" i="1"/>
  <c r="I913" i="1"/>
  <c r="I901" i="1"/>
  <c r="F901" i="1"/>
  <c r="F889" i="1"/>
  <c r="I889" i="1"/>
  <c r="F877" i="1"/>
  <c r="I877" i="1"/>
  <c r="F865" i="1"/>
  <c r="I865" i="1"/>
  <c r="F853" i="1"/>
  <c r="I853" i="1"/>
  <c r="I841" i="1"/>
  <c r="F841" i="1"/>
  <c r="I829" i="1"/>
  <c r="F829" i="1"/>
  <c r="F817" i="1"/>
  <c r="I817" i="1"/>
  <c r="F805" i="1"/>
  <c r="I805" i="1"/>
  <c r="F793" i="1"/>
  <c r="I793" i="1"/>
  <c r="I781" i="1"/>
  <c r="F781" i="1"/>
  <c r="I769" i="1"/>
  <c r="F769" i="1"/>
  <c r="F757" i="1"/>
  <c r="I757" i="1"/>
  <c r="F749" i="1"/>
  <c r="I749" i="1"/>
  <c r="F733" i="1"/>
  <c r="I733" i="1"/>
  <c r="I717" i="1"/>
  <c r="F717" i="1"/>
  <c r="F705" i="1"/>
  <c r="I705" i="1"/>
  <c r="F693" i="1"/>
  <c r="I693" i="1"/>
  <c r="I681" i="1"/>
  <c r="F681" i="1"/>
  <c r="I669" i="1"/>
  <c r="F669" i="1"/>
  <c r="F657" i="1"/>
  <c r="I657" i="1"/>
  <c r="F645" i="1"/>
  <c r="I645" i="1"/>
  <c r="I637" i="1"/>
  <c r="F637" i="1"/>
  <c r="F625" i="1"/>
  <c r="I625" i="1"/>
  <c r="F613" i="1"/>
  <c r="I613" i="1"/>
  <c r="F601" i="1"/>
  <c r="I601" i="1"/>
  <c r="F589" i="1"/>
  <c r="I589" i="1"/>
  <c r="F577" i="1"/>
  <c r="I577" i="1"/>
  <c r="F565" i="1"/>
  <c r="I565" i="1"/>
  <c r="I553" i="1"/>
  <c r="F553" i="1"/>
  <c r="F533" i="1"/>
  <c r="I533" i="1"/>
  <c r="I521" i="1"/>
  <c r="F521" i="1"/>
  <c r="F509" i="1"/>
  <c r="I509" i="1"/>
  <c r="F497" i="1"/>
  <c r="I497" i="1"/>
  <c r="I485" i="1"/>
  <c r="F485" i="1"/>
  <c r="F473" i="1"/>
  <c r="I473" i="1"/>
  <c r="F461" i="1"/>
  <c r="I461" i="1"/>
  <c r="F449" i="1"/>
  <c r="I449" i="1"/>
  <c r="I437" i="1"/>
  <c r="F437" i="1"/>
  <c r="F425" i="1"/>
  <c r="I425" i="1"/>
  <c r="F413" i="1"/>
  <c r="I413" i="1"/>
  <c r="F401" i="1"/>
  <c r="I401" i="1"/>
  <c r="F389" i="1"/>
  <c r="I389" i="1"/>
  <c r="I377" i="1"/>
  <c r="F377" i="1"/>
  <c r="F365" i="1"/>
  <c r="I365" i="1"/>
  <c r="F349" i="1"/>
  <c r="I349" i="1"/>
  <c r="F333" i="1"/>
  <c r="I333" i="1"/>
  <c r="F321" i="1"/>
  <c r="I321" i="1"/>
  <c r="F309" i="1"/>
  <c r="I309" i="1"/>
  <c r="F293" i="1"/>
  <c r="I293" i="1"/>
  <c r="F281" i="1"/>
  <c r="I281" i="1"/>
  <c r="F269" i="1"/>
  <c r="I269" i="1"/>
  <c r="I253" i="1"/>
  <c r="F253" i="1"/>
  <c r="F241" i="1"/>
  <c r="I241" i="1"/>
  <c r="F229" i="1"/>
  <c r="I229" i="1"/>
  <c r="F217" i="1"/>
  <c r="I217" i="1"/>
  <c r="F205" i="1"/>
  <c r="I205" i="1"/>
  <c r="I193" i="1"/>
  <c r="F193" i="1"/>
  <c r="F181" i="1"/>
  <c r="I181" i="1"/>
  <c r="I169" i="1"/>
  <c r="F169" i="1"/>
  <c r="F157" i="1"/>
  <c r="I157" i="1"/>
  <c r="F149" i="1"/>
  <c r="I149" i="1"/>
  <c r="I133" i="1"/>
  <c r="F133" i="1"/>
  <c r="F121" i="1"/>
  <c r="I121" i="1"/>
  <c r="F105" i="1"/>
  <c r="I105" i="1"/>
  <c r="F93" i="1"/>
  <c r="I93" i="1"/>
  <c r="F81" i="1"/>
  <c r="I81" i="1"/>
  <c r="F65" i="1"/>
  <c r="I65" i="1"/>
  <c r="F53" i="1"/>
  <c r="I53" i="1"/>
  <c r="F41" i="1"/>
  <c r="I41" i="1"/>
  <c r="F29" i="1"/>
  <c r="I29" i="1"/>
  <c r="F17" i="1"/>
  <c r="I17" i="1"/>
  <c r="F5" i="1"/>
  <c r="I5" i="1"/>
  <c r="G5" i="1" s="1"/>
  <c r="I2413" i="1"/>
  <c r="F2591" i="1"/>
  <c r="I2591" i="1"/>
  <c r="F2579" i="1"/>
  <c r="I2579" i="1"/>
  <c r="F2575" i="1"/>
  <c r="I2575" i="1"/>
  <c r="F2563" i="1"/>
  <c r="I2563" i="1"/>
  <c r="F2559" i="1"/>
  <c r="I2559" i="1"/>
  <c r="F2547" i="1"/>
  <c r="I2547" i="1"/>
  <c r="F2543" i="1"/>
  <c r="I2543" i="1"/>
  <c r="F2531" i="1"/>
  <c r="I2531" i="1"/>
  <c r="F2527" i="1"/>
  <c r="I2527" i="1"/>
  <c r="F2515" i="1"/>
  <c r="I2515" i="1"/>
  <c r="F2511" i="1"/>
  <c r="I2511" i="1"/>
  <c r="F2499" i="1"/>
  <c r="I2499" i="1"/>
  <c r="F2495" i="1"/>
  <c r="I2495" i="1"/>
  <c r="F2483" i="1"/>
  <c r="I2483" i="1"/>
  <c r="F2479" i="1"/>
  <c r="I2479" i="1"/>
  <c r="F2467" i="1"/>
  <c r="I2467" i="1"/>
  <c r="F2463" i="1"/>
  <c r="I2463" i="1"/>
  <c r="F2451" i="1"/>
  <c r="I2451" i="1"/>
  <c r="F2447" i="1"/>
  <c r="I2447" i="1"/>
  <c r="F2435" i="1"/>
  <c r="I2435" i="1"/>
  <c r="F2423" i="1"/>
  <c r="I2423" i="1"/>
  <c r="F2419" i="1"/>
  <c r="I2419" i="1"/>
  <c r="F2407" i="1"/>
  <c r="I2407" i="1"/>
  <c r="F2403" i="1"/>
  <c r="I2403" i="1"/>
  <c r="F2399" i="1"/>
  <c r="I2399" i="1"/>
  <c r="F2395" i="1"/>
  <c r="I2395" i="1"/>
  <c r="F2391" i="1"/>
  <c r="I2391" i="1"/>
  <c r="F2387" i="1"/>
  <c r="I2387" i="1"/>
  <c r="F2383" i="1"/>
  <c r="I2383" i="1"/>
  <c r="F2379" i="1"/>
  <c r="I2379" i="1"/>
  <c r="F2359" i="1"/>
  <c r="I2359" i="1"/>
  <c r="F2355" i="1"/>
  <c r="I2355" i="1"/>
  <c r="F2351" i="1"/>
  <c r="I2351" i="1"/>
  <c r="F2347" i="1"/>
  <c r="I2347" i="1"/>
  <c r="F2327" i="1"/>
  <c r="I2327" i="1"/>
  <c r="F2323" i="1"/>
  <c r="I2323" i="1"/>
  <c r="F2319" i="1"/>
  <c r="I2319" i="1"/>
  <c r="F2315" i="1"/>
  <c r="I2315" i="1"/>
  <c r="F2295" i="1"/>
  <c r="I2295" i="1"/>
  <c r="F2291" i="1"/>
  <c r="I2291" i="1"/>
  <c r="F2287" i="1"/>
  <c r="I2287" i="1"/>
  <c r="F2283" i="1"/>
  <c r="I2283" i="1"/>
  <c r="F2263" i="1"/>
  <c r="I2263" i="1"/>
  <c r="F2259" i="1"/>
  <c r="I2259" i="1"/>
  <c r="F2255" i="1"/>
  <c r="I2255" i="1"/>
  <c r="F2251" i="1"/>
  <c r="I2251" i="1"/>
  <c r="I2239" i="1"/>
  <c r="F2239" i="1"/>
  <c r="I2235" i="1"/>
  <c r="F2235" i="1"/>
  <c r="F2231" i="1"/>
  <c r="I2231" i="1"/>
  <c r="F2223" i="1"/>
  <c r="I2223" i="1"/>
  <c r="F2219" i="1"/>
  <c r="I2219" i="1"/>
  <c r="F2215" i="1"/>
  <c r="I2215" i="1"/>
  <c r="I2211" i="1"/>
  <c r="F2211" i="1"/>
  <c r="I2207" i="1"/>
  <c r="F2207" i="1"/>
  <c r="I2203" i="1"/>
  <c r="F2203" i="1"/>
  <c r="F2199" i="1"/>
  <c r="I2199" i="1"/>
  <c r="F2195" i="1"/>
  <c r="I2195" i="1"/>
  <c r="F2191" i="1"/>
  <c r="I2191" i="1"/>
  <c r="F2187" i="1"/>
  <c r="I2187" i="1"/>
  <c r="F2183" i="1"/>
  <c r="I2183" i="1"/>
  <c r="I2179" i="1"/>
  <c r="F2179" i="1"/>
  <c r="I2171" i="1"/>
  <c r="F2171" i="1"/>
  <c r="F2163" i="1"/>
  <c r="I2163" i="1"/>
  <c r="F2159" i="1"/>
  <c r="I2159" i="1"/>
  <c r="F2155" i="1"/>
  <c r="I2155" i="1"/>
  <c r="F2151" i="1"/>
  <c r="I2151" i="1"/>
  <c r="I2147" i="1"/>
  <c r="F2147" i="1"/>
  <c r="I2143" i="1"/>
  <c r="F2143" i="1"/>
  <c r="I2139" i="1"/>
  <c r="F2139" i="1"/>
  <c r="F2135" i="1"/>
  <c r="I2135" i="1"/>
  <c r="F2131" i="1"/>
  <c r="I2131" i="1"/>
  <c r="F2127" i="1"/>
  <c r="I2127" i="1"/>
  <c r="F2123" i="1"/>
  <c r="I2123" i="1"/>
  <c r="F2119" i="1"/>
  <c r="I2119" i="1"/>
  <c r="I2111" i="1"/>
  <c r="F2111" i="1"/>
  <c r="I2107" i="1"/>
  <c r="F2107" i="1"/>
  <c r="F2103" i="1"/>
  <c r="I2103" i="1"/>
  <c r="F2095" i="1"/>
  <c r="I2095" i="1"/>
  <c r="F2091" i="1"/>
  <c r="I2091" i="1"/>
  <c r="F2087" i="1"/>
  <c r="I2087" i="1"/>
  <c r="I2083" i="1"/>
  <c r="F2083" i="1"/>
  <c r="I2079" i="1"/>
  <c r="F2079" i="1"/>
  <c r="I2075" i="1"/>
  <c r="F2075" i="1"/>
  <c r="F2071" i="1"/>
  <c r="I2071" i="1"/>
  <c r="F2067" i="1"/>
  <c r="I2067" i="1"/>
  <c r="F2063" i="1"/>
  <c r="I2063" i="1"/>
  <c r="F2059" i="1"/>
  <c r="I2059" i="1"/>
  <c r="F2055" i="1"/>
  <c r="I2055" i="1"/>
  <c r="I2051" i="1"/>
  <c r="F2051" i="1"/>
  <c r="I2043" i="1"/>
  <c r="F2043" i="1"/>
  <c r="F2035" i="1"/>
  <c r="I2035" i="1"/>
  <c r="F2031" i="1"/>
  <c r="I2031" i="1"/>
  <c r="F2027" i="1"/>
  <c r="I2027" i="1"/>
  <c r="F2023" i="1"/>
  <c r="I2023" i="1"/>
  <c r="I2019" i="1"/>
  <c r="F2019" i="1"/>
  <c r="I2015" i="1"/>
  <c r="F2015" i="1"/>
  <c r="I2011" i="1"/>
  <c r="F2011" i="1"/>
  <c r="F2007" i="1"/>
  <c r="I2007" i="1"/>
  <c r="F2003" i="1"/>
  <c r="I2003" i="1"/>
  <c r="F1999" i="1"/>
  <c r="I1999" i="1"/>
  <c r="F1995" i="1"/>
  <c r="I1995" i="1"/>
  <c r="F1991" i="1"/>
  <c r="I1991" i="1"/>
  <c r="I1983" i="1"/>
  <c r="F1983" i="1"/>
  <c r="I1979" i="1"/>
  <c r="F1979" i="1"/>
  <c r="F1975" i="1"/>
  <c r="I1975" i="1"/>
  <c r="F1967" i="1"/>
  <c r="I1967" i="1"/>
  <c r="F1963" i="1"/>
  <c r="I1963" i="1"/>
  <c r="F1959" i="1"/>
  <c r="I1959" i="1"/>
  <c r="I1955" i="1"/>
  <c r="F1955" i="1"/>
  <c r="I1951" i="1"/>
  <c r="F1951" i="1"/>
  <c r="I1947" i="1"/>
  <c r="F1947" i="1"/>
  <c r="F1943" i="1"/>
  <c r="I1943" i="1"/>
  <c r="F1939" i="1"/>
  <c r="I1939" i="1"/>
  <c r="F1935" i="1"/>
  <c r="I1935" i="1"/>
  <c r="F1931" i="1"/>
  <c r="I1931" i="1"/>
  <c r="F1927" i="1"/>
  <c r="I1927" i="1"/>
  <c r="I1923" i="1"/>
  <c r="F1923" i="1"/>
  <c r="I1915" i="1"/>
  <c r="F1915" i="1"/>
  <c r="F1907" i="1"/>
  <c r="I1907" i="1"/>
  <c r="F1903" i="1"/>
  <c r="I1903" i="1"/>
  <c r="F1899" i="1"/>
  <c r="I1899" i="1"/>
  <c r="F1895" i="1"/>
  <c r="I1895" i="1"/>
  <c r="I1891" i="1"/>
  <c r="F1891" i="1"/>
  <c r="I1887" i="1"/>
  <c r="F1887" i="1"/>
  <c r="I1883" i="1"/>
  <c r="F1883" i="1"/>
  <c r="F1879" i="1"/>
  <c r="I1879" i="1"/>
  <c r="F1875" i="1"/>
  <c r="I1875" i="1"/>
  <c r="F1871" i="1"/>
  <c r="I1871" i="1"/>
  <c r="F1867" i="1"/>
  <c r="I1867" i="1"/>
  <c r="F1863" i="1"/>
  <c r="I1863" i="1"/>
  <c r="I1855" i="1"/>
  <c r="F1855" i="1"/>
  <c r="I1851" i="1"/>
  <c r="F1851" i="1"/>
  <c r="F1847" i="1"/>
  <c r="I1847" i="1"/>
  <c r="F1839" i="1"/>
  <c r="I1839" i="1"/>
  <c r="F1835" i="1"/>
  <c r="I1835" i="1"/>
  <c r="F1831" i="1"/>
  <c r="I1831" i="1"/>
  <c r="I1827" i="1"/>
  <c r="F1827" i="1"/>
  <c r="I1823" i="1"/>
  <c r="F1823" i="1"/>
  <c r="I1819" i="1"/>
  <c r="F1819" i="1"/>
  <c r="F1815" i="1"/>
  <c r="I1815" i="1"/>
  <c r="F1811" i="1"/>
  <c r="I1811" i="1"/>
  <c r="F1807" i="1"/>
  <c r="I1807" i="1"/>
  <c r="F1803" i="1"/>
  <c r="I1803" i="1"/>
  <c r="F1799" i="1"/>
  <c r="I1799" i="1"/>
  <c r="I1795" i="1"/>
  <c r="F1795" i="1"/>
  <c r="I1787" i="1"/>
  <c r="F1787" i="1"/>
  <c r="F1779" i="1"/>
  <c r="I1779" i="1"/>
  <c r="F1775" i="1"/>
  <c r="I1775" i="1"/>
  <c r="F1771" i="1"/>
  <c r="I1771" i="1"/>
  <c r="I1767" i="1"/>
  <c r="F1767" i="1"/>
  <c r="I1763" i="1"/>
  <c r="F1763" i="1"/>
  <c r="F1759" i="1"/>
  <c r="I1759" i="1"/>
  <c r="F1755" i="1"/>
  <c r="I1755" i="1"/>
  <c r="F1751" i="1"/>
  <c r="I1751" i="1"/>
  <c r="F1747" i="1"/>
  <c r="I1747" i="1"/>
  <c r="F1743" i="1"/>
  <c r="I1743" i="1"/>
  <c r="I1739" i="1"/>
  <c r="F1739" i="1"/>
  <c r="I1735" i="1"/>
  <c r="F1735" i="1"/>
  <c r="I1731" i="1"/>
  <c r="F1731" i="1"/>
  <c r="F1727" i="1"/>
  <c r="I1727" i="1"/>
  <c r="F1723" i="1"/>
  <c r="I1723" i="1"/>
  <c r="F1719" i="1"/>
  <c r="I1719" i="1"/>
  <c r="F1715" i="1"/>
  <c r="I1715" i="1"/>
  <c r="F1711" i="1"/>
  <c r="I1711" i="1"/>
  <c r="F1707" i="1"/>
  <c r="I1707" i="1"/>
  <c r="I1703" i="1"/>
  <c r="F1703" i="1"/>
  <c r="I1699" i="1"/>
  <c r="F1699" i="1"/>
  <c r="I1695" i="1"/>
  <c r="F1695" i="1"/>
  <c r="F1691" i="1"/>
  <c r="I1691" i="1"/>
  <c r="F1687" i="1"/>
  <c r="I1687" i="1"/>
  <c r="F1683" i="1"/>
  <c r="I1683" i="1"/>
  <c r="I1679" i="1"/>
  <c r="F1679" i="1"/>
  <c r="I1675" i="1"/>
  <c r="F1675" i="1"/>
  <c r="F1667" i="1"/>
  <c r="I1667" i="1"/>
  <c r="F1663" i="1"/>
  <c r="I1663" i="1"/>
  <c r="I1659" i="1"/>
  <c r="F1659" i="1"/>
  <c r="I1655" i="1"/>
  <c r="F1655" i="1"/>
  <c r="I1651" i="1"/>
  <c r="F1651" i="1"/>
  <c r="I1647" i="1"/>
  <c r="F1647" i="1"/>
  <c r="F1643" i="1"/>
  <c r="I1643" i="1"/>
  <c r="F1639" i="1"/>
  <c r="I1639" i="1"/>
  <c r="F1635" i="1"/>
  <c r="I1635" i="1"/>
  <c r="I1631" i="1"/>
  <c r="F1631" i="1"/>
  <c r="I1627" i="1"/>
  <c r="F1627" i="1"/>
  <c r="F1623" i="1"/>
  <c r="I1623" i="1"/>
  <c r="F1619" i="1"/>
  <c r="I1619" i="1"/>
  <c r="F1615" i="1"/>
  <c r="I1615" i="1"/>
  <c r="F1611" i="1"/>
  <c r="I1611" i="1"/>
  <c r="F1607" i="1"/>
  <c r="I1607" i="1"/>
  <c r="I1603" i="1"/>
  <c r="F1603" i="1"/>
  <c r="I1599" i="1"/>
  <c r="F1599" i="1"/>
  <c r="F1595" i="1"/>
  <c r="I1595" i="1"/>
  <c r="F1591" i="1"/>
  <c r="I1591" i="1"/>
  <c r="F1587" i="1"/>
  <c r="I1587" i="1"/>
  <c r="F1583" i="1"/>
  <c r="I1583" i="1"/>
  <c r="F1579" i="1"/>
  <c r="I1579" i="1"/>
  <c r="F1575" i="1"/>
  <c r="I1575" i="1"/>
  <c r="I1571" i="1"/>
  <c r="F1571" i="1"/>
  <c r="F1567" i="1"/>
  <c r="I1567" i="1"/>
  <c r="F1563" i="1"/>
  <c r="I1563" i="1"/>
  <c r="F1559" i="1"/>
  <c r="I1559" i="1"/>
  <c r="F1555" i="1"/>
  <c r="I1555" i="1"/>
  <c r="F1551" i="1"/>
  <c r="I1551" i="1"/>
  <c r="I1547" i="1"/>
  <c r="F1547" i="1"/>
  <c r="I1543" i="1"/>
  <c r="F1543" i="1"/>
  <c r="F1539" i="1"/>
  <c r="I1539" i="1"/>
  <c r="F1535" i="1"/>
  <c r="I1535" i="1"/>
  <c r="F1531" i="1"/>
  <c r="I1531" i="1"/>
  <c r="F1527" i="1"/>
  <c r="I1527" i="1"/>
  <c r="F1523" i="1"/>
  <c r="I1523" i="1"/>
  <c r="F1519" i="1"/>
  <c r="I1519" i="1"/>
  <c r="F1515" i="1"/>
  <c r="I1515" i="1"/>
  <c r="I1511" i="1"/>
  <c r="F1511" i="1"/>
  <c r="I1507" i="1"/>
  <c r="F1507" i="1"/>
  <c r="I1503" i="1"/>
  <c r="F1503" i="1"/>
  <c r="I1499" i="1"/>
  <c r="F1499" i="1"/>
  <c r="I1495" i="1"/>
  <c r="F1495" i="1"/>
  <c r="F1487" i="1"/>
  <c r="I1487" i="1"/>
  <c r="F1483" i="1"/>
  <c r="I1483" i="1"/>
  <c r="F1479" i="1"/>
  <c r="I1479" i="1"/>
  <c r="F1475" i="1"/>
  <c r="I1475" i="1"/>
  <c r="F1471" i="1"/>
  <c r="I1471" i="1"/>
  <c r="F1467" i="1"/>
  <c r="I1467" i="1"/>
  <c r="F1463" i="1"/>
  <c r="I1463" i="1"/>
  <c r="F1459" i="1"/>
  <c r="I1459" i="1"/>
  <c r="I1455" i="1"/>
  <c r="F1455" i="1"/>
  <c r="I1451" i="1"/>
  <c r="F1451" i="1"/>
  <c r="F1447" i="1"/>
  <c r="I1447" i="1"/>
  <c r="F1443" i="1"/>
  <c r="I1443" i="1"/>
  <c r="F1439" i="1"/>
  <c r="I1439" i="1"/>
  <c r="F1435" i="1"/>
  <c r="I1435" i="1"/>
  <c r="F1431" i="1"/>
  <c r="I1431" i="1"/>
  <c r="F1427" i="1"/>
  <c r="I1427" i="1"/>
  <c r="F1423" i="1"/>
  <c r="I1423" i="1"/>
  <c r="F1419" i="1"/>
  <c r="I1419" i="1"/>
  <c r="F1415" i="1"/>
  <c r="I1415" i="1"/>
  <c r="F1411" i="1"/>
  <c r="I1411" i="1"/>
  <c r="F1407" i="1"/>
  <c r="I1407" i="1"/>
  <c r="F1403" i="1"/>
  <c r="I1403" i="1"/>
  <c r="I1395" i="1"/>
  <c r="F1395" i="1"/>
  <c r="F1391" i="1"/>
  <c r="I1391" i="1"/>
  <c r="F1387" i="1"/>
  <c r="I1387" i="1"/>
  <c r="F1383" i="1"/>
  <c r="I1383" i="1"/>
  <c r="F1379" i="1"/>
  <c r="I1379" i="1"/>
  <c r="F1375" i="1"/>
  <c r="I1375" i="1"/>
  <c r="F1371" i="1"/>
  <c r="I1371" i="1"/>
  <c r="F1367" i="1"/>
  <c r="I1367" i="1"/>
  <c r="F1363" i="1"/>
  <c r="I1363" i="1"/>
  <c r="F1359" i="1"/>
  <c r="I1359" i="1"/>
  <c r="F1355" i="1"/>
  <c r="I1355" i="1"/>
  <c r="F1351" i="1"/>
  <c r="I1351" i="1"/>
  <c r="F1347" i="1"/>
  <c r="I1347" i="1"/>
  <c r="I1343" i="1"/>
  <c r="F1343" i="1"/>
  <c r="I1339" i="1"/>
  <c r="F1339" i="1"/>
  <c r="F1335" i="1"/>
  <c r="I1335" i="1"/>
  <c r="F1331" i="1"/>
  <c r="I1331" i="1"/>
  <c r="F1327" i="1"/>
  <c r="I1327" i="1"/>
  <c r="F1323" i="1"/>
  <c r="I1323" i="1"/>
  <c r="F1319" i="1"/>
  <c r="I1319" i="1"/>
  <c r="F1315" i="1"/>
  <c r="I1315" i="1"/>
  <c r="F1311" i="1"/>
  <c r="I1311" i="1"/>
  <c r="F1307" i="1"/>
  <c r="I1307" i="1"/>
  <c r="F1303" i="1"/>
  <c r="I1303" i="1"/>
  <c r="I1299" i="1"/>
  <c r="F1299" i="1"/>
  <c r="I1295" i="1"/>
  <c r="F1295" i="1"/>
  <c r="I1291" i="1"/>
  <c r="F1291" i="1"/>
  <c r="I1287" i="1"/>
  <c r="F1287" i="1"/>
  <c r="I1283" i="1"/>
  <c r="F1283" i="1"/>
  <c r="F1279" i="1"/>
  <c r="I1279" i="1"/>
  <c r="F1271" i="1"/>
  <c r="I1271" i="1"/>
  <c r="F1267" i="1"/>
  <c r="I1267" i="1"/>
  <c r="F1263" i="1"/>
  <c r="I1263" i="1"/>
  <c r="F1259" i="1"/>
  <c r="I1259" i="1"/>
  <c r="I1255" i="1"/>
  <c r="F1255" i="1"/>
  <c r="I1251" i="1"/>
  <c r="F1251" i="1"/>
  <c r="I1247" i="1"/>
  <c r="F1247" i="1"/>
  <c r="I1243" i="1"/>
  <c r="F1243" i="1"/>
  <c r="I1239" i="1"/>
  <c r="F1239" i="1"/>
  <c r="F1235" i="1"/>
  <c r="I1235" i="1"/>
  <c r="F1231" i="1"/>
  <c r="I1231" i="1"/>
  <c r="F1227" i="1"/>
  <c r="I1227" i="1"/>
  <c r="F1223" i="1"/>
  <c r="I1223" i="1"/>
  <c r="F1219" i="1"/>
  <c r="I1219" i="1"/>
  <c r="I1215" i="1"/>
  <c r="F1215" i="1"/>
  <c r="F1211" i="1"/>
  <c r="I1211" i="1"/>
  <c r="F1207" i="1"/>
  <c r="I1207" i="1"/>
  <c r="F1203" i="1"/>
  <c r="I1203" i="1"/>
  <c r="F1199" i="1"/>
  <c r="I1199" i="1"/>
  <c r="F1195" i="1"/>
  <c r="I1195" i="1"/>
  <c r="F1191" i="1"/>
  <c r="I1191" i="1"/>
  <c r="F1187" i="1"/>
  <c r="I1187" i="1"/>
  <c r="I1183" i="1"/>
  <c r="F1183" i="1"/>
  <c r="I1179" i="1"/>
  <c r="F1179" i="1"/>
  <c r="F1175" i="1"/>
  <c r="I1175" i="1"/>
  <c r="F1171" i="1"/>
  <c r="I1171" i="1"/>
  <c r="F1167" i="1"/>
  <c r="I1167" i="1"/>
  <c r="F1163" i="1"/>
  <c r="I1163" i="1"/>
  <c r="F1159" i="1"/>
  <c r="I1159" i="1"/>
  <c r="F1155" i="1"/>
  <c r="I1155" i="1"/>
  <c r="F1151" i="1"/>
  <c r="I1151" i="1"/>
  <c r="F1147" i="1"/>
  <c r="I1147" i="1"/>
  <c r="F1143" i="1"/>
  <c r="I1143" i="1"/>
  <c r="F1139" i="1"/>
  <c r="I1139" i="1"/>
  <c r="F1135" i="1"/>
  <c r="I1135" i="1"/>
  <c r="I1131" i="1"/>
  <c r="F1131" i="1"/>
  <c r="I1127" i="1"/>
  <c r="F1127" i="1"/>
  <c r="F1123" i="1"/>
  <c r="I1123" i="1"/>
  <c r="F1119" i="1"/>
  <c r="I1119" i="1"/>
  <c r="F1115" i="1"/>
  <c r="I1115" i="1"/>
  <c r="F1111" i="1"/>
  <c r="I1111" i="1"/>
  <c r="F1107" i="1"/>
  <c r="I1107" i="1"/>
  <c r="F1103" i="1"/>
  <c r="I1103" i="1"/>
  <c r="F1099" i="1"/>
  <c r="I1099" i="1"/>
  <c r="F1095" i="1"/>
  <c r="I1095" i="1"/>
  <c r="F1091" i="1"/>
  <c r="I1091" i="1"/>
  <c r="F1087" i="1"/>
  <c r="I1087" i="1"/>
  <c r="F1083" i="1"/>
  <c r="I1083" i="1"/>
  <c r="F1079" i="1"/>
  <c r="I1079" i="1"/>
  <c r="F1075" i="1"/>
  <c r="I1075" i="1"/>
  <c r="F1071" i="1"/>
  <c r="I1071" i="1"/>
  <c r="F1067" i="1"/>
  <c r="I1067" i="1"/>
  <c r="F1063" i="1"/>
  <c r="I1063" i="1"/>
  <c r="F1059" i="1"/>
  <c r="I1059" i="1"/>
  <c r="F1055" i="1"/>
  <c r="I1055" i="1"/>
  <c r="F1051" i="1"/>
  <c r="I1051" i="1"/>
  <c r="F1047" i="1"/>
  <c r="I1047" i="1"/>
  <c r="F1043" i="1"/>
  <c r="I1043" i="1"/>
  <c r="F1039" i="1"/>
  <c r="I1039" i="1"/>
  <c r="F1035" i="1"/>
  <c r="I1035" i="1"/>
  <c r="F1031" i="1"/>
  <c r="I1031" i="1"/>
  <c r="F1027" i="1"/>
  <c r="I1027" i="1"/>
  <c r="F1023" i="1"/>
  <c r="I1023" i="1"/>
  <c r="F1019" i="1"/>
  <c r="I1019" i="1"/>
  <c r="I1015" i="1"/>
  <c r="F1015" i="1"/>
  <c r="I1011" i="1"/>
  <c r="F1011" i="1"/>
  <c r="I1007" i="1"/>
  <c r="F1007" i="1"/>
  <c r="F1003" i="1"/>
  <c r="I1003" i="1"/>
  <c r="F999" i="1"/>
  <c r="I999" i="1"/>
  <c r="F995" i="1"/>
  <c r="I995" i="1"/>
  <c r="F987" i="1"/>
  <c r="I987" i="1"/>
  <c r="F983" i="1"/>
  <c r="I983" i="1"/>
  <c r="F979" i="1"/>
  <c r="I979" i="1"/>
  <c r="F975" i="1"/>
  <c r="I975" i="1"/>
  <c r="F971" i="1"/>
  <c r="I971" i="1"/>
  <c r="F967" i="1"/>
  <c r="I967" i="1"/>
  <c r="I963" i="1"/>
  <c r="F963" i="1"/>
  <c r="I959" i="1"/>
  <c r="F959" i="1"/>
  <c r="I955" i="1"/>
  <c r="F955" i="1"/>
  <c r="F951" i="1"/>
  <c r="I951" i="1"/>
  <c r="F947" i="1"/>
  <c r="I947" i="1"/>
  <c r="F943" i="1"/>
  <c r="I943" i="1"/>
  <c r="I939" i="1"/>
  <c r="F939" i="1"/>
  <c r="F935" i="1"/>
  <c r="I935" i="1"/>
  <c r="F931" i="1"/>
  <c r="I931" i="1"/>
  <c r="F927" i="1"/>
  <c r="I927" i="1"/>
  <c r="F923" i="1"/>
  <c r="I923" i="1"/>
  <c r="F919" i="1"/>
  <c r="I919" i="1"/>
  <c r="F915" i="1"/>
  <c r="I915" i="1"/>
  <c r="F911" i="1"/>
  <c r="I911" i="1"/>
  <c r="I907" i="1"/>
  <c r="F907" i="1"/>
  <c r="I903" i="1"/>
  <c r="F903" i="1"/>
  <c r="I899" i="1"/>
  <c r="F899" i="1"/>
  <c r="I895" i="1"/>
  <c r="F895" i="1"/>
  <c r="I891" i="1"/>
  <c r="F891" i="1"/>
  <c r="F887" i="1"/>
  <c r="I887" i="1"/>
  <c r="F883" i="1"/>
  <c r="I883" i="1"/>
  <c r="F879" i="1"/>
  <c r="I879" i="1"/>
  <c r="F875" i="1"/>
  <c r="I875" i="1"/>
  <c r="F871" i="1"/>
  <c r="I871" i="1"/>
  <c r="F867" i="1"/>
  <c r="I867" i="1"/>
  <c r="F863" i="1"/>
  <c r="I863" i="1"/>
  <c r="F859" i="1"/>
  <c r="I859" i="1"/>
  <c r="F855" i="1"/>
  <c r="I855" i="1"/>
  <c r="F851" i="1"/>
  <c r="I851" i="1"/>
  <c r="F847" i="1"/>
  <c r="I847" i="1"/>
  <c r="I843" i="1"/>
  <c r="F843" i="1"/>
  <c r="I839" i="1"/>
  <c r="F839" i="1"/>
  <c r="I835" i="1"/>
  <c r="F835" i="1"/>
  <c r="I831" i="1"/>
  <c r="F831" i="1"/>
  <c r="I827" i="1"/>
  <c r="F827" i="1"/>
  <c r="F823" i="1"/>
  <c r="I823" i="1"/>
  <c r="F819" i="1"/>
  <c r="I819" i="1"/>
  <c r="F815" i="1"/>
  <c r="I815" i="1"/>
  <c r="F811" i="1"/>
  <c r="I811" i="1"/>
  <c r="F807" i="1"/>
  <c r="I807" i="1"/>
  <c r="F803" i="1"/>
  <c r="I803" i="1"/>
  <c r="F799" i="1"/>
  <c r="I799" i="1"/>
  <c r="F795" i="1"/>
  <c r="I795" i="1"/>
  <c r="F791" i="1"/>
  <c r="I791" i="1"/>
  <c r="F787" i="1"/>
  <c r="I787" i="1"/>
  <c r="F783" i="1"/>
  <c r="I783" i="1"/>
  <c r="I779" i="1"/>
  <c r="F779" i="1"/>
  <c r="I775" i="1"/>
  <c r="F775" i="1"/>
  <c r="I771" i="1"/>
  <c r="F771" i="1"/>
  <c r="I767" i="1"/>
  <c r="F767" i="1"/>
  <c r="I763" i="1"/>
  <c r="F763" i="1"/>
  <c r="F759" i="1"/>
  <c r="I759" i="1"/>
  <c r="F755" i="1"/>
  <c r="I755" i="1"/>
  <c r="F751" i="1"/>
  <c r="I751" i="1"/>
  <c r="F747" i="1"/>
  <c r="I747" i="1"/>
  <c r="F743" i="1"/>
  <c r="I743" i="1"/>
  <c r="F739" i="1"/>
  <c r="I739" i="1"/>
  <c r="F735" i="1"/>
  <c r="I735" i="1"/>
  <c r="F2" i="1"/>
  <c r="F2587" i="1"/>
  <c r="F2580" i="1"/>
  <c r="G2580" i="1" s="1"/>
  <c r="F2573" i="1"/>
  <c r="I2565" i="1"/>
  <c r="I2558" i="1"/>
  <c r="I2551" i="1"/>
  <c r="I2544" i="1"/>
  <c r="F2530" i="1"/>
  <c r="F2523" i="1"/>
  <c r="F2516" i="1"/>
  <c r="H2516" i="1" s="1"/>
  <c r="F2509" i="1"/>
  <c r="I2501" i="1"/>
  <c r="I2494" i="1"/>
  <c r="I2487" i="1"/>
  <c r="G2487" i="1" s="1"/>
  <c r="I2480" i="1"/>
  <c r="F2466" i="1"/>
  <c r="F2459" i="1"/>
  <c r="F2452" i="1"/>
  <c r="H2452" i="1" s="1"/>
  <c r="F2445" i="1"/>
  <c r="F2438" i="1"/>
  <c r="F2431" i="1"/>
  <c r="F2424" i="1"/>
  <c r="H2424" i="1" s="1"/>
  <c r="F2417" i="1"/>
  <c r="I2409" i="1"/>
  <c r="F2402" i="1"/>
  <c r="I2394" i="1"/>
  <c r="I2386" i="1"/>
  <c r="I2378" i="1"/>
  <c r="F2371" i="1"/>
  <c r="I2363" i="1"/>
  <c r="F2356" i="1"/>
  <c r="H2356" i="1" s="1"/>
  <c r="I2348" i="1"/>
  <c r="F2341" i="1"/>
  <c r="I2333" i="1"/>
  <c r="F2326" i="1"/>
  <c r="F2311" i="1"/>
  <c r="F2303" i="1"/>
  <c r="F2296" i="1"/>
  <c r="G2296" i="1" s="1"/>
  <c r="F2288" i="1"/>
  <c r="G2288" i="1" s="1"/>
  <c r="F2281" i="1"/>
  <c r="F2273" i="1"/>
  <c r="I2265" i="1"/>
  <c r="F2258" i="1"/>
  <c r="I2247" i="1"/>
  <c r="I2227" i="1"/>
  <c r="I2197" i="1"/>
  <c r="I2167" i="1"/>
  <c r="I2137" i="1"/>
  <c r="F2077" i="1"/>
  <c r="F2047" i="1"/>
  <c r="F2017" i="1"/>
  <c r="F1987" i="1"/>
  <c r="I1956" i="1"/>
  <c r="I1926" i="1"/>
  <c r="I1896" i="1"/>
  <c r="I1866" i="1"/>
  <c r="F1836" i="1"/>
  <c r="F1806" i="1"/>
  <c r="F1776" i="1"/>
  <c r="I1671" i="1"/>
  <c r="I1552" i="1"/>
  <c r="I1429" i="1"/>
  <c r="I1306" i="1"/>
  <c r="I1117" i="1"/>
  <c r="I2569" i="1"/>
  <c r="F2569" i="1"/>
  <c r="F2561" i="1"/>
  <c r="I2561" i="1"/>
  <c r="F2545" i="1"/>
  <c r="I2545" i="1"/>
  <c r="I2537" i="1"/>
  <c r="F2537" i="1"/>
  <c r="F2529" i="1"/>
  <c r="I2529" i="1"/>
  <c r="F2481" i="1"/>
  <c r="I2481" i="1"/>
  <c r="I2457" i="1"/>
  <c r="F2457" i="1"/>
  <c r="F2449" i="1"/>
  <c r="I2449" i="1"/>
  <c r="F2437" i="1"/>
  <c r="I2437" i="1"/>
  <c r="F2401" i="1"/>
  <c r="I2401" i="1"/>
  <c r="F2389" i="1"/>
  <c r="I2389" i="1"/>
  <c r="F2381" i="1"/>
  <c r="I2381" i="1"/>
  <c r="F2325" i="1"/>
  <c r="I2325" i="1"/>
  <c r="F2317" i="1"/>
  <c r="I2317" i="1"/>
  <c r="F2293" i="1"/>
  <c r="I2293" i="1"/>
  <c r="F2285" i="1"/>
  <c r="I2285" i="1"/>
  <c r="F2257" i="1"/>
  <c r="I2257" i="1"/>
  <c r="F2245" i="1"/>
  <c r="I2245" i="1"/>
  <c r="F2233" i="1"/>
  <c r="I2233" i="1"/>
  <c r="F2225" i="1"/>
  <c r="I2225" i="1"/>
  <c r="F2213" i="1"/>
  <c r="I2213" i="1"/>
  <c r="F2185" i="1"/>
  <c r="I2185" i="1"/>
  <c r="I2173" i="1"/>
  <c r="F2173" i="1"/>
  <c r="F2165" i="1"/>
  <c r="I2165" i="1"/>
  <c r="F2157" i="1"/>
  <c r="I2157" i="1"/>
  <c r="F2149" i="1"/>
  <c r="I2149" i="1"/>
  <c r="I2141" i="1"/>
  <c r="F2141" i="1"/>
  <c r="F2129" i="1"/>
  <c r="I2129" i="1"/>
  <c r="F2121" i="1"/>
  <c r="I2121" i="1"/>
  <c r="F2105" i="1"/>
  <c r="I2105" i="1"/>
  <c r="F2093" i="1"/>
  <c r="I2093" i="1"/>
  <c r="F2065" i="1"/>
  <c r="I2065" i="1"/>
  <c r="F2057" i="1"/>
  <c r="I2057" i="1"/>
  <c r="I2045" i="1"/>
  <c r="F2045" i="1"/>
  <c r="F2033" i="1"/>
  <c r="I2033" i="1"/>
  <c r="F2025" i="1"/>
  <c r="I2025" i="1"/>
  <c r="F2021" i="1"/>
  <c r="I2021" i="1"/>
  <c r="I2013" i="1"/>
  <c r="F2013" i="1"/>
  <c r="F2001" i="1"/>
  <c r="I2001" i="1"/>
  <c r="F1989" i="1"/>
  <c r="I1989" i="1"/>
  <c r="F1977" i="1"/>
  <c r="I1977" i="1"/>
  <c r="F1965" i="1"/>
  <c r="I1965" i="1"/>
  <c r="F1957" i="1"/>
  <c r="I1957" i="1"/>
  <c r="I1953" i="1"/>
  <c r="F1953" i="1"/>
  <c r="F1945" i="1"/>
  <c r="I1945" i="1"/>
  <c r="F1933" i="1"/>
  <c r="I1933" i="1"/>
  <c r="F1925" i="1"/>
  <c r="I1925" i="1"/>
  <c r="F1913" i="1"/>
  <c r="I1913" i="1"/>
  <c r="F1901" i="1"/>
  <c r="I1901" i="1"/>
  <c r="F1893" i="1"/>
  <c r="I1893" i="1"/>
  <c r="I1885" i="1"/>
  <c r="F1885" i="1"/>
  <c r="F1877" i="1"/>
  <c r="I1877" i="1"/>
  <c r="F1869" i="1"/>
  <c r="I1869" i="1"/>
  <c r="I1857" i="1"/>
  <c r="F1857" i="1"/>
  <c r="F1849" i="1"/>
  <c r="I1849" i="1"/>
  <c r="F1841" i="1"/>
  <c r="I1841" i="1"/>
  <c r="F1837" i="1"/>
  <c r="I1837" i="1"/>
  <c r="F1829" i="1"/>
  <c r="I1829" i="1"/>
  <c r="I1825" i="1"/>
  <c r="F1825" i="1"/>
  <c r="F1817" i="1"/>
  <c r="I1817" i="1"/>
  <c r="F1805" i="1"/>
  <c r="I1805" i="1"/>
  <c r="I1793" i="1"/>
  <c r="F1793" i="1"/>
  <c r="F1781" i="1"/>
  <c r="I1781" i="1"/>
  <c r="F1773" i="1"/>
  <c r="I1773" i="1"/>
  <c r="I1765" i="1"/>
  <c r="F1765" i="1"/>
  <c r="F1753" i="1"/>
  <c r="I1753" i="1"/>
  <c r="F1741" i="1"/>
  <c r="I1741" i="1"/>
  <c r="F1729" i="1"/>
  <c r="I1729" i="1"/>
  <c r="F1717" i="1"/>
  <c r="I1717" i="1"/>
  <c r="F1709" i="1"/>
  <c r="I1709" i="1"/>
  <c r="I1697" i="1"/>
  <c r="F1697" i="1"/>
  <c r="F1685" i="1"/>
  <c r="I1685" i="1"/>
  <c r="I1673" i="1"/>
  <c r="F1673" i="1"/>
  <c r="I1657" i="1"/>
  <c r="F1657" i="1"/>
  <c r="F1633" i="1"/>
  <c r="I1633" i="1"/>
  <c r="F1621" i="1"/>
  <c r="I1621" i="1"/>
  <c r="F1613" i="1"/>
  <c r="I1613" i="1"/>
  <c r="F1605" i="1"/>
  <c r="I1605" i="1"/>
  <c r="F1593" i="1"/>
  <c r="I1593" i="1"/>
  <c r="F1589" i="1"/>
  <c r="I1589" i="1"/>
  <c r="F1581" i="1"/>
  <c r="I1581" i="1"/>
  <c r="I1573" i="1"/>
  <c r="F1573" i="1"/>
  <c r="I1569" i="1"/>
  <c r="F1569" i="1"/>
  <c r="F1561" i="1"/>
  <c r="I1561" i="1"/>
  <c r="F1553" i="1"/>
  <c r="I1553" i="1"/>
  <c r="F1541" i="1"/>
  <c r="I1541" i="1"/>
  <c r="F1533" i="1"/>
  <c r="I1533" i="1"/>
  <c r="F1525" i="1"/>
  <c r="I1525" i="1"/>
  <c r="F1517" i="1"/>
  <c r="I1517" i="1"/>
  <c r="I1509" i="1"/>
  <c r="F1509" i="1"/>
  <c r="I1501" i="1"/>
  <c r="F1501" i="1"/>
  <c r="F1493" i="1"/>
  <c r="I1493" i="1"/>
  <c r="F1485" i="1"/>
  <c r="I1485" i="1"/>
  <c r="F1477" i="1"/>
  <c r="I1477" i="1"/>
  <c r="F1469" i="1"/>
  <c r="I1469" i="1"/>
  <c r="F1461" i="1"/>
  <c r="I1461" i="1"/>
  <c r="I1453" i="1"/>
  <c r="F1453" i="1"/>
  <c r="F1445" i="1"/>
  <c r="I1445" i="1"/>
  <c r="F1421" i="1"/>
  <c r="I1421" i="1"/>
  <c r="F1413" i="1"/>
  <c r="I1413" i="1"/>
  <c r="F1409" i="1"/>
  <c r="I1409" i="1"/>
  <c r="F1393" i="1"/>
  <c r="I1393" i="1"/>
  <c r="F1381" i="1"/>
  <c r="I1381" i="1"/>
  <c r="F1373" i="1"/>
  <c r="I1373" i="1"/>
  <c r="F1365" i="1"/>
  <c r="I1365" i="1"/>
  <c r="F1353" i="1"/>
  <c r="I1353" i="1"/>
  <c r="I1341" i="1"/>
  <c r="F1341" i="1"/>
  <c r="F1329" i="1"/>
  <c r="I1329" i="1"/>
  <c r="F1317" i="1"/>
  <c r="I1317" i="1"/>
  <c r="F1309" i="1"/>
  <c r="I1309" i="1"/>
  <c r="I1297" i="1"/>
  <c r="F1297" i="1"/>
  <c r="I1285" i="1"/>
  <c r="F1285" i="1"/>
  <c r="F1277" i="1"/>
  <c r="I1277" i="1"/>
  <c r="F1265" i="1"/>
  <c r="I1265" i="1"/>
  <c r="I1257" i="1"/>
  <c r="F1257" i="1"/>
  <c r="I1249" i="1"/>
  <c r="F1249" i="1"/>
  <c r="F1237" i="1"/>
  <c r="I1237" i="1"/>
  <c r="F1225" i="1"/>
  <c r="I1225" i="1"/>
  <c r="F1217" i="1"/>
  <c r="I1217" i="1"/>
  <c r="F1209" i="1"/>
  <c r="I1209" i="1"/>
  <c r="F1197" i="1"/>
  <c r="I1197" i="1"/>
  <c r="I1185" i="1"/>
  <c r="F1185" i="1"/>
  <c r="I1177" i="1"/>
  <c r="F1177" i="1"/>
  <c r="F1165" i="1"/>
  <c r="I1165" i="1"/>
  <c r="F1153" i="1"/>
  <c r="I1153" i="1"/>
  <c r="F1145" i="1"/>
  <c r="I1145" i="1"/>
  <c r="F1133" i="1"/>
  <c r="I1133" i="1"/>
  <c r="I1125" i="1"/>
  <c r="F1125" i="1"/>
  <c r="F1109" i="1"/>
  <c r="I1109" i="1"/>
  <c r="F1097" i="1"/>
  <c r="I1097" i="1"/>
  <c r="F1089" i="1"/>
  <c r="I1089" i="1"/>
  <c r="F1077" i="1"/>
  <c r="I1077" i="1"/>
  <c r="F1065" i="1"/>
  <c r="I1065" i="1"/>
  <c r="F1053" i="1"/>
  <c r="I1053" i="1"/>
  <c r="F1041" i="1"/>
  <c r="I1041" i="1"/>
  <c r="F1033" i="1"/>
  <c r="I1033" i="1"/>
  <c r="F1021" i="1"/>
  <c r="I1021" i="1"/>
  <c r="I1009" i="1"/>
  <c r="F1009" i="1"/>
  <c r="F1001" i="1"/>
  <c r="I1001" i="1"/>
  <c r="F989" i="1"/>
  <c r="I989" i="1"/>
  <c r="F977" i="1"/>
  <c r="I977" i="1"/>
  <c r="F969" i="1"/>
  <c r="I969" i="1"/>
  <c r="I957" i="1"/>
  <c r="F957" i="1"/>
  <c r="I941" i="1"/>
  <c r="F941" i="1"/>
  <c r="F933" i="1"/>
  <c r="I933" i="1"/>
  <c r="F917" i="1"/>
  <c r="I917" i="1"/>
  <c r="I905" i="1"/>
  <c r="F905" i="1"/>
  <c r="I897" i="1"/>
  <c r="F897" i="1"/>
  <c r="F885" i="1"/>
  <c r="I885" i="1"/>
  <c r="F873" i="1"/>
  <c r="I873" i="1"/>
  <c r="F861" i="1"/>
  <c r="I861" i="1"/>
  <c r="F849" i="1"/>
  <c r="I849" i="1"/>
  <c r="I837" i="1"/>
  <c r="F837" i="1"/>
  <c r="F825" i="1"/>
  <c r="I825" i="1"/>
  <c r="F813" i="1"/>
  <c r="I813" i="1"/>
  <c r="F801" i="1"/>
  <c r="I801" i="1"/>
  <c r="F789" i="1"/>
  <c r="I789" i="1"/>
  <c r="I777" i="1"/>
  <c r="F777" i="1"/>
  <c r="I765" i="1"/>
  <c r="F765" i="1"/>
  <c r="F753" i="1"/>
  <c r="I753" i="1"/>
  <c r="F745" i="1"/>
  <c r="I745" i="1"/>
  <c r="F737" i="1"/>
  <c r="I737" i="1"/>
  <c r="F725" i="1"/>
  <c r="I725" i="1"/>
  <c r="I713" i="1"/>
  <c r="F713" i="1"/>
  <c r="F697" i="1"/>
  <c r="I697" i="1"/>
  <c r="I685" i="1"/>
  <c r="F685" i="1"/>
  <c r="I673" i="1"/>
  <c r="F673" i="1"/>
  <c r="F661" i="1"/>
  <c r="I661" i="1"/>
  <c r="F649" i="1"/>
  <c r="I649" i="1"/>
  <c r="F633" i="1"/>
  <c r="I633" i="1"/>
  <c r="I621" i="1"/>
  <c r="F621" i="1"/>
  <c r="F605" i="1"/>
  <c r="I605" i="1"/>
  <c r="F593" i="1"/>
  <c r="I593" i="1"/>
  <c r="F581" i="1"/>
  <c r="I581" i="1"/>
  <c r="F573" i="1"/>
  <c r="I573" i="1"/>
  <c r="F561" i="1"/>
  <c r="I561" i="1"/>
  <c r="I549" i="1"/>
  <c r="F549" i="1"/>
  <c r="F537" i="1"/>
  <c r="I537" i="1"/>
  <c r="F525" i="1"/>
  <c r="I525" i="1"/>
  <c r="I517" i="1"/>
  <c r="F517" i="1"/>
  <c r="F505" i="1"/>
  <c r="I505" i="1"/>
  <c r="I489" i="1"/>
  <c r="F489" i="1"/>
  <c r="F477" i="1"/>
  <c r="I477" i="1"/>
  <c r="F469" i="1"/>
  <c r="I469" i="1"/>
  <c r="I457" i="1"/>
  <c r="F457" i="1"/>
  <c r="F445" i="1"/>
  <c r="I445" i="1"/>
  <c r="F433" i="1"/>
  <c r="I433" i="1"/>
  <c r="F421" i="1"/>
  <c r="I421" i="1"/>
  <c r="I405" i="1"/>
  <c r="F405" i="1"/>
  <c r="F393" i="1"/>
  <c r="I393" i="1"/>
  <c r="F381" i="1"/>
  <c r="I381" i="1"/>
  <c r="F369" i="1"/>
  <c r="I369" i="1"/>
  <c r="F357" i="1"/>
  <c r="I357" i="1"/>
  <c r="I345" i="1"/>
  <c r="F345" i="1"/>
  <c r="F337" i="1"/>
  <c r="I337" i="1"/>
  <c r="F325" i="1"/>
  <c r="I325" i="1"/>
  <c r="I313" i="1"/>
  <c r="F313" i="1"/>
  <c r="F301" i="1"/>
  <c r="I301" i="1"/>
  <c r="I285" i="1"/>
  <c r="F285" i="1"/>
  <c r="F273" i="1"/>
  <c r="I273" i="1"/>
  <c r="F261" i="1"/>
  <c r="I261" i="1"/>
  <c r="F249" i="1"/>
  <c r="I249" i="1"/>
  <c r="F237" i="1"/>
  <c r="I237" i="1"/>
  <c r="I225" i="1"/>
  <c r="F225" i="1"/>
  <c r="F209" i="1"/>
  <c r="I209" i="1"/>
  <c r="F197" i="1"/>
  <c r="I197" i="1"/>
  <c r="F185" i="1"/>
  <c r="I185" i="1"/>
  <c r="F173" i="1"/>
  <c r="I173" i="1"/>
  <c r="F161" i="1"/>
  <c r="I161" i="1"/>
  <c r="F141" i="1"/>
  <c r="I141" i="1"/>
  <c r="F129" i="1"/>
  <c r="I129" i="1"/>
  <c r="F117" i="1"/>
  <c r="I117" i="1"/>
  <c r="I109" i="1"/>
  <c r="F109" i="1"/>
  <c r="F97" i="1"/>
  <c r="I97" i="1"/>
  <c r="F85" i="1"/>
  <c r="I85" i="1"/>
  <c r="F73" i="1"/>
  <c r="I73" i="1"/>
  <c r="F61" i="1"/>
  <c r="I61" i="1"/>
  <c r="F49" i="1"/>
  <c r="I49" i="1"/>
  <c r="F37" i="1"/>
  <c r="I37" i="1"/>
  <c r="F25" i="1"/>
  <c r="I25" i="1"/>
  <c r="F13" i="1"/>
  <c r="I13" i="1"/>
  <c r="H13" i="1" s="1"/>
  <c r="F2541" i="1"/>
  <c r="I2533" i="1"/>
  <c r="G2533" i="1" s="1"/>
  <c r="F2337" i="1"/>
  <c r="F2277" i="1"/>
  <c r="F1821" i="1"/>
  <c r="F2586" i="1"/>
  <c r="I2586" i="1"/>
  <c r="F2582" i="1"/>
  <c r="I2582" i="1"/>
  <c r="F2570" i="1"/>
  <c r="I2570" i="1"/>
  <c r="F2566" i="1"/>
  <c r="I2566" i="1"/>
  <c r="F2554" i="1"/>
  <c r="I2554" i="1"/>
  <c r="F2550" i="1"/>
  <c r="I2550" i="1"/>
  <c r="F2538" i="1"/>
  <c r="I2538" i="1"/>
  <c r="F2534" i="1"/>
  <c r="I2534" i="1"/>
  <c r="F2522" i="1"/>
  <c r="I2522" i="1"/>
  <c r="F2518" i="1"/>
  <c r="I2518" i="1"/>
  <c r="F2506" i="1"/>
  <c r="I2506" i="1"/>
  <c r="F2502" i="1"/>
  <c r="I2502" i="1"/>
  <c r="F2490" i="1"/>
  <c r="I2490" i="1"/>
  <c r="F2486" i="1"/>
  <c r="I2486" i="1"/>
  <c r="F2474" i="1"/>
  <c r="I2474" i="1"/>
  <c r="F2470" i="1"/>
  <c r="I2470" i="1"/>
  <c r="F2458" i="1"/>
  <c r="I2458" i="1"/>
  <c r="F2454" i="1"/>
  <c r="I2454" i="1"/>
  <c r="F2442" i="1"/>
  <c r="I2442" i="1"/>
  <c r="I2434" i="1"/>
  <c r="F2434" i="1"/>
  <c r="F2430" i="1"/>
  <c r="I2430" i="1"/>
  <c r="F2426" i="1"/>
  <c r="I2426" i="1"/>
  <c r="I2422" i="1"/>
  <c r="F2422" i="1"/>
  <c r="F2414" i="1"/>
  <c r="I2414" i="1"/>
  <c r="F2410" i="1"/>
  <c r="I2410" i="1"/>
  <c r="F2374" i="1"/>
  <c r="I2374" i="1"/>
  <c r="F2370" i="1"/>
  <c r="I2370" i="1"/>
  <c r="F2366" i="1"/>
  <c r="I2366" i="1"/>
  <c r="F2362" i="1"/>
  <c r="I2362" i="1"/>
  <c r="I2350" i="1"/>
  <c r="F2350" i="1"/>
  <c r="F2342" i="1"/>
  <c r="I2342" i="1"/>
  <c r="F2338" i="1"/>
  <c r="I2338" i="1"/>
  <c r="F2334" i="1"/>
  <c r="I2334" i="1"/>
  <c r="F2330" i="1"/>
  <c r="I2330" i="1"/>
  <c r="I2318" i="1"/>
  <c r="F2318" i="1"/>
  <c r="F2310" i="1"/>
  <c r="I2310" i="1"/>
  <c r="F2306" i="1"/>
  <c r="I2306" i="1"/>
  <c r="F2302" i="1"/>
  <c r="I2302" i="1"/>
  <c r="F2298" i="1"/>
  <c r="I2298" i="1"/>
  <c r="I2286" i="1"/>
  <c r="F2286" i="1"/>
  <c r="F2278" i="1"/>
  <c r="I2278" i="1"/>
  <c r="F2274" i="1"/>
  <c r="I2274" i="1"/>
  <c r="F2270" i="1"/>
  <c r="I2270" i="1"/>
  <c r="F2266" i="1"/>
  <c r="I2266" i="1"/>
  <c r="F2250" i="1"/>
  <c r="I2250" i="1"/>
  <c r="F2246" i="1"/>
  <c r="I2246" i="1"/>
  <c r="I2242" i="1"/>
  <c r="F2242" i="1"/>
  <c r="I2238" i="1"/>
  <c r="F2238" i="1"/>
  <c r="F2234" i="1"/>
  <c r="I2234" i="1"/>
  <c r="F2230" i="1"/>
  <c r="I2230" i="1"/>
  <c r="I2226" i="1"/>
  <c r="F2226" i="1"/>
  <c r="I2222" i="1"/>
  <c r="F2222" i="1"/>
  <c r="F2218" i="1"/>
  <c r="I2218" i="1"/>
  <c r="F2214" i="1"/>
  <c r="I2214" i="1"/>
  <c r="F2210" i="1"/>
  <c r="I2210" i="1"/>
  <c r="F2206" i="1"/>
  <c r="I2206" i="1"/>
  <c r="F2202" i="1"/>
  <c r="I2202" i="1"/>
  <c r="F2198" i="1"/>
  <c r="I2198" i="1"/>
  <c r="I2194" i="1"/>
  <c r="F2194" i="1"/>
  <c r="F2186" i="1"/>
  <c r="I2186" i="1"/>
  <c r="F2178" i="1"/>
  <c r="I2178" i="1"/>
  <c r="F2174" i="1"/>
  <c r="I2174" i="1"/>
  <c r="F2170" i="1"/>
  <c r="I2170" i="1"/>
  <c r="F2166" i="1"/>
  <c r="I2166" i="1"/>
  <c r="I2162" i="1"/>
  <c r="F2162" i="1"/>
  <c r="I2158" i="1"/>
  <c r="F2158" i="1"/>
  <c r="F2154" i="1"/>
  <c r="I2154" i="1"/>
  <c r="F2150" i="1"/>
  <c r="I2150" i="1"/>
  <c r="F2146" i="1"/>
  <c r="I2146" i="1"/>
  <c r="F2142" i="1"/>
  <c r="I2142" i="1"/>
  <c r="F2138" i="1"/>
  <c r="I2138" i="1"/>
  <c r="F2134" i="1"/>
  <c r="I2134" i="1"/>
  <c r="I2126" i="1"/>
  <c r="F2126" i="1"/>
  <c r="F2118" i="1"/>
  <c r="I2118" i="1"/>
  <c r="F2114" i="1"/>
  <c r="I2114" i="1"/>
  <c r="F2110" i="1"/>
  <c r="I2110" i="1"/>
  <c r="F2106" i="1"/>
  <c r="I2106" i="1"/>
  <c r="F2102" i="1"/>
  <c r="I2102" i="1"/>
  <c r="I2098" i="1"/>
  <c r="F2098" i="1"/>
  <c r="I2094" i="1"/>
  <c r="F2094" i="1"/>
  <c r="F2090" i="1"/>
  <c r="I2090" i="1"/>
  <c r="F2086" i="1"/>
  <c r="I2086" i="1"/>
  <c r="F2082" i="1"/>
  <c r="I2082" i="1"/>
  <c r="F2078" i="1"/>
  <c r="I2078" i="1"/>
  <c r="F2074" i="1"/>
  <c r="I2074" i="1"/>
  <c r="F2070" i="1"/>
  <c r="I2070" i="1"/>
  <c r="I2066" i="1"/>
  <c r="F2066" i="1"/>
  <c r="F2058" i="1"/>
  <c r="I2058" i="1"/>
  <c r="F2050" i="1"/>
  <c r="I2050" i="1"/>
  <c r="F2046" i="1"/>
  <c r="I2046" i="1"/>
  <c r="F2042" i="1"/>
  <c r="I2042" i="1"/>
  <c r="F2038" i="1"/>
  <c r="I2038" i="1"/>
  <c r="I2034" i="1"/>
  <c r="F2034" i="1"/>
  <c r="I2030" i="1"/>
  <c r="F2030" i="1"/>
  <c r="F2026" i="1"/>
  <c r="I2026" i="1"/>
  <c r="F2022" i="1"/>
  <c r="I2022" i="1"/>
  <c r="F2018" i="1"/>
  <c r="I2018" i="1"/>
  <c r="F2014" i="1"/>
  <c r="I2014" i="1"/>
  <c r="F2010" i="1"/>
  <c r="I2010" i="1"/>
  <c r="F2006" i="1"/>
  <c r="I2006" i="1"/>
  <c r="I1998" i="1"/>
  <c r="F1998" i="1"/>
  <c r="F1990" i="1"/>
  <c r="I1990" i="1"/>
  <c r="F1986" i="1"/>
  <c r="I1986" i="1"/>
  <c r="F1982" i="1"/>
  <c r="I1982" i="1"/>
  <c r="F1978" i="1"/>
  <c r="I1978" i="1"/>
  <c r="F1974" i="1"/>
  <c r="I1974" i="1"/>
  <c r="I1970" i="1"/>
  <c r="F1970" i="1"/>
  <c r="I1966" i="1"/>
  <c r="F1966" i="1"/>
  <c r="F1962" i="1"/>
  <c r="I1962" i="1"/>
  <c r="F1958" i="1"/>
  <c r="I1958" i="1"/>
  <c r="F1954" i="1"/>
  <c r="I1954" i="1"/>
  <c r="F1950" i="1"/>
  <c r="I1950" i="1"/>
  <c r="F1946" i="1"/>
  <c r="I1946" i="1"/>
  <c r="F1942" i="1"/>
  <c r="I1942" i="1"/>
  <c r="I1938" i="1"/>
  <c r="F1938" i="1"/>
  <c r="F1930" i="1"/>
  <c r="I1930" i="1"/>
  <c r="F1922" i="1"/>
  <c r="I1922" i="1"/>
  <c r="F1918" i="1"/>
  <c r="I1918" i="1"/>
  <c r="F1914" i="1"/>
  <c r="I1914" i="1"/>
  <c r="F1910" i="1"/>
  <c r="I1910" i="1"/>
  <c r="I1906" i="1"/>
  <c r="F1906" i="1"/>
  <c r="I1902" i="1"/>
  <c r="F1902" i="1"/>
  <c r="F1898" i="1"/>
  <c r="I1898" i="1"/>
  <c r="F1894" i="1"/>
  <c r="I1894" i="1"/>
  <c r="F1890" i="1"/>
  <c r="I1890" i="1"/>
  <c r="F1886" i="1"/>
  <c r="I1886" i="1"/>
  <c r="F1882" i="1"/>
  <c r="I1882" i="1"/>
  <c r="F1878" i="1"/>
  <c r="I1878" i="1"/>
  <c r="I1870" i="1"/>
  <c r="F1870" i="1"/>
  <c r="F1862" i="1"/>
  <c r="I1862" i="1"/>
  <c r="F1858" i="1"/>
  <c r="I1858" i="1"/>
  <c r="F1854" i="1"/>
  <c r="I1854" i="1"/>
  <c r="F1850" i="1"/>
  <c r="I1850" i="1"/>
  <c r="F1846" i="1"/>
  <c r="I1846" i="1"/>
  <c r="I1842" i="1"/>
  <c r="F1842" i="1"/>
  <c r="I1838" i="1"/>
  <c r="F1838" i="1"/>
  <c r="F1834" i="1"/>
  <c r="I1834" i="1"/>
  <c r="F1830" i="1"/>
  <c r="I1830" i="1"/>
  <c r="F1826" i="1"/>
  <c r="I1826" i="1"/>
  <c r="F1822" i="1"/>
  <c r="I1822" i="1"/>
  <c r="F1818" i="1"/>
  <c r="I1818" i="1"/>
  <c r="F1814" i="1"/>
  <c r="I1814" i="1"/>
  <c r="I1810" i="1"/>
  <c r="F1810" i="1"/>
  <c r="F1802" i="1"/>
  <c r="I1802" i="1"/>
  <c r="F1794" i="1"/>
  <c r="I1794" i="1"/>
  <c r="F1790" i="1"/>
  <c r="I1790" i="1"/>
  <c r="F1786" i="1"/>
  <c r="I1786" i="1"/>
  <c r="F1782" i="1"/>
  <c r="I1782" i="1"/>
  <c r="I1778" i="1"/>
  <c r="F1778" i="1"/>
  <c r="I1774" i="1"/>
  <c r="F1774" i="1"/>
  <c r="F1770" i="1"/>
  <c r="I1770" i="1"/>
  <c r="F1766" i="1"/>
  <c r="I1766" i="1"/>
  <c r="F1762" i="1"/>
  <c r="I1762" i="1"/>
  <c r="F1758" i="1"/>
  <c r="I1758" i="1"/>
  <c r="I1754" i="1"/>
  <c r="F1754" i="1"/>
  <c r="I1750" i="1"/>
  <c r="F1750" i="1"/>
  <c r="F1746" i="1"/>
  <c r="I1746" i="1"/>
  <c r="F1742" i="1"/>
  <c r="I1742" i="1"/>
  <c r="F1738" i="1"/>
  <c r="I1738" i="1"/>
  <c r="F1734" i="1"/>
  <c r="I1734" i="1"/>
  <c r="F1730" i="1"/>
  <c r="I1730" i="1"/>
  <c r="F1726" i="1"/>
  <c r="I1726" i="1"/>
  <c r="I1722" i="1"/>
  <c r="F1722" i="1"/>
  <c r="I1718" i="1"/>
  <c r="F1718" i="1"/>
  <c r="F1714" i="1"/>
  <c r="I1714" i="1"/>
  <c r="F1710" i="1"/>
  <c r="I1710" i="1"/>
  <c r="F1706" i="1"/>
  <c r="I1706" i="1"/>
  <c r="F1702" i="1"/>
  <c r="I1702" i="1"/>
  <c r="F1698" i="1"/>
  <c r="I1698" i="1"/>
  <c r="F1694" i="1"/>
  <c r="I1694" i="1"/>
  <c r="F1690" i="1"/>
  <c r="I1690" i="1"/>
  <c r="I1686" i="1"/>
  <c r="F1686" i="1"/>
  <c r="F1682" i="1"/>
  <c r="I1682" i="1"/>
  <c r="F1678" i="1"/>
  <c r="I1678" i="1"/>
  <c r="F1674" i="1"/>
  <c r="I1674" i="1"/>
  <c r="F1670" i="1"/>
  <c r="I1670" i="1"/>
  <c r="I1666" i="1"/>
  <c r="F1666" i="1"/>
  <c r="F1662" i="1"/>
  <c r="I1662" i="1"/>
  <c r="F1658" i="1"/>
  <c r="I1658" i="1"/>
  <c r="F1654" i="1"/>
  <c r="I1654" i="1"/>
  <c r="F1650" i="1"/>
  <c r="I1650" i="1"/>
  <c r="F1646" i="1"/>
  <c r="I1646" i="1"/>
  <c r="F1642" i="1"/>
  <c r="I1642" i="1"/>
  <c r="I1638" i="1"/>
  <c r="F1638" i="1"/>
  <c r="F1634" i="1"/>
  <c r="I1634" i="1"/>
  <c r="F1630" i="1"/>
  <c r="I1630" i="1"/>
  <c r="F1626" i="1"/>
  <c r="I1626" i="1"/>
  <c r="F1622" i="1"/>
  <c r="I1622" i="1"/>
  <c r="F1618" i="1"/>
  <c r="I1618" i="1"/>
  <c r="I1614" i="1"/>
  <c r="F1614" i="1"/>
  <c r="I1610" i="1"/>
  <c r="F1610" i="1"/>
  <c r="F1606" i="1"/>
  <c r="I1606" i="1"/>
  <c r="F1602" i="1"/>
  <c r="I1602" i="1"/>
  <c r="F1598" i="1"/>
  <c r="I1598" i="1"/>
  <c r="F1594" i="1"/>
  <c r="I1594" i="1"/>
  <c r="I1590" i="1"/>
  <c r="F1590" i="1"/>
  <c r="I1586" i="1"/>
  <c r="F1586" i="1"/>
  <c r="F1578" i="1"/>
  <c r="I1578" i="1"/>
  <c r="F1574" i="1"/>
  <c r="I1574" i="1"/>
  <c r="F1570" i="1"/>
  <c r="I1570" i="1"/>
  <c r="F1566" i="1"/>
  <c r="I1566" i="1"/>
  <c r="I1562" i="1"/>
  <c r="F1562" i="1"/>
  <c r="I1558" i="1"/>
  <c r="F1558" i="1"/>
  <c r="F1554" i="1"/>
  <c r="I1554" i="1"/>
  <c r="F1550" i="1"/>
  <c r="I1550" i="1"/>
  <c r="F1546" i="1"/>
  <c r="I1546" i="1"/>
  <c r="F1542" i="1"/>
  <c r="I1542" i="1"/>
  <c r="F1538" i="1"/>
  <c r="I1538" i="1"/>
  <c r="I1534" i="1"/>
  <c r="F1534" i="1"/>
  <c r="I1530" i="1"/>
  <c r="F1530" i="1"/>
  <c r="I1526" i="1"/>
  <c r="F1526" i="1"/>
  <c r="F1518" i="1"/>
  <c r="I1518" i="1"/>
  <c r="F1514" i="1"/>
  <c r="I1514" i="1"/>
  <c r="F1510" i="1"/>
  <c r="I1510" i="1"/>
  <c r="F1506" i="1"/>
  <c r="I1506" i="1"/>
  <c r="F1502" i="1"/>
  <c r="I1502" i="1"/>
  <c r="F1498" i="1"/>
  <c r="I1498" i="1"/>
  <c r="F1494" i="1"/>
  <c r="I1494" i="1"/>
  <c r="F1490" i="1"/>
  <c r="I1490" i="1"/>
  <c r="F1486" i="1"/>
  <c r="I1486" i="1"/>
  <c r="F1482" i="1"/>
  <c r="I1482" i="1"/>
  <c r="F1478" i="1"/>
  <c r="I1478" i="1"/>
  <c r="I1474" i="1"/>
  <c r="F1474" i="1"/>
  <c r="I1470" i="1"/>
  <c r="F1470" i="1"/>
  <c r="I1466" i="1"/>
  <c r="F1466" i="1"/>
  <c r="F1462" i="1"/>
  <c r="I1462" i="1"/>
  <c r="F1458" i="1"/>
  <c r="I1458" i="1"/>
  <c r="F1454" i="1"/>
  <c r="I1454" i="1"/>
  <c r="F1450" i="1"/>
  <c r="I1450" i="1"/>
  <c r="F1446" i="1"/>
  <c r="I1446" i="1"/>
  <c r="F1442" i="1"/>
  <c r="I1442" i="1"/>
  <c r="F1438" i="1"/>
  <c r="I1438" i="1"/>
  <c r="F1434" i="1"/>
  <c r="I1434" i="1"/>
  <c r="F1430" i="1"/>
  <c r="I1430" i="1"/>
  <c r="I1426" i="1"/>
  <c r="F1426" i="1"/>
  <c r="I1422" i="1"/>
  <c r="F1422" i="1"/>
  <c r="I1418" i="1"/>
  <c r="F1418" i="1"/>
  <c r="I1414" i="1"/>
  <c r="F1414" i="1"/>
  <c r="I1410" i="1"/>
  <c r="F1410" i="1"/>
  <c r="F1406" i="1"/>
  <c r="I1406" i="1"/>
  <c r="F1402" i="1"/>
  <c r="I1402" i="1"/>
  <c r="F1398" i="1"/>
  <c r="I1398" i="1"/>
  <c r="F1394" i="1"/>
  <c r="I1394" i="1"/>
  <c r="F1390" i="1"/>
  <c r="I1390" i="1"/>
  <c r="I1386" i="1"/>
  <c r="F1386" i="1"/>
  <c r="I1382" i="1"/>
  <c r="F1382" i="1"/>
  <c r="I1378" i="1"/>
  <c r="F1378" i="1"/>
  <c r="I1374" i="1"/>
  <c r="F1374" i="1"/>
  <c r="I1370" i="1"/>
  <c r="F1370" i="1"/>
  <c r="I1366" i="1"/>
  <c r="F1366" i="1"/>
  <c r="F1362" i="1"/>
  <c r="I1362" i="1"/>
  <c r="F1358" i="1"/>
  <c r="I1358" i="1"/>
  <c r="F1354" i="1"/>
  <c r="I1354" i="1"/>
  <c r="F1350" i="1"/>
  <c r="I1350" i="1"/>
  <c r="F1346" i="1"/>
  <c r="I1346" i="1"/>
  <c r="F1342" i="1"/>
  <c r="I1342" i="1"/>
  <c r="F1338" i="1"/>
  <c r="I1338" i="1"/>
  <c r="F1334" i="1"/>
  <c r="I1334" i="1"/>
  <c r="I1330" i="1"/>
  <c r="F1330" i="1"/>
  <c r="I1326" i="1"/>
  <c r="F1326" i="1"/>
  <c r="I1322" i="1"/>
  <c r="F1322" i="1"/>
  <c r="F1318" i="1"/>
  <c r="I1318" i="1"/>
  <c r="F1314" i="1"/>
  <c r="I1314" i="1"/>
  <c r="F1310" i="1"/>
  <c r="I1310" i="1"/>
  <c r="F1302" i="1"/>
  <c r="I1302" i="1"/>
  <c r="F1298" i="1"/>
  <c r="I1298" i="1"/>
  <c r="F1294" i="1"/>
  <c r="I1294" i="1"/>
  <c r="F1290" i="1"/>
  <c r="I1290" i="1"/>
  <c r="F1286" i="1"/>
  <c r="I1286" i="1"/>
  <c r="F1282" i="1"/>
  <c r="I1282" i="1"/>
  <c r="F1278" i="1"/>
  <c r="I1278" i="1"/>
  <c r="I1274" i="1"/>
  <c r="F1274" i="1"/>
  <c r="I1270" i="1"/>
  <c r="F1270" i="1"/>
  <c r="I1266" i="1"/>
  <c r="F1266" i="1"/>
  <c r="F1262" i="1"/>
  <c r="I1262" i="1"/>
  <c r="F1258" i="1"/>
  <c r="I1258" i="1"/>
  <c r="F1254" i="1"/>
  <c r="I1254" i="1"/>
  <c r="F1250" i="1"/>
  <c r="I1250" i="1"/>
  <c r="F1246" i="1"/>
  <c r="I1246" i="1"/>
  <c r="F1242" i="1"/>
  <c r="I1242" i="1"/>
  <c r="F1238" i="1"/>
  <c r="I1238" i="1"/>
  <c r="F1234" i="1"/>
  <c r="I1234" i="1"/>
  <c r="F1230" i="1"/>
  <c r="I1230" i="1"/>
  <c r="I1226" i="1"/>
  <c r="F1226" i="1"/>
  <c r="I1222" i="1"/>
  <c r="F1222" i="1"/>
  <c r="F1218" i="1"/>
  <c r="I1218" i="1"/>
  <c r="F1214" i="1"/>
  <c r="I1214" i="1"/>
  <c r="I1210" i="1"/>
  <c r="F1210" i="1"/>
  <c r="I1206" i="1"/>
  <c r="F1206" i="1"/>
  <c r="I1202" i="1"/>
  <c r="F1202" i="1"/>
  <c r="I1198" i="1"/>
  <c r="F1198" i="1"/>
  <c r="F1194" i="1"/>
  <c r="I1194" i="1"/>
  <c r="F1190" i="1"/>
  <c r="I1190" i="1"/>
  <c r="F1186" i="1"/>
  <c r="I1186" i="1"/>
  <c r="F1182" i="1"/>
  <c r="I1182" i="1"/>
  <c r="F1178" i="1"/>
  <c r="I1178" i="1"/>
  <c r="F1174" i="1"/>
  <c r="I1174" i="1"/>
  <c r="F1170" i="1"/>
  <c r="I1170" i="1"/>
  <c r="F1166" i="1"/>
  <c r="I1166" i="1"/>
  <c r="F1162" i="1"/>
  <c r="I1162" i="1"/>
  <c r="F1158" i="1"/>
  <c r="I1158" i="1"/>
  <c r="F1154" i="1"/>
  <c r="I1154" i="1"/>
  <c r="F1150" i="1"/>
  <c r="I1150" i="1"/>
  <c r="I1146" i="1"/>
  <c r="F1146" i="1"/>
  <c r="F1142" i="1"/>
  <c r="I1142" i="1"/>
  <c r="F1138" i="1"/>
  <c r="I1138" i="1"/>
  <c r="F1134" i="1"/>
  <c r="I1134" i="1"/>
  <c r="F1130" i="1"/>
  <c r="I1130" i="1"/>
  <c r="F1126" i="1"/>
  <c r="I1126" i="1"/>
  <c r="F1122" i="1"/>
  <c r="I1122" i="1"/>
  <c r="F1118" i="1"/>
  <c r="I1118" i="1"/>
  <c r="F1114" i="1"/>
  <c r="I1114" i="1"/>
  <c r="F1110" i="1"/>
  <c r="I1110" i="1"/>
  <c r="I1106" i="1"/>
  <c r="F1106" i="1"/>
  <c r="I1102" i="1"/>
  <c r="F1102" i="1"/>
  <c r="I1098" i="1"/>
  <c r="F1098" i="1"/>
  <c r="I1094" i="1"/>
  <c r="F1094" i="1"/>
  <c r="I1090" i="1"/>
  <c r="F1090" i="1"/>
  <c r="I1086" i="1"/>
  <c r="F1086" i="1"/>
  <c r="I1082" i="1"/>
  <c r="F1082" i="1"/>
  <c r="I1078" i="1"/>
  <c r="F1078" i="1"/>
  <c r="F1074" i="1"/>
  <c r="I1074" i="1"/>
  <c r="F1070" i="1"/>
  <c r="I1070" i="1"/>
  <c r="F1066" i="1"/>
  <c r="I1066" i="1"/>
  <c r="F1062" i="1"/>
  <c r="I1062" i="1"/>
  <c r="F1058" i="1"/>
  <c r="I1058" i="1"/>
  <c r="F1054" i="1"/>
  <c r="I1054" i="1"/>
  <c r="F1050" i="1"/>
  <c r="I1050" i="1"/>
  <c r="F1046" i="1"/>
  <c r="I1046" i="1"/>
  <c r="F1042" i="1"/>
  <c r="I1042" i="1"/>
  <c r="F1038" i="1"/>
  <c r="I1038" i="1"/>
  <c r="F1034" i="1"/>
  <c r="I1034" i="1"/>
  <c r="F1030" i="1"/>
  <c r="I1030" i="1"/>
  <c r="F1026" i="1"/>
  <c r="I1026" i="1"/>
  <c r="F1022" i="1"/>
  <c r="I1022" i="1"/>
  <c r="F1018" i="1"/>
  <c r="I1018" i="1"/>
  <c r="F1014" i="1"/>
  <c r="I1014" i="1"/>
  <c r="F1010" i="1"/>
  <c r="I1010" i="1"/>
  <c r="F1006" i="1"/>
  <c r="I1006" i="1"/>
  <c r="F1002" i="1"/>
  <c r="I1002" i="1"/>
  <c r="F998" i="1"/>
  <c r="I998" i="1"/>
  <c r="F994" i="1"/>
  <c r="I994" i="1"/>
  <c r="F990" i="1"/>
  <c r="I990" i="1"/>
  <c r="I986" i="1"/>
  <c r="F986" i="1"/>
  <c r="I982" i="1"/>
  <c r="F982" i="1"/>
  <c r="I978" i="1"/>
  <c r="F978" i="1"/>
  <c r="I974" i="1"/>
  <c r="F974" i="1"/>
  <c r="F970" i="1"/>
  <c r="I970" i="1"/>
  <c r="F966" i="1"/>
  <c r="I966" i="1"/>
  <c r="I962" i="1"/>
  <c r="F962" i="1"/>
  <c r="F958" i="1"/>
  <c r="I958" i="1"/>
  <c r="F954" i="1"/>
  <c r="I954" i="1"/>
  <c r="F950" i="1"/>
  <c r="I950" i="1"/>
  <c r="F946" i="1"/>
  <c r="I946" i="1"/>
  <c r="F942" i="1"/>
  <c r="I942" i="1"/>
  <c r="I938" i="1"/>
  <c r="F938" i="1"/>
  <c r="I934" i="1"/>
  <c r="F934" i="1"/>
  <c r="I930" i="1"/>
  <c r="F930" i="1"/>
  <c r="I926" i="1"/>
  <c r="F926" i="1"/>
  <c r="I922" i="1"/>
  <c r="F922" i="1"/>
  <c r="F918" i="1"/>
  <c r="I918" i="1"/>
  <c r="F914" i="1"/>
  <c r="I914" i="1"/>
  <c r="F910" i="1"/>
  <c r="I910" i="1"/>
  <c r="F906" i="1"/>
  <c r="I906" i="1"/>
  <c r="F902" i="1"/>
  <c r="I902" i="1"/>
  <c r="F898" i="1"/>
  <c r="I898" i="1"/>
  <c r="F894" i="1"/>
  <c r="I894" i="1"/>
  <c r="F890" i="1"/>
  <c r="I890" i="1"/>
  <c r="F886" i="1"/>
  <c r="I886" i="1"/>
  <c r="F882" i="1"/>
  <c r="I882" i="1"/>
  <c r="I878" i="1"/>
  <c r="F878" i="1"/>
  <c r="I874" i="1"/>
  <c r="F874" i="1"/>
  <c r="I870" i="1"/>
  <c r="F870" i="1"/>
  <c r="I866" i="1"/>
  <c r="F866" i="1"/>
  <c r="I862" i="1"/>
  <c r="F862" i="1"/>
  <c r="I858" i="1"/>
  <c r="F858" i="1"/>
  <c r="F854" i="1"/>
  <c r="I854" i="1"/>
  <c r="F850" i="1"/>
  <c r="I850" i="1"/>
  <c r="F846" i="1"/>
  <c r="I846" i="1"/>
  <c r="F842" i="1"/>
  <c r="I842" i="1"/>
  <c r="F838" i="1"/>
  <c r="I838" i="1"/>
  <c r="F834" i="1"/>
  <c r="I834" i="1"/>
  <c r="F830" i="1"/>
  <c r="I830" i="1"/>
  <c r="F826" i="1"/>
  <c r="I826" i="1"/>
  <c r="F822" i="1"/>
  <c r="I822" i="1"/>
  <c r="F818" i="1"/>
  <c r="I818" i="1"/>
  <c r="I814" i="1"/>
  <c r="F814" i="1"/>
  <c r="I810" i="1"/>
  <c r="F810" i="1"/>
  <c r="I806" i="1"/>
  <c r="F806" i="1"/>
  <c r="I802" i="1"/>
  <c r="F802" i="1"/>
  <c r="I798" i="1"/>
  <c r="F798" i="1"/>
  <c r="I794" i="1"/>
  <c r="F794" i="1"/>
  <c r="F790" i="1"/>
  <c r="I790" i="1"/>
  <c r="F786" i="1"/>
  <c r="I786" i="1"/>
  <c r="F782" i="1"/>
  <c r="I782" i="1"/>
  <c r="F778" i="1"/>
  <c r="I778" i="1"/>
  <c r="F774" i="1"/>
  <c r="I774" i="1"/>
  <c r="F770" i="1"/>
  <c r="I770" i="1"/>
  <c r="F766" i="1"/>
  <c r="I766" i="1"/>
  <c r="F762" i="1"/>
  <c r="I762" i="1"/>
  <c r="F758" i="1"/>
  <c r="I758" i="1"/>
  <c r="I2592" i="1"/>
  <c r="F2578" i="1"/>
  <c r="F2571" i="1"/>
  <c r="F2564" i="1"/>
  <c r="G2564" i="1" s="1"/>
  <c r="F2557" i="1"/>
  <c r="I2549" i="1"/>
  <c r="I2542" i="1"/>
  <c r="I2535" i="1"/>
  <c r="I2528" i="1"/>
  <c r="F2514" i="1"/>
  <c r="F2507" i="1"/>
  <c r="F2500" i="1"/>
  <c r="H2500" i="1" s="1"/>
  <c r="F2493" i="1"/>
  <c r="I2485" i="1"/>
  <c r="I2478" i="1"/>
  <c r="I2471" i="1"/>
  <c r="I2464" i="1"/>
  <c r="F2450" i="1"/>
  <c r="F2443" i="1"/>
  <c r="F2436" i="1"/>
  <c r="H2436" i="1" s="1"/>
  <c r="F2429" i="1"/>
  <c r="F2415" i="1"/>
  <c r="G2415" i="1" s="1"/>
  <c r="F2408" i="1"/>
  <c r="H2408" i="1" s="1"/>
  <c r="F2400" i="1"/>
  <c r="H2400" i="1" s="1"/>
  <c r="I2392" i="1"/>
  <c r="H2392" i="1" s="1"/>
  <c r="I2384" i="1"/>
  <c r="H2384" i="1" s="1"/>
  <c r="F2377" i="1"/>
  <c r="F2369" i="1"/>
  <c r="I2361" i="1"/>
  <c r="F2354" i="1"/>
  <c r="I2346" i="1"/>
  <c r="F2339" i="1"/>
  <c r="I2331" i="1"/>
  <c r="F2324" i="1"/>
  <c r="G2324" i="1" s="1"/>
  <c r="I2316" i="1"/>
  <c r="F2309" i="1"/>
  <c r="I2301" i="1"/>
  <c r="F2294" i="1"/>
  <c r="F2279" i="1"/>
  <c r="F2271" i="1"/>
  <c r="F2264" i="1"/>
  <c r="G2264" i="1" s="1"/>
  <c r="F2256" i="1"/>
  <c r="G2256" i="1" s="1"/>
  <c r="I2243" i="1"/>
  <c r="F2220" i="1"/>
  <c r="H2220" i="1" s="1"/>
  <c r="F2190" i="1"/>
  <c r="F2160" i="1"/>
  <c r="G2160" i="1" s="1"/>
  <c r="F2130" i="1"/>
  <c r="I2099" i="1"/>
  <c r="I2069" i="1"/>
  <c r="I2039" i="1"/>
  <c r="I2009" i="1"/>
  <c r="F1949" i="1"/>
  <c r="F1919" i="1"/>
  <c r="F1889" i="1"/>
  <c r="F1859" i="1"/>
  <c r="I1828" i="1"/>
  <c r="I1798" i="1"/>
  <c r="I1761" i="1"/>
  <c r="I1641" i="1"/>
  <c r="F1522" i="1"/>
  <c r="F1399" i="1"/>
  <c r="I1275" i="1"/>
  <c r="I991" i="1"/>
  <c r="I740" i="1"/>
  <c r="F740" i="1"/>
  <c r="I736" i="1"/>
  <c r="F736" i="1"/>
  <c r="I732" i="1"/>
  <c r="F732" i="1"/>
  <c r="F728" i="1"/>
  <c r="I728" i="1"/>
  <c r="F724" i="1"/>
  <c r="I724" i="1"/>
  <c r="F720" i="1"/>
  <c r="I720" i="1"/>
  <c r="F716" i="1"/>
  <c r="I716" i="1"/>
  <c r="F712" i="1"/>
  <c r="I712" i="1"/>
  <c r="I708" i="1"/>
  <c r="F708" i="1"/>
  <c r="I704" i="1"/>
  <c r="F704" i="1"/>
  <c r="I700" i="1"/>
  <c r="F700" i="1"/>
  <c r="F696" i="1"/>
  <c r="I696" i="1"/>
  <c r="F692" i="1"/>
  <c r="I692" i="1"/>
  <c r="F688" i="1"/>
  <c r="I688" i="1"/>
  <c r="F684" i="1"/>
  <c r="I684" i="1"/>
  <c r="F680" i="1"/>
  <c r="I680" i="1"/>
  <c r="F676" i="1"/>
  <c r="I676" i="1"/>
  <c r="F672" i="1"/>
  <c r="I672" i="1"/>
  <c r="F668" i="1"/>
  <c r="I668" i="1"/>
  <c r="F664" i="1"/>
  <c r="I664" i="1"/>
  <c r="F660" i="1"/>
  <c r="I660" i="1"/>
  <c r="F656" i="1"/>
  <c r="I656" i="1"/>
  <c r="F652" i="1"/>
  <c r="I652" i="1"/>
  <c r="F648" i="1"/>
  <c r="I648" i="1"/>
  <c r="I644" i="1"/>
  <c r="F644" i="1"/>
  <c r="F640" i="1"/>
  <c r="I640" i="1"/>
  <c r="F636" i="1"/>
  <c r="I636" i="1"/>
  <c r="I632" i="1"/>
  <c r="F632" i="1"/>
  <c r="I628" i="1"/>
  <c r="F628" i="1"/>
  <c r="F624" i="1"/>
  <c r="I624" i="1"/>
  <c r="F620" i="1"/>
  <c r="I620" i="1"/>
  <c r="F616" i="1"/>
  <c r="I616" i="1"/>
  <c r="F612" i="1"/>
  <c r="I612" i="1"/>
  <c r="I608" i="1"/>
  <c r="F608" i="1"/>
  <c r="I604" i="1"/>
  <c r="F604" i="1"/>
  <c r="F600" i="1"/>
  <c r="I600" i="1"/>
  <c r="F596" i="1"/>
  <c r="I596" i="1"/>
  <c r="F592" i="1"/>
  <c r="I592" i="1"/>
  <c r="F588" i="1"/>
  <c r="I588" i="1"/>
  <c r="F584" i="1"/>
  <c r="I584" i="1"/>
  <c r="F580" i="1"/>
  <c r="I580" i="1"/>
  <c r="F576" i="1"/>
  <c r="I576" i="1"/>
  <c r="F572" i="1"/>
  <c r="I572" i="1"/>
  <c r="F568" i="1"/>
  <c r="I568" i="1"/>
  <c r="F564" i="1"/>
  <c r="I564" i="1"/>
  <c r="F560" i="1"/>
  <c r="I560" i="1"/>
  <c r="F556" i="1"/>
  <c r="I556" i="1"/>
  <c r="F552" i="1"/>
  <c r="I552" i="1"/>
  <c r="F548" i="1"/>
  <c r="I548" i="1"/>
  <c r="F544" i="1"/>
  <c r="I544" i="1"/>
  <c r="F540" i="1"/>
  <c r="I540" i="1"/>
  <c r="I536" i="1"/>
  <c r="F536" i="1"/>
  <c r="I532" i="1"/>
  <c r="F532" i="1"/>
  <c r="F528" i="1"/>
  <c r="I528" i="1"/>
  <c r="F524" i="1"/>
  <c r="I524" i="1"/>
  <c r="F520" i="1"/>
  <c r="I520" i="1"/>
  <c r="F516" i="1"/>
  <c r="I516" i="1"/>
  <c r="F512" i="1"/>
  <c r="I512" i="1"/>
  <c r="I508" i="1"/>
  <c r="F508" i="1"/>
  <c r="I504" i="1"/>
  <c r="F504" i="1"/>
  <c r="I500" i="1"/>
  <c r="F500" i="1"/>
  <c r="F496" i="1"/>
  <c r="I496" i="1"/>
  <c r="F492" i="1"/>
  <c r="I492" i="1"/>
  <c r="F488" i="1"/>
  <c r="I488" i="1"/>
  <c r="F484" i="1"/>
  <c r="I484" i="1"/>
  <c r="F480" i="1"/>
  <c r="I480" i="1"/>
  <c r="F476" i="1"/>
  <c r="I476" i="1"/>
  <c r="I472" i="1"/>
  <c r="F472" i="1"/>
  <c r="I468" i="1"/>
  <c r="F468" i="1"/>
  <c r="F464" i="1"/>
  <c r="I464" i="1"/>
  <c r="F460" i="1"/>
  <c r="I460" i="1"/>
  <c r="F456" i="1"/>
  <c r="I456" i="1"/>
  <c r="F452" i="1"/>
  <c r="I452" i="1"/>
  <c r="F448" i="1"/>
  <c r="I448" i="1"/>
  <c r="I444" i="1"/>
  <c r="F444" i="1"/>
  <c r="F440" i="1"/>
  <c r="I440" i="1"/>
  <c r="F436" i="1"/>
  <c r="I436" i="1"/>
  <c r="F432" i="1"/>
  <c r="I432" i="1"/>
  <c r="F428" i="1"/>
  <c r="I428" i="1"/>
  <c r="I424" i="1"/>
  <c r="F424" i="1"/>
  <c r="I420" i="1"/>
  <c r="F420" i="1"/>
  <c r="F416" i="1"/>
  <c r="I416" i="1"/>
  <c r="F412" i="1"/>
  <c r="I412" i="1"/>
  <c r="F408" i="1"/>
  <c r="I408" i="1"/>
  <c r="F404" i="1"/>
  <c r="I404" i="1"/>
  <c r="F400" i="1"/>
  <c r="I400" i="1"/>
  <c r="F396" i="1"/>
  <c r="I396" i="1"/>
  <c r="I392" i="1"/>
  <c r="F392" i="1"/>
  <c r="I388" i="1"/>
  <c r="F388" i="1"/>
  <c r="F384" i="1"/>
  <c r="I384" i="1"/>
  <c r="F380" i="1"/>
  <c r="I380" i="1"/>
  <c r="F376" i="1"/>
  <c r="I376" i="1"/>
  <c r="F372" i="1"/>
  <c r="I372" i="1"/>
  <c r="F368" i="1"/>
  <c r="I368" i="1"/>
  <c r="F364" i="1"/>
  <c r="I364" i="1"/>
  <c r="I360" i="1"/>
  <c r="F360" i="1"/>
  <c r="I356" i="1"/>
  <c r="F356" i="1"/>
  <c r="F352" i="1"/>
  <c r="I352" i="1"/>
  <c r="F348" i="1"/>
  <c r="I348" i="1"/>
  <c r="F344" i="1"/>
  <c r="I344" i="1"/>
  <c r="F340" i="1"/>
  <c r="I340" i="1"/>
  <c r="I336" i="1"/>
  <c r="F336" i="1"/>
  <c r="F332" i="1"/>
  <c r="I332" i="1"/>
  <c r="F328" i="1"/>
  <c r="I328" i="1"/>
  <c r="F324" i="1"/>
  <c r="I324" i="1"/>
  <c r="I320" i="1"/>
  <c r="F320" i="1"/>
  <c r="F316" i="1"/>
  <c r="I316" i="1"/>
  <c r="F312" i="1"/>
  <c r="I312" i="1"/>
  <c r="F308" i="1"/>
  <c r="I308" i="1"/>
  <c r="I304" i="1"/>
  <c r="F304" i="1"/>
  <c r="I300" i="1"/>
  <c r="F300" i="1"/>
  <c r="F296" i="1"/>
  <c r="I296" i="1"/>
  <c r="F292" i="1"/>
  <c r="I292" i="1"/>
  <c r="F288" i="1"/>
  <c r="I288" i="1"/>
  <c r="F284" i="1"/>
  <c r="I284" i="1"/>
  <c r="F280" i="1"/>
  <c r="I280" i="1"/>
  <c r="F276" i="1"/>
  <c r="I276" i="1"/>
  <c r="I272" i="1"/>
  <c r="F272" i="1"/>
  <c r="I268" i="1"/>
  <c r="F268" i="1"/>
  <c r="F264" i="1"/>
  <c r="I264" i="1"/>
  <c r="F260" i="1"/>
  <c r="I260" i="1"/>
  <c r="F256" i="1"/>
  <c r="I256" i="1"/>
  <c r="F252" i="1"/>
  <c r="I252" i="1"/>
  <c r="F248" i="1"/>
  <c r="I248" i="1"/>
  <c r="F244" i="1"/>
  <c r="I244" i="1"/>
  <c r="I240" i="1"/>
  <c r="F240" i="1"/>
  <c r="I236" i="1"/>
  <c r="F236" i="1"/>
  <c r="F232" i="1"/>
  <c r="I232" i="1"/>
  <c r="F228" i="1"/>
  <c r="I228" i="1"/>
  <c r="F224" i="1"/>
  <c r="I224" i="1"/>
  <c r="F220" i="1"/>
  <c r="I220" i="1"/>
  <c r="F216" i="1"/>
  <c r="I216" i="1"/>
  <c r="F212" i="1"/>
  <c r="I212" i="1"/>
  <c r="I208" i="1"/>
  <c r="F208" i="1"/>
  <c r="I204" i="1"/>
  <c r="F204" i="1"/>
  <c r="F200" i="1"/>
  <c r="I200" i="1"/>
  <c r="F196" i="1"/>
  <c r="I196" i="1"/>
  <c r="F192" i="1"/>
  <c r="I192" i="1"/>
  <c r="F188" i="1"/>
  <c r="I188" i="1"/>
  <c r="F184" i="1"/>
  <c r="I184" i="1"/>
  <c r="F180" i="1"/>
  <c r="I180" i="1"/>
  <c r="F176" i="1"/>
  <c r="I176" i="1"/>
  <c r="F172" i="1"/>
  <c r="I172" i="1"/>
  <c r="F168" i="1"/>
  <c r="I168" i="1"/>
  <c r="F164" i="1"/>
  <c r="I164" i="1"/>
  <c r="F160" i="1"/>
  <c r="I160" i="1"/>
  <c r="F156" i="1"/>
  <c r="I156" i="1"/>
  <c r="I152" i="1"/>
  <c r="F152" i="1"/>
  <c r="I148" i="1"/>
  <c r="F148" i="1"/>
  <c r="F144" i="1"/>
  <c r="I144" i="1"/>
  <c r="F140" i="1"/>
  <c r="I140" i="1"/>
  <c r="F136" i="1"/>
  <c r="I136" i="1"/>
  <c r="F132" i="1"/>
  <c r="I132" i="1"/>
  <c r="F128" i="1"/>
  <c r="I128" i="1"/>
  <c r="F124" i="1"/>
  <c r="I124" i="1"/>
  <c r="I120" i="1"/>
  <c r="F120" i="1"/>
  <c r="I116" i="1"/>
  <c r="F116" i="1"/>
  <c r="F112" i="1"/>
  <c r="I112" i="1"/>
  <c r="F108" i="1"/>
  <c r="I108" i="1"/>
  <c r="I104" i="1"/>
  <c r="F104" i="1"/>
  <c r="F100" i="1"/>
  <c r="I100" i="1"/>
  <c r="F96" i="1"/>
  <c r="I96" i="1"/>
  <c r="F92" i="1"/>
  <c r="I92" i="1"/>
  <c r="F88" i="1"/>
  <c r="I88" i="1"/>
  <c r="F84" i="1"/>
  <c r="I84" i="1"/>
  <c r="F80" i="1"/>
  <c r="I80" i="1"/>
  <c r="F76" i="1"/>
  <c r="I76" i="1"/>
  <c r="F72" i="1"/>
  <c r="I72" i="1"/>
  <c r="F68" i="1"/>
  <c r="I68" i="1"/>
  <c r="F64" i="1"/>
  <c r="I64" i="1"/>
  <c r="F60" i="1"/>
  <c r="I60" i="1"/>
  <c r="F56" i="1"/>
  <c r="I56" i="1"/>
  <c r="F52" i="1"/>
  <c r="I52" i="1"/>
  <c r="F48" i="1"/>
  <c r="I48" i="1"/>
  <c r="F44" i="1"/>
  <c r="I44" i="1"/>
  <c r="F40" i="1"/>
  <c r="I40" i="1"/>
  <c r="F36" i="1"/>
  <c r="I36" i="1"/>
  <c r="F32" i="1"/>
  <c r="I32" i="1"/>
  <c r="F28" i="1"/>
  <c r="I28" i="1"/>
  <c r="F24" i="1"/>
  <c r="I24" i="1"/>
  <c r="F20" i="1"/>
  <c r="I20" i="1"/>
  <c r="I15" i="1"/>
  <c r="H15" i="1" s="1"/>
  <c r="I11" i="1"/>
  <c r="H11" i="1" s="1"/>
  <c r="I7" i="1"/>
  <c r="I3" i="1"/>
  <c r="H3" i="1" s="1"/>
  <c r="F731" i="1"/>
  <c r="I731" i="1"/>
  <c r="F727" i="1"/>
  <c r="I727" i="1"/>
  <c r="F723" i="1"/>
  <c r="I723" i="1"/>
  <c r="F719" i="1"/>
  <c r="I719" i="1"/>
  <c r="I715" i="1"/>
  <c r="F715" i="1"/>
  <c r="I711" i="1"/>
  <c r="F711" i="1"/>
  <c r="F707" i="1"/>
  <c r="I707" i="1"/>
  <c r="F703" i="1"/>
  <c r="I703" i="1"/>
  <c r="F699" i="1"/>
  <c r="I699" i="1"/>
  <c r="F695" i="1"/>
  <c r="I695" i="1"/>
  <c r="F691" i="1"/>
  <c r="I691" i="1"/>
  <c r="F687" i="1"/>
  <c r="I687" i="1"/>
  <c r="I683" i="1"/>
  <c r="F683" i="1"/>
  <c r="I679" i="1"/>
  <c r="F679" i="1"/>
  <c r="I675" i="1"/>
  <c r="F675" i="1"/>
  <c r="I671" i="1"/>
  <c r="F671" i="1"/>
  <c r="I667" i="1"/>
  <c r="F667" i="1"/>
  <c r="F663" i="1"/>
  <c r="I663" i="1"/>
  <c r="F659" i="1"/>
  <c r="I659" i="1"/>
  <c r="F655" i="1"/>
  <c r="I655" i="1"/>
  <c r="F651" i="1"/>
  <c r="I651" i="1"/>
  <c r="F647" i="1"/>
  <c r="I647" i="1"/>
  <c r="F643" i="1"/>
  <c r="I643" i="1"/>
  <c r="F639" i="1"/>
  <c r="I639" i="1"/>
  <c r="I635" i="1"/>
  <c r="F635" i="1"/>
  <c r="F631" i="1"/>
  <c r="I631" i="1"/>
  <c r="F627" i="1"/>
  <c r="I627" i="1"/>
  <c r="I623" i="1"/>
  <c r="F623" i="1"/>
  <c r="I619" i="1"/>
  <c r="F619" i="1"/>
  <c r="I615" i="1"/>
  <c r="F615" i="1"/>
  <c r="F611" i="1"/>
  <c r="I611" i="1"/>
  <c r="F607" i="1"/>
  <c r="I607" i="1"/>
  <c r="F603" i="1"/>
  <c r="I603" i="1"/>
  <c r="F599" i="1"/>
  <c r="I599" i="1"/>
  <c r="F595" i="1"/>
  <c r="I595" i="1"/>
  <c r="F591" i="1"/>
  <c r="I591" i="1"/>
  <c r="F587" i="1"/>
  <c r="I587" i="1"/>
  <c r="F583" i="1"/>
  <c r="I583" i="1"/>
  <c r="F579" i="1"/>
  <c r="I579" i="1"/>
  <c r="F575" i="1"/>
  <c r="I575" i="1"/>
  <c r="F571" i="1"/>
  <c r="I571" i="1"/>
  <c r="F567" i="1"/>
  <c r="I567" i="1"/>
  <c r="F563" i="1"/>
  <c r="I563" i="1"/>
  <c r="F559" i="1"/>
  <c r="I559" i="1"/>
  <c r="F555" i="1"/>
  <c r="I555" i="1"/>
  <c r="I551" i="1"/>
  <c r="F551" i="1"/>
  <c r="I547" i="1"/>
  <c r="F547" i="1"/>
  <c r="I543" i="1"/>
  <c r="F543" i="1"/>
  <c r="F539" i="1"/>
  <c r="I539" i="1"/>
  <c r="F535" i="1"/>
  <c r="I535" i="1"/>
  <c r="F531" i="1"/>
  <c r="I531" i="1"/>
  <c r="F527" i="1"/>
  <c r="I527" i="1"/>
  <c r="I523" i="1"/>
  <c r="F523" i="1"/>
  <c r="I519" i="1"/>
  <c r="F519" i="1"/>
  <c r="I515" i="1"/>
  <c r="F515" i="1"/>
  <c r="F511" i="1"/>
  <c r="I511" i="1"/>
  <c r="F507" i="1"/>
  <c r="I507" i="1"/>
  <c r="F503" i="1"/>
  <c r="I503" i="1"/>
  <c r="F499" i="1"/>
  <c r="I499" i="1"/>
  <c r="F495" i="1"/>
  <c r="I495" i="1"/>
  <c r="I491" i="1"/>
  <c r="F491" i="1"/>
  <c r="I487" i="1"/>
  <c r="F487" i="1"/>
  <c r="I483" i="1"/>
  <c r="F483" i="1"/>
  <c r="F479" i="1"/>
  <c r="I479" i="1"/>
  <c r="F475" i="1"/>
  <c r="I475" i="1"/>
  <c r="F471" i="1"/>
  <c r="I471" i="1"/>
  <c r="F467" i="1"/>
  <c r="I467" i="1"/>
  <c r="F463" i="1"/>
  <c r="I463" i="1"/>
  <c r="I459" i="1"/>
  <c r="F459" i="1"/>
  <c r="I455" i="1"/>
  <c r="F455" i="1"/>
  <c r="I451" i="1"/>
  <c r="F451" i="1"/>
  <c r="F447" i="1"/>
  <c r="I447" i="1"/>
  <c r="F443" i="1"/>
  <c r="I443" i="1"/>
  <c r="I439" i="1"/>
  <c r="F439" i="1"/>
  <c r="F435" i="1"/>
  <c r="I435" i="1"/>
  <c r="F431" i="1"/>
  <c r="I431" i="1"/>
  <c r="I427" i="1"/>
  <c r="F427" i="1"/>
  <c r="F423" i="1"/>
  <c r="I423" i="1"/>
  <c r="F419" i="1"/>
  <c r="I419" i="1"/>
  <c r="F415" i="1"/>
  <c r="I415" i="1"/>
  <c r="I411" i="1"/>
  <c r="F411" i="1"/>
  <c r="I407" i="1"/>
  <c r="F407" i="1"/>
  <c r="F403" i="1"/>
  <c r="I403" i="1"/>
  <c r="F399" i="1"/>
  <c r="I399" i="1"/>
  <c r="F395" i="1"/>
  <c r="I395" i="1"/>
  <c r="F391" i="1"/>
  <c r="I391" i="1"/>
  <c r="F387" i="1"/>
  <c r="I387" i="1"/>
  <c r="F383" i="1"/>
  <c r="I383" i="1"/>
  <c r="I379" i="1"/>
  <c r="F379" i="1"/>
  <c r="I375" i="1"/>
  <c r="F375" i="1"/>
  <c r="F371" i="1"/>
  <c r="I371" i="1"/>
  <c r="F367" i="1"/>
  <c r="I367" i="1"/>
  <c r="F363" i="1"/>
  <c r="I363" i="1"/>
  <c r="F359" i="1"/>
  <c r="I359" i="1"/>
  <c r="F355" i="1"/>
  <c r="I355" i="1"/>
  <c r="F351" i="1"/>
  <c r="I351" i="1"/>
  <c r="I347" i="1"/>
  <c r="F347" i="1"/>
  <c r="I343" i="1"/>
  <c r="F343" i="1"/>
  <c r="F339" i="1"/>
  <c r="I339" i="1"/>
  <c r="F335" i="1"/>
  <c r="I335" i="1"/>
  <c r="I331" i="1"/>
  <c r="F331" i="1"/>
  <c r="I327" i="1"/>
  <c r="F327" i="1"/>
  <c r="F323" i="1"/>
  <c r="I323" i="1"/>
  <c r="F319" i="1"/>
  <c r="I319" i="1"/>
  <c r="I315" i="1"/>
  <c r="F315" i="1"/>
  <c r="F311" i="1"/>
  <c r="I311" i="1"/>
  <c r="F307" i="1"/>
  <c r="I307" i="1"/>
  <c r="I303" i="1"/>
  <c r="F303" i="1"/>
  <c r="F299" i="1"/>
  <c r="I299" i="1"/>
  <c r="F295" i="1"/>
  <c r="I295" i="1"/>
  <c r="I291" i="1"/>
  <c r="F291" i="1"/>
  <c r="I287" i="1"/>
  <c r="F287" i="1"/>
  <c r="I283" i="1"/>
  <c r="F283" i="1"/>
  <c r="F279" i="1"/>
  <c r="I279" i="1"/>
  <c r="F275" i="1"/>
  <c r="I275" i="1"/>
  <c r="F271" i="1"/>
  <c r="I271" i="1"/>
  <c r="F267" i="1"/>
  <c r="I267" i="1"/>
  <c r="F263" i="1"/>
  <c r="I263" i="1"/>
  <c r="I259" i="1"/>
  <c r="F259" i="1"/>
  <c r="I255" i="1"/>
  <c r="F255" i="1"/>
  <c r="I251" i="1"/>
  <c r="F251" i="1"/>
  <c r="F247" i="1"/>
  <c r="I247" i="1"/>
  <c r="F243" i="1"/>
  <c r="I243" i="1"/>
  <c r="F239" i="1"/>
  <c r="I239" i="1"/>
  <c r="F235" i="1"/>
  <c r="I235" i="1"/>
  <c r="F231" i="1"/>
  <c r="I231" i="1"/>
  <c r="I227" i="1"/>
  <c r="F227" i="1"/>
  <c r="I223" i="1"/>
  <c r="F223" i="1"/>
  <c r="I219" i="1"/>
  <c r="F219" i="1"/>
  <c r="F215" i="1"/>
  <c r="I215" i="1"/>
  <c r="F211" i="1"/>
  <c r="I211" i="1"/>
  <c r="F207" i="1"/>
  <c r="I207" i="1"/>
  <c r="F203" i="1"/>
  <c r="I203" i="1"/>
  <c r="F199" i="1"/>
  <c r="I199" i="1"/>
  <c r="I195" i="1"/>
  <c r="F195" i="1"/>
  <c r="I191" i="1"/>
  <c r="F191" i="1"/>
  <c r="I187" i="1"/>
  <c r="F187" i="1"/>
  <c r="F183" i="1"/>
  <c r="I183" i="1"/>
  <c r="F179" i="1"/>
  <c r="I179" i="1"/>
  <c r="F175" i="1"/>
  <c r="I175" i="1"/>
  <c r="I171" i="1"/>
  <c r="F171" i="1"/>
  <c r="I167" i="1"/>
  <c r="F167" i="1"/>
  <c r="I163" i="1"/>
  <c r="F163" i="1"/>
  <c r="F159" i="1"/>
  <c r="I159" i="1"/>
  <c r="F155" i="1"/>
  <c r="I155" i="1"/>
  <c r="F151" i="1"/>
  <c r="I151" i="1"/>
  <c r="F147" i="1"/>
  <c r="I147" i="1"/>
  <c r="F143" i="1"/>
  <c r="I143" i="1"/>
  <c r="I139" i="1"/>
  <c r="F139" i="1"/>
  <c r="I135" i="1"/>
  <c r="F135" i="1"/>
  <c r="I131" i="1"/>
  <c r="F131" i="1"/>
  <c r="F127" i="1"/>
  <c r="I127" i="1"/>
  <c r="F123" i="1"/>
  <c r="I123" i="1"/>
  <c r="F119" i="1"/>
  <c r="I119" i="1"/>
  <c r="F115" i="1"/>
  <c r="I115" i="1"/>
  <c r="F111" i="1"/>
  <c r="I111" i="1"/>
  <c r="I107" i="1"/>
  <c r="F107" i="1"/>
  <c r="F103" i="1"/>
  <c r="I103" i="1"/>
  <c r="F99" i="1"/>
  <c r="I99" i="1"/>
  <c r="F95" i="1"/>
  <c r="I95" i="1"/>
  <c r="F91" i="1"/>
  <c r="I91" i="1"/>
  <c r="F87" i="1"/>
  <c r="I87" i="1"/>
  <c r="F83" i="1"/>
  <c r="I83" i="1"/>
  <c r="F79" i="1"/>
  <c r="I79" i="1"/>
  <c r="F75" i="1"/>
  <c r="I75" i="1"/>
  <c r="F71" i="1"/>
  <c r="I71" i="1"/>
  <c r="F67" i="1"/>
  <c r="I67" i="1"/>
  <c r="F63" i="1"/>
  <c r="I63" i="1"/>
  <c r="F59" i="1"/>
  <c r="I59" i="1"/>
  <c r="F55" i="1"/>
  <c r="I55" i="1"/>
  <c r="F51" i="1"/>
  <c r="I51" i="1"/>
  <c r="F47" i="1"/>
  <c r="I47" i="1"/>
  <c r="F43" i="1"/>
  <c r="I43" i="1"/>
  <c r="F39" i="1"/>
  <c r="I39" i="1"/>
  <c r="F35" i="1"/>
  <c r="I35" i="1"/>
  <c r="F31" i="1"/>
  <c r="I31" i="1"/>
  <c r="F27" i="1"/>
  <c r="I27" i="1"/>
  <c r="F23" i="1"/>
  <c r="I23" i="1"/>
  <c r="F19" i="1"/>
  <c r="I19" i="1"/>
  <c r="F754" i="1"/>
  <c r="I754" i="1"/>
  <c r="I750" i="1"/>
  <c r="F750" i="1"/>
  <c r="I746" i="1"/>
  <c r="F746" i="1"/>
  <c r="I742" i="1"/>
  <c r="F742" i="1"/>
  <c r="I738" i="1"/>
  <c r="F738" i="1"/>
  <c r="I734" i="1"/>
  <c r="F734" i="1"/>
  <c r="I730" i="1"/>
  <c r="F730" i="1"/>
  <c r="F726" i="1"/>
  <c r="I726" i="1"/>
  <c r="F722" i="1"/>
  <c r="I722" i="1"/>
  <c r="F718" i="1"/>
  <c r="I718" i="1"/>
  <c r="F714" i="1"/>
  <c r="I714" i="1"/>
  <c r="F710" i="1"/>
  <c r="I710" i="1"/>
  <c r="I706" i="1"/>
  <c r="F706" i="1"/>
  <c r="I702" i="1"/>
  <c r="F702" i="1"/>
  <c r="I698" i="1"/>
  <c r="F698" i="1"/>
  <c r="F694" i="1"/>
  <c r="I694" i="1"/>
  <c r="F690" i="1"/>
  <c r="I690" i="1"/>
  <c r="F686" i="1"/>
  <c r="I686" i="1"/>
  <c r="F682" i="1"/>
  <c r="I682" i="1"/>
  <c r="F678" i="1"/>
  <c r="I678" i="1"/>
  <c r="F674" i="1"/>
  <c r="I674" i="1"/>
  <c r="F670" i="1"/>
  <c r="I670" i="1"/>
  <c r="F666" i="1"/>
  <c r="I666" i="1"/>
  <c r="F662" i="1"/>
  <c r="I662" i="1"/>
  <c r="F658" i="1"/>
  <c r="I658" i="1"/>
  <c r="F654" i="1"/>
  <c r="I654" i="1"/>
  <c r="F650" i="1"/>
  <c r="I650" i="1"/>
  <c r="I646" i="1"/>
  <c r="F646" i="1"/>
  <c r="F642" i="1"/>
  <c r="I642" i="1"/>
  <c r="F638" i="1"/>
  <c r="I638" i="1"/>
  <c r="F634" i="1"/>
  <c r="I634" i="1"/>
  <c r="I630" i="1"/>
  <c r="F630" i="1"/>
  <c r="F626" i="1"/>
  <c r="I626" i="1"/>
  <c r="F622" i="1"/>
  <c r="I622" i="1"/>
  <c r="F618" i="1"/>
  <c r="I618" i="1"/>
  <c r="F614" i="1"/>
  <c r="I614" i="1"/>
  <c r="F610" i="1"/>
  <c r="I610" i="1"/>
  <c r="I606" i="1"/>
  <c r="F606" i="1"/>
  <c r="I602" i="1"/>
  <c r="F602" i="1"/>
  <c r="F598" i="1"/>
  <c r="I598" i="1"/>
  <c r="F594" i="1"/>
  <c r="I594" i="1"/>
  <c r="F590" i="1"/>
  <c r="I590" i="1"/>
  <c r="F586" i="1"/>
  <c r="I586" i="1"/>
  <c r="F582" i="1"/>
  <c r="I582" i="1"/>
  <c r="F578" i="1"/>
  <c r="I578" i="1"/>
  <c r="F574" i="1"/>
  <c r="I574" i="1"/>
  <c r="F570" i="1"/>
  <c r="I570" i="1"/>
  <c r="F566" i="1"/>
  <c r="I566" i="1"/>
  <c r="F562" i="1"/>
  <c r="I562" i="1"/>
  <c r="F558" i="1"/>
  <c r="I558" i="1"/>
  <c r="F554" i="1"/>
  <c r="I554" i="1"/>
  <c r="F550" i="1"/>
  <c r="I550" i="1"/>
  <c r="F546" i="1"/>
  <c r="I546" i="1"/>
  <c r="F542" i="1"/>
  <c r="I542" i="1"/>
  <c r="I538" i="1"/>
  <c r="F538" i="1"/>
  <c r="I534" i="1"/>
  <c r="F534" i="1"/>
  <c r="F530" i="1"/>
  <c r="I530" i="1"/>
  <c r="F526" i="1"/>
  <c r="I526" i="1"/>
  <c r="F522" i="1"/>
  <c r="I522" i="1"/>
  <c r="F518" i="1"/>
  <c r="I518" i="1"/>
  <c r="F514" i="1"/>
  <c r="I514" i="1"/>
  <c r="F510" i="1"/>
  <c r="I510" i="1"/>
  <c r="I506" i="1"/>
  <c r="F506" i="1"/>
  <c r="I502" i="1"/>
  <c r="F502" i="1"/>
  <c r="F498" i="1"/>
  <c r="I498" i="1"/>
  <c r="F494" i="1"/>
  <c r="I494" i="1"/>
  <c r="F490" i="1"/>
  <c r="I490" i="1"/>
  <c r="F486" i="1"/>
  <c r="I486" i="1"/>
  <c r="F482" i="1"/>
  <c r="I482" i="1"/>
  <c r="F478" i="1"/>
  <c r="I478" i="1"/>
  <c r="I474" i="1"/>
  <c r="F474" i="1"/>
  <c r="I470" i="1"/>
  <c r="F470" i="1"/>
  <c r="F466" i="1"/>
  <c r="I466" i="1"/>
  <c r="F462" i="1"/>
  <c r="I462" i="1"/>
  <c r="F458" i="1"/>
  <c r="I458" i="1"/>
  <c r="F454" i="1"/>
  <c r="I454" i="1"/>
  <c r="F450" i="1"/>
  <c r="I450" i="1"/>
  <c r="F446" i="1"/>
  <c r="I446" i="1"/>
  <c r="I442" i="1"/>
  <c r="F442" i="1"/>
  <c r="F438" i="1"/>
  <c r="I438" i="1"/>
  <c r="F434" i="1"/>
  <c r="I434" i="1"/>
  <c r="F430" i="1"/>
  <c r="I430" i="1"/>
  <c r="I426" i="1"/>
  <c r="F426" i="1"/>
  <c r="I422" i="1"/>
  <c r="F422" i="1"/>
  <c r="F418" i="1"/>
  <c r="I418" i="1"/>
  <c r="F414" i="1"/>
  <c r="I414" i="1"/>
  <c r="F410" i="1"/>
  <c r="I410" i="1"/>
  <c r="F406" i="1"/>
  <c r="I406" i="1"/>
  <c r="F402" i="1"/>
  <c r="I402" i="1"/>
  <c r="F398" i="1"/>
  <c r="I398" i="1"/>
  <c r="I394" i="1"/>
  <c r="F394" i="1"/>
  <c r="I390" i="1"/>
  <c r="F390" i="1"/>
  <c r="F386" i="1"/>
  <c r="I386" i="1"/>
  <c r="F382" i="1"/>
  <c r="I382" i="1"/>
  <c r="F378" i="1"/>
  <c r="I378" i="1"/>
  <c r="F374" i="1"/>
  <c r="I374" i="1"/>
  <c r="F370" i="1"/>
  <c r="I370" i="1"/>
  <c r="F366" i="1"/>
  <c r="I366" i="1"/>
  <c r="I362" i="1"/>
  <c r="F362" i="1"/>
  <c r="I358" i="1"/>
  <c r="F358" i="1"/>
  <c r="F354" i="1"/>
  <c r="I354" i="1"/>
  <c r="F350" i="1"/>
  <c r="I350" i="1"/>
  <c r="F346" i="1"/>
  <c r="I346" i="1"/>
  <c r="F342" i="1"/>
  <c r="I342" i="1"/>
  <c r="I338" i="1"/>
  <c r="F338" i="1"/>
  <c r="F334" i="1"/>
  <c r="I334" i="1"/>
  <c r="F330" i="1"/>
  <c r="I330" i="1"/>
  <c r="F326" i="1"/>
  <c r="I326" i="1"/>
  <c r="I322" i="1"/>
  <c r="F322" i="1"/>
  <c r="F318" i="1"/>
  <c r="I318" i="1"/>
  <c r="F314" i="1"/>
  <c r="I314" i="1"/>
  <c r="F310" i="1"/>
  <c r="I310" i="1"/>
  <c r="I306" i="1"/>
  <c r="F306" i="1"/>
  <c r="I302" i="1"/>
  <c r="F302" i="1"/>
  <c r="F298" i="1"/>
  <c r="I298" i="1"/>
  <c r="F294" i="1"/>
  <c r="I294" i="1"/>
  <c r="F290" i="1"/>
  <c r="I290" i="1"/>
  <c r="F286" i="1"/>
  <c r="I286" i="1"/>
  <c r="F282" i="1"/>
  <c r="I282" i="1"/>
  <c r="F278" i="1"/>
  <c r="I278" i="1"/>
  <c r="I274" i="1"/>
  <c r="F274" i="1"/>
  <c r="I270" i="1"/>
  <c r="F270" i="1"/>
  <c r="F266" i="1"/>
  <c r="I266" i="1"/>
  <c r="F262" i="1"/>
  <c r="I262" i="1"/>
  <c r="F258" i="1"/>
  <c r="I258" i="1"/>
  <c r="F254" i="1"/>
  <c r="I254" i="1"/>
  <c r="F250" i="1"/>
  <c r="I250" i="1"/>
  <c r="F246" i="1"/>
  <c r="I246" i="1"/>
  <c r="I242" i="1"/>
  <c r="F242" i="1"/>
  <c r="I238" i="1"/>
  <c r="F238" i="1"/>
  <c r="F234" i="1"/>
  <c r="I234" i="1"/>
  <c r="F230" i="1"/>
  <c r="I230" i="1"/>
  <c r="F226" i="1"/>
  <c r="I226" i="1"/>
  <c r="F222" i="1"/>
  <c r="I222" i="1"/>
  <c r="F218" i="1"/>
  <c r="I218" i="1"/>
  <c r="F214" i="1"/>
  <c r="I214" i="1"/>
  <c r="I210" i="1"/>
  <c r="F210" i="1"/>
  <c r="I206" i="1"/>
  <c r="F206" i="1"/>
  <c r="F202" i="1"/>
  <c r="I202" i="1"/>
  <c r="F198" i="1"/>
  <c r="I198" i="1"/>
  <c r="F194" i="1"/>
  <c r="I194" i="1"/>
  <c r="F190" i="1"/>
  <c r="I190" i="1"/>
  <c r="F186" i="1"/>
  <c r="I186" i="1"/>
  <c r="F182" i="1"/>
  <c r="I182" i="1"/>
  <c r="F178" i="1"/>
  <c r="I178" i="1"/>
  <c r="F174" i="1"/>
  <c r="I174" i="1"/>
  <c r="F170" i="1"/>
  <c r="I170" i="1"/>
  <c r="F166" i="1"/>
  <c r="I166" i="1"/>
  <c r="F162" i="1"/>
  <c r="I162" i="1"/>
  <c r="F158" i="1"/>
  <c r="I158" i="1"/>
  <c r="I154" i="1"/>
  <c r="F154" i="1"/>
  <c r="I150" i="1"/>
  <c r="F150" i="1"/>
  <c r="F146" i="1"/>
  <c r="I146" i="1"/>
  <c r="F142" i="1"/>
  <c r="I142" i="1"/>
  <c r="F138" i="1"/>
  <c r="I138" i="1"/>
  <c r="F134" i="1"/>
  <c r="I134" i="1"/>
  <c r="F130" i="1"/>
  <c r="I130" i="1"/>
  <c r="F126" i="1"/>
  <c r="I126" i="1"/>
  <c r="I122" i="1"/>
  <c r="F122" i="1"/>
  <c r="I118" i="1"/>
  <c r="F118" i="1"/>
  <c r="F114" i="1"/>
  <c r="I114" i="1"/>
  <c r="F110" i="1"/>
  <c r="I110" i="1"/>
  <c r="F106" i="1"/>
  <c r="I106" i="1"/>
  <c r="I102" i="1"/>
  <c r="F102" i="1"/>
  <c r="F98" i="1"/>
  <c r="I98" i="1"/>
  <c r="F94" i="1"/>
  <c r="I94" i="1"/>
  <c r="F90" i="1"/>
  <c r="I90" i="1"/>
  <c r="F86" i="1"/>
  <c r="I86" i="1"/>
  <c r="F82" i="1"/>
  <c r="I82" i="1"/>
  <c r="F78" i="1"/>
  <c r="I78" i="1"/>
  <c r="F74" i="1"/>
  <c r="I74" i="1"/>
  <c r="F70" i="1"/>
  <c r="I70" i="1"/>
  <c r="F66" i="1"/>
  <c r="I66" i="1"/>
  <c r="F62" i="1"/>
  <c r="I62" i="1"/>
  <c r="F58" i="1"/>
  <c r="I58" i="1"/>
  <c r="F54" i="1"/>
  <c r="I54" i="1"/>
  <c r="F50" i="1"/>
  <c r="I50" i="1"/>
  <c r="F46" i="1"/>
  <c r="I46" i="1"/>
  <c r="F42" i="1"/>
  <c r="I42" i="1"/>
  <c r="F38" i="1"/>
  <c r="I38" i="1"/>
  <c r="F34" i="1"/>
  <c r="I34" i="1"/>
  <c r="F30" i="1"/>
  <c r="I30" i="1"/>
  <c r="F26" i="1"/>
  <c r="I26" i="1"/>
  <c r="F22" i="1"/>
  <c r="I22" i="1"/>
  <c r="F18" i="1"/>
  <c r="I18" i="1"/>
  <c r="H14" i="1"/>
  <c r="H12" i="1"/>
  <c r="H10" i="1"/>
  <c r="H8" i="1"/>
  <c r="H6" i="1"/>
  <c r="H4" i="1"/>
  <c r="H2" i="1"/>
  <c r="K15" i="3" l="1"/>
  <c r="K16" i="3" s="1"/>
  <c r="K17" i="3" s="1"/>
  <c r="K18" i="3" s="1"/>
  <c r="K19" i="3" s="1"/>
  <c r="K20" i="3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J12" i="3"/>
  <c r="J13" i="3" s="1"/>
  <c r="K14" i="3"/>
  <c r="F2555" i="3"/>
  <c r="F2523" i="3"/>
  <c r="F1767" i="3"/>
  <c r="F657" i="3"/>
  <c r="F2570" i="3"/>
  <c r="F2535" i="3"/>
  <c r="P9" i="3"/>
  <c r="G2130" i="1"/>
  <c r="G2377" i="1"/>
  <c r="G2571" i="1"/>
  <c r="G2311" i="1"/>
  <c r="G2307" i="1"/>
  <c r="G2314" i="1"/>
  <c r="F2090" i="3"/>
  <c r="F2010" i="3"/>
  <c r="F2439" i="3"/>
  <c r="F2400" i="3"/>
  <c r="F2282" i="3"/>
  <c r="F2258" i="3"/>
  <c r="F2242" i="3"/>
  <c r="F2202" i="3"/>
  <c r="F2170" i="3"/>
  <c r="F2162" i="3"/>
  <c r="F2146" i="3"/>
  <c r="F1587" i="3"/>
  <c r="F1537" i="3"/>
  <c r="F1263" i="3"/>
  <c r="F825" i="3"/>
  <c r="F267" i="3"/>
  <c r="F239" i="3"/>
  <c r="F881" i="3"/>
  <c r="F341" i="3"/>
  <c r="F277" i="3"/>
  <c r="F1714" i="3"/>
  <c r="N8" i="3"/>
  <c r="F2513" i="3"/>
  <c r="F262" i="3"/>
  <c r="N9" i="3"/>
  <c r="N11" i="3"/>
  <c r="Q9" i="3"/>
  <c r="O8" i="3"/>
  <c r="O9" i="3"/>
  <c r="P8" i="3"/>
  <c r="F1418" i="3"/>
  <c r="F2563" i="3"/>
  <c r="F2547" i="3"/>
  <c r="G2562" i="1"/>
  <c r="F2509" i="3"/>
  <c r="F2554" i="3"/>
  <c r="F2066" i="3"/>
  <c r="F2002" i="3"/>
  <c r="F2412" i="3"/>
  <c r="F2396" i="3"/>
  <c r="F2302" i="3"/>
  <c r="F2294" i="3"/>
  <c r="F2278" i="3"/>
  <c r="F2254" i="3"/>
  <c r="F2158" i="3"/>
  <c r="F1529" i="3"/>
  <c r="F1573" i="3"/>
  <c r="F1379" i="3"/>
  <c r="F1319" i="3"/>
  <c r="F251" i="3"/>
  <c r="F231" i="3"/>
  <c r="F690" i="3"/>
  <c r="F2310" i="3"/>
  <c r="F1879" i="3"/>
  <c r="F1815" i="3"/>
  <c r="F1666" i="3"/>
  <c r="F2522" i="3"/>
  <c r="F1963" i="3"/>
  <c r="F162" i="3"/>
  <c r="F146" i="3"/>
  <c r="F130" i="3"/>
  <c r="F114" i="3"/>
  <c r="F98" i="3"/>
  <c r="F82" i="3"/>
  <c r="F66" i="3"/>
  <c r="F50" i="3"/>
  <c r="F34" i="3"/>
  <c r="F2431" i="3"/>
  <c r="F2410" i="3"/>
  <c r="F2394" i="3"/>
  <c r="F2236" i="3"/>
  <c r="F2228" i="3"/>
  <c r="F2212" i="3"/>
  <c r="F2204" i="3"/>
  <c r="F2196" i="3"/>
  <c r="F2180" i="3"/>
  <c r="F2164" i="3"/>
  <c r="F2148" i="3"/>
  <c r="F1475" i="3"/>
  <c r="F1359" i="3"/>
  <c r="F1579" i="3"/>
  <c r="F1555" i="3"/>
  <c r="F1255" i="3"/>
  <c r="F1581" i="3"/>
  <c r="F869" i="3"/>
  <c r="F837" i="3"/>
  <c r="F687" i="3"/>
  <c r="F623" i="3"/>
  <c r="F735" i="3"/>
  <c r="F485" i="3"/>
  <c r="F747" i="3"/>
  <c r="F1191" i="3"/>
  <c r="F349" i="3"/>
  <c r="F610" i="3"/>
  <c r="F2525" i="3"/>
  <c r="F2561" i="3"/>
  <c r="F2074" i="3"/>
  <c r="F1994" i="3"/>
  <c r="F2428" i="3"/>
  <c r="F2376" i="3"/>
  <c r="F2360" i="3"/>
  <c r="F2218" i="3"/>
  <c r="F2194" i="3"/>
  <c r="F2138" i="3"/>
  <c r="F2122" i="3"/>
  <c r="F2106" i="3"/>
  <c r="F2478" i="3"/>
  <c r="F1725" i="3"/>
  <c r="F1679" i="3"/>
  <c r="F1576" i="3"/>
  <c r="F1553" i="3"/>
  <c r="F1521" i="3"/>
  <c r="F1489" i="3"/>
  <c r="F1448" i="3"/>
  <c r="F1382" i="3"/>
  <c r="F2505" i="3"/>
  <c r="F2450" i="3"/>
  <c r="F2434" i="3"/>
  <c r="F2418" i="3"/>
  <c r="F2405" i="3"/>
  <c r="F2389" i="3"/>
  <c r="F2373" i="3"/>
  <c r="F1941" i="3"/>
  <c r="F1247" i="3"/>
  <c r="F889" i="3"/>
  <c r="F857" i="3"/>
  <c r="F461" i="3"/>
  <c r="F1698" i="3"/>
  <c r="F2591" i="3"/>
  <c r="F2575" i="3"/>
  <c r="F2447" i="3"/>
  <c r="F2406" i="3"/>
  <c r="F2390" i="3"/>
  <c r="F2264" i="3"/>
  <c r="F2224" i="3"/>
  <c r="F2208" i="3"/>
  <c r="F2192" i="3"/>
  <c r="F2160" i="3"/>
  <c r="F2104" i="3"/>
  <c r="F1399" i="3"/>
  <c r="F1547" i="3"/>
  <c r="F1295" i="3"/>
  <c r="F1565" i="3"/>
  <c r="F1227" i="3"/>
  <c r="F1211" i="3"/>
  <c r="F679" i="3"/>
  <c r="F615" i="3"/>
  <c r="F1591" i="3"/>
  <c r="F759" i="3"/>
  <c r="F397" i="3"/>
  <c r="F365" i="3"/>
  <c r="F243" i="3"/>
  <c r="F405" i="3"/>
  <c r="F309" i="3"/>
  <c r="F206" i="3"/>
  <c r="F182" i="3"/>
  <c r="F2382" i="3"/>
  <c r="F2366" i="3"/>
  <c r="F2296" i="3"/>
  <c r="F2280" i="3"/>
  <c r="F2256" i="3"/>
  <c r="F2240" i="3"/>
  <c r="F2176" i="3"/>
  <c r="F2120" i="3"/>
  <c r="F1531" i="3"/>
  <c r="F1499" i="3"/>
  <c r="F1327" i="3"/>
  <c r="F1243" i="3"/>
  <c r="F663" i="3"/>
  <c r="F647" i="3"/>
  <c r="F631" i="3"/>
  <c r="F743" i="3"/>
  <c r="F727" i="3"/>
  <c r="F389" i="3"/>
  <c r="F361" i="3"/>
  <c r="F698" i="3"/>
  <c r="F2587" i="3"/>
  <c r="F2571" i="3"/>
  <c r="F1847" i="3"/>
  <c r="F1751" i="3"/>
  <c r="O11" i="3"/>
  <c r="G2546" i="1"/>
  <c r="F2567" i="3"/>
  <c r="F2551" i="3"/>
  <c r="F2519" i="3"/>
  <c r="P11" i="3"/>
  <c r="G2339" i="1"/>
  <c r="G2402" i="1"/>
  <c r="H2431" i="1"/>
  <c r="G2494" i="1"/>
  <c r="H2413" i="1"/>
  <c r="H2482" i="1"/>
  <c r="G2294" i="1"/>
  <c r="G2354" i="1"/>
  <c r="G2549" i="1"/>
  <c r="H2541" i="1"/>
  <c r="H2417" i="1"/>
  <c r="G2503" i="1"/>
  <c r="H2567" i="1"/>
  <c r="F2583" i="3"/>
  <c r="F1967" i="3"/>
  <c r="F1935" i="3"/>
  <c r="F1910" i="3"/>
  <c r="F197" i="3"/>
  <c r="F2490" i="3"/>
  <c r="F2378" i="3"/>
  <c r="F2362" i="3"/>
  <c r="F2292" i="3"/>
  <c r="F2276" i="3"/>
  <c r="F2252" i="3"/>
  <c r="F2172" i="3"/>
  <c r="F2140" i="3"/>
  <c r="F2132" i="3"/>
  <c r="F2116" i="3"/>
  <c r="F2065" i="3"/>
  <c r="F1539" i="3"/>
  <c r="F1491" i="3"/>
  <c r="F1443" i="3"/>
  <c r="F1239" i="3"/>
  <c r="F1352" i="3"/>
  <c r="F901" i="3"/>
  <c r="F639" i="3"/>
  <c r="F607" i="3"/>
  <c r="F1575" i="3"/>
  <c r="F767" i="3"/>
  <c r="F337" i="3"/>
  <c r="F289" i="3"/>
  <c r="F273" i="3"/>
  <c r="F352" i="3"/>
  <c r="F2589" i="3"/>
  <c r="F2531" i="3"/>
  <c r="F2515" i="3"/>
  <c r="F1979" i="3"/>
  <c r="F1947" i="3"/>
  <c r="F1894" i="3"/>
  <c r="F2042" i="3"/>
  <c r="F2026" i="3"/>
  <c r="F2481" i="3"/>
  <c r="F2384" i="3"/>
  <c r="F2368" i="3"/>
  <c r="F2266" i="3"/>
  <c r="F2234" i="3"/>
  <c r="F2226" i="3"/>
  <c r="F2210" i="3"/>
  <c r="F2186" i="3"/>
  <c r="F2130" i="3"/>
  <c r="F2114" i="3"/>
  <c r="F2097" i="3"/>
  <c r="F2073" i="3"/>
  <c r="F1505" i="3"/>
  <c r="F1589" i="3"/>
  <c r="F1512" i="3"/>
  <c r="F1496" i="3"/>
  <c r="F1195" i="3"/>
  <c r="F1583" i="3"/>
  <c r="F1279" i="3"/>
  <c r="F873" i="3"/>
  <c r="F715" i="3"/>
  <c r="F226" i="3"/>
  <c r="F301" i="3"/>
  <c r="F904" i="3"/>
  <c r="F590" i="3"/>
  <c r="F526" i="3"/>
  <c r="F444" i="3"/>
  <c r="F322" i="3"/>
  <c r="F757" i="3"/>
  <c r="F308" i="3"/>
  <c r="F184" i="3"/>
  <c r="F1613" i="3"/>
  <c r="F1510" i="3"/>
  <c r="F1354" i="3"/>
  <c r="F729" i="3"/>
  <c r="F237" i="3"/>
  <c r="F745" i="3"/>
  <c r="F2537" i="3"/>
  <c r="F2358" i="3"/>
  <c r="F1670" i="3"/>
  <c r="F1654" i="3"/>
  <c r="F1638" i="3"/>
  <c r="F174" i="3"/>
  <c r="F158" i="3"/>
  <c r="F142" i="3"/>
  <c r="F126" i="3"/>
  <c r="F110" i="3"/>
  <c r="F94" i="3"/>
  <c r="F78" i="3"/>
  <c r="F62" i="3"/>
  <c r="F46" i="3"/>
  <c r="F2549" i="3"/>
  <c r="F2569" i="3"/>
  <c r="F2533" i="3"/>
  <c r="F2436" i="3"/>
  <c r="F2415" i="3"/>
  <c r="F2398" i="3"/>
  <c r="F2232" i="3"/>
  <c r="F2216" i="3"/>
  <c r="F2200" i="3"/>
  <c r="F2184" i="3"/>
  <c r="F2168" i="3"/>
  <c r="F2152" i="3"/>
  <c r="F1563" i="3"/>
  <c r="F1259" i="3"/>
  <c r="F695" i="3"/>
  <c r="F775" i="3"/>
  <c r="F381" i="3"/>
  <c r="F357" i="3"/>
  <c r="F215" i="3"/>
  <c r="F1166" i="3"/>
  <c r="F733" i="3"/>
  <c r="F274" i="3"/>
  <c r="F2532" i="3"/>
  <c r="F2588" i="3"/>
  <c r="F2556" i="3"/>
  <c r="F2524" i="3"/>
  <c r="F2471" i="3"/>
  <c r="F2483" i="3"/>
  <c r="F2304" i="3"/>
  <c r="F2095" i="3"/>
  <c r="F2087" i="3"/>
  <c r="F2079" i="3"/>
  <c r="F2071" i="3"/>
  <c r="F2063" i="3"/>
  <c r="F2055" i="3"/>
  <c r="F2047" i="3"/>
  <c r="F2039" i="3"/>
  <c r="F2031" i="3"/>
  <c r="F2023" i="3"/>
  <c r="F2015" i="3"/>
  <c r="F2007" i="3"/>
  <c r="F1999" i="3"/>
  <c r="F1991" i="3"/>
  <c r="F1983" i="3"/>
  <c r="F1951" i="3"/>
  <c r="F2459" i="3"/>
  <c r="F1871" i="3"/>
  <c r="F1839" i="3"/>
  <c r="F1807" i="3"/>
  <c r="F1743" i="3"/>
  <c r="F2560" i="3"/>
  <c r="F1928" i="3"/>
  <c r="F1662" i="3"/>
  <c r="F1646" i="3"/>
  <c r="F213" i="3"/>
  <c r="F201" i="3"/>
  <c r="F2098" i="3"/>
  <c r="F2050" i="3"/>
  <c r="F2018" i="3"/>
  <c r="F1986" i="3"/>
  <c r="F2566" i="3"/>
  <c r="F2508" i="3"/>
  <c r="F2444" i="3"/>
  <c r="F2423" i="3"/>
  <c r="F2404" i="3"/>
  <c r="F2388" i="3"/>
  <c r="F2372" i="3"/>
  <c r="F2286" i="3"/>
  <c r="F2270" i="3"/>
  <c r="F2262" i="3"/>
  <c r="F2246" i="3"/>
  <c r="F2238" i="3"/>
  <c r="F2230" i="3"/>
  <c r="F2214" i="3"/>
  <c r="F2206" i="3"/>
  <c r="F2190" i="3"/>
  <c r="F2174" i="3"/>
  <c r="F2166" i="3"/>
  <c r="F2150" i="3"/>
  <c r="F2134" i="3"/>
  <c r="F2118" i="3"/>
  <c r="F2081" i="3"/>
  <c r="F1463" i="3"/>
  <c r="F1411" i="3"/>
  <c r="F2127" i="3"/>
  <c r="F2111" i="3"/>
  <c r="F1998" i="3"/>
  <c r="F1571" i="3"/>
  <c r="F1513" i="3"/>
  <c r="F1586" i="3"/>
  <c r="F1450" i="3"/>
  <c r="F1395" i="3"/>
  <c r="F1287" i="3"/>
  <c r="F2424" i="3"/>
  <c r="F2399" i="3"/>
  <c r="F2383" i="3"/>
  <c r="F2367" i="3"/>
  <c r="F2347" i="3"/>
  <c r="F1990" i="3"/>
  <c r="F1567" i="3"/>
  <c r="F1415" i="3"/>
  <c r="F1183" i="3"/>
  <c r="F1569" i="3"/>
  <c r="F1559" i="3"/>
  <c r="F1543" i="3"/>
  <c r="F1527" i="3"/>
  <c r="F1187" i="3"/>
  <c r="F797" i="3"/>
  <c r="F709" i="3"/>
  <c r="F651" i="3"/>
  <c r="F219" i="3"/>
  <c r="F566" i="3"/>
  <c r="F506" i="3"/>
  <c r="F1267" i="3"/>
  <c r="F877" i="3"/>
  <c r="F675" i="3"/>
  <c r="F1602" i="3"/>
  <c r="F1574" i="3"/>
  <c r="F1495" i="3"/>
  <c r="F817" i="3"/>
  <c r="F466" i="3"/>
  <c r="F396" i="3"/>
  <c r="F336" i="3"/>
  <c r="F306" i="3"/>
  <c r="F2446" i="3"/>
  <c r="F1601" i="3"/>
  <c r="F253" i="3"/>
  <c r="F2489" i="3"/>
  <c r="F1630" i="3"/>
  <c r="F210" i="3"/>
  <c r="F202" i="3"/>
  <c r="F178" i="3"/>
  <c r="F166" i="3"/>
  <c r="F150" i="3"/>
  <c r="F134" i="3"/>
  <c r="F118" i="3"/>
  <c r="F102" i="3"/>
  <c r="F86" i="3"/>
  <c r="F70" i="3"/>
  <c r="F54" i="3"/>
  <c r="F38" i="3"/>
  <c r="F2573" i="3"/>
  <c r="F2557" i="3"/>
  <c r="F2465" i="3"/>
  <c r="F2452" i="3"/>
  <c r="F2420" i="3"/>
  <c r="F2402" i="3"/>
  <c r="F2386" i="3"/>
  <c r="F2370" i="3"/>
  <c r="F2350" i="3"/>
  <c r="F2300" i="3"/>
  <c r="F2284" i="3"/>
  <c r="F2268" i="3"/>
  <c r="F2260" i="3"/>
  <c r="F2244" i="3"/>
  <c r="F2220" i="3"/>
  <c r="F2188" i="3"/>
  <c r="F2156" i="3"/>
  <c r="F2124" i="3"/>
  <c r="F2108" i="3"/>
  <c r="F2100" i="3"/>
  <c r="F2094" i="3"/>
  <c r="F1523" i="3"/>
  <c r="F1507" i="3"/>
  <c r="F1459" i="3"/>
  <c r="F1271" i="3"/>
  <c r="F1223" i="3"/>
  <c r="F1207" i="3"/>
  <c r="F1514" i="3"/>
  <c r="F1498" i="3"/>
  <c r="F1376" i="3"/>
  <c r="F1326" i="3"/>
  <c r="F1179" i="3"/>
  <c r="F885" i="3"/>
  <c r="F853" i="3"/>
  <c r="F805" i="3"/>
  <c r="F703" i="3"/>
  <c r="F671" i="3"/>
  <c r="F1199" i="3"/>
  <c r="F751" i="3"/>
  <c r="F719" i="3"/>
  <c r="F517" i="3"/>
  <c r="F421" i="3"/>
  <c r="F833" i="3"/>
  <c r="F321" i="3"/>
  <c r="F305" i="3"/>
  <c r="F259" i="3"/>
  <c r="F227" i="3"/>
  <c r="F826" i="3"/>
  <c r="F501" i="3"/>
  <c r="F310" i="3"/>
  <c r="F755" i="3"/>
  <c r="F290" i="3"/>
  <c r="F260" i="3"/>
  <c r="F829" i="3"/>
  <c r="F667" i="3"/>
  <c r="F292" i="3"/>
  <c r="F1618" i="3"/>
  <c r="F1582" i="3"/>
  <c r="F1343" i="3"/>
  <c r="F342" i="3"/>
  <c r="F192" i="3"/>
  <c r="F1367" i="3"/>
  <c r="F2435" i="3"/>
  <c r="F1605" i="3"/>
  <c r="F1482" i="3"/>
  <c r="F706" i="3"/>
  <c r="F642" i="3"/>
  <c r="F254" i="3"/>
  <c r="F674" i="3"/>
  <c r="F1509" i="3"/>
  <c r="F2422" i="3"/>
  <c r="F245" i="3"/>
  <c r="F2580" i="3"/>
  <c r="F2516" i="3"/>
  <c r="F2568" i="3"/>
  <c r="F2536" i="3"/>
  <c r="F2495" i="3"/>
  <c r="F2479" i="3"/>
  <c r="F2576" i="3"/>
  <c r="F2512" i="3"/>
  <c r="F2491" i="3"/>
  <c r="F1920" i="3"/>
  <c r="F1900" i="3"/>
  <c r="F1888" i="3"/>
  <c r="F1880" i="3"/>
  <c r="F1872" i="3"/>
  <c r="F1864" i="3"/>
  <c r="F1856" i="3"/>
  <c r="F1848" i="3"/>
  <c r="F1840" i="3"/>
  <c r="F1832" i="3"/>
  <c r="F1824" i="3"/>
  <c r="F1816" i="3"/>
  <c r="F1808" i="3"/>
  <c r="F1800" i="3"/>
  <c r="F1792" i="3"/>
  <c r="F1784" i="3"/>
  <c r="F1776" i="3"/>
  <c r="F1768" i="3"/>
  <c r="F1760" i="3"/>
  <c r="F1752" i="3"/>
  <c r="F1744" i="3"/>
  <c r="F1736" i="3"/>
  <c r="F1916" i="3"/>
  <c r="F1896" i="3"/>
  <c r="F1912" i="3"/>
  <c r="F2314" i="3"/>
  <c r="F1923" i="3"/>
  <c r="F1911" i="3"/>
  <c r="F1895" i="3"/>
  <c r="F1886" i="3"/>
  <c r="F1878" i="3"/>
  <c r="F1870" i="3"/>
  <c r="F1862" i="3"/>
  <c r="F1854" i="3"/>
  <c r="F1846" i="3"/>
  <c r="F1838" i="3"/>
  <c r="F1830" i="3"/>
  <c r="F1822" i="3"/>
  <c r="F1814" i="3"/>
  <c r="F1806" i="3"/>
  <c r="F1798" i="3"/>
  <c r="F1790" i="3"/>
  <c r="F1782" i="3"/>
  <c r="F1774" i="3"/>
  <c r="F1766" i="3"/>
  <c r="F1758" i="3"/>
  <c r="F1750" i="3"/>
  <c r="F1742" i="3"/>
  <c r="F1734" i="3"/>
  <c r="F2546" i="3"/>
  <c r="F1919" i="3"/>
  <c r="F1728" i="3"/>
  <c r="F1720" i="3"/>
  <c r="F1712" i="3"/>
  <c r="F1704" i="3"/>
  <c r="F2562" i="3"/>
  <c r="F1898" i="3"/>
  <c r="F1972" i="3"/>
  <c r="F1956" i="3"/>
  <c r="F1940" i="3"/>
  <c r="F1664" i="3"/>
  <c r="F1656" i="3"/>
  <c r="F1648" i="3"/>
  <c r="F1640" i="3"/>
  <c r="F1632" i="3"/>
  <c r="F1595" i="3"/>
  <c r="F1201" i="3"/>
  <c r="F1193" i="3"/>
  <c r="F1185" i="3"/>
  <c r="F1177" i="3"/>
  <c r="F971" i="3"/>
  <c r="F957" i="3"/>
  <c r="F948" i="3"/>
  <c r="F939" i="3"/>
  <c r="F925" i="3"/>
  <c r="F916" i="3"/>
  <c r="F907" i="3"/>
  <c r="F967" i="3"/>
  <c r="F953" i="3"/>
  <c r="F944" i="3"/>
  <c r="F935" i="3"/>
  <c r="F921" i="3"/>
  <c r="F912" i="3"/>
  <c r="F972" i="3"/>
  <c r="F963" i="3"/>
  <c r="F949" i="3"/>
  <c r="F940" i="3"/>
  <c r="F931" i="3"/>
  <c r="F917" i="3"/>
  <c r="F908" i="3"/>
  <c r="F968" i="3"/>
  <c r="F959" i="3"/>
  <c r="F945" i="3"/>
  <c r="F936" i="3"/>
  <c r="F927" i="3"/>
  <c r="F913" i="3"/>
  <c r="F207" i="3"/>
  <c r="F181" i="3"/>
  <c r="F165" i="3"/>
  <c r="F149" i="3"/>
  <c r="F133" i="3"/>
  <c r="F117" i="3"/>
  <c r="F101" i="3"/>
  <c r="F85" i="3"/>
  <c r="F69" i="3"/>
  <c r="F53" i="3"/>
  <c r="F37" i="3"/>
  <c r="F2468" i="3"/>
  <c r="F2338" i="3"/>
  <c r="F2089" i="3"/>
  <c r="F1684" i="3"/>
  <c r="F1373" i="3"/>
  <c r="F2574" i="3"/>
  <c r="F2542" i="3"/>
  <c r="F2510" i="3"/>
  <c r="F2346" i="3"/>
  <c r="F1931" i="3"/>
  <c r="F1918" i="3"/>
  <c r="F1978" i="3"/>
  <c r="F1962" i="3"/>
  <c r="F1946" i="3"/>
  <c r="F1930" i="3"/>
  <c r="F1907" i="3"/>
  <c r="F2530" i="3"/>
  <c r="F2336" i="3"/>
  <c r="F1401" i="3"/>
  <c r="F1349" i="3"/>
  <c r="F2308" i="3"/>
  <c r="F1419" i="3"/>
  <c r="F43" i="3"/>
  <c r="F2340" i="3"/>
  <c r="F2062" i="3"/>
  <c r="F2529" i="3"/>
  <c r="F2502" i="3"/>
  <c r="F2354" i="3"/>
  <c r="F2318" i="3"/>
  <c r="F2056" i="3"/>
  <c r="F2014" i="3"/>
  <c r="F1992" i="3"/>
  <c r="F1889" i="3"/>
  <c r="F1568" i="3"/>
  <c r="F1427" i="3"/>
  <c r="F1406" i="3"/>
  <c r="F1385" i="3"/>
  <c r="F1353" i="3"/>
  <c r="F1317" i="3"/>
  <c r="F1285" i="3"/>
  <c r="F2289" i="3"/>
  <c r="F2273" i="3"/>
  <c r="F2257" i="3"/>
  <c r="F2241" i="3"/>
  <c r="F2225" i="3"/>
  <c r="F2209" i="3"/>
  <c r="F2193" i="3"/>
  <c r="F2177" i="3"/>
  <c r="F2161" i="3"/>
  <c r="F2145" i="3"/>
  <c r="F2129" i="3"/>
  <c r="F2113" i="3"/>
  <c r="F2033" i="3"/>
  <c r="F2001" i="3"/>
  <c r="F1901" i="3"/>
  <c r="F1610" i="3"/>
  <c r="F1594" i="3"/>
  <c r="F1405" i="3"/>
  <c r="F1384" i="3"/>
  <c r="F1363" i="3"/>
  <c r="F1299" i="3"/>
  <c r="F1155" i="3"/>
  <c r="F1139" i="3"/>
  <c r="F1123" i="3"/>
  <c r="F1107" i="3"/>
  <c r="F1091" i="3"/>
  <c r="F1075" i="3"/>
  <c r="F1059" i="3"/>
  <c r="F1043" i="3"/>
  <c r="F1027" i="3"/>
  <c r="F1011" i="3"/>
  <c r="F995" i="3"/>
  <c r="F979" i="3"/>
  <c r="F2494" i="3"/>
  <c r="F2299" i="3"/>
  <c r="F2283" i="3"/>
  <c r="F2267" i="3"/>
  <c r="F2251" i="3"/>
  <c r="F2235" i="3"/>
  <c r="F2219" i="3"/>
  <c r="F2203" i="3"/>
  <c r="F2187" i="3"/>
  <c r="F2171" i="3"/>
  <c r="F2155" i="3"/>
  <c r="F2139" i="3"/>
  <c r="F2123" i="3"/>
  <c r="F2107" i="3"/>
  <c r="F2048" i="3"/>
  <c r="F2006" i="3"/>
  <c r="F1984" i="3"/>
  <c r="F1906" i="3"/>
  <c r="F1877" i="3"/>
  <c r="F1825" i="3"/>
  <c r="F1693" i="3"/>
  <c r="F1564" i="3"/>
  <c r="F1556" i="3"/>
  <c r="F1548" i="3"/>
  <c r="F1540" i="3"/>
  <c r="F1532" i="3"/>
  <c r="F1524" i="3"/>
  <c r="F1516" i="3"/>
  <c r="F1508" i="3"/>
  <c r="F1500" i="3"/>
  <c r="F1492" i="3"/>
  <c r="F1484" i="3"/>
  <c r="F1389" i="3"/>
  <c r="F1365" i="3"/>
  <c r="F1346" i="3"/>
  <c r="F1265" i="3"/>
  <c r="F1249" i="3"/>
  <c r="F1233" i="3"/>
  <c r="F1217" i="3"/>
  <c r="F1161" i="3"/>
  <c r="F1145" i="3"/>
  <c r="F1129" i="3"/>
  <c r="F1113" i="3"/>
  <c r="F1097" i="3"/>
  <c r="F1081" i="3"/>
  <c r="F1065" i="3"/>
  <c r="F1049" i="3"/>
  <c r="F1033" i="3"/>
  <c r="F1017" i="3"/>
  <c r="F1001" i="3"/>
  <c r="F985" i="3"/>
  <c r="F891" i="3"/>
  <c r="F875" i="3"/>
  <c r="F859" i="3"/>
  <c r="F843" i="3"/>
  <c r="F827" i="3"/>
  <c r="F811" i="3"/>
  <c r="F795" i="3"/>
  <c r="F779" i="3"/>
  <c r="F2497" i="3"/>
  <c r="F2453" i="3"/>
  <c r="F2437" i="3"/>
  <c r="F2421" i="3"/>
  <c r="F2401" i="3"/>
  <c r="F2385" i="3"/>
  <c r="F2369" i="3"/>
  <c r="F2325" i="3"/>
  <c r="F2301" i="3"/>
  <c r="F2285" i="3"/>
  <c r="F2269" i="3"/>
  <c r="F2253" i="3"/>
  <c r="F2237" i="3"/>
  <c r="F2221" i="3"/>
  <c r="F2205" i="3"/>
  <c r="F2189" i="3"/>
  <c r="F2173" i="3"/>
  <c r="F2157" i="3"/>
  <c r="F2141" i="3"/>
  <c r="F2125" i="3"/>
  <c r="F2109" i="3"/>
  <c r="F2041" i="3"/>
  <c r="F2009" i="3"/>
  <c r="F1973" i="3"/>
  <c r="F1755" i="3"/>
  <c r="F1718" i="3"/>
  <c r="F1596" i="3"/>
  <c r="F1357" i="3"/>
  <c r="F1274" i="3"/>
  <c r="F1251" i="3"/>
  <c r="F1154" i="3"/>
  <c r="F1124" i="3"/>
  <c r="F1080" i="3"/>
  <c r="F1063" i="3"/>
  <c r="F879" i="3"/>
  <c r="F861" i="3"/>
  <c r="F688" i="3"/>
  <c r="F683" i="3"/>
  <c r="F645" i="3"/>
  <c r="F579" i="3"/>
  <c r="F556" i="3"/>
  <c r="F505" i="3"/>
  <c r="F415" i="3"/>
  <c r="F379" i="3"/>
  <c r="F353" i="3"/>
  <c r="F204" i="3"/>
  <c r="F783" i="3"/>
  <c r="F340" i="3"/>
  <c r="F1519" i="3"/>
  <c r="F1226" i="3"/>
  <c r="F1203" i="3"/>
  <c r="F1108" i="3"/>
  <c r="F1010" i="3"/>
  <c r="F900" i="3"/>
  <c r="F854" i="3"/>
  <c r="F707" i="3"/>
  <c r="F669" i="3"/>
  <c r="F571" i="3"/>
  <c r="F548" i="3"/>
  <c r="F495" i="3"/>
  <c r="F459" i="3"/>
  <c r="F2345" i="3"/>
  <c r="F2321" i="3"/>
  <c r="F2581" i="3"/>
  <c r="F2342" i="3"/>
  <c r="F1476" i="3"/>
  <c r="F2291" i="3"/>
  <c r="F2275" i="3"/>
  <c r="F2259" i="3"/>
  <c r="F2243" i="3"/>
  <c r="F2227" i="3"/>
  <c r="F2211" i="3"/>
  <c r="F2195" i="3"/>
  <c r="F2179" i="3"/>
  <c r="F2163" i="3"/>
  <c r="F2147" i="3"/>
  <c r="F2131" i="3"/>
  <c r="F2115" i="3"/>
  <c r="F2038" i="3"/>
  <c r="F1375" i="3"/>
  <c r="F1335" i="3"/>
  <c r="F619" i="3"/>
  <c r="F2493" i="3"/>
  <c r="F2473" i="3"/>
  <c r="F413" i="3"/>
  <c r="F392" i="3"/>
  <c r="F319" i="3"/>
  <c r="F1685" i="3"/>
  <c r="F1452" i="3"/>
  <c r="F1325" i="3"/>
  <c r="F1194" i="3"/>
  <c r="F1170" i="3"/>
  <c r="F1160" i="3"/>
  <c r="F1143" i="3"/>
  <c r="F1102" i="3"/>
  <c r="F1089" i="3"/>
  <c r="F1042" i="3"/>
  <c r="F1032" i="3"/>
  <c r="F1015" i="3"/>
  <c r="F974" i="3"/>
  <c r="F822" i="3"/>
  <c r="F804" i="3"/>
  <c r="F664" i="3"/>
  <c r="F659" i="3"/>
  <c r="F621" i="3"/>
  <c r="F593" i="3"/>
  <c r="F561" i="3"/>
  <c r="F529" i="3"/>
  <c r="F447" i="3"/>
  <c r="F431" i="3"/>
  <c r="F409" i="3"/>
  <c r="F363" i="3"/>
  <c r="F241" i="3"/>
  <c r="F225" i="3"/>
  <c r="F48" i="3"/>
  <c r="F1219" i="3"/>
  <c r="F1169" i="3"/>
  <c r="F930" i="3"/>
  <c r="F569" i="3"/>
  <c r="F427" i="3"/>
  <c r="F345" i="3"/>
  <c r="F128" i="3"/>
  <c r="F84" i="3"/>
  <c r="F1731" i="3"/>
  <c r="F1629" i="3"/>
  <c r="F1286" i="3"/>
  <c r="F1178" i="3"/>
  <c r="F1159" i="3"/>
  <c r="F1092" i="3"/>
  <c r="F1041" i="3"/>
  <c r="F852" i="3"/>
  <c r="F572" i="3"/>
  <c r="F515" i="3"/>
  <c r="F315" i="3"/>
  <c r="F276" i="3"/>
  <c r="F148" i="3"/>
  <c r="F112" i="3"/>
  <c r="F64" i="3"/>
  <c r="F1737" i="3"/>
  <c r="F1655" i="3"/>
  <c r="F1417" i="3"/>
  <c r="F1064" i="3"/>
  <c r="F946" i="3"/>
  <c r="F790" i="3"/>
  <c r="F419" i="3"/>
  <c r="F303" i="3"/>
  <c r="F2521" i="3"/>
  <c r="F2486" i="3"/>
  <c r="F1557" i="3"/>
  <c r="F1525" i="3"/>
  <c r="F734" i="3"/>
  <c r="F705" i="3"/>
  <c r="F641" i="3"/>
  <c r="F753" i="3"/>
  <c r="F103" i="3"/>
  <c r="F710" i="3"/>
  <c r="F147" i="3"/>
  <c r="F99" i="3"/>
  <c r="F774" i="3"/>
  <c r="F2500" i="3"/>
  <c r="F2484" i="3"/>
  <c r="F2323" i="3"/>
  <c r="F1989" i="3"/>
  <c r="F1913" i="3"/>
  <c r="F1827" i="3"/>
  <c r="F1678" i="3"/>
  <c r="F1639" i="3"/>
  <c r="F1616" i="3"/>
  <c r="F1530" i="3"/>
  <c r="F768" i="3"/>
  <c r="F326" i="3"/>
  <c r="F266" i="3"/>
  <c r="F180" i="3"/>
  <c r="F1590" i="3"/>
  <c r="F643" i="3"/>
  <c r="F369" i="3"/>
  <c r="F1303" i="3"/>
  <c r="F1212" i="3"/>
  <c r="F1106" i="3"/>
  <c r="F1038" i="3"/>
  <c r="F978" i="3"/>
  <c r="F914" i="3"/>
  <c r="F886" i="3"/>
  <c r="F868" i="3"/>
  <c r="F685" i="3"/>
  <c r="F596" i="3"/>
  <c r="F564" i="3"/>
  <c r="F532" i="3"/>
  <c r="F450" i="3"/>
  <c r="F414" i="3"/>
  <c r="F401" i="3"/>
  <c r="F378" i="3"/>
  <c r="F338" i="3"/>
  <c r="F788" i="3"/>
  <c r="F635" i="3"/>
  <c r="F603" i="3"/>
  <c r="F1865" i="3"/>
  <c r="F1690" i="3"/>
  <c r="F1585" i="3"/>
  <c r="F893" i="3"/>
  <c r="F509" i="3"/>
  <c r="F1953" i="3"/>
  <c r="F1695" i="3"/>
  <c r="F1643" i="3"/>
  <c r="F1391" i="3"/>
  <c r="F2419" i="3"/>
  <c r="F1937" i="3"/>
  <c r="F750" i="3"/>
  <c r="F758" i="3"/>
  <c r="F737" i="3"/>
  <c r="F2577" i="3"/>
  <c r="F2534" i="3"/>
  <c r="F1558" i="3"/>
  <c r="F1550" i="3"/>
  <c r="F1873" i="3"/>
  <c r="F1414" i="3"/>
  <c r="F1312" i="3"/>
  <c r="F2417" i="3"/>
  <c r="F2334" i="3"/>
  <c r="F2044" i="3"/>
  <c r="F1811" i="3"/>
  <c r="F1747" i="3"/>
  <c r="F1480" i="3"/>
  <c r="F1444" i="3"/>
  <c r="F1378" i="3"/>
  <c r="F1350" i="3"/>
  <c r="F1280" i="3"/>
  <c r="F1256" i="3"/>
  <c r="F1062" i="3"/>
  <c r="F1034" i="3"/>
  <c r="F2337" i="3"/>
  <c r="F2085" i="3"/>
  <c r="F2028" i="3"/>
  <c r="F1885" i="3"/>
  <c r="F2449" i="3"/>
  <c r="F1833" i="3"/>
  <c r="F1779" i="3"/>
  <c r="F1745" i="3"/>
  <c r="F1717" i="3"/>
  <c r="F1675" i="3"/>
  <c r="F1562" i="3"/>
  <c r="F1462" i="3"/>
  <c r="F1252" i="3"/>
  <c r="F1232" i="3"/>
  <c r="F1142" i="3"/>
  <c r="F898" i="3"/>
  <c r="F668" i="3"/>
  <c r="F528" i="3"/>
  <c r="F478" i="3"/>
  <c r="F390" i="3"/>
  <c r="F344" i="3"/>
  <c r="F282" i="3"/>
  <c r="F1710" i="3"/>
  <c r="F1536" i="3"/>
  <c r="F1334" i="3"/>
  <c r="F1306" i="3"/>
  <c r="F1204" i="3"/>
  <c r="F1184" i="3"/>
  <c r="F1110" i="3"/>
  <c r="F1082" i="3"/>
  <c r="F866" i="3"/>
  <c r="F846" i="3"/>
  <c r="F516" i="3"/>
  <c r="F412" i="3"/>
  <c r="F350" i="3"/>
  <c r="F298" i="3"/>
  <c r="F256" i="3"/>
  <c r="F236" i="3"/>
  <c r="F2012" i="3"/>
  <c r="F1715" i="3"/>
  <c r="F1546" i="3"/>
  <c r="F1380" i="3"/>
  <c r="F1348" i="3"/>
  <c r="F1278" i="3"/>
  <c r="F1254" i="3"/>
  <c r="F1014" i="3"/>
  <c r="F896" i="3"/>
  <c r="F824" i="3"/>
  <c r="F584" i="3"/>
  <c r="F400" i="3"/>
  <c r="F320" i="3"/>
  <c r="F272" i="3"/>
  <c r="F224" i="3"/>
  <c r="F1182" i="3"/>
  <c r="F942" i="3"/>
  <c r="F922" i="3"/>
  <c r="F856" i="3"/>
  <c r="F830" i="3"/>
  <c r="F700" i="3"/>
  <c r="F636" i="3"/>
  <c r="F612" i="3"/>
  <c r="F560" i="3"/>
  <c r="F502" i="3"/>
  <c r="F364" i="3"/>
  <c r="F312" i="3"/>
  <c r="F199" i="3"/>
  <c r="F179" i="3"/>
  <c r="F2316" i="3"/>
  <c r="F1457" i="3"/>
  <c r="F1393" i="3"/>
  <c r="F1019" i="3"/>
  <c r="F899" i="3"/>
  <c r="F92" i="3"/>
  <c r="F1109" i="3"/>
  <c r="F803" i="3"/>
  <c r="F2579" i="3"/>
  <c r="F2586" i="3"/>
  <c r="F2548" i="3"/>
  <c r="F2584" i="3"/>
  <c r="F2552" i="3"/>
  <c r="F2520" i="3"/>
  <c r="F2499" i="3"/>
  <c r="F2475" i="3"/>
  <c r="F2503" i="3"/>
  <c r="F2544" i="3"/>
  <c r="F2507" i="3"/>
  <c r="F1968" i="3"/>
  <c r="F1952" i="3"/>
  <c r="F1936" i="3"/>
  <c r="F1980" i="3"/>
  <c r="F1964" i="3"/>
  <c r="F1948" i="3"/>
  <c r="F1932" i="3"/>
  <c r="F1658" i="3"/>
  <c r="F200" i="3"/>
  <c r="F209" i="3"/>
  <c r="F193" i="3"/>
  <c r="F177" i="3"/>
  <c r="F161" i="3"/>
  <c r="F145" i="3"/>
  <c r="F129" i="3"/>
  <c r="F113" i="3"/>
  <c r="F97" i="3"/>
  <c r="F81" i="3"/>
  <c r="F65" i="3"/>
  <c r="F49" i="3"/>
  <c r="F33" i="3"/>
  <c r="F2312" i="3"/>
  <c r="F2058" i="3"/>
  <c r="F2545" i="3"/>
  <c r="F2408" i="3"/>
  <c r="F2392" i="3"/>
  <c r="F2348" i="3"/>
  <c r="F2298" i="3"/>
  <c r="F2290" i="3"/>
  <c r="F2274" i="3"/>
  <c r="F2250" i="3"/>
  <c r="F2154" i="3"/>
  <c r="F2049" i="3"/>
  <c r="F1988" i="3"/>
  <c r="F1437" i="3"/>
  <c r="F1423" i="3"/>
  <c r="F1387" i="3"/>
  <c r="F2476" i="3"/>
  <c r="F2352" i="3"/>
  <c r="F2448" i="3"/>
  <c r="F2416" i="3"/>
  <c r="F2403" i="3"/>
  <c r="F2387" i="3"/>
  <c r="F2371" i="3"/>
  <c r="F2295" i="3"/>
  <c r="F2279" i="3"/>
  <c r="F2263" i="3"/>
  <c r="F2247" i="3"/>
  <c r="F2231" i="3"/>
  <c r="F2215" i="3"/>
  <c r="F2199" i="3"/>
  <c r="F2183" i="3"/>
  <c r="F2167" i="3"/>
  <c r="F2151" i="3"/>
  <c r="F2135" i="3"/>
  <c r="F2119" i="3"/>
  <c r="F2103" i="3"/>
  <c r="F2030" i="3"/>
  <c r="F2008" i="3"/>
  <c r="F1622" i="3"/>
  <c r="F1606" i="3"/>
  <c r="F1469" i="3"/>
  <c r="F1329" i="3"/>
  <c r="F1297" i="3"/>
  <c r="F2356" i="3"/>
  <c r="F2320" i="3"/>
  <c r="F1570" i="3"/>
  <c r="F1479" i="3"/>
  <c r="F1429" i="3"/>
  <c r="F1309" i="3"/>
  <c r="F1277" i="3"/>
  <c r="F1261" i="3"/>
  <c r="F1245" i="3"/>
  <c r="F1229" i="3"/>
  <c r="F1213" i="3"/>
  <c r="F1171" i="3"/>
  <c r="F1152" i="3"/>
  <c r="F1136" i="3"/>
  <c r="F2004" i="3"/>
  <c r="F1425" i="3"/>
  <c r="F1339" i="3"/>
  <c r="F1141" i="3"/>
  <c r="F156" i="3"/>
  <c r="F343" i="3"/>
  <c r="F279" i="3"/>
  <c r="F217" i="3"/>
  <c r="F176" i="3"/>
  <c r="F2343" i="3"/>
  <c r="F1707" i="3"/>
  <c r="F1681" i="3"/>
  <c r="F1949" i="3"/>
  <c r="F578" i="3"/>
  <c r="F2322" i="3"/>
  <c r="F1861" i="3"/>
  <c r="F646" i="3"/>
  <c r="F558" i="3"/>
  <c r="F1633" i="3"/>
  <c r="F1404" i="3"/>
  <c r="F1234" i="3"/>
  <c r="F990" i="3"/>
  <c r="F720" i="3"/>
  <c r="F670" i="3"/>
  <c r="F488" i="3"/>
  <c r="F372" i="3"/>
  <c r="F1202" i="3"/>
  <c r="F464" i="3"/>
  <c r="F2559" i="3"/>
  <c r="F2543" i="3"/>
  <c r="F2527" i="3"/>
  <c r="F2511" i="3"/>
  <c r="F2564" i="3"/>
  <c r="F2538" i="3"/>
  <c r="F2572" i="3"/>
  <c r="F2540" i="3"/>
  <c r="F2487" i="3"/>
  <c r="F2455" i="3"/>
  <c r="F2467" i="3"/>
  <c r="F2099" i="3"/>
  <c r="F2091" i="3"/>
  <c r="F2083" i="3"/>
  <c r="F2075" i="3"/>
  <c r="F2067" i="3"/>
  <c r="F2059" i="3"/>
  <c r="F2051" i="3"/>
  <c r="F2043" i="3"/>
  <c r="F2035" i="3"/>
  <c r="F2027" i="3"/>
  <c r="F2019" i="3"/>
  <c r="F2011" i="3"/>
  <c r="F2003" i="3"/>
  <c r="F1995" i="3"/>
  <c r="F1987" i="3"/>
  <c r="F1975" i="3"/>
  <c r="F1959" i="3"/>
  <c r="F1943" i="3"/>
  <c r="F2463" i="3"/>
  <c r="F1974" i="3"/>
  <c r="F1958" i="3"/>
  <c r="F1942" i="3"/>
  <c r="F1926" i="3"/>
  <c r="F2578" i="3"/>
  <c r="F2514" i="3"/>
  <c r="F1970" i="3"/>
  <c r="F1954" i="3"/>
  <c r="F1938" i="3"/>
  <c r="F1922" i="3"/>
  <c r="F1904" i="3"/>
  <c r="F1855" i="3"/>
  <c r="F1823" i="3"/>
  <c r="F1791" i="3"/>
  <c r="F1759" i="3"/>
  <c r="F2592" i="3"/>
  <c r="F2528" i="3"/>
  <c r="F1976" i="3"/>
  <c r="F1960" i="3"/>
  <c r="F1944" i="3"/>
  <c r="F1908" i="3"/>
  <c r="F1892" i="3"/>
  <c r="F1884" i="3"/>
  <c r="F1876" i="3"/>
  <c r="F1868" i="3"/>
  <c r="F1860" i="3"/>
  <c r="F1852" i="3"/>
  <c r="F1844" i="3"/>
  <c r="F1836" i="3"/>
  <c r="F1828" i="3"/>
  <c r="F1820" i="3"/>
  <c r="F1812" i="3"/>
  <c r="F1804" i="3"/>
  <c r="F1796" i="3"/>
  <c r="F1788" i="3"/>
  <c r="F1780" i="3"/>
  <c r="F1772" i="3"/>
  <c r="F1764" i="3"/>
  <c r="F1756" i="3"/>
  <c r="F1748" i="3"/>
  <c r="F1740" i="3"/>
  <c r="F1732" i="3"/>
  <c r="F1724" i="3"/>
  <c r="F1716" i="3"/>
  <c r="F1708" i="3"/>
  <c r="F1700" i="3"/>
  <c r="F1924" i="3"/>
  <c r="F1668" i="3"/>
  <c r="F1660" i="3"/>
  <c r="F1652" i="3"/>
  <c r="F1644" i="3"/>
  <c r="F1636" i="3"/>
  <c r="F1628" i="3"/>
  <c r="F1197" i="3"/>
  <c r="F1189" i="3"/>
  <c r="F1181" i="3"/>
  <c r="F973" i="3"/>
  <c r="F964" i="3"/>
  <c r="F955" i="3"/>
  <c r="F941" i="3"/>
  <c r="F932" i="3"/>
  <c r="F923" i="3"/>
  <c r="F909" i="3"/>
  <c r="F969" i="3"/>
  <c r="F960" i="3"/>
  <c r="F951" i="3"/>
  <c r="F937" i="3"/>
  <c r="F928" i="3"/>
  <c r="F919" i="3"/>
  <c r="F905" i="3"/>
  <c r="F965" i="3"/>
  <c r="F956" i="3"/>
  <c r="F947" i="3"/>
  <c r="F933" i="3"/>
  <c r="F924" i="3"/>
  <c r="F915" i="3"/>
  <c r="F975" i="3"/>
  <c r="F961" i="3"/>
  <c r="F952" i="3"/>
  <c r="F943" i="3"/>
  <c r="F929" i="3"/>
  <c r="F920" i="3"/>
  <c r="F911" i="3"/>
  <c r="F211" i="3"/>
  <c r="F203" i="3"/>
  <c r="F189" i="3"/>
  <c r="F173" i="3"/>
  <c r="F157" i="3"/>
  <c r="F141" i="3"/>
  <c r="F125" i="3"/>
  <c r="F109" i="3"/>
  <c r="F93" i="3"/>
  <c r="F77" i="3"/>
  <c r="F61" i="3"/>
  <c r="F45" i="3"/>
  <c r="F2585" i="3"/>
  <c r="F2332" i="3"/>
  <c r="F2474" i="3"/>
  <c r="F2458" i="3"/>
  <c r="F2374" i="3"/>
  <c r="F2357" i="3"/>
  <c r="F2288" i="3"/>
  <c r="F2248" i="3"/>
  <c r="F2128" i="3"/>
  <c r="F2112" i="3"/>
  <c r="F2084" i="3"/>
  <c r="F2057" i="3"/>
  <c r="F2036" i="3"/>
  <c r="F1465" i="3"/>
  <c r="F1451" i="3"/>
  <c r="F1413" i="3"/>
  <c r="F2328" i="3"/>
  <c r="F2078" i="3"/>
  <c r="F2088" i="3"/>
  <c r="F2046" i="3"/>
  <c r="F2024" i="3"/>
  <c r="F1982" i="3"/>
  <c r="F1925" i="3"/>
  <c r="F1702" i="3"/>
  <c r="F1584" i="3"/>
  <c r="F1515" i="3"/>
  <c r="F1435" i="3"/>
  <c r="F1403" i="3"/>
  <c r="F1356" i="3"/>
  <c r="F2344" i="3"/>
  <c r="F2297" i="3"/>
  <c r="F2281" i="3"/>
  <c r="F2265" i="3"/>
  <c r="F2249" i="3"/>
  <c r="F2233" i="3"/>
  <c r="F2217" i="3"/>
  <c r="F2201" i="3"/>
  <c r="F2185" i="3"/>
  <c r="F2169" i="3"/>
  <c r="F2153" i="3"/>
  <c r="F2137" i="3"/>
  <c r="F2121" i="3"/>
  <c r="F2105" i="3"/>
  <c r="F2017" i="3"/>
  <c r="F1985" i="3"/>
  <c r="F1819" i="3"/>
  <c r="F1781" i="3"/>
  <c r="F1727" i="3"/>
  <c r="F1709" i="3"/>
  <c r="F1659" i="3"/>
  <c r="F1615" i="3"/>
  <c r="F1599" i="3"/>
  <c r="F1578" i="3"/>
  <c r="F1461" i="3"/>
  <c r="F1453" i="3"/>
  <c r="F1434" i="3"/>
  <c r="F1426" i="3"/>
  <c r="F1408" i="3"/>
  <c r="F1381" i="3"/>
  <c r="F1371" i="3"/>
  <c r="F1347" i="3"/>
  <c r="F1331" i="3"/>
  <c r="F1321" i="3"/>
  <c r="F1289" i="3"/>
  <c r="F1275" i="3"/>
  <c r="F1168" i="3"/>
  <c r="F1149" i="3"/>
  <c r="F1133" i="3"/>
  <c r="F1117" i="3"/>
  <c r="F1101" i="3"/>
  <c r="F1085" i="3"/>
  <c r="F1069" i="3"/>
  <c r="F1053" i="3"/>
  <c r="F1037" i="3"/>
  <c r="F2052" i="3"/>
  <c r="F1313" i="3"/>
  <c r="F1281" i="3"/>
  <c r="F1473" i="3"/>
  <c r="F1061" i="3"/>
  <c r="F787" i="3"/>
  <c r="F883" i="3"/>
  <c r="F375" i="3"/>
  <c r="F1045" i="3"/>
  <c r="F31" i="3"/>
  <c r="F127" i="3"/>
  <c r="F47" i="3"/>
  <c r="F1969" i="3"/>
  <c r="F2311" i="3"/>
  <c r="F420" i="3"/>
  <c r="F1961" i="3"/>
  <c r="F1902" i="3"/>
  <c r="F1649" i="3"/>
  <c r="F1699" i="3"/>
  <c r="F752" i="3"/>
  <c r="F2590" i="3"/>
  <c r="F2558" i="3"/>
  <c r="F2526" i="3"/>
  <c r="F2330" i="3"/>
  <c r="F1971" i="3"/>
  <c r="F1939" i="3"/>
  <c r="F1899" i="3"/>
  <c r="F2326" i="3"/>
  <c r="F1966" i="3"/>
  <c r="F1950" i="3"/>
  <c r="F1934" i="3"/>
  <c r="F1915" i="3"/>
  <c r="F1903" i="3"/>
  <c r="F1890" i="3"/>
  <c r="F1882" i="3"/>
  <c r="F1874" i="3"/>
  <c r="F1866" i="3"/>
  <c r="F1858" i="3"/>
  <c r="F1850" i="3"/>
  <c r="F1842" i="3"/>
  <c r="F1834" i="3"/>
  <c r="F1826" i="3"/>
  <c r="F1818" i="3"/>
  <c r="F1810" i="3"/>
  <c r="F1802" i="3"/>
  <c r="F1794" i="3"/>
  <c r="F1786" i="3"/>
  <c r="F1778" i="3"/>
  <c r="F1770" i="3"/>
  <c r="F1762" i="3"/>
  <c r="F1754" i="3"/>
  <c r="F1746" i="3"/>
  <c r="F1738" i="3"/>
  <c r="F1650" i="3"/>
  <c r="F1634" i="3"/>
  <c r="F1927" i="3"/>
  <c r="F1914" i="3"/>
  <c r="F205" i="3"/>
  <c r="F170" i="3"/>
  <c r="F154" i="3"/>
  <c r="F138" i="3"/>
  <c r="F122" i="3"/>
  <c r="F106" i="3"/>
  <c r="F90" i="3"/>
  <c r="F74" i="3"/>
  <c r="F58" i="3"/>
  <c r="F42" i="3"/>
  <c r="F185" i="3"/>
  <c r="F169" i="3"/>
  <c r="F153" i="3"/>
  <c r="F137" i="3"/>
  <c r="F121" i="3"/>
  <c r="F105" i="3"/>
  <c r="F89" i="3"/>
  <c r="F73" i="3"/>
  <c r="F57" i="3"/>
  <c r="F41" i="3"/>
  <c r="F2582" i="3"/>
  <c r="F2324" i="3"/>
  <c r="F2082" i="3"/>
  <c r="F2034" i="3"/>
  <c r="F2472" i="3"/>
  <c r="F2456" i="3"/>
  <c r="F2380" i="3"/>
  <c r="F2364" i="3"/>
  <c r="F2222" i="3"/>
  <c r="F2198" i="3"/>
  <c r="F2182" i="3"/>
  <c r="F2142" i="3"/>
  <c r="F2126" i="3"/>
  <c r="F2110" i="3"/>
  <c r="F2102" i="3"/>
  <c r="F2092" i="3"/>
  <c r="F2068" i="3"/>
  <c r="F2020" i="3"/>
  <c r="F1477" i="3"/>
  <c r="F1361" i="3"/>
  <c r="F2460" i="3"/>
  <c r="F2464" i="3"/>
  <c r="F2432" i="3"/>
  <c r="F2411" i="3"/>
  <c r="F2395" i="3"/>
  <c r="F2379" i="3"/>
  <c r="F2363" i="3"/>
  <c r="F2303" i="3"/>
  <c r="F2287" i="3"/>
  <c r="F2271" i="3"/>
  <c r="F2255" i="3"/>
  <c r="F2239" i="3"/>
  <c r="F2223" i="3"/>
  <c r="F2207" i="3"/>
  <c r="F2191" i="3"/>
  <c r="F2175" i="3"/>
  <c r="F2159" i="3"/>
  <c r="F2143" i="3"/>
  <c r="F2072" i="3"/>
  <c r="F2040" i="3"/>
  <c r="F1851" i="3"/>
  <c r="F1813" i="3"/>
  <c r="F1761" i="3"/>
  <c r="F1676" i="3"/>
  <c r="F1651" i="3"/>
  <c r="F1611" i="3"/>
  <c r="F1592" i="3"/>
  <c r="F1561" i="3"/>
  <c r="F1545" i="3"/>
  <c r="F1497" i="3"/>
  <c r="F1472" i="3"/>
  <c r="F1445" i="3"/>
  <c r="F1409" i="3"/>
  <c r="F1377" i="3"/>
  <c r="F1337" i="3"/>
  <c r="F1307" i="3"/>
  <c r="F1273" i="3"/>
  <c r="F1257" i="3"/>
  <c r="F1241" i="3"/>
  <c r="F1225" i="3"/>
  <c r="F1209" i="3"/>
  <c r="F2550" i="3"/>
  <c r="F2469" i="3"/>
  <c r="F2445" i="3"/>
  <c r="F2429" i="3"/>
  <c r="F2413" i="3"/>
  <c r="F2397" i="3"/>
  <c r="F2381" i="3"/>
  <c r="F2365" i="3"/>
  <c r="F2333" i="3"/>
  <c r="F1857" i="3"/>
  <c r="F1686" i="3"/>
  <c r="F1627" i="3"/>
  <c r="F1474" i="3"/>
  <c r="F1458" i="3"/>
  <c r="F1355" i="3"/>
  <c r="F1336" i="3"/>
  <c r="F1328" i="3"/>
  <c r="F1165" i="3"/>
  <c r="F903" i="3"/>
  <c r="F887" i="3"/>
  <c r="F871" i="3"/>
  <c r="F855" i="3"/>
  <c r="F839" i="3"/>
  <c r="F823" i="3"/>
  <c r="F807" i="3"/>
  <c r="F791" i="3"/>
  <c r="F1120" i="3"/>
  <c r="F1104" i="3"/>
  <c r="F1088" i="3"/>
  <c r="F1072" i="3"/>
  <c r="F1056" i="3"/>
  <c r="F1040" i="3"/>
  <c r="F1024" i="3"/>
  <c r="F1008" i="3"/>
  <c r="F992" i="3"/>
  <c r="F976" i="3"/>
  <c r="F589" i="3"/>
  <c r="F2541" i="3"/>
  <c r="F2480" i="3"/>
  <c r="F2440" i="3"/>
  <c r="F2407" i="3"/>
  <c r="F2391" i="3"/>
  <c r="F2375" i="3"/>
  <c r="F2359" i="3"/>
  <c r="F2335" i="3"/>
  <c r="F2096" i="3"/>
  <c r="F2022" i="3"/>
  <c r="F2000" i="3"/>
  <c r="F1957" i="3"/>
  <c r="F1614" i="3"/>
  <c r="F1598" i="3"/>
  <c r="F1572" i="3"/>
  <c r="F1471" i="3"/>
  <c r="F1455" i="3"/>
  <c r="F1439" i="3"/>
  <c r="F1421" i="3"/>
  <c r="F1397" i="3"/>
  <c r="F1311" i="3"/>
  <c r="F1231" i="3"/>
  <c r="F1215" i="3"/>
  <c r="F809" i="3"/>
  <c r="F793" i="3"/>
  <c r="F777" i="3"/>
  <c r="F591" i="3"/>
  <c r="F575" i="3"/>
  <c r="F559" i="3"/>
  <c r="F543" i="3"/>
  <c r="F527" i="3"/>
  <c r="F497" i="3"/>
  <c r="F465" i="3"/>
  <c r="F433" i="3"/>
  <c r="F399" i="3"/>
  <c r="F383" i="3"/>
  <c r="F367" i="3"/>
  <c r="F351" i="3"/>
  <c r="F1793" i="3"/>
  <c r="F1566" i="3"/>
  <c r="F1551" i="3"/>
  <c r="F1535" i="3"/>
  <c r="F1449" i="3"/>
  <c r="F1407" i="3"/>
  <c r="F1298" i="3"/>
  <c r="F1228" i="3"/>
  <c r="F1205" i="3"/>
  <c r="F1137" i="3"/>
  <c r="F1090" i="3"/>
  <c r="F1077" i="3"/>
  <c r="F1060" i="3"/>
  <c r="F1016" i="3"/>
  <c r="F999" i="3"/>
  <c r="F897" i="3"/>
  <c r="F838" i="3"/>
  <c r="F820" i="3"/>
  <c r="F754" i="3"/>
  <c r="F677" i="3"/>
  <c r="F588" i="3"/>
  <c r="F521" i="3"/>
  <c r="F494" i="3"/>
  <c r="F467" i="3"/>
  <c r="F445" i="3"/>
  <c r="F429" i="3"/>
  <c r="F391" i="3"/>
  <c r="F376" i="3"/>
  <c r="F51" i="3"/>
  <c r="F870" i="3"/>
  <c r="F806" i="3"/>
  <c r="F699" i="3"/>
  <c r="F661" i="3"/>
  <c r="F595" i="3"/>
  <c r="F549" i="3"/>
  <c r="F482" i="3"/>
  <c r="F449" i="3"/>
  <c r="F408" i="3"/>
  <c r="F385" i="3"/>
  <c r="F136" i="3"/>
  <c r="F80" i="3"/>
  <c r="F1909" i="3"/>
  <c r="F1703" i="3"/>
  <c r="F1467" i="3"/>
  <c r="F1351" i="3"/>
  <c r="F1315" i="3"/>
  <c r="F1128" i="3"/>
  <c r="F1074" i="3"/>
  <c r="F983" i="3"/>
  <c r="F831" i="3"/>
  <c r="F701" i="3"/>
  <c r="F616" i="3"/>
  <c r="F611" i="3"/>
  <c r="F580" i="3"/>
  <c r="F511" i="3"/>
  <c r="F492" i="3"/>
  <c r="F473" i="3"/>
  <c r="F435" i="3"/>
  <c r="F407" i="3"/>
  <c r="F271" i="3"/>
  <c r="F1859" i="3"/>
  <c r="F1672" i="3"/>
  <c r="F1607" i="3"/>
  <c r="F1577" i="3"/>
  <c r="F1511" i="3"/>
  <c r="F1383" i="3"/>
  <c r="F1258" i="3"/>
  <c r="F1235" i="3"/>
  <c r="F1157" i="3"/>
  <c r="F1140" i="3"/>
  <c r="F1099" i="3"/>
  <c r="F1029" i="3"/>
  <c r="F1012" i="3"/>
  <c r="F863" i="3"/>
  <c r="F845" i="3"/>
  <c r="F746" i="3"/>
  <c r="F739" i="3"/>
  <c r="F714" i="3"/>
  <c r="F696" i="3"/>
  <c r="F691" i="3"/>
  <c r="F653" i="3"/>
  <c r="F573" i="3"/>
  <c r="F555" i="3"/>
  <c r="F541" i="3"/>
  <c r="F499" i="3"/>
  <c r="F483" i="3"/>
  <c r="F471" i="3"/>
  <c r="F428" i="3"/>
  <c r="F417" i="3"/>
  <c r="F373" i="3"/>
  <c r="F360" i="3"/>
  <c r="F311" i="3"/>
  <c r="F39" i="3"/>
  <c r="F1196" i="3"/>
  <c r="F1122" i="3"/>
  <c r="F987" i="3"/>
  <c r="F867" i="3"/>
  <c r="F801" i="3"/>
  <c r="F704" i="3"/>
  <c r="F563" i="3"/>
  <c r="F531" i="3"/>
  <c r="F479" i="3"/>
  <c r="F403" i="3"/>
  <c r="F362" i="3"/>
  <c r="F313" i="3"/>
  <c r="F258" i="3"/>
  <c r="F164" i="3"/>
  <c r="F116" i="3"/>
  <c r="F72" i="3"/>
  <c r="F1478" i="3"/>
  <c r="F1412" i="3"/>
  <c r="F1362" i="3"/>
  <c r="F1308" i="3"/>
  <c r="F1242" i="3"/>
  <c r="F1156" i="3"/>
  <c r="F1058" i="3"/>
  <c r="F1028" i="3"/>
  <c r="F770" i="3"/>
  <c r="F738" i="3"/>
  <c r="F672" i="3"/>
  <c r="F608" i="3"/>
  <c r="F263" i="3"/>
  <c r="F250" i="3"/>
  <c r="F144" i="3"/>
  <c r="F100" i="3"/>
  <c r="F36" i="3"/>
  <c r="F1593" i="3"/>
  <c r="F1487" i="3"/>
  <c r="F1446" i="3"/>
  <c r="F1318" i="3"/>
  <c r="F1244" i="3"/>
  <c r="F1175" i="3"/>
  <c r="F1131" i="3"/>
  <c r="F1057" i="3"/>
  <c r="F851" i="3"/>
  <c r="F730" i="3"/>
  <c r="F395" i="3"/>
  <c r="F317" i="3"/>
  <c r="F2470" i="3"/>
  <c r="F2518" i="3"/>
  <c r="F2477" i="3"/>
  <c r="F1501" i="3"/>
  <c r="F769" i="3"/>
  <c r="F1549" i="3"/>
  <c r="F1518" i="3"/>
  <c r="F689" i="3"/>
  <c r="F625" i="3"/>
  <c r="F238" i="3"/>
  <c r="F2438" i="3"/>
  <c r="F2466" i="3"/>
  <c r="F1493" i="3"/>
  <c r="F2454" i="3"/>
  <c r="F95" i="3"/>
  <c r="F159" i="3"/>
  <c r="F143" i="3"/>
  <c r="F123" i="3"/>
  <c r="F91" i="3"/>
  <c r="F697" i="3"/>
  <c r="F2496" i="3"/>
  <c r="F2339" i="3"/>
  <c r="F2317" i="3"/>
  <c r="F2045" i="3"/>
  <c r="F1981" i="3"/>
  <c r="F1891" i="3"/>
  <c r="F1789" i="3"/>
  <c r="F1701" i="3"/>
  <c r="F1674" i="3"/>
  <c r="F1631" i="3"/>
  <c r="F1608" i="3"/>
  <c r="F1332" i="3"/>
  <c r="F1304" i="3"/>
  <c r="F1965" i="3"/>
  <c r="F1803" i="3"/>
  <c r="F1739" i="3"/>
  <c r="F1673" i="3"/>
  <c r="F1468" i="3"/>
  <c r="F1440" i="3"/>
  <c r="F1374" i="3"/>
  <c r="F1342" i="3"/>
  <c r="F1272" i="3"/>
  <c r="F1214" i="3"/>
  <c r="F1054" i="3"/>
  <c r="F1030" i="3"/>
  <c r="F773" i="3"/>
  <c r="F2506" i="3"/>
  <c r="F2353" i="3"/>
  <c r="F2329" i="3"/>
  <c r="F2021" i="3"/>
  <c r="F1945" i="3"/>
  <c r="F1881" i="3"/>
  <c r="F2441" i="3"/>
  <c r="F2307" i="3"/>
  <c r="F2054" i="3"/>
  <c r="F1829" i="3"/>
  <c r="F1771" i="3"/>
  <c r="F1741" i="3"/>
  <c r="F1671" i="3"/>
  <c r="F1552" i="3"/>
  <c r="F1522" i="3"/>
  <c r="F1454" i="3"/>
  <c r="F1248" i="3"/>
  <c r="F1224" i="3"/>
  <c r="F1158" i="3"/>
  <c r="F1134" i="3"/>
  <c r="F894" i="3"/>
  <c r="F732" i="3"/>
  <c r="F660" i="3"/>
  <c r="F574" i="3"/>
  <c r="F438" i="3"/>
  <c r="F386" i="3"/>
  <c r="F332" i="3"/>
  <c r="F270" i="3"/>
  <c r="F2061" i="3"/>
  <c r="F1933" i="3"/>
  <c r="F1809" i="3"/>
  <c r="F1322" i="3"/>
  <c r="F1302" i="3"/>
  <c r="F1200" i="3"/>
  <c r="F1176" i="3"/>
  <c r="F1098" i="3"/>
  <c r="F1078" i="3"/>
  <c r="F862" i="3"/>
  <c r="F832" i="3"/>
  <c r="F784" i="3"/>
  <c r="F766" i="3"/>
  <c r="F725" i="3"/>
  <c r="F638" i="3"/>
  <c r="F604" i="3"/>
  <c r="F554" i="3"/>
  <c r="F512" i="3"/>
  <c r="F458" i="3"/>
  <c r="F366" i="3"/>
  <c r="F288" i="3"/>
  <c r="F248" i="3"/>
  <c r="F2029" i="3"/>
  <c r="F1665" i="3"/>
  <c r="F1645" i="3"/>
  <c r="F1432" i="3"/>
  <c r="F1400" i="3"/>
  <c r="F1372" i="3"/>
  <c r="F1344" i="3"/>
  <c r="F1270" i="3"/>
  <c r="F1250" i="3"/>
  <c r="F1230" i="3"/>
  <c r="F1006" i="3"/>
  <c r="F986" i="3"/>
  <c r="F892" i="3"/>
  <c r="F814" i="3"/>
  <c r="F717" i="3"/>
  <c r="F684" i="3"/>
  <c r="F662" i="3"/>
  <c r="F576" i="3"/>
  <c r="F484" i="3"/>
  <c r="F388" i="3"/>
  <c r="F346" i="3"/>
  <c r="F294" i="3"/>
  <c r="F264" i="3"/>
  <c r="F216" i="3"/>
  <c r="F1905" i="3"/>
  <c r="F1722" i="3"/>
  <c r="F1691" i="3"/>
  <c r="F1526" i="3"/>
  <c r="F1198" i="3"/>
  <c r="F958" i="3"/>
  <c r="F938" i="3"/>
  <c r="F872" i="3"/>
  <c r="F848" i="3"/>
  <c r="F764" i="3"/>
  <c r="F749" i="3"/>
  <c r="F606" i="3"/>
  <c r="F544" i="3"/>
  <c r="F498" i="3"/>
  <c r="F456" i="3"/>
  <c r="F356" i="3"/>
  <c r="F304" i="3"/>
  <c r="F286" i="3"/>
  <c r="F195" i="3"/>
  <c r="F175" i="3"/>
  <c r="F1021" i="3"/>
  <c r="F1005" i="3"/>
  <c r="F989" i="3"/>
  <c r="F2462" i="3"/>
  <c r="F2080" i="3"/>
  <c r="F2016" i="3"/>
  <c r="F1688" i="3"/>
  <c r="F1667" i="3"/>
  <c r="F1580" i="3"/>
  <c r="F1481" i="3"/>
  <c r="F1460" i="3"/>
  <c r="F1433" i="3"/>
  <c r="F1394" i="3"/>
  <c r="F1370" i="3"/>
  <c r="F1341" i="3"/>
  <c r="F1323" i="3"/>
  <c r="F1291" i="3"/>
  <c r="F1167" i="3"/>
  <c r="F1151" i="3"/>
  <c r="F1135" i="3"/>
  <c r="F1119" i="3"/>
  <c r="F1103" i="3"/>
  <c r="F1087" i="3"/>
  <c r="F1071" i="3"/>
  <c r="F1055" i="3"/>
  <c r="F1039" i="3"/>
  <c r="F1023" i="3"/>
  <c r="F1007" i="3"/>
  <c r="F991" i="3"/>
  <c r="F711" i="3"/>
  <c r="F507" i="3"/>
  <c r="F475" i="3"/>
  <c r="F443" i="3"/>
  <c r="F411" i="3"/>
  <c r="F2593" i="3"/>
  <c r="F2517" i="3"/>
  <c r="F2485" i="3"/>
  <c r="F2442" i="3"/>
  <c r="F2426" i="3"/>
  <c r="F2409" i="3"/>
  <c r="F2393" i="3"/>
  <c r="F2377" i="3"/>
  <c r="F2361" i="3"/>
  <c r="F2313" i="3"/>
  <c r="F2293" i="3"/>
  <c r="F2277" i="3"/>
  <c r="F2261" i="3"/>
  <c r="F2245" i="3"/>
  <c r="F2229" i="3"/>
  <c r="F2213" i="3"/>
  <c r="F2197" i="3"/>
  <c r="F2181" i="3"/>
  <c r="F2165" i="3"/>
  <c r="F2149" i="3"/>
  <c r="F2133" i="3"/>
  <c r="F2117" i="3"/>
  <c r="F2101" i="3"/>
  <c r="F2025" i="3"/>
  <c r="F1993" i="3"/>
  <c r="F1726" i="3"/>
  <c r="F1661" i="3"/>
  <c r="F1428" i="3"/>
  <c r="F1396" i="3"/>
  <c r="F1269" i="3"/>
  <c r="F1147" i="3"/>
  <c r="F1073" i="3"/>
  <c r="F1026" i="3"/>
  <c r="F1013" i="3"/>
  <c r="F996" i="3"/>
  <c r="F902" i="3"/>
  <c r="F884" i="3"/>
  <c r="F722" i="3"/>
  <c r="F624" i="3"/>
  <c r="F553" i="3"/>
  <c r="F533" i="3"/>
  <c r="F513" i="3"/>
  <c r="F439" i="3"/>
  <c r="F418" i="3"/>
  <c r="F212" i="3"/>
  <c r="F44" i="3"/>
  <c r="F693" i="3"/>
  <c r="F581" i="3"/>
  <c r="F534" i="3"/>
  <c r="F430" i="3"/>
  <c r="F297" i="3"/>
  <c r="F124" i="3"/>
  <c r="F68" i="3"/>
  <c r="F1420" i="3"/>
  <c r="F1345" i="3"/>
  <c r="F1221" i="3"/>
  <c r="F1047" i="3"/>
  <c r="F1003" i="3"/>
  <c r="F980" i="3"/>
  <c r="F849" i="3"/>
  <c r="F762" i="3"/>
  <c r="F723" i="3"/>
  <c r="F648" i="3"/>
  <c r="F605" i="3"/>
  <c r="F545" i="3"/>
  <c r="F525" i="3"/>
  <c r="F462" i="3"/>
  <c r="F387" i="3"/>
  <c r="F335" i="3"/>
  <c r="F1729" i="3"/>
  <c r="F1680" i="3"/>
  <c r="F1410" i="3"/>
  <c r="F1338" i="3"/>
  <c r="F1153" i="3"/>
  <c r="F1096" i="3"/>
  <c r="F1079" i="3"/>
  <c r="F1025" i="3"/>
  <c r="F819" i="3"/>
  <c r="F771" i="3"/>
  <c r="F587" i="3"/>
  <c r="F523" i="3"/>
  <c r="F496" i="3"/>
  <c r="F469" i="3"/>
  <c r="F370" i="3"/>
  <c r="F295" i="3"/>
  <c r="F265" i="3"/>
  <c r="F257" i="3"/>
  <c r="F249" i="3"/>
  <c r="F233" i="3"/>
  <c r="F220" i="3"/>
  <c r="F32" i="3"/>
  <c r="F1095" i="3"/>
  <c r="F1031" i="3"/>
  <c r="F981" i="3"/>
  <c r="F736" i="3"/>
  <c r="F457" i="3"/>
  <c r="F329" i="3"/>
  <c r="F281" i="3"/>
  <c r="F242" i="3"/>
  <c r="F152" i="3"/>
  <c r="F108" i="3"/>
  <c r="F60" i="3"/>
  <c r="F1623" i="3"/>
  <c r="F1283" i="3"/>
  <c r="F1173" i="3"/>
  <c r="F1112" i="3"/>
  <c r="F984" i="3"/>
  <c r="F847" i="3"/>
  <c r="F537" i="3"/>
  <c r="F463" i="3"/>
  <c r="F393" i="3"/>
  <c r="F331" i="3"/>
  <c r="F234" i="3"/>
  <c r="F172" i="3"/>
  <c r="F132" i="3"/>
  <c r="F88" i="3"/>
  <c r="F1483" i="3"/>
  <c r="F1172" i="3"/>
  <c r="F1125" i="3"/>
  <c r="F1000" i="3"/>
  <c r="F895" i="3"/>
  <c r="F785" i="3"/>
  <c r="F377" i="3"/>
  <c r="F2501" i="3"/>
  <c r="F1730" i="3"/>
  <c r="F1162" i="3"/>
  <c r="F1617" i="3"/>
  <c r="F1621" i="3"/>
  <c r="F1541" i="3"/>
  <c r="F1502" i="3"/>
  <c r="F713" i="3"/>
  <c r="F682" i="3"/>
  <c r="F618" i="3"/>
  <c r="F222" i="3"/>
  <c r="F40" i="3"/>
  <c r="F87" i="3"/>
  <c r="F155" i="3"/>
  <c r="F139" i="3"/>
  <c r="F119" i="3"/>
  <c r="F2492" i="3"/>
  <c r="F2355" i="3"/>
  <c r="F2331" i="3"/>
  <c r="F2309" i="3"/>
  <c r="F2060" i="3"/>
  <c r="F2037" i="3"/>
  <c r="F1921" i="3"/>
  <c r="F1875" i="3"/>
  <c r="F1785" i="3"/>
  <c r="F1697" i="3"/>
  <c r="F1663" i="3"/>
  <c r="F1624" i="3"/>
  <c r="F1604" i="3"/>
  <c r="F1430" i="3"/>
  <c r="F1324" i="3"/>
  <c r="F1300" i="3"/>
  <c r="F2305" i="3"/>
  <c r="F2070" i="3"/>
  <c r="F1773" i="3"/>
  <c r="F1723" i="3"/>
  <c r="F1669" i="3"/>
  <c r="F1538" i="3"/>
  <c r="F1464" i="3"/>
  <c r="F1398" i="3"/>
  <c r="F1366" i="3"/>
  <c r="F1292" i="3"/>
  <c r="F1268" i="3"/>
  <c r="F1050" i="3"/>
  <c r="F1022" i="3"/>
  <c r="F816" i="3"/>
  <c r="F798" i="3"/>
  <c r="F2498" i="3"/>
  <c r="F2349" i="3"/>
  <c r="F2319" i="3"/>
  <c r="F2077" i="3"/>
  <c r="F2013" i="3"/>
  <c r="F1897" i="3"/>
  <c r="F1849" i="3"/>
  <c r="F2461" i="3"/>
  <c r="F1843" i="3"/>
  <c r="F1757" i="3"/>
  <c r="F1733" i="3"/>
  <c r="F1694" i="3"/>
  <c r="F1600" i="3"/>
  <c r="F1442" i="3"/>
  <c r="F1240" i="3"/>
  <c r="F1220" i="3"/>
  <c r="F1150" i="3"/>
  <c r="F1130" i="3"/>
  <c r="F882" i="3"/>
  <c r="F718" i="3"/>
  <c r="F692" i="3"/>
  <c r="F586" i="3"/>
  <c r="F570" i="3"/>
  <c r="F432" i="3"/>
  <c r="F402" i="3"/>
  <c r="F382" i="3"/>
  <c r="F318" i="3"/>
  <c r="F1997" i="3"/>
  <c r="F1929" i="3"/>
  <c r="F1805" i="3"/>
  <c r="F1314" i="3"/>
  <c r="F1192" i="3"/>
  <c r="F1118" i="3"/>
  <c r="F1094" i="3"/>
  <c r="F858" i="3"/>
  <c r="F780" i="3"/>
  <c r="F622" i="3"/>
  <c r="F600" i="3"/>
  <c r="F550" i="3"/>
  <c r="F508" i="3"/>
  <c r="F452" i="3"/>
  <c r="F358" i="3"/>
  <c r="F314" i="3"/>
  <c r="F244" i="3"/>
  <c r="F1977" i="3"/>
  <c r="F1869" i="3"/>
  <c r="F1657" i="3"/>
  <c r="F1641" i="3"/>
  <c r="F1424" i="3"/>
  <c r="F1392" i="3"/>
  <c r="F1368" i="3"/>
  <c r="F1290" i="3"/>
  <c r="F1266" i="3"/>
  <c r="F1246" i="3"/>
  <c r="F1222" i="3"/>
  <c r="F1002" i="3"/>
  <c r="F982" i="3"/>
  <c r="F880" i="3"/>
  <c r="F796" i="3"/>
  <c r="F694" i="3"/>
  <c r="F676" i="3"/>
  <c r="F538" i="3"/>
  <c r="F480" i="3"/>
  <c r="F454" i="3"/>
  <c r="F384" i="3"/>
  <c r="F334" i="3"/>
  <c r="F284" i="3"/>
  <c r="F1769" i="3"/>
  <c r="F1687" i="3"/>
  <c r="F1296" i="3"/>
  <c r="F1190" i="3"/>
  <c r="F954" i="3"/>
  <c r="F934" i="3"/>
  <c r="F864" i="3"/>
  <c r="F844" i="3"/>
  <c r="F802" i="3"/>
  <c r="F760" i="3"/>
  <c r="F716" i="3"/>
  <c r="F654" i="3"/>
  <c r="F630" i="3"/>
  <c r="F598" i="3"/>
  <c r="F518" i="3"/>
  <c r="F490" i="3"/>
  <c r="F446" i="3"/>
  <c r="F410" i="3"/>
  <c r="F300" i="3"/>
  <c r="F191" i="3"/>
  <c r="F171" i="3"/>
  <c r="F597" i="3"/>
  <c r="F2553" i="3"/>
  <c r="F2064" i="3"/>
  <c r="F2032" i="3"/>
  <c r="F1787" i="3"/>
  <c r="F1749" i="3"/>
  <c r="F1711" i="3"/>
  <c r="F1696" i="3"/>
  <c r="F1635" i="3"/>
  <c r="F1619" i="3"/>
  <c r="F1603" i="3"/>
  <c r="F1588" i="3"/>
  <c r="F1447" i="3"/>
  <c r="F1431" i="3"/>
  <c r="F1333" i="3"/>
  <c r="F1301" i="3"/>
  <c r="F1164" i="3"/>
  <c r="F1148" i="3"/>
  <c r="F1132" i="3"/>
  <c r="F1116" i="3"/>
  <c r="F1100" i="3"/>
  <c r="F1084" i="3"/>
  <c r="F1068" i="3"/>
  <c r="F1052" i="3"/>
  <c r="F1036" i="3"/>
  <c r="F1020" i="3"/>
  <c r="F1004" i="3"/>
  <c r="F988" i="3"/>
  <c r="F599" i="3"/>
  <c r="F583" i="3"/>
  <c r="F567" i="3"/>
  <c r="F551" i="3"/>
  <c r="F535" i="3"/>
  <c r="F519" i="3"/>
  <c r="F487" i="3"/>
  <c r="F455" i="3"/>
  <c r="F423" i="3"/>
  <c r="F1821" i="3"/>
  <c r="F1369" i="3"/>
  <c r="F1320" i="3"/>
  <c r="F1293" i="3"/>
  <c r="F1210" i="3"/>
  <c r="F1144" i="3"/>
  <c r="F1127" i="3"/>
  <c r="F1083" i="3"/>
  <c r="F1009" i="3"/>
  <c r="F962" i="3"/>
  <c r="F835" i="3"/>
  <c r="F815" i="3"/>
  <c r="F656" i="3"/>
  <c r="F613" i="3"/>
  <c r="F585" i="3"/>
  <c r="F565" i="3"/>
  <c r="F547" i="3"/>
  <c r="F524" i="3"/>
  <c r="F491" i="3"/>
  <c r="F472" i="3"/>
  <c r="F451" i="3"/>
  <c r="F394" i="3"/>
  <c r="F371" i="3"/>
  <c r="F339" i="3"/>
  <c r="F323" i="3"/>
  <c r="F307" i="3"/>
  <c r="F291" i="3"/>
  <c r="F275" i="3"/>
  <c r="F208" i="3"/>
  <c r="F35" i="3"/>
  <c r="F763" i="3"/>
  <c r="F460" i="3"/>
  <c r="F347" i="3"/>
  <c r="F247" i="3"/>
  <c r="F168" i="3"/>
  <c r="F104" i="3"/>
  <c r="F1883" i="3"/>
  <c r="F1692" i="3"/>
  <c r="F1330" i="3"/>
  <c r="F1111" i="3"/>
  <c r="F1067" i="3"/>
  <c r="F1044" i="3"/>
  <c r="F997" i="3"/>
  <c r="F836" i="3"/>
  <c r="F680" i="3"/>
  <c r="F637" i="3"/>
  <c r="F577" i="3"/>
  <c r="F557" i="3"/>
  <c r="F539" i="3"/>
  <c r="F514" i="3"/>
  <c r="F489" i="3"/>
  <c r="F440" i="3"/>
  <c r="F333" i="3"/>
  <c r="F287" i="3"/>
  <c r="F1845" i="3"/>
  <c r="F1677" i="3"/>
  <c r="F1612" i="3"/>
  <c r="F1276" i="3"/>
  <c r="F1253" i="3"/>
  <c r="F1163" i="3"/>
  <c r="F1093" i="3"/>
  <c r="F1076" i="3"/>
  <c r="F1035" i="3"/>
  <c r="F799" i="3"/>
  <c r="F781" i="3"/>
  <c r="F744" i="3"/>
  <c r="F712" i="3"/>
  <c r="F632" i="3"/>
  <c r="F627" i="3"/>
  <c r="F504" i="3"/>
  <c r="F477" i="3"/>
  <c r="F425" i="3"/>
  <c r="F355" i="3"/>
  <c r="F327" i="3"/>
  <c r="F293" i="3"/>
  <c r="F55" i="3"/>
  <c r="F1115" i="3"/>
  <c r="F1051" i="3"/>
  <c r="F994" i="3"/>
  <c r="F731" i="3"/>
  <c r="F629" i="3"/>
  <c r="F540" i="3"/>
  <c r="F503" i="3"/>
  <c r="F324" i="3"/>
  <c r="F299" i="3"/>
  <c r="F218" i="3"/>
  <c r="F188" i="3"/>
  <c r="F140" i="3"/>
  <c r="F96" i="3"/>
  <c r="F52" i="3"/>
  <c r="F285" i="3"/>
  <c r="F1436" i="3"/>
  <c r="F1386" i="3"/>
  <c r="F1305" i="3"/>
  <c r="F1260" i="3"/>
  <c r="F1237" i="3"/>
  <c r="F1105" i="3"/>
  <c r="F1048" i="3"/>
  <c r="F977" i="3"/>
  <c r="F865" i="3"/>
  <c r="F640" i="3"/>
  <c r="F601" i="3"/>
  <c r="F493" i="3"/>
  <c r="F441" i="3"/>
  <c r="F359" i="3"/>
  <c r="F283" i="3"/>
  <c r="F255" i="3"/>
  <c r="F223" i="3"/>
  <c r="F196" i="3"/>
  <c r="F160" i="3"/>
  <c r="F120" i="3"/>
  <c r="F76" i="3"/>
  <c r="F1503" i="3"/>
  <c r="F1470" i="3"/>
  <c r="F1441" i="3"/>
  <c r="F1288" i="3"/>
  <c r="F1180" i="3"/>
  <c r="F1138" i="3"/>
  <c r="F1121" i="3"/>
  <c r="F993" i="3"/>
  <c r="F813" i="3"/>
  <c r="F481" i="3"/>
  <c r="F2565" i="3"/>
  <c r="F1682" i="3"/>
  <c r="F1517" i="3"/>
  <c r="F1485" i="3"/>
  <c r="F1609" i="3"/>
  <c r="F1533" i="3"/>
  <c r="F1486" i="3"/>
  <c r="F742" i="3"/>
  <c r="F221" i="3"/>
  <c r="F666" i="3"/>
  <c r="F602" i="3"/>
  <c r="F56" i="3"/>
  <c r="F2427" i="3"/>
  <c r="F1597" i="3"/>
  <c r="F2443" i="3"/>
  <c r="F151" i="3"/>
  <c r="F131" i="3"/>
  <c r="F107" i="3"/>
  <c r="F246" i="3"/>
  <c r="F2504" i="3"/>
  <c r="F2488" i="3"/>
  <c r="F2351" i="3"/>
  <c r="F2327" i="3"/>
  <c r="F2053" i="3"/>
  <c r="F1996" i="3"/>
  <c r="F1917" i="3"/>
  <c r="F1837" i="3"/>
  <c r="F1777" i="3"/>
  <c r="F1689" i="3"/>
  <c r="F1647" i="3"/>
  <c r="F1620" i="3"/>
  <c r="F1422" i="3"/>
  <c r="F1316" i="3"/>
  <c r="F2425" i="3"/>
  <c r="F2086" i="3"/>
  <c r="F1763" i="3"/>
  <c r="F1719" i="3"/>
  <c r="F1456" i="3"/>
  <c r="F1390" i="3"/>
  <c r="F1284" i="3"/>
  <c r="F1264" i="3"/>
  <c r="F1066" i="3"/>
  <c r="F1046" i="3"/>
  <c r="F878" i="3"/>
  <c r="F812" i="3"/>
  <c r="F794" i="3"/>
  <c r="F2341" i="3"/>
  <c r="F2315" i="3"/>
  <c r="F2093" i="3"/>
  <c r="F2069" i="3"/>
  <c r="F2005" i="3"/>
  <c r="F1893" i="3"/>
  <c r="F2457" i="3"/>
  <c r="F1867" i="3"/>
  <c r="F1795" i="3"/>
  <c r="F1753" i="3"/>
  <c r="F1721" i="3"/>
  <c r="F1683" i="3"/>
  <c r="F1528" i="3"/>
  <c r="F1466" i="3"/>
  <c r="F1438" i="3"/>
  <c r="F1236" i="3"/>
  <c r="F1216" i="3"/>
  <c r="F1146" i="3"/>
  <c r="F906" i="3"/>
  <c r="F678" i="3"/>
  <c r="F582" i="3"/>
  <c r="F536" i="3"/>
  <c r="F486" i="3"/>
  <c r="F424" i="3"/>
  <c r="F398" i="3"/>
  <c r="F374" i="3"/>
  <c r="F1801" i="3"/>
  <c r="F1402" i="3"/>
  <c r="F1310" i="3"/>
  <c r="F1208" i="3"/>
  <c r="F1188" i="3"/>
  <c r="F1114" i="3"/>
  <c r="F1086" i="3"/>
  <c r="F874" i="3"/>
  <c r="F850" i="3"/>
  <c r="F808" i="3"/>
  <c r="F776" i="3"/>
  <c r="F748" i="3"/>
  <c r="F652" i="3"/>
  <c r="F614" i="3"/>
  <c r="F562" i="3"/>
  <c r="F546" i="3"/>
  <c r="F500" i="3"/>
  <c r="F448" i="3"/>
  <c r="F354" i="3"/>
  <c r="F302" i="3"/>
  <c r="F240" i="3"/>
  <c r="F2076" i="3"/>
  <c r="F1853" i="3"/>
  <c r="F1653" i="3"/>
  <c r="F1637" i="3"/>
  <c r="F1416" i="3"/>
  <c r="F1388" i="3"/>
  <c r="F1364" i="3"/>
  <c r="F1282" i="3"/>
  <c r="F1262" i="3"/>
  <c r="F1238" i="3"/>
  <c r="F1218" i="3"/>
  <c r="F1018" i="3"/>
  <c r="F998" i="3"/>
  <c r="F970" i="3"/>
  <c r="F828" i="3"/>
  <c r="F724" i="3"/>
  <c r="F673" i="3"/>
  <c r="F530" i="3"/>
  <c r="F476" i="3"/>
  <c r="F426" i="3"/>
  <c r="F380" i="3"/>
  <c r="F330" i="3"/>
  <c r="F280" i="3"/>
  <c r="F228" i="3"/>
  <c r="F1765" i="3"/>
  <c r="F1706" i="3"/>
  <c r="F1560" i="3"/>
  <c r="F1544" i="3"/>
  <c r="F1206" i="3"/>
  <c r="F1186" i="3"/>
  <c r="F950" i="3"/>
  <c r="F926" i="3"/>
  <c r="F860" i="3"/>
  <c r="F834" i="3"/>
  <c r="F782" i="3"/>
  <c r="F756" i="3"/>
  <c r="F740" i="3"/>
  <c r="F708" i="3"/>
  <c r="F644" i="3"/>
  <c r="F620" i="3"/>
  <c r="F594" i="3"/>
  <c r="F510" i="3"/>
  <c r="F468" i="3"/>
  <c r="F436" i="3"/>
  <c r="F406" i="3"/>
  <c r="F296" i="3"/>
  <c r="F183" i="3"/>
  <c r="H2212" i="1"/>
  <c r="G2115" i="1"/>
  <c r="G2313" i="1"/>
  <c r="H2361" i="1"/>
  <c r="H2429" i="1"/>
  <c r="H2493" i="1"/>
  <c r="G2277" i="1"/>
  <c r="G2333" i="1"/>
  <c r="H2115" i="1"/>
  <c r="G2446" i="1"/>
  <c r="H2477" i="1"/>
  <c r="G2484" i="1"/>
  <c r="H2284" i="1"/>
  <c r="H2262" i="1"/>
  <c r="G2326" i="1"/>
  <c r="H2205" i="1"/>
  <c r="H2343" i="1"/>
  <c r="G2322" i="1"/>
  <c r="G2519" i="1"/>
  <c r="H2557" i="1"/>
  <c r="H2551" i="1"/>
  <c r="H2358" i="1"/>
  <c r="H2475" i="1"/>
  <c r="H2484" i="1"/>
  <c r="G2452" i="1"/>
  <c r="H2320" i="1"/>
  <c r="H2260" i="1"/>
  <c r="G2539" i="1"/>
  <c r="G2190" i="1"/>
  <c r="G2212" i="1"/>
  <c r="H2190" i="1"/>
  <c r="G2331" i="1"/>
  <c r="H2464" i="1"/>
  <c r="H2197" i="1"/>
  <c r="H2265" i="1"/>
  <c r="H2443" i="1"/>
  <c r="H2137" i="1"/>
  <c r="G2247" i="1"/>
  <c r="G2305" i="1"/>
  <c r="G2589" i="1"/>
  <c r="G2345" i="1"/>
  <c r="H2406" i="1"/>
  <c r="G2254" i="1"/>
  <c r="G1460" i="1"/>
  <c r="G2084" i="1"/>
  <c r="H2548" i="1"/>
  <c r="H1994" i="1"/>
  <c r="G2262" i="1"/>
  <c r="G1306" i="1"/>
  <c r="G2167" i="1"/>
  <c r="H2352" i="1"/>
  <c r="H2309" i="1"/>
  <c r="H2329" i="1"/>
  <c r="G2360" i="1"/>
  <c r="H2373" i="1"/>
  <c r="H2461" i="1"/>
  <c r="H2264" i="1"/>
  <c r="H2254" i="1"/>
  <c r="H2099" i="1"/>
  <c r="G2471" i="1"/>
  <c r="G1552" i="1"/>
  <c r="G2273" i="1"/>
  <c r="H2371" i="1"/>
  <c r="H2523" i="1"/>
  <c r="H2558" i="1"/>
  <c r="G1337" i="1"/>
  <c r="H2267" i="1"/>
  <c r="G2367" i="1"/>
  <c r="H2240" i="1"/>
  <c r="G2406" i="1"/>
  <c r="H2277" i="1"/>
  <c r="G2551" i="1"/>
  <c r="G991" i="1"/>
  <c r="H2279" i="1"/>
  <c r="G2378" i="1"/>
  <c r="H2438" i="1"/>
  <c r="G2335" i="1"/>
  <c r="H2498" i="1"/>
  <c r="H2526" i="1"/>
  <c r="G2284" i="1"/>
  <c r="H2296" i="1"/>
  <c r="G2424" i="1"/>
  <c r="G2516" i="1"/>
  <c r="H2580" i="1"/>
  <c r="H2514" i="1"/>
  <c r="G2578" i="1"/>
  <c r="G2258" i="1"/>
  <c r="H2445" i="1"/>
  <c r="H2573" i="1"/>
  <c r="H2468" i="1"/>
  <c r="G2382" i="1"/>
  <c r="H762" i="1"/>
  <c r="H770" i="1"/>
  <c r="H778" i="1"/>
  <c r="H786" i="1"/>
  <c r="H818" i="1"/>
  <c r="H826" i="1"/>
  <c r="H834" i="1"/>
  <c r="H842" i="1"/>
  <c r="H850" i="1"/>
  <c r="H882" i="1"/>
  <c r="H890" i="1"/>
  <c r="H898" i="1"/>
  <c r="H906" i="1"/>
  <c r="H914" i="1"/>
  <c r="H946" i="1"/>
  <c r="H954" i="1"/>
  <c r="H970" i="1"/>
  <c r="H994" i="1"/>
  <c r="H1002" i="1"/>
  <c r="H1010" i="1"/>
  <c r="H1018" i="1"/>
  <c r="H1026" i="1"/>
  <c r="H1034" i="1"/>
  <c r="H1042" i="1"/>
  <c r="H1050" i="1"/>
  <c r="H1058" i="1"/>
  <c r="H1066" i="1"/>
  <c r="H1074" i="1"/>
  <c r="H1114" i="1"/>
  <c r="H1122" i="1"/>
  <c r="H1130" i="1"/>
  <c r="H1138" i="1"/>
  <c r="H1154" i="1"/>
  <c r="H1162" i="1"/>
  <c r="H1170" i="1"/>
  <c r="H1178" i="1"/>
  <c r="H1186" i="1"/>
  <c r="G1194" i="1"/>
  <c r="H1218" i="1"/>
  <c r="G1234" i="1"/>
  <c r="G1242" i="1"/>
  <c r="G1258" i="1"/>
  <c r="G1290" i="1"/>
  <c r="G2281" i="1"/>
  <c r="H2466" i="1"/>
  <c r="H2530" i="1"/>
  <c r="H2175" i="1"/>
  <c r="G2275" i="1"/>
  <c r="H2525" i="1"/>
  <c r="H2507" i="1"/>
  <c r="H2328" i="1"/>
  <c r="H2375" i="1"/>
  <c r="H2491" i="1"/>
  <c r="G2363" i="1"/>
  <c r="G2394" i="1"/>
  <c r="G2358" i="1"/>
  <c r="G2418" i="1"/>
  <c r="G2469" i="1"/>
  <c r="G2448" i="1"/>
  <c r="H2576" i="1"/>
  <c r="G2535" i="1"/>
  <c r="G2337" i="1"/>
  <c r="G2341" i="1"/>
  <c r="H2459" i="1"/>
  <c r="G2398" i="1"/>
  <c r="G2343" i="1"/>
  <c r="H2584" i="1"/>
  <c r="H761" i="1"/>
  <c r="H1385" i="1"/>
  <c r="G1405" i="1"/>
  <c r="G1437" i="1"/>
  <c r="G1577" i="1"/>
  <c r="G2037" i="1"/>
  <c r="H2153" i="1"/>
  <c r="H2169" i="1"/>
  <c r="H2193" i="1"/>
  <c r="G2229" i="1"/>
  <c r="G2253" i="1"/>
  <c r="G2349" i="1"/>
  <c r="H2393" i="1"/>
  <c r="G2421" i="1"/>
  <c r="G2465" i="1"/>
  <c r="G2513" i="1"/>
  <c r="G1612" i="1"/>
  <c r="G2145" i="1"/>
  <c r="G2290" i="1"/>
  <c r="G2555" i="1"/>
  <c r="H2427" i="1"/>
  <c r="H2311" i="1"/>
  <c r="G2220" i="1"/>
  <c r="H2450" i="1"/>
  <c r="G2309" i="1"/>
  <c r="H2130" i="1"/>
  <c r="H2335" i="1"/>
  <c r="G2408" i="1"/>
  <c r="G2279" i="1"/>
  <c r="G2271" i="1"/>
  <c r="G2369" i="1"/>
  <c r="H2303" i="1"/>
  <c r="G2587" i="1"/>
  <c r="H2275" i="1"/>
  <c r="H2367" i="1"/>
  <c r="H1881" i="1"/>
  <c r="G2373" i="1"/>
  <c r="H2256" i="1"/>
  <c r="H2589" i="1"/>
  <c r="G2404" i="1"/>
  <c r="G2356" i="1"/>
  <c r="H2402" i="1"/>
  <c r="G2292" i="1"/>
  <c r="H2469" i="1"/>
  <c r="H2288" i="1"/>
  <c r="H2326" i="1"/>
  <c r="H2258" i="1"/>
  <c r="G1746" i="1"/>
  <c r="H1978" i="1"/>
  <c r="G2026" i="1"/>
  <c r="H2114" i="1"/>
  <c r="G2138" i="1"/>
  <c r="H2154" i="1"/>
  <c r="G2170" i="1"/>
  <c r="G2218" i="1"/>
  <c r="H2250" i="1"/>
  <c r="H2270" i="1"/>
  <c r="H2278" i="1"/>
  <c r="H2306" i="1"/>
  <c r="H2334" i="1"/>
  <c r="H2342" i="1"/>
  <c r="G2410" i="1"/>
  <c r="G2442" i="1"/>
  <c r="G2490" i="1"/>
  <c r="H2570" i="1"/>
  <c r="H739" i="1"/>
  <c r="H747" i="1"/>
  <c r="H755" i="1"/>
  <c r="H787" i="1"/>
  <c r="H803" i="1"/>
  <c r="H811" i="1"/>
  <c r="H1117" i="1"/>
  <c r="H819" i="1"/>
  <c r="H851" i="1"/>
  <c r="H867" i="1"/>
  <c r="H875" i="1"/>
  <c r="H883" i="1"/>
  <c r="H915" i="1"/>
  <c r="H931" i="1"/>
  <c r="H947" i="1"/>
  <c r="H971" i="1"/>
  <c r="H979" i="1"/>
  <c r="H987" i="1"/>
  <c r="H999" i="1"/>
  <c r="H1023" i="1"/>
  <c r="G1031" i="1"/>
  <c r="G1047" i="1"/>
  <c r="G1063" i="1"/>
  <c r="H1071" i="1"/>
  <c r="H1087" i="1"/>
  <c r="G1095" i="1"/>
  <c r="G1103" i="1"/>
  <c r="G1111" i="1"/>
  <c r="H1119" i="1"/>
  <c r="H1135" i="1"/>
  <c r="H1151" i="1"/>
  <c r="H1159" i="1"/>
  <c r="H1167" i="1"/>
  <c r="H1199" i="1"/>
  <c r="G1207" i="1"/>
  <c r="H1223" i="1"/>
  <c r="H1231" i="1"/>
  <c r="G1263" i="1"/>
  <c r="G1271" i="1"/>
  <c r="G1307" i="1"/>
  <c r="H1315" i="1"/>
  <c r="G1347" i="1"/>
  <c r="H1355" i="1"/>
  <c r="H1363" i="1"/>
  <c r="G1371" i="1"/>
  <c r="G1379" i="1"/>
  <c r="G1415" i="1"/>
  <c r="G1423" i="1"/>
  <c r="G1447" i="1"/>
  <c r="G1479" i="1"/>
  <c r="G1487" i="1"/>
  <c r="G1515" i="1"/>
  <c r="G1523" i="1"/>
  <c r="G1531" i="1"/>
  <c r="G1539" i="1"/>
  <c r="G1579" i="1"/>
  <c r="G1595" i="1"/>
  <c r="G1611" i="1"/>
  <c r="G1619" i="1"/>
  <c r="H1635" i="1"/>
  <c r="G1643" i="1"/>
  <c r="H1667" i="1"/>
  <c r="G1711" i="1"/>
  <c r="G1719" i="1"/>
  <c r="G1743" i="1"/>
  <c r="G1751" i="1"/>
  <c r="G1775" i="1"/>
  <c r="G1799" i="1"/>
  <c r="G1807" i="1"/>
  <c r="G1815" i="1"/>
  <c r="G1831" i="1"/>
  <c r="G1839" i="1"/>
  <c r="G1863" i="1"/>
  <c r="G1871" i="1"/>
  <c r="G1879" i="1"/>
  <c r="G1895" i="1"/>
  <c r="G1903" i="1"/>
  <c r="G1927" i="1"/>
  <c r="G1935" i="1"/>
  <c r="G1943" i="1"/>
  <c r="G1959" i="1"/>
  <c r="G1967" i="1"/>
  <c r="G1991" i="1"/>
  <c r="G1999" i="1"/>
  <c r="G2007" i="1"/>
  <c r="G2023" i="1"/>
  <c r="G2031" i="1"/>
  <c r="G2055" i="1"/>
  <c r="G2063" i="1"/>
  <c r="G2071" i="1"/>
  <c r="G2087" i="1"/>
  <c r="G2095" i="1"/>
  <c r="G2119" i="1"/>
  <c r="G2127" i="1"/>
  <c r="G2135" i="1"/>
  <c r="G2151" i="1"/>
  <c r="G2159" i="1"/>
  <c r="G2183" i="1"/>
  <c r="G2191" i="1"/>
  <c r="G2199" i="1"/>
  <c r="G2215" i="1"/>
  <c r="G2223" i="1"/>
  <c r="H2251" i="1"/>
  <c r="G2259" i="1"/>
  <c r="H2283" i="1"/>
  <c r="H2291" i="1"/>
  <c r="H2315" i="1"/>
  <c r="H2323" i="1"/>
  <c r="H2347" i="1"/>
  <c r="H2355" i="1"/>
  <c r="G2395" i="1"/>
  <c r="G2403" i="1"/>
  <c r="G2419" i="1"/>
  <c r="G321" i="1"/>
  <c r="G349" i="1"/>
  <c r="H401" i="1"/>
  <c r="G425" i="1"/>
  <c r="G449" i="1"/>
  <c r="G497" i="1"/>
  <c r="G577" i="1"/>
  <c r="H601" i="1"/>
  <c r="H625" i="1"/>
  <c r="H645" i="1"/>
  <c r="G693" i="1"/>
  <c r="G749" i="1"/>
  <c r="G793" i="1"/>
  <c r="G817" i="1"/>
  <c r="G865" i="1"/>
  <c r="H889" i="1"/>
  <c r="H913" i="1"/>
  <c r="G965" i="1"/>
  <c r="G997" i="1"/>
  <c r="H1025" i="1"/>
  <c r="H1069" i="1"/>
  <c r="H1169" i="1"/>
  <c r="G1721" i="1"/>
  <c r="G1969" i="1"/>
  <c r="G1993" i="1"/>
  <c r="G2117" i="1"/>
  <c r="G2221" i="1"/>
  <c r="H2249" i="1"/>
  <c r="G2385" i="1"/>
  <c r="H752" i="1"/>
  <c r="G760" i="1"/>
  <c r="G768" i="1"/>
  <c r="G776" i="1"/>
  <c r="H784" i="1"/>
  <c r="G792" i="1"/>
  <c r="G816" i="1"/>
  <c r="H824" i="1"/>
  <c r="H832" i="1"/>
  <c r="H840" i="1"/>
  <c r="H848" i="1"/>
  <c r="H856" i="1"/>
  <c r="G888" i="1"/>
  <c r="G896" i="1"/>
  <c r="H904" i="1"/>
  <c r="G912" i="1"/>
  <c r="G920" i="1"/>
  <c r="H944" i="1"/>
  <c r="G952" i="1"/>
  <c r="H960" i="1"/>
  <c r="H968" i="1"/>
  <c r="H992" i="1"/>
  <c r="G1000" i="1"/>
  <c r="G1008" i="1"/>
  <c r="G1016" i="1"/>
  <c r="G1024" i="1"/>
  <c r="G1040" i="1"/>
  <c r="G1056" i="1"/>
  <c r="H1064" i="1"/>
  <c r="G1072" i="1"/>
  <c r="G1120" i="1"/>
  <c r="H1128" i="1"/>
  <c r="H1136" i="1"/>
  <c r="G1152" i="1"/>
  <c r="G2510" i="1"/>
  <c r="H2574" i="1"/>
  <c r="G1168" i="1"/>
  <c r="G1216" i="1"/>
  <c r="G1240" i="1"/>
  <c r="G1248" i="1"/>
  <c r="G1256" i="1"/>
  <c r="G1280" i="1"/>
  <c r="G1288" i="1"/>
  <c r="G1312" i="1"/>
  <c r="G1320" i="1"/>
  <c r="H1336" i="1"/>
  <c r="H1344" i="1"/>
  <c r="G1352" i="1"/>
  <c r="H1360" i="1"/>
  <c r="G1388" i="1"/>
  <c r="H1396" i="1"/>
  <c r="H1404" i="1"/>
  <c r="G1428" i="1"/>
  <c r="G1436" i="1"/>
  <c r="G1452" i="1"/>
  <c r="H1464" i="1"/>
  <c r="G1480" i="1"/>
  <c r="H1488" i="1"/>
  <c r="G1496" i="1"/>
  <c r="H1512" i="1"/>
  <c r="G1520" i="1"/>
  <c r="G1544" i="1"/>
  <c r="G1556" i="1"/>
  <c r="H1564" i="1"/>
  <c r="H1572" i="1"/>
  <c r="H1580" i="1"/>
  <c r="H1596" i="1"/>
  <c r="H1604" i="1"/>
  <c r="H1624" i="1"/>
  <c r="H1632" i="1"/>
  <c r="G1648" i="1"/>
  <c r="H1656" i="1"/>
  <c r="H1696" i="1"/>
  <c r="H1704" i="1"/>
  <c r="G1712" i="1"/>
  <c r="G1736" i="1"/>
  <c r="H1744" i="1"/>
  <c r="H1760" i="1"/>
  <c r="G1768" i="1"/>
  <c r="H1780" i="1"/>
  <c r="G1788" i="1"/>
  <c r="G1820" i="1"/>
  <c r="G1832" i="1"/>
  <c r="H1844" i="1"/>
  <c r="H1884" i="1"/>
  <c r="H1892" i="1"/>
  <c r="H1908" i="1"/>
  <c r="H1916" i="1"/>
  <c r="G1940" i="1"/>
  <c r="H1960" i="1"/>
  <c r="G1988" i="1"/>
  <c r="G2012" i="1"/>
  <c r="H2020" i="1"/>
  <c r="G2036" i="1"/>
  <c r="H2044" i="1"/>
  <c r="G2052" i="1"/>
  <c r="H2068" i="1"/>
  <c r="G2076" i="1"/>
  <c r="H2088" i="1"/>
  <c r="H2108" i="1"/>
  <c r="G2116" i="1"/>
  <c r="G2132" i="1"/>
  <c r="H2140" i="1"/>
  <c r="G2148" i="1"/>
  <c r="G2164" i="1"/>
  <c r="G2180" i="1"/>
  <c r="G2196" i="1"/>
  <c r="H2216" i="1"/>
  <c r="H2228" i="1"/>
  <c r="H2236" i="1"/>
  <c r="G2248" i="1"/>
  <c r="G2268" i="1"/>
  <c r="G2276" i="1"/>
  <c r="G2308" i="1"/>
  <c r="G2332" i="1"/>
  <c r="G2364" i="1"/>
  <c r="H2372" i="1"/>
  <c r="G2412" i="1"/>
  <c r="G2428" i="1"/>
  <c r="G2444" i="1"/>
  <c r="G2390" i="1"/>
  <c r="H2092" i="1"/>
  <c r="G549" i="1"/>
  <c r="H621" i="1"/>
  <c r="G765" i="1"/>
  <c r="G905" i="1"/>
  <c r="G2141" i="1"/>
  <c r="G2173" i="1"/>
  <c r="G2457" i="1"/>
  <c r="G2569" i="1"/>
  <c r="G2489" i="1"/>
  <c r="G2505" i="1"/>
  <c r="H2324" i="1"/>
  <c r="G1846" i="1"/>
  <c r="G1878" i="1"/>
  <c r="H1982" i="1"/>
  <c r="H1990" i="1"/>
  <c r="H2058" i="1"/>
  <c r="H2078" i="1"/>
  <c r="H2102" i="1"/>
  <c r="G2118" i="1"/>
  <c r="G2134" i="1"/>
  <c r="G2166" i="1"/>
  <c r="H2174" i="1"/>
  <c r="H2186" i="1"/>
  <c r="G2198" i="1"/>
  <c r="G2206" i="1"/>
  <c r="G2230" i="1"/>
  <c r="G2246" i="1"/>
  <c r="H2302" i="1"/>
  <c r="H2310" i="1"/>
  <c r="H2338" i="1"/>
  <c r="H2366" i="1"/>
  <c r="G2374" i="1"/>
  <c r="H2550" i="1"/>
  <c r="G2537" i="1"/>
  <c r="G735" i="1"/>
  <c r="G743" i="1"/>
  <c r="G1368" i="1"/>
  <c r="G759" i="1"/>
  <c r="G783" i="1"/>
  <c r="G799" i="1"/>
  <c r="G855" i="1"/>
  <c r="G863" i="1"/>
  <c r="G871" i="1"/>
  <c r="G911" i="1"/>
  <c r="G927" i="1"/>
  <c r="G935" i="1"/>
  <c r="H951" i="1"/>
  <c r="H967" i="1"/>
  <c r="G1019" i="1"/>
  <c r="G1027" i="1"/>
  <c r="G1035" i="1"/>
  <c r="H1043" i="1"/>
  <c r="G1067" i="1"/>
  <c r="G1075" i="1"/>
  <c r="H1099" i="1"/>
  <c r="H1139" i="1"/>
  <c r="G1147" i="1"/>
  <c r="H1155" i="1"/>
  <c r="G1171" i="1"/>
  <c r="H1187" i="1"/>
  <c r="H1195" i="1"/>
  <c r="G1203" i="1"/>
  <c r="H1219" i="1"/>
  <c r="H1235" i="1"/>
  <c r="H1303" i="1"/>
  <c r="G1311" i="1"/>
  <c r="H1351" i="1"/>
  <c r="G1383" i="1"/>
  <c r="H1391" i="1"/>
  <c r="H1403" i="1"/>
  <c r="H1411" i="1"/>
  <c r="G1427" i="1"/>
  <c r="H1443" i="1"/>
  <c r="H1467" i="1"/>
  <c r="G1483" i="1"/>
  <c r="H1559" i="1"/>
  <c r="H1575" i="1"/>
  <c r="H1583" i="1"/>
  <c r="H1623" i="1"/>
  <c r="G1723" i="1"/>
  <c r="G1803" i="1"/>
  <c r="G1899" i="1"/>
  <c r="G2059" i="1"/>
  <c r="G2067" i="1"/>
  <c r="H2131" i="1"/>
  <c r="H2255" i="1"/>
  <c r="H2287" i="1"/>
  <c r="G2295" i="1"/>
  <c r="H2319" i="1"/>
  <c r="G2327" i="1"/>
  <c r="H229" i="1"/>
  <c r="G281" i="1"/>
  <c r="H309" i="1"/>
  <c r="G365" i="1"/>
  <c r="G389" i="1"/>
  <c r="G413" i="1"/>
  <c r="G461" i="1"/>
  <c r="G509" i="1"/>
  <c r="H533" i="1"/>
  <c r="G565" i="1"/>
  <c r="H589" i="1"/>
  <c r="H613" i="1"/>
  <c r="H705" i="1"/>
  <c r="H733" i="1"/>
  <c r="G757" i="1"/>
  <c r="G805" i="1"/>
  <c r="H853" i="1"/>
  <c r="H877" i="1"/>
  <c r="G925" i="1"/>
  <c r="G953" i="1"/>
  <c r="H981" i="1"/>
  <c r="G1037" i="1"/>
  <c r="G1057" i="1"/>
  <c r="H1081" i="1"/>
  <c r="G1157" i="1"/>
  <c r="G1357" i="1"/>
  <c r="H1665" i="1"/>
  <c r="H1865" i="1"/>
  <c r="H1937" i="1"/>
  <c r="H2029" i="1"/>
  <c r="H2053" i="1"/>
  <c r="G2101" i="1"/>
  <c r="H2145" i="1"/>
  <c r="H2281" i="1"/>
  <c r="G2133" i="1"/>
  <c r="G2189" i="1"/>
  <c r="G2261" i="1"/>
  <c r="G2357" i="1"/>
  <c r="H2397" i="1"/>
  <c r="H2024" i="1"/>
  <c r="H756" i="1"/>
  <c r="H772" i="1"/>
  <c r="G780" i="1"/>
  <c r="H828" i="1"/>
  <c r="G836" i="1"/>
  <c r="H844" i="1"/>
  <c r="H852" i="1"/>
  <c r="H884" i="1"/>
  <c r="H900" i="1"/>
  <c r="G908" i="1"/>
  <c r="H956" i="1"/>
  <c r="G964" i="1"/>
  <c r="H1004" i="1"/>
  <c r="H1020" i="1"/>
  <c r="H1036" i="1"/>
  <c r="H1052" i="1"/>
  <c r="H1116" i="1"/>
  <c r="H1140" i="1"/>
  <c r="G1164" i="1"/>
  <c r="H1180" i="1"/>
  <c r="H1188" i="1"/>
  <c r="H1196" i="1"/>
  <c r="G1244" i="1"/>
  <c r="G1252" i="1"/>
  <c r="G1276" i="1"/>
  <c r="H1284" i="1"/>
  <c r="H1300" i="1"/>
  <c r="G1308" i="1"/>
  <c r="H1332" i="1"/>
  <c r="H1348" i="1"/>
  <c r="G1392" i="1"/>
  <c r="G1432" i="1"/>
  <c r="G1476" i="1"/>
  <c r="G1484" i="1"/>
  <c r="H1500" i="1"/>
  <c r="G1540" i="1"/>
  <c r="G2104" i="1"/>
  <c r="G2112" i="1"/>
  <c r="H2144" i="1"/>
  <c r="G2176" i="1"/>
  <c r="H2200" i="1"/>
  <c r="H2208" i="1"/>
  <c r="H2272" i="1"/>
  <c r="H2280" i="1"/>
  <c r="H2304" i="1"/>
  <c r="H2312" i="1"/>
  <c r="H2336" i="1"/>
  <c r="H2344" i="1"/>
  <c r="H2368" i="1"/>
  <c r="G2376" i="1"/>
  <c r="G2440" i="1"/>
  <c r="H2588" i="1"/>
  <c r="H245" i="1"/>
  <c r="G397" i="1"/>
  <c r="G493" i="1"/>
  <c r="H513" i="1"/>
  <c r="H557" i="1"/>
  <c r="G721" i="1"/>
  <c r="H921" i="1"/>
  <c r="G945" i="1"/>
  <c r="H985" i="1"/>
  <c r="G1029" i="1"/>
  <c r="G1061" i="1"/>
  <c r="H1229" i="1"/>
  <c r="G1269" i="1"/>
  <c r="H1313" i="1"/>
  <c r="G1333" i="1"/>
  <c r="G1349" i="1"/>
  <c r="H1441" i="1"/>
  <c r="G1549" i="1"/>
  <c r="G1565" i="1"/>
  <c r="G1961" i="1"/>
  <c r="G2073" i="1"/>
  <c r="G2085" i="1"/>
  <c r="G2125" i="1"/>
  <c r="G2181" i="1"/>
  <c r="H2201" i="1"/>
  <c r="G2427" i="1"/>
  <c r="H2369" i="1"/>
  <c r="H2160" i="1"/>
  <c r="G2400" i="1"/>
  <c r="H2415" i="1"/>
  <c r="G2303" i="1"/>
  <c r="H2294" i="1"/>
  <c r="G2431" i="1"/>
  <c r="H2341" i="1"/>
  <c r="G2436" i="1"/>
  <c r="H2564" i="1"/>
  <c r="H2194" i="1"/>
  <c r="H2242" i="1"/>
  <c r="H2318" i="1"/>
  <c r="H469" i="1"/>
  <c r="H753" i="1"/>
  <c r="H801" i="1"/>
  <c r="G825" i="1"/>
  <c r="G849" i="1"/>
  <c r="H873" i="1"/>
  <c r="H917" i="1"/>
  <c r="G969" i="1"/>
  <c r="G989" i="1"/>
  <c r="G1053" i="1"/>
  <c r="H1077" i="1"/>
  <c r="H1097" i="1"/>
  <c r="H1145" i="1"/>
  <c r="G1209" i="1"/>
  <c r="H1265" i="1"/>
  <c r="H1309" i="1"/>
  <c r="G1413" i="1"/>
  <c r="G1445" i="1"/>
  <c r="G1461" i="1"/>
  <c r="G1477" i="1"/>
  <c r="G1493" i="1"/>
  <c r="H1525" i="1"/>
  <c r="G1541" i="1"/>
  <c r="G1561" i="1"/>
  <c r="H1589" i="1"/>
  <c r="H1605" i="1"/>
  <c r="H1621" i="1"/>
  <c r="G1685" i="1"/>
  <c r="G1729" i="1"/>
  <c r="G1753" i="1"/>
  <c r="G2205" i="1"/>
  <c r="H2339" i="1"/>
  <c r="G2468" i="1"/>
  <c r="G2500" i="1"/>
  <c r="G1275" i="1"/>
  <c r="G2453" i="1"/>
  <c r="G2532" i="1"/>
  <c r="H2509" i="1"/>
  <c r="G2509" i="1"/>
  <c r="H2271" i="1"/>
  <c r="H2307" i="1"/>
  <c r="G2371" i="1"/>
  <c r="H434" i="1"/>
  <c r="G364" i="1"/>
  <c r="G412" i="1"/>
  <c r="H596" i="1"/>
  <c r="H1098" i="1"/>
  <c r="G2158" i="1"/>
  <c r="G2222" i="1"/>
  <c r="G2238" i="1"/>
  <c r="H2286" i="1"/>
  <c r="H2350" i="1"/>
  <c r="G2434" i="1"/>
  <c r="G977" i="1"/>
  <c r="H1001" i="1"/>
  <c r="G1133" i="1"/>
  <c r="H1153" i="1"/>
  <c r="G1277" i="1"/>
  <c r="G1365" i="1"/>
  <c r="G1485" i="1"/>
  <c r="H1781" i="1"/>
  <c r="G1901" i="1"/>
  <c r="G1925" i="1"/>
  <c r="G2157" i="1"/>
  <c r="G2213" i="1"/>
  <c r="H2293" i="1"/>
  <c r="H2389" i="1"/>
  <c r="G2437" i="1"/>
  <c r="G2529" i="1"/>
  <c r="G2545" i="1"/>
  <c r="H767" i="1"/>
  <c r="G775" i="1"/>
  <c r="H831" i="1"/>
  <c r="G839" i="1"/>
  <c r="G2017" i="1"/>
  <c r="H2047" i="1"/>
  <c r="H2305" i="1"/>
  <c r="H2345" i="1"/>
  <c r="H2354" i="1"/>
  <c r="G2482" i="1"/>
  <c r="H2562" i="1"/>
  <c r="G2443" i="1"/>
  <c r="G2417" i="1"/>
  <c r="G2175" i="1"/>
  <c r="G2525" i="1"/>
  <c r="G2557" i="1"/>
  <c r="G1773" i="1"/>
  <c r="G1817" i="1"/>
  <c r="G1829" i="1"/>
  <c r="G1841" i="1"/>
  <c r="G1877" i="1"/>
  <c r="G1893" i="1"/>
  <c r="G1913" i="1"/>
  <c r="G1933" i="1"/>
  <c r="G1965" i="1"/>
  <c r="G1989" i="1"/>
  <c r="G2025" i="1"/>
  <c r="G2065" i="1"/>
  <c r="H2105" i="1"/>
  <c r="H2129" i="1"/>
  <c r="G2149" i="1"/>
  <c r="G2165" i="1"/>
  <c r="H2185" i="1"/>
  <c r="H2225" i="1"/>
  <c r="G2245" i="1"/>
  <c r="H2285" i="1"/>
  <c r="H2317" i="1"/>
  <c r="G2381" i="1"/>
  <c r="G2401" i="1"/>
  <c r="G2449" i="1"/>
  <c r="G2481" i="1"/>
  <c r="H2171" i="1"/>
  <c r="H2235" i="1"/>
  <c r="G2435" i="1"/>
  <c r="G2451" i="1"/>
  <c r="G2467" i="1"/>
  <c r="G2483" i="1"/>
  <c r="G2499" i="1"/>
  <c r="G2515" i="1"/>
  <c r="G2531" i="1"/>
  <c r="H2547" i="1"/>
  <c r="H2563" i="1"/>
  <c r="H2579" i="1"/>
  <c r="G553" i="1"/>
  <c r="G669" i="1"/>
  <c r="H717" i="1"/>
  <c r="G841" i="1"/>
  <c r="H937" i="1"/>
  <c r="G1241" i="1"/>
  <c r="G1653" i="1"/>
  <c r="G1677" i="1"/>
  <c r="G1917" i="1"/>
  <c r="H2177" i="1"/>
  <c r="G2497" i="1"/>
  <c r="G808" i="1"/>
  <c r="G872" i="1"/>
  <c r="G936" i="1"/>
  <c r="G1104" i="1"/>
  <c r="H1144" i="1"/>
  <c r="H1224" i="1"/>
  <c r="H1868" i="1"/>
  <c r="H1932" i="1"/>
  <c r="G2124" i="1"/>
  <c r="H2188" i="1"/>
  <c r="G2460" i="1"/>
  <c r="G2476" i="1"/>
  <c r="G2492" i="1"/>
  <c r="G2508" i="1"/>
  <c r="G2524" i="1"/>
  <c r="H2540" i="1"/>
  <c r="H2556" i="1"/>
  <c r="H2572" i="1"/>
  <c r="H2113" i="1"/>
  <c r="H2209" i="1"/>
  <c r="G1911" i="1"/>
  <c r="H2002" i="1"/>
  <c r="H2273" i="1"/>
  <c r="H2313" i="1"/>
  <c r="G2429" i="1"/>
  <c r="G2523" i="1"/>
  <c r="G2498" i="1"/>
  <c r="G2438" i="1"/>
  <c r="G2514" i="1"/>
  <c r="H2578" i="1"/>
  <c r="G2493" i="1"/>
  <c r="G2477" i="1"/>
  <c r="G2459" i="1"/>
  <c r="G2461" i="1"/>
  <c r="G2541" i="1"/>
  <c r="H2587" i="1"/>
  <c r="G2450" i="1"/>
  <c r="H2290" i="1"/>
  <c r="G2466" i="1"/>
  <c r="G2530" i="1"/>
  <c r="H2555" i="1"/>
  <c r="G2375" i="1"/>
  <c r="G2491" i="1"/>
  <c r="G2573" i="1"/>
  <c r="H895" i="1"/>
  <c r="H903" i="1"/>
  <c r="G959" i="1"/>
  <c r="G1011" i="1"/>
  <c r="G1131" i="1"/>
  <c r="G1243" i="1"/>
  <c r="H1251" i="1"/>
  <c r="H1287" i="1"/>
  <c r="H1295" i="1"/>
  <c r="G1343" i="1"/>
  <c r="H1451" i="1"/>
  <c r="G1495" i="1"/>
  <c r="G1511" i="1"/>
  <c r="G1655" i="1"/>
  <c r="H1675" i="1"/>
  <c r="G1795" i="1"/>
  <c r="G1947" i="1"/>
  <c r="G1955" i="1"/>
  <c r="H1983" i="1"/>
  <c r="G2019" i="1"/>
  <c r="G2111" i="1"/>
  <c r="H2139" i="1"/>
  <c r="H2147" i="1"/>
  <c r="H2179" i="1"/>
  <c r="H2203" i="1"/>
  <c r="H2211" i="1"/>
  <c r="H2239" i="1"/>
  <c r="G2495" i="1"/>
  <c r="H2543" i="1"/>
  <c r="G2237" i="1"/>
  <c r="G796" i="1"/>
  <c r="G1636" i="1"/>
  <c r="G2128" i="1"/>
  <c r="G2156" i="1"/>
  <c r="H2252" i="1"/>
  <c r="G2456" i="1"/>
  <c r="G2472" i="1"/>
  <c r="G2488" i="1"/>
  <c r="G2504" i="1"/>
  <c r="G2520" i="1"/>
  <c r="G2536" i="1"/>
  <c r="H2552" i="1"/>
  <c r="H2568" i="1"/>
  <c r="G373" i="1"/>
  <c r="G677" i="1"/>
  <c r="H845" i="1"/>
  <c r="H893" i="1"/>
  <c r="G1457" i="1"/>
  <c r="G1505" i="1"/>
  <c r="G2049" i="1"/>
  <c r="G2109" i="1"/>
  <c r="H2241" i="1"/>
  <c r="G2441" i="1"/>
  <c r="G2473" i="1"/>
  <c r="G2521" i="1"/>
  <c r="H1245" i="1"/>
  <c r="G1806" i="1"/>
  <c r="G1934" i="1"/>
  <c r="H1399" i="1"/>
  <c r="H1791" i="1"/>
  <c r="H2337" i="1"/>
  <c r="H2377" i="1"/>
  <c r="H2322" i="1"/>
  <c r="H2314" i="1"/>
  <c r="H2546" i="1"/>
  <c r="H2571" i="1"/>
  <c r="G2475" i="1"/>
  <c r="G2526" i="1"/>
  <c r="G2445" i="1"/>
  <c r="G2507" i="1"/>
  <c r="H865" i="1"/>
  <c r="H2077" i="1"/>
  <c r="G2267" i="1"/>
  <c r="H2295" i="1"/>
  <c r="G832" i="1"/>
  <c r="G1889" i="1"/>
  <c r="G2092" i="1"/>
  <c r="G2299" i="1"/>
  <c r="H2398" i="1"/>
  <c r="H2531" i="1"/>
  <c r="H2333" i="1"/>
  <c r="G831" i="1"/>
  <c r="G1781" i="1"/>
  <c r="H2515" i="1"/>
  <c r="G1844" i="1"/>
  <c r="G967" i="1"/>
  <c r="G401" i="1"/>
  <c r="H2164" i="1"/>
  <c r="G2236" i="1"/>
  <c r="G1139" i="1"/>
  <c r="H1428" i="1"/>
  <c r="H2084" i="1"/>
  <c r="H2122" i="1"/>
  <c r="H41" i="1"/>
  <c r="H149" i="1"/>
  <c r="G1791" i="1"/>
  <c r="H768" i="1"/>
  <c r="G2372" i="1"/>
  <c r="G1916" i="1"/>
  <c r="H2268" i="1"/>
  <c r="G2216" i="1"/>
  <c r="G784" i="1"/>
  <c r="H1248" i="1"/>
  <c r="H2148" i="1"/>
  <c r="H2308" i="1"/>
  <c r="H2332" i="1"/>
  <c r="H2196" i="1"/>
  <c r="H2349" i="1"/>
  <c r="G752" i="1"/>
  <c r="H1075" i="1"/>
  <c r="H1320" i="1"/>
  <c r="G1351" i="1"/>
  <c r="G2169" i="1"/>
  <c r="H2503" i="1"/>
  <c r="H2519" i="1"/>
  <c r="G2047" i="1"/>
  <c r="H349" i="1"/>
  <c r="H965" i="1"/>
  <c r="H735" i="1"/>
  <c r="G1404" i="1"/>
  <c r="H2152" i="1"/>
  <c r="G2140" i="1"/>
  <c r="H759" i="1"/>
  <c r="H2134" i="1"/>
  <c r="H749" i="1"/>
  <c r="H816" i="1"/>
  <c r="H888" i="1"/>
  <c r="G968" i="1"/>
  <c r="G1128" i="1"/>
  <c r="H1496" i="1"/>
  <c r="G2153" i="1"/>
  <c r="G2193" i="1"/>
  <c r="G2249" i="1"/>
  <c r="G2393" i="1"/>
  <c r="H2403" i="1"/>
  <c r="H2382" i="1"/>
  <c r="H29" i="1"/>
  <c r="G53" i="1"/>
  <c r="H81" i="1"/>
  <c r="H157" i="1"/>
  <c r="G181" i="1"/>
  <c r="H205" i="1"/>
  <c r="G1136" i="1"/>
  <c r="H1256" i="1"/>
  <c r="H2116" i="1"/>
  <c r="G1884" i="1"/>
  <c r="H2276" i="1"/>
  <c r="H2180" i="1"/>
  <c r="G1399" i="1"/>
  <c r="G1043" i="1"/>
  <c r="H2248" i="1"/>
  <c r="G2228" i="1"/>
  <c r="G2567" i="1"/>
  <c r="H2512" i="1"/>
  <c r="G89" i="1"/>
  <c r="G7" i="1"/>
  <c r="H7" i="1"/>
  <c r="G25" i="1"/>
  <c r="G49" i="1"/>
  <c r="H73" i="1"/>
  <c r="G97" i="1"/>
  <c r="H117" i="1"/>
  <c r="G141" i="1"/>
  <c r="G173" i="1"/>
  <c r="H197" i="1"/>
  <c r="H2128" i="1"/>
  <c r="H2247" i="1"/>
  <c r="G17" i="1"/>
  <c r="G65" i="1"/>
  <c r="G93" i="1"/>
  <c r="G217" i="1"/>
  <c r="G241" i="1"/>
  <c r="G178" i="1"/>
  <c r="H217" i="1"/>
  <c r="H959" i="1"/>
  <c r="G2197" i="1"/>
  <c r="G2389" i="1"/>
  <c r="H2510" i="1"/>
  <c r="G2570" i="1"/>
  <c r="H2363" i="1"/>
  <c r="G2179" i="1"/>
  <c r="H1655" i="1"/>
  <c r="H2446" i="1"/>
  <c r="H529" i="1"/>
  <c r="H9" i="1"/>
  <c r="H17" i="1"/>
  <c r="H2124" i="1"/>
  <c r="G2203" i="1"/>
  <c r="G2239" i="1"/>
  <c r="G2265" i="1"/>
  <c r="G2413" i="1"/>
  <c r="H2487" i="1"/>
  <c r="H2118" i="1"/>
  <c r="H2206" i="1"/>
  <c r="G763" i="1"/>
  <c r="G771" i="1"/>
  <c r="G779" i="1"/>
  <c r="G827" i="1"/>
  <c r="G835" i="1"/>
  <c r="G843" i="1"/>
  <c r="G891" i="1"/>
  <c r="G899" i="1"/>
  <c r="G907" i="1"/>
  <c r="G939" i="1"/>
  <c r="G955" i="1"/>
  <c r="G963" i="1"/>
  <c r="H1015" i="1"/>
  <c r="H1127" i="1"/>
  <c r="G1339" i="1"/>
  <c r="G1603" i="1"/>
  <c r="G1627" i="1"/>
  <c r="H1651" i="1"/>
  <c r="G1659" i="1"/>
  <c r="H1679" i="1"/>
  <c r="G1695" i="1"/>
  <c r="H1735" i="1"/>
  <c r="H1767" i="1"/>
  <c r="G1787" i="1"/>
  <c r="H1823" i="1"/>
  <c r="G1851" i="1"/>
  <c r="H1887" i="1"/>
  <c r="G1915" i="1"/>
  <c r="H1951" i="1"/>
  <c r="G1979" i="1"/>
  <c r="H2015" i="1"/>
  <c r="G2043" i="1"/>
  <c r="H2079" i="1"/>
  <c r="G681" i="1"/>
  <c r="H2237" i="1"/>
  <c r="G748" i="1"/>
  <c r="H876" i="1"/>
  <c r="H932" i="1"/>
  <c r="G1212" i="1"/>
  <c r="H1324" i="1"/>
  <c r="G1376" i="1"/>
  <c r="H221" i="1"/>
  <c r="H289" i="1"/>
  <c r="H373" i="1"/>
  <c r="H441" i="1"/>
  <c r="H701" i="1"/>
  <c r="G845" i="1"/>
  <c r="G893" i="1"/>
  <c r="G961" i="1"/>
  <c r="G1129" i="1"/>
  <c r="G2062" i="1"/>
  <c r="H1306" i="1"/>
  <c r="H685" i="1"/>
  <c r="G137" i="1"/>
  <c r="H49" i="1"/>
  <c r="G287" i="1"/>
  <c r="G377" i="1"/>
  <c r="H521" i="1"/>
  <c r="H553" i="1"/>
  <c r="H669" i="1"/>
  <c r="H697" i="1"/>
  <c r="G745" i="1"/>
  <c r="G521" i="1"/>
  <c r="G2177" i="1"/>
  <c r="H1243" i="1"/>
  <c r="H1343" i="1"/>
  <c r="G2188" i="1"/>
  <c r="H2394" i="1"/>
  <c r="G2139" i="1"/>
  <c r="G2211" i="1"/>
  <c r="H2111" i="1"/>
  <c r="G2287" i="1"/>
  <c r="H2467" i="1"/>
  <c r="H2483" i="1"/>
  <c r="G2547" i="1"/>
  <c r="G2563" i="1"/>
  <c r="G685" i="1"/>
  <c r="G129" i="1"/>
  <c r="G649" i="1"/>
  <c r="G2147" i="1"/>
  <c r="G2329" i="1"/>
  <c r="H2451" i="1"/>
  <c r="H2499" i="1"/>
  <c r="H2545" i="1"/>
  <c r="G2579" i="1"/>
  <c r="H2435" i="1"/>
  <c r="G107" i="1"/>
  <c r="G917" i="1"/>
  <c r="H2218" i="1"/>
  <c r="H649" i="1"/>
  <c r="G921" i="1"/>
  <c r="H2156" i="1"/>
  <c r="G2208" i="1"/>
  <c r="G2252" i="1"/>
  <c r="H2331" i="1"/>
  <c r="G85" i="1"/>
  <c r="G1036" i="1"/>
  <c r="H802" i="1"/>
  <c r="G249" i="1"/>
  <c r="G273" i="1"/>
  <c r="H301" i="1"/>
  <c r="G325" i="1"/>
  <c r="H369" i="1"/>
  <c r="G393" i="1"/>
  <c r="G421" i="1"/>
  <c r="G445" i="1"/>
  <c r="G469" i="1"/>
  <c r="G489" i="1"/>
  <c r="G537" i="1"/>
  <c r="G561" i="1"/>
  <c r="G581" i="1"/>
  <c r="H605" i="1"/>
  <c r="H661" i="1"/>
  <c r="G737" i="1"/>
  <c r="G777" i="1"/>
  <c r="G1509" i="1"/>
  <c r="G1180" i="1"/>
  <c r="H2138" i="1"/>
  <c r="G2154" i="1"/>
  <c r="H470" i="1"/>
  <c r="G568" i="1"/>
  <c r="G648" i="1"/>
  <c r="H1754" i="1"/>
  <c r="G1810" i="1"/>
  <c r="G1858" i="1"/>
  <c r="G1922" i="1"/>
  <c r="H1986" i="1"/>
  <c r="H2010" i="1"/>
  <c r="G2066" i="1"/>
  <c r="H2090" i="1"/>
  <c r="G773" i="1"/>
  <c r="H542" i="1"/>
  <c r="H491" i="1"/>
  <c r="G2250" i="1"/>
  <c r="H2410" i="1"/>
  <c r="H593" i="1"/>
  <c r="G697" i="1"/>
  <c r="G1421" i="1"/>
  <c r="G1469" i="1"/>
  <c r="G1517" i="1"/>
  <c r="G1533" i="1"/>
  <c r="G1553" i="1"/>
  <c r="G1581" i="1"/>
  <c r="G1593" i="1"/>
  <c r="G1613" i="1"/>
  <c r="G1741" i="1"/>
  <c r="H1805" i="1"/>
  <c r="G1837" i="1"/>
  <c r="G1849" i="1"/>
  <c r="G1869" i="1"/>
  <c r="G1945" i="1"/>
  <c r="G1957" i="1"/>
  <c r="G1977" i="1"/>
  <c r="G2001" i="1"/>
  <c r="H2529" i="1"/>
  <c r="G26" i="1"/>
  <c r="G114" i="1"/>
  <c r="H178" i="1"/>
  <c r="G218" i="1"/>
  <c r="H298" i="1"/>
  <c r="H330" i="1"/>
  <c r="G346" i="1"/>
  <c r="H458" i="1"/>
  <c r="H482" i="1"/>
  <c r="H586" i="1"/>
  <c r="H618" i="1"/>
  <c r="H23" i="1"/>
  <c r="H31" i="1"/>
  <c r="G103" i="1"/>
  <c r="G127" i="1"/>
  <c r="H535" i="1"/>
  <c r="G559" i="1"/>
  <c r="H575" i="1"/>
  <c r="H631" i="1"/>
  <c r="H719" i="1"/>
  <c r="G60" i="1"/>
  <c r="H68" i="1"/>
  <c r="G76" i="1"/>
  <c r="H188" i="1"/>
  <c r="G196" i="1"/>
  <c r="G276" i="1"/>
  <c r="H492" i="1"/>
  <c r="G540" i="1"/>
  <c r="H636" i="1"/>
  <c r="G716" i="1"/>
  <c r="G1342" i="1"/>
  <c r="H1390" i="1"/>
  <c r="H1570" i="1"/>
  <c r="G1630" i="1"/>
  <c r="G1678" i="1"/>
  <c r="H1734" i="1"/>
  <c r="H1790" i="1"/>
  <c r="G1822" i="1"/>
  <c r="G1830" i="1"/>
  <c r="H1846" i="1"/>
  <c r="H1878" i="1"/>
  <c r="G1886" i="1"/>
  <c r="G1894" i="1"/>
  <c r="G1910" i="1"/>
  <c r="H1918" i="1"/>
  <c r="G1942" i="1"/>
  <c r="G1958" i="1"/>
  <c r="G1974" i="1"/>
  <c r="G1982" i="1"/>
  <c r="G1990" i="1"/>
  <c r="H2006" i="1"/>
  <c r="G2014" i="1"/>
  <c r="H2022" i="1"/>
  <c r="G2038" i="1"/>
  <c r="G2058" i="1"/>
  <c r="G2078" i="1"/>
  <c r="G2086" i="1"/>
  <c r="G2021" i="1"/>
  <c r="G2033" i="1"/>
  <c r="G2057" i="1"/>
  <c r="G2093" i="1"/>
  <c r="H743" i="1"/>
  <c r="H751" i="1"/>
  <c r="G767" i="1"/>
  <c r="H775" i="1"/>
  <c r="H783" i="1"/>
  <c r="H799" i="1"/>
  <c r="H815" i="1"/>
  <c r="H839" i="1"/>
  <c r="H847" i="1"/>
  <c r="H855" i="1"/>
  <c r="H863" i="1"/>
  <c r="H871" i="1"/>
  <c r="G895" i="1"/>
  <c r="G903" i="1"/>
  <c r="H911" i="1"/>
  <c r="H927" i="1"/>
  <c r="H935" i="1"/>
  <c r="G951" i="1"/>
  <c r="H975" i="1"/>
  <c r="G995" i="1"/>
  <c r="G1003" i="1"/>
  <c r="H1019" i="1"/>
  <c r="H1027" i="1"/>
  <c r="H1035" i="1"/>
  <c r="H1059" i="1"/>
  <c r="H1067" i="1"/>
  <c r="H1083" i="1"/>
  <c r="G1091" i="1"/>
  <c r="G1099" i="1"/>
  <c r="H1107" i="1"/>
  <c r="H1115" i="1"/>
  <c r="H1131" i="1"/>
  <c r="H1147" i="1"/>
  <c r="G1155" i="1"/>
  <c r="H1163" i="1"/>
  <c r="H1171" i="1"/>
  <c r="G1179" i="1"/>
  <c r="G1187" i="1"/>
  <c r="H1203" i="1"/>
  <c r="H1211" i="1"/>
  <c r="G1219" i="1"/>
  <c r="G1235" i="1"/>
  <c r="G1251" i="1"/>
  <c r="G1259" i="1"/>
  <c r="G1287" i="1"/>
  <c r="G1295" i="1"/>
  <c r="G1303" i="1"/>
  <c r="H1311" i="1"/>
  <c r="H1319" i="1"/>
  <c r="G1327" i="1"/>
  <c r="G1335" i="1"/>
  <c r="G1359" i="1"/>
  <c r="G1375" i="1"/>
  <c r="H1383" i="1"/>
  <c r="G1391" i="1"/>
  <c r="G1403" i="1"/>
  <c r="G1411" i="1"/>
  <c r="H1427" i="1"/>
  <c r="G1435" i="1"/>
  <c r="G1443" i="1"/>
  <c r="G1451" i="1"/>
  <c r="G1467" i="1"/>
  <c r="H1483" i="1"/>
  <c r="H1495" i="1"/>
  <c r="H1511" i="1"/>
  <c r="H1519" i="1"/>
  <c r="G1527" i="1"/>
  <c r="H1535" i="1"/>
  <c r="G1543" i="1"/>
  <c r="G1551" i="1"/>
  <c r="G1559" i="1"/>
  <c r="H1567" i="1"/>
  <c r="G1575" i="1"/>
  <c r="H1615" i="1"/>
  <c r="G1623" i="1"/>
  <c r="H1639" i="1"/>
  <c r="G1675" i="1"/>
  <c r="G1683" i="1"/>
  <c r="H1699" i="1"/>
  <c r="G1707" i="1"/>
  <c r="G1715" i="1"/>
  <c r="G1731" i="1"/>
  <c r="G1739" i="1"/>
  <c r="G1747" i="1"/>
  <c r="G1755" i="1"/>
  <c r="G1763" i="1"/>
  <c r="G1771" i="1"/>
  <c r="G1779" i="1"/>
  <c r="G1811" i="1"/>
  <c r="G1819" i="1"/>
  <c r="G1827" i="1"/>
  <c r="G1835" i="1"/>
  <c r="H1847" i="1"/>
  <c r="H1855" i="1"/>
  <c r="G1867" i="1"/>
  <c r="G1875" i="1"/>
  <c r="G1883" i="1"/>
  <c r="G1891" i="1"/>
  <c r="G1907" i="1"/>
  <c r="G1923" i="1"/>
  <c r="G1931" i="1"/>
  <c r="G1939" i="1"/>
  <c r="G1963" i="1"/>
  <c r="H1975" i="1"/>
  <c r="G1995" i="1"/>
  <c r="G2003" i="1"/>
  <c r="G2011" i="1"/>
  <c r="G2027" i="1"/>
  <c r="G2035" i="1"/>
  <c r="G2051" i="1"/>
  <c r="G2075" i="1"/>
  <c r="G2083" i="1"/>
  <c r="G2091" i="1"/>
  <c r="G41" i="1"/>
  <c r="H65" i="1"/>
  <c r="H93" i="1"/>
  <c r="H121" i="1"/>
  <c r="G149" i="1"/>
  <c r="G193" i="1"/>
  <c r="H241" i="1"/>
  <c r="H269" i="1"/>
  <c r="H293" i="1"/>
  <c r="H321" i="1"/>
  <c r="H377" i="1"/>
  <c r="H425" i="1"/>
  <c r="H449" i="1"/>
  <c r="G473" i="1"/>
  <c r="H497" i="1"/>
  <c r="H577" i="1"/>
  <c r="G601" i="1"/>
  <c r="G645" i="1"/>
  <c r="H693" i="1"/>
  <c r="G717" i="1"/>
  <c r="H769" i="1"/>
  <c r="H793" i="1"/>
  <c r="H817" i="1"/>
  <c r="H841" i="1"/>
  <c r="G889" i="1"/>
  <c r="G913" i="1"/>
  <c r="G937" i="1"/>
  <c r="H997" i="1"/>
  <c r="G1025" i="1"/>
  <c r="H1045" i="1"/>
  <c r="G1069" i="1"/>
  <c r="G1093" i="1"/>
  <c r="H1137" i="1"/>
  <c r="G1169" i="1"/>
  <c r="H1241" i="1"/>
  <c r="G1293" i="1"/>
  <c r="H1377" i="1"/>
  <c r="G1629" i="1"/>
  <c r="H1653" i="1"/>
  <c r="H1749" i="1"/>
  <c r="G1801" i="1"/>
  <c r="G2041" i="1"/>
  <c r="G2089" i="1"/>
  <c r="G744" i="1"/>
  <c r="H760" i="1"/>
  <c r="H776" i="1"/>
  <c r="H792" i="1"/>
  <c r="G824" i="1"/>
  <c r="G840" i="1"/>
  <c r="G848" i="1"/>
  <c r="G856" i="1"/>
  <c r="H896" i="1"/>
  <c r="H1516" i="1"/>
  <c r="H1548" i="1"/>
  <c r="H1584" i="1"/>
  <c r="G1592" i="1"/>
  <c r="G1608" i="1"/>
  <c r="H1620" i="1"/>
  <c r="G1628" i="1"/>
  <c r="G1652" i="1"/>
  <c r="H1660" i="1"/>
  <c r="H1668" i="1"/>
  <c r="H1684" i="1"/>
  <c r="G1692" i="1"/>
  <c r="H1716" i="1"/>
  <c r="G1732" i="1"/>
  <c r="H1740" i="1"/>
  <c r="H1784" i="1"/>
  <c r="G1816" i="1"/>
  <c r="G1856" i="1"/>
  <c r="H1864" i="1"/>
  <c r="H1888" i="1"/>
  <c r="G1928" i="1"/>
  <c r="G1936" i="1"/>
  <c r="H1952" i="1"/>
  <c r="H1976" i="1"/>
  <c r="H1984" i="1"/>
  <c r="G1992" i="1"/>
  <c r="H2008" i="1"/>
  <c r="G2040" i="1"/>
  <c r="H2072" i="1"/>
  <c r="G33" i="1"/>
  <c r="H57" i="1"/>
  <c r="G77" i="1"/>
  <c r="G125" i="1"/>
  <c r="G145" i="1"/>
  <c r="G165" i="1"/>
  <c r="H189" i="1"/>
  <c r="H213" i="1"/>
  <c r="G233" i="1"/>
  <c r="G257" i="1"/>
  <c r="H277" i="1"/>
  <c r="G297" i="1"/>
  <c r="H317" i="1"/>
  <c r="G341" i="1"/>
  <c r="H361" i="1"/>
  <c r="H385" i="1"/>
  <c r="G409" i="1"/>
  <c r="H429" i="1"/>
  <c r="H453" i="1"/>
  <c r="G501" i="1"/>
  <c r="G529" i="1"/>
  <c r="H545" i="1"/>
  <c r="H597" i="1"/>
  <c r="H641" i="1"/>
  <c r="G665" i="1"/>
  <c r="H709" i="1"/>
  <c r="H729" i="1"/>
  <c r="G761" i="1"/>
  <c r="H785" i="1"/>
  <c r="H833" i="1"/>
  <c r="H857" i="1"/>
  <c r="H881" i="1"/>
  <c r="H909" i="1"/>
  <c r="G929" i="1"/>
  <c r="H949" i="1"/>
  <c r="H973" i="1"/>
  <c r="G993" i="1"/>
  <c r="H1073" i="1"/>
  <c r="H1101" i="1"/>
  <c r="G1301" i="1"/>
  <c r="G1345" i="1"/>
  <c r="H1497" i="1"/>
  <c r="G1545" i="1"/>
  <c r="G1681" i="1"/>
  <c r="G1705" i="1"/>
  <c r="G1769" i="1"/>
  <c r="G1789" i="1"/>
  <c r="H1368" i="1"/>
  <c r="G904" i="1"/>
  <c r="H912" i="1"/>
  <c r="H920" i="1"/>
  <c r="G944" i="1"/>
  <c r="H952" i="1"/>
  <c r="G960" i="1"/>
  <c r="G984" i="1"/>
  <c r="G992" i="1"/>
  <c r="H1000" i="1"/>
  <c r="H1008" i="1"/>
  <c r="H1016" i="1"/>
  <c r="G1048" i="1"/>
  <c r="G1064" i="1"/>
  <c r="H1080" i="1"/>
  <c r="H1152" i="1"/>
  <c r="G1160" i="1"/>
  <c r="H1176" i="1"/>
  <c r="G1184" i="1"/>
  <c r="H1216" i="1"/>
  <c r="G1232" i="1"/>
  <c r="H1240" i="1"/>
  <c r="G1272" i="1"/>
  <c r="H1280" i="1"/>
  <c r="H1288" i="1"/>
  <c r="H1296" i="1"/>
  <c r="H1312" i="1"/>
  <c r="G1336" i="1"/>
  <c r="G1344" i="1"/>
  <c r="H1352" i="1"/>
  <c r="G1360" i="1"/>
  <c r="H1388" i="1"/>
  <c r="G1396" i="1"/>
  <c r="H1436" i="1"/>
  <c r="G1444" i="1"/>
  <c r="H1452" i="1"/>
  <c r="G1464" i="1"/>
  <c r="H1480" i="1"/>
  <c r="G1488" i="1"/>
  <c r="G1512" i="1"/>
  <c r="H1520" i="1"/>
  <c r="H1528" i="1"/>
  <c r="H1544" i="1"/>
  <c r="H1556" i="1"/>
  <c r="G1564" i="1"/>
  <c r="G1572" i="1"/>
  <c r="G1580" i="1"/>
  <c r="H1588" i="1"/>
  <c r="G1596" i="1"/>
  <c r="G1604" i="1"/>
  <c r="G1624" i="1"/>
  <c r="G1632" i="1"/>
  <c r="H1648" i="1"/>
  <c r="G1656" i="1"/>
  <c r="H1680" i="1"/>
  <c r="G1696" i="1"/>
  <c r="G1704" i="1"/>
  <c r="H1712" i="1"/>
  <c r="H1736" i="1"/>
  <c r="G1744" i="1"/>
  <c r="G1760" i="1"/>
  <c r="H1768" i="1"/>
  <c r="G1780" i="1"/>
  <c r="H1788" i="1"/>
  <c r="H1804" i="1"/>
  <c r="H1820" i="1"/>
  <c r="H1832" i="1"/>
  <c r="G1852" i="1"/>
  <c r="G1892" i="1"/>
  <c r="G1908" i="1"/>
  <c r="G1924" i="1"/>
  <c r="H1940" i="1"/>
  <c r="G1948" i="1"/>
  <c r="G1960" i="1"/>
  <c r="H1972" i="1"/>
  <c r="H1988" i="1"/>
  <c r="H1996" i="1"/>
  <c r="H2012" i="1"/>
  <c r="G2020" i="1"/>
  <c r="H2036" i="1"/>
  <c r="G2044" i="1"/>
  <c r="H2052" i="1"/>
  <c r="H2060" i="1"/>
  <c r="G2068" i="1"/>
  <c r="H2076" i="1"/>
  <c r="G2088" i="1"/>
  <c r="G1874" i="1"/>
  <c r="G801" i="1"/>
  <c r="H1275" i="1"/>
  <c r="H866" i="1"/>
  <c r="H930" i="1"/>
  <c r="H938" i="1"/>
  <c r="H962" i="1"/>
  <c r="H1090" i="1"/>
  <c r="H1106" i="1"/>
  <c r="H1226" i="1"/>
  <c r="G517" i="1"/>
  <c r="G713" i="1"/>
  <c r="G941" i="1"/>
  <c r="H1009" i="1"/>
  <c r="G1125" i="1"/>
  <c r="H1185" i="1"/>
  <c r="G1285" i="1"/>
  <c r="H681" i="1"/>
  <c r="G1981" i="1"/>
  <c r="H748" i="1"/>
  <c r="H804" i="1"/>
  <c r="G876" i="1"/>
  <c r="G924" i="1"/>
  <c r="G932" i="1"/>
  <c r="H1204" i="1"/>
  <c r="G1468" i="1"/>
  <c r="H1532" i="1"/>
  <c r="H1592" i="1"/>
  <c r="H1636" i="1"/>
  <c r="G1808" i="1"/>
  <c r="H1936" i="1"/>
  <c r="G1904" i="1"/>
  <c r="G1213" i="1"/>
  <c r="G1821" i="1"/>
  <c r="H825" i="1"/>
  <c r="H665" i="1"/>
  <c r="H1209" i="1"/>
  <c r="H1732" i="1"/>
  <c r="H407" i="1"/>
  <c r="G1245" i="1"/>
  <c r="G1701" i="1"/>
  <c r="H1806" i="1"/>
  <c r="H297" i="1"/>
  <c r="H561" i="1"/>
  <c r="H181" i="1"/>
  <c r="G949" i="1"/>
  <c r="G1784" i="1"/>
  <c r="H1922" i="1"/>
  <c r="G597" i="1"/>
  <c r="G785" i="1"/>
  <c r="H929" i="1"/>
  <c r="G1116" i="1"/>
  <c r="G756" i="1"/>
  <c r="H1816" i="1"/>
  <c r="G1716" i="1"/>
  <c r="G1984" i="1"/>
  <c r="H166" i="1"/>
  <c r="H526" i="1"/>
  <c r="G542" i="1"/>
  <c r="G550" i="1"/>
  <c r="H566" i="1"/>
  <c r="G582" i="1"/>
  <c r="G614" i="1"/>
  <c r="H622" i="1"/>
  <c r="G638" i="1"/>
  <c r="H670" i="1"/>
  <c r="G694" i="1"/>
  <c r="G718" i="1"/>
  <c r="G531" i="1"/>
  <c r="G571" i="1"/>
  <c r="G579" i="1"/>
  <c r="H659" i="1"/>
  <c r="H699" i="1"/>
  <c r="H520" i="1"/>
  <c r="H568" i="1"/>
  <c r="H648" i="1"/>
  <c r="G664" i="1"/>
  <c r="G688" i="1"/>
  <c r="H712" i="1"/>
  <c r="H814" i="1"/>
  <c r="H862" i="1"/>
  <c r="H1094" i="1"/>
  <c r="H1198" i="1"/>
  <c r="G1354" i="1"/>
  <c r="G1434" i="1"/>
  <c r="G1482" i="1"/>
  <c r="G1498" i="1"/>
  <c r="H1602" i="1"/>
  <c r="H1634" i="1"/>
  <c r="H1730" i="1"/>
  <c r="H1746" i="1"/>
  <c r="G1786" i="1"/>
  <c r="G1834" i="1"/>
  <c r="H1858" i="1"/>
  <c r="H1890" i="1"/>
  <c r="G1898" i="1"/>
  <c r="G1946" i="1"/>
  <c r="H1954" i="1"/>
  <c r="G1978" i="1"/>
  <c r="G1986" i="1"/>
  <c r="G2010" i="1"/>
  <c r="H2026" i="1"/>
  <c r="G2090" i="1"/>
  <c r="H549" i="1"/>
  <c r="G621" i="1"/>
  <c r="H765" i="1"/>
  <c r="H905" i="1"/>
  <c r="H1177" i="1"/>
  <c r="G1297" i="1"/>
  <c r="G1341" i="1"/>
  <c r="G1825" i="1"/>
  <c r="G179" i="1"/>
  <c r="G232" i="1"/>
  <c r="H312" i="1"/>
  <c r="H198" i="1"/>
  <c r="G51" i="1"/>
  <c r="G464" i="1"/>
  <c r="H249" i="1"/>
  <c r="H694" i="1"/>
  <c r="H1194" i="1"/>
  <c r="H2549" i="1"/>
  <c r="H1234" i="1"/>
  <c r="H421" i="1"/>
  <c r="G753" i="1"/>
  <c r="H969" i="1"/>
  <c r="G699" i="1"/>
  <c r="G1790" i="1"/>
  <c r="G1918" i="1"/>
  <c r="H2038" i="1"/>
  <c r="G2174" i="1"/>
  <c r="H2230" i="1"/>
  <c r="H1965" i="1"/>
  <c r="H1353" i="1"/>
  <c r="G1353" i="1"/>
  <c r="H1709" i="1"/>
  <c r="G1709" i="1"/>
  <c r="G1600" i="1"/>
  <c r="H1600" i="1"/>
  <c r="G1644" i="1"/>
  <c r="H1644" i="1"/>
  <c r="G1944" i="1"/>
  <c r="H1944" i="1"/>
  <c r="H2120" i="1"/>
  <c r="G2120" i="1"/>
  <c r="H97" i="1"/>
  <c r="H273" i="1"/>
  <c r="H389" i="1"/>
  <c r="H501" i="1"/>
  <c r="H989" i="1"/>
  <c r="H409" i="1"/>
  <c r="H836" i="1"/>
  <c r="G1665" i="1"/>
  <c r="G1881" i="1"/>
  <c r="G1814" i="1"/>
  <c r="H1814" i="1"/>
  <c r="G1862" i="1"/>
  <c r="H1862" i="1"/>
  <c r="H1950" i="1"/>
  <c r="G1950" i="1"/>
  <c r="G345" i="1"/>
  <c r="G2447" i="1"/>
  <c r="H2447" i="1"/>
  <c r="G2527" i="1"/>
  <c r="H2527" i="1"/>
  <c r="G2577" i="1"/>
  <c r="H2577" i="1"/>
  <c r="G2192" i="1"/>
  <c r="H2192" i="1"/>
  <c r="G2005" i="1"/>
  <c r="H2005" i="1"/>
  <c r="G2455" i="1"/>
  <c r="H2455" i="1"/>
  <c r="H25" i="1"/>
  <c r="G57" i="1"/>
  <c r="G81" i="1"/>
  <c r="H141" i="1"/>
  <c r="H581" i="1"/>
  <c r="H849" i="1"/>
  <c r="H953" i="1"/>
  <c r="H1213" i="1"/>
  <c r="G1309" i="1"/>
  <c r="H2112" i="1"/>
  <c r="G2186" i="1"/>
  <c r="H1822" i="1"/>
  <c r="H1942" i="1"/>
  <c r="G2285" i="1"/>
  <c r="G2550" i="1"/>
  <c r="G791" i="1"/>
  <c r="H791" i="1"/>
  <c r="H807" i="1"/>
  <c r="G807" i="1"/>
  <c r="H879" i="1"/>
  <c r="G879" i="1"/>
  <c r="H943" i="1"/>
  <c r="G943" i="1"/>
  <c r="G983" i="1"/>
  <c r="H983" i="1"/>
  <c r="G1051" i="1"/>
  <c r="H1051" i="1"/>
  <c r="G1123" i="1"/>
  <c r="H1123" i="1"/>
  <c r="G1279" i="1"/>
  <c r="H1279" i="1"/>
  <c r="G1367" i="1"/>
  <c r="H1367" i="1"/>
  <c r="H1419" i="1"/>
  <c r="G1419" i="1"/>
  <c r="H1459" i="1"/>
  <c r="G1459" i="1"/>
  <c r="H2163" i="1"/>
  <c r="G2163" i="1"/>
  <c r="H2263" i="1"/>
  <c r="G2263" i="1"/>
  <c r="G2379" i="1"/>
  <c r="H2379" i="1"/>
  <c r="H1193" i="1"/>
  <c r="G1193" i="1"/>
  <c r="G1261" i="1"/>
  <c r="H1261" i="1"/>
  <c r="H880" i="1"/>
  <c r="G880" i="1"/>
  <c r="H1032" i="1"/>
  <c r="G1032" i="1"/>
  <c r="H1112" i="1"/>
  <c r="G1112" i="1"/>
  <c r="G1264" i="1"/>
  <c r="H1264" i="1"/>
  <c r="H1304" i="1"/>
  <c r="G1304" i="1"/>
  <c r="H1504" i="1"/>
  <c r="G1504" i="1"/>
  <c r="G1796" i="1"/>
  <c r="H1796" i="1"/>
  <c r="H1812" i="1"/>
  <c r="G1812" i="1"/>
  <c r="H1860" i="1"/>
  <c r="G1860" i="1"/>
  <c r="G1876" i="1"/>
  <c r="H1876" i="1"/>
  <c r="H2004" i="1"/>
  <c r="G2004" i="1"/>
  <c r="G2100" i="1"/>
  <c r="H2100" i="1"/>
  <c r="G2172" i="1"/>
  <c r="H2172" i="1"/>
  <c r="H2204" i="1"/>
  <c r="G2204" i="1"/>
  <c r="G2269" i="1"/>
  <c r="H2269" i="1"/>
  <c r="H972" i="1"/>
  <c r="G972" i="1"/>
  <c r="H1236" i="1"/>
  <c r="G1236" i="1"/>
  <c r="H1448" i="1"/>
  <c r="G1448" i="1"/>
  <c r="H1912" i="1"/>
  <c r="G1912" i="1"/>
  <c r="G2056" i="1"/>
  <c r="H2056" i="1"/>
  <c r="H33" i="1"/>
  <c r="G117" i="1"/>
  <c r="G157" i="1"/>
  <c r="H145" i="1"/>
  <c r="H445" i="1"/>
  <c r="G661" i="1"/>
  <c r="H757" i="1"/>
  <c r="H1053" i="1"/>
  <c r="H1928" i="1"/>
  <c r="G2105" i="1"/>
  <c r="G1864" i="1"/>
  <c r="H1874" i="1"/>
  <c r="G2384" i="1"/>
  <c r="H1337" i="1"/>
  <c r="G2046" i="1"/>
  <c r="H2046" i="1"/>
  <c r="G2110" i="1"/>
  <c r="H2110" i="1"/>
  <c r="G2150" i="1"/>
  <c r="H2150" i="1"/>
  <c r="H2274" i="1"/>
  <c r="G2274" i="1"/>
  <c r="H2591" i="1"/>
  <c r="G2591" i="1"/>
  <c r="G2028" i="1"/>
  <c r="H2028" i="1"/>
  <c r="G2224" i="1"/>
  <c r="H2224" i="1"/>
  <c r="H165" i="1"/>
  <c r="G453" i="1"/>
  <c r="G1009" i="1"/>
  <c r="G441" i="1"/>
  <c r="G1525" i="1"/>
  <c r="G1332" i="1"/>
  <c r="G2129" i="1"/>
  <c r="G2185" i="1"/>
  <c r="G2008" i="1"/>
  <c r="H1810" i="1"/>
  <c r="G2392" i="1"/>
  <c r="H1886" i="1"/>
  <c r="G2006" i="1"/>
  <c r="H2246" i="1"/>
  <c r="G2543" i="1"/>
  <c r="H173" i="1"/>
  <c r="H193" i="1"/>
  <c r="H365" i="1"/>
  <c r="H413" i="1"/>
  <c r="G533" i="1"/>
  <c r="G873" i="1"/>
  <c r="H393" i="1"/>
  <c r="H737" i="1"/>
  <c r="H925" i="1"/>
  <c r="G1059" i="1"/>
  <c r="H1091" i="1"/>
  <c r="G1077" i="1"/>
  <c r="G751" i="1"/>
  <c r="G815" i="1"/>
  <c r="G1265" i="1"/>
  <c r="H1432" i="1"/>
  <c r="H1468" i="1"/>
  <c r="G1083" i="1"/>
  <c r="G1300" i="1"/>
  <c r="G1319" i="1"/>
  <c r="H1551" i="1"/>
  <c r="H1692" i="1"/>
  <c r="H1808" i="1"/>
  <c r="H1856" i="1"/>
  <c r="H1992" i="1"/>
  <c r="H1435" i="1"/>
  <c r="G1668" i="1"/>
  <c r="G1976" i="1"/>
  <c r="H1359" i="1"/>
  <c r="G2194" i="1"/>
  <c r="H2395" i="1"/>
  <c r="H1910" i="1"/>
  <c r="H1974" i="1"/>
  <c r="H2014" i="1"/>
  <c r="G2102" i="1"/>
  <c r="H2166" i="1"/>
  <c r="H2198" i="1"/>
  <c r="G121" i="1"/>
  <c r="H1707" i="1"/>
  <c r="G2131" i="1"/>
  <c r="H1911" i="1"/>
  <c r="H1741" i="1"/>
  <c r="G2255" i="1"/>
  <c r="G2317" i="1"/>
  <c r="G2293" i="1"/>
  <c r="G30" i="1"/>
  <c r="G54" i="1"/>
  <c r="G78" i="1"/>
  <c r="H94" i="1"/>
  <c r="G110" i="1"/>
  <c r="G118" i="1"/>
  <c r="G134" i="1"/>
  <c r="G142" i="1"/>
  <c r="G150" i="1"/>
  <c r="H158" i="1"/>
  <c r="G166" i="1"/>
  <c r="G174" i="1"/>
  <c r="G182" i="1"/>
  <c r="G190" i="1"/>
  <c r="G198" i="1"/>
  <c r="H206" i="1"/>
  <c r="G222" i="1"/>
  <c r="G230" i="1"/>
  <c r="H238" i="1"/>
  <c r="G254" i="1"/>
  <c r="H270" i="1"/>
  <c r="G286" i="1"/>
  <c r="G294" i="1"/>
  <c r="G310" i="1"/>
  <c r="G326" i="1"/>
  <c r="H350" i="1"/>
  <c r="H358" i="1"/>
  <c r="H366" i="1"/>
  <c r="H374" i="1"/>
  <c r="H382" i="1"/>
  <c r="H390" i="1"/>
  <c r="H398" i="1"/>
  <c r="H406" i="1"/>
  <c r="H414" i="1"/>
  <c r="H422" i="1"/>
  <c r="H430" i="1"/>
  <c r="H438" i="1"/>
  <c r="H446" i="1"/>
  <c r="H454" i="1"/>
  <c r="H462" i="1"/>
  <c r="H478" i="1"/>
  <c r="H486" i="1"/>
  <c r="H494" i="1"/>
  <c r="H510" i="1"/>
  <c r="H518" i="1"/>
  <c r="G606" i="1"/>
  <c r="H630" i="1"/>
  <c r="H734" i="1"/>
  <c r="H742" i="1"/>
  <c r="H19" i="1"/>
  <c r="H27" i="1"/>
  <c r="H35" i="1"/>
  <c r="H43" i="1"/>
  <c r="H51" i="1"/>
  <c r="G59" i="1"/>
  <c r="G67" i="1"/>
  <c r="G75" i="1"/>
  <c r="G83" i="1"/>
  <c r="G91" i="1"/>
  <c r="G99" i="1"/>
  <c r="H115" i="1"/>
  <c r="H123" i="1"/>
  <c r="G139" i="1"/>
  <c r="H155" i="1"/>
  <c r="G171" i="1"/>
  <c r="H179" i="1"/>
  <c r="H187" i="1"/>
  <c r="H219" i="1"/>
  <c r="H251" i="1"/>
  <c r="H283" i="1"/>
  <c r="G323" i="1"/>
  <c r="H347" i="1"/>
  <c r="G355" i="1"/>
  <c r="G371" i="1"/>
  <c r="G403" i="1"/>
  <c r="H411" i="1"/>
  <c r="H427" i="1"/>
  <c r="G435" i="1"/>
  <c r="G443" i="1"/>
  <c r="H459" i="1"/>
  <c r="H467" i="1"/>
  <c r="G475" i="1"/>
  <c r="H523" i="1"/>
  <c r="G667" i="1"/>
  <c r="G675" i="1"/>
  <c r="G56" i="1"/>
  <c r="G152" i="1"/>
  <c r="H168" i="1"/>
  <c r="G184" i="1"/>
  <c r="G200" i="1"/>
  <c r="G208" i="1"/>
  <c r="G224" i="1"/>
  <c r="H232" i="1"/>
  <c r="H248" i="1"/>
  <c r="G264" i="1"/>
  <c r="G272" i="1"/>
  <c r="G288" i="1"/>
  <c r="H296" i="1"/>
  <c r="G312" i="1"/>
  <c r="G360" i="1"/>
  <c r="G392" i="1"/>
  <c r="G424" i="1"/>
  <c r="H432" i="1"/>
  <c r="H464" i="1"/>
  <c r="G472" i="1"/>
  <c r="G504" i="1"/>
  <c r="G536" i="1"/>
  <c r="G1322" i="1"/>
  <c r="G1370" i="1"/>
  <c r="H1378" i="1"/>
  <c r="G1386" i="1"/>
  <c r="G1418" i="1"/>
  <c r="G1466" i="1"/>
  <c r="G1526" i="1"/>
  <c r="G1534" i="1"/>
  <c r="G1558" i="1"/>
  <c r="H1666" i="1"/>
  <c r="H1778" i="1"/>
  <c r="H1870" i="1"/>
  <c r="G2034" i="1"/>
  <c r="G109" i="1"/>
  <c r="G161" i="1"/>
  <c r="H185" i="1"/>
  <c r="H261" i="1"/>
  <c r="H285" i="1"/>
  <c r="G313" i="1"/>
  <c r="G337" i="1"/>
  <c r="G381" i="1"/>
  <c r="G405" i="1"/>
  <c r="H457" i="1"/>
  <c r="G477" i="1"/>
  <c r="G525" i="1"/>
  <c r="H745" i="1"/>
  <c r="G1001" i="1"/>
  <c r="H1041" i="1"/>
  <c r="H1065" i="1"/>
  <c r="H1089" i="1"/>
  <c r="H1217" i="1"/>
  <c r="G1237" i="1"/>
  <c r="G1317" i="1"/>
  <c r="G1381" i="1"/>
  <c r="H993" i="1"/>
  <c r="G1073" i="1"/>
  <c r="G1101" i="1"/>
  <c r="H1121" i="1"/>
  <c r="H1221" i="1"/>
  <c r="G1233" i="1"/>
  <c r="G1281" i="1"/>
  <c r="G1361" i="1"/>
  <c r="G1385" i="1"/>
  <c r="G1425" i="1"/>
  <c r="H1437" i="1"/>
  <c r="H1449" i="1"/>
  <c r="G1529" i="1"/>
  <c r="G1557" i="1"/>
  <c r="H1577" i="1"/>
  <c r="G1597" i="1"/>
  <c r="G1617" i="1"/>
  <c r="G1725" i="1"/>
  <c r="G1745" i="1"/>
  <c r="G1809" i="1"/>
  <c r="G1845" i="1"/>
  <c r="G1861" i="1"/>
  <c r="G1897" i="1"/>
  <c r="G1909" i="1"/>
  <c r="G1929" i="1"/>
  <c r="H2037" i="1"/>
  <c r="G2097" i="1"/>
  <c r="G1896" i="1"/>
  <c r="G1429" i="1"/>
  <c r="H2069" i="1"/>
  <c r="H1289" i="1"/>
  <c r="G1397" i="1"/>
  <c r="G1733" i="1"/>
  <c r="G1853" i="1"/>
  <c r="H810" i="1"/>
  <c r="H986" i="1"/>
  <c r="H1202" i="1"/>
  <c r="G1274" i="1"/>
  <c r="H517" i="1"/>
  <c r="H713" i="1"/>
  <c r="H777" i="1"/>
  <c r="H897" i="1"/>
  <c r="H1125" i="1"/>
  <c r="G2383" i="1"/>
  <c r="H2383" i="1"/>
  <c r="G2423" i="1"/>
  <c r="H2423" i="1"/>
  <c r="H105" i="1"/>
  <c r="G105" i="1"/>
  <c r="H1156" i="1"/>
  <c r="G1156" i="1"/>
  <c r="H1228" i="1"/>
  <c r="G1228" i="1"/>
  <c r="G1260" i="1"/>
  <c r="H1260" i="1"/>
  <c r="G1292" i="1"/>
  <c r="H1292" i="1"/>
  <c r="H1364" i="1"/>
  <c r="G1364" i="1"/>
  <c r="G1408" i="1"/>
  <c r="H1408" i="1"/>
  <c r="G1440" i="1"/>
  <c r="H1440" i="1"/>
  <c r="G1456" i="1"/>
  <c r="H1456" i="1"/>
  <c r="G1492" i="1"/>
  <c r="H1492" i="1"/>
  <c r="G1508" i="1"/>
  <c r="H1508" i="1"/>
  <c r="H1568" i="1"/>
  <c r="G1568" i="1"/>
  <c r="H1676" i="1"/>
  <c r="G1676" i="1"/>
  <c r="H1700" i="1"/>
  <c r="G1700" i="1"/>
  <c r="G1708" i="1"/>
  <c r="H1708" i="1"/>
  <c r="G1724" i="1"/>
  <c r="H1724" i="1"/>
  <c r="H1756" i="1"/>
  <c r="G1756" i="1"/>
  <c r="G1764" i="1"/>
  <c r="H1764" i="1"/>
  <c r="H1792" i="1"/>
  <c r="G1792" i="1"/>
  <c r="G1800" i="1"/>
  <c r="H1800" i="1"/>
  <c r="G1824" i="1"/>
  <c r="H1824" i="1"/>
  <c r="H1848" i="1"/>
  <c r="G1848" i="1"/>
  <c r="H1880" i="1"/>
  <c r="G1880" i="1"/>
  <c r="G1920" i="1"/>
  <c r="H1920" i="1"/>
  <c r="G2016" i="1"/>
  <c r="H2016" i="1"/>
  <c r="G2048" i="1"/>
  <c r="H2048" i="1"/>
  <c r="H2080" i="1"/>
  <c r="G2080" i="1"/>
  <c r="G2136" i="1"/>
  <c r="H2136" i="1"/>
  <c r="G2168" i="1"/>
  <c r="H2168" i="1"/>
  <c r="G2184" i="1"/>
  <c r="H2184" i="1"/>
  <c r="G2232" i="1"/>
  <c r="H2232" i="1"/>
  <c r="G2244" i="1"/>
  <c r="H2244" i="1"/>
  <c r="G2416" i="1"/>
  <c r="H2416" i="1"/>
  <c r="H481" i="1"/>
  <c r="G481" i="1"/>
  <c r="H569" i="1"/>
  <c r="G569" i="1"/>
  <c r="G617" i="1"/>
  <c r="H617" i="1"/>
  <c r="G689" i="1"/>
  <c r="H689" i="1"/>
  <c r="G809" i="1"/>
  <c r="H809" i="1"/>
  <c r="H1017" i="1"/>
  <c r="G1017" i="1"/>
  <c r="H1049" i="1"/>
  <c r="G1049" i="1"/>
  <c r="G1141" i="1"/>
  <c r="H1141" i="1"/>
  <c r="G1161" i="1"/>
  <c r="H1161" i="1"/>
  <c r="H1189" i="1"/>
  <c r="G1189" i="1"/>
  <c r="H1325" i="1"/>
  <c r="G1325" i="1"/>
  <c r="H1465" i="1"/>
  <c r="G1465" i="1"/>
  <c r="H1481" i="1"/>
  <c r="G1481" i="1"/>
  <c r="H1513" i="1"/>
  <c r="G1513" i="1"/>
  <c r="H1637" i="1"/>
  <c r="G1637" i="1"/>
  <c r="H1661" i="1"/>
  <c r="G1661" i="1"/>
  <c r="H1973" i="1"/>
  <c r="G1973" i="1"/>
  <c r="H1997" i="1"/>
  <c r="G1997" i="1"/>
  <c r="G2061" i="1"/>
  <c r="H2061" i="1"/>
  <c r="G1491" i="1"/>
  <c r="H1491" i="1"/>
  <c r="G2351" i="1"/>
  <c r="H2351" i="1"/>
  <c r="H2399" i="1"/>
  <c r="G2399" i="1"/>
  <c r="H333" i="1"/>
  <c r="G333" i="1"/>
  <c r="G1105" i="1"/>
  <c r="H1105" i="1"/>
  <c r="H1785" i="1"/>
  <c r="G1785" i="1"/>
  <c r="G2553" i="1"/>
  <c r="H2553" i="1"/>
  <c r="H2396" i="1"/>
  <c r="G2396" i="1"/>
  <c r="G2581" i="1"/>
  <c r="H2581" i="1"/>
  <c r="H892" i="1"/>
  <c r="G892" i="1"/>
  <c r="H916" i="1"/>
  <c r="G916" i="1"/>
  <c r="G1124" i="1"/>
  <c r="H1124" i="1"/>
  <c r="H1340" i="1"/>
  <c r="G1340" i="1"/>
  <c r="H1576" i="1"/>
  <c r="G1576" i="1"/>
  <c r="G981" i="1"/>
  <c r="H1244" i="1"/>
  <c r="H1392" i="1"/>
  <c r="G1548" i="1"/>
  <c r="H1652" i="1"/>
  <c r="G1196" i="1"/>
  <c r="G1684" i="1"/>
  <c r="H376" i="1"/>
  <c r="G376" i="1"/>
  <c r="G592" i="1"/>
  <c r="H592" i="1"/>
  <c r="H1698" i="1"/>
  <c r="G1698" i="1"/>
  <c r="G1850" i="1"/>
  <c r="H1850" i="1"/>
  <c r="G1882" i="1"/>
  <c r="H1882" i="1"/>
  <c r="G1962" i="1"/>
  <c r="H1962" i="1"/>
  <c r="H2018" i="1"/>
  <c r="G2018" i="1"/>
  <c r="H2042" i="1"/>
  <c r="G2042" i="1"/>
  <c r="G2074" i="1"/>
  <c r="H2074" i="1"/>
  <c r="H2178" i="1"/>
  <c r="G2178" i="1"/>
  <c r="G2202" i="1"/>
  <c r="H2202" i="1"/>
  <c r="G2234" i="1"/>
  <c r="H2234" i="1"/>
  <c r="H2298" i="1"/>
  <c r="G2298" i="1"/>
  <c r="H2362" i="1"/>
  <c r="G2362" i="1"/>
  <c r="G2522" i="1"/>
  <c r="H2522" i="1"/>
  <c r="H2554" i="1"/>
  <c r="G2554" i="1"/>
  <c r="H2586" i="1"/>
  <c r="G2586" i="1"/>
  <c r="G837" i="1"/>
  <c r="H837" i="1"/>
  <c r="H1633" i="1"/>
  <c r="G1633" i="1"/>
  <c r="H2121" i="1"/>
  <c r="G2121" i="1"/>
  <c r="H1987" i="1"/>
  <c r="G1987" i="1"/>
  <c r="G2348" i="1"/>
  <c r="H2348" i="1"/>
  <c r="G2207" i="1"/>
  <c r="H2207" i="1"/>
  <c r="H2559" i="1"/>
  <c r="G2559" i="1"/>
  <c r="G1253" i="1"/>
  <c r="H860" i="1"/>
  <c r="G860" i="1"/>
  <c r="H940" i="1"/>
  <c r="G940" i="1"/>
  <c r="H980" i="1"/>
  <c r="G2391" i="1"/>
  <c r="H2391" i="1"/>
  <c r="G657" i="1"/>
  <c r="H657" i="1"/>
  <c r="H1305" i="1"/>
  <c r="G1305" i="1"/>
  <c r="H1689" i="1"/>
  <c r="G1689" i="1"/>
  <c r="G2585" i="1"/>
  <c r="H2585" i="1"/>
  <c r="G1783" i="1"/>
  <c r="H1783" i="1"/>
  <c r="G2365" i="1"/>
  <c r="H2365" i="1"/>
  <c r="H820" i="1"/>
  <c r="G820" i="1"/>
  <c r="H948" i="1"/>
  <c r="G948" i="1"/>
  <c r="H996" i="1"/>
  <c r="G996" i="1"/>
  <c r="G1012" i="1"/>
  <c r="H1012" i="1"/>
  <c r="H1060" i="1"/>
  <c r="G1060" i="1"/>
  <c r="H1356" i="1"/>
  <c r="G1356" i="1"/>
  <c r="G853" i="1"/>
  <c r="G1081" i="1"/>
  <c r="G852" i="1"/>
  <c r="H1476" i="1"/>
  <c r="H908" i="1"/>
  <c r="G1004" i="1"/>
  <c r="G1500" i="1"/>
  <c r="H1164" i="1"/>
  <c r="H574" i="1"/>
  <c r="G574" i="1"/>
  <c r="G1738" i="1"/>
  <c r="H1738" i="1"/>
  <c r="H1762" i="1"/>
  <c r="G1762" i="1"/>
  <c r="H1826" i="1"/>
  <c r="G1826" i="1"/>
  <c r="G1914" i="1"/>
  <c r="H1914" i="1"/>
  <c r="H2082" i="1"/>
  <c r="G2082" i="1"/>
  <c r="G673" i="1"/>
  <c r="H673" i="1"/>
  <c r="G957" i="1"/>
  <c r="H957" i="1"/>
  <c r="H1717" i="1"/>
  <c r="G1717" i="1"/>
  <c r="G2561" i="1"/>
  <c r="H2561" i="1"/>
  <c r="G1866" i="1"/>
  <c r="H1866" i="1"/>
  <c r="H2409" i="1"/>
  <c r="G2409" i="1"/>
  <c r="G2143" i="1"/>
  <c r="H2143" i="1"/>
  <c r="G2479" i="1"/>
  <c r="H2479" i="1"/>
  <c r="G2511" i="1"/>
  <c r="H2511" i="1"/>
  <c r="H133" i="1"/>
  <c r="G2593" i="1"/>
  <c r="H2593" i="1"/>
  <c r="H2496" i="1"/>
  <c r="G2496" i="1"/>
  <c r="G2560" i="1"/>
  <c r="H2560" i="1"/>
  <c r="H796" i="1"/>
  <c r="H868" i="1"/>
  <c r="G868" i="1"/>
  <c r="G1084" i="1"/>
  <c r="H1108" i="1"/>
  <c r="G1204" i="1"/>
  <c r="G1324" i="1"/>
  <c r="H1376" i="1"/>
  <c r="G1384" i="1"/>
  <c r="G1416" i="1"/>
  <c r="H1416" i="1"/>
  <c r="G1424" i="1"/>
  <c r="G1524" i="1"/>
  <c r="H1524" i="1"/>
  <c r="G1532" i="1"/>
  <c r="G1560" i="1"/>
  <c r="H1608" i="1"/>
  <c r="G1748" i="1"/>
  <c r="H1748" i="1"/>
  <c r="G1772" i="1"/>
  <c r="H1772" i="1"/>
  <c r="G1840" i="1"/>
  <c r="H1840" i="1"/>
  <c r="G1872" i="1"/>
  <c r="G1900" i="1"/>
  <c r="H1900" i="1"/>
  <c r="G1968" i="1"/>
  <c r="G2000" i="1"/>
  <c r="G2064" i="1"/>
  <c r="H2096" i="1"/>
  <c r="G2540" i="1"/>
  <c r="G2572" i="1"/>
  <c r="G1941" i="1"/>
  <c r="H2161" i="1"/>
  <c r="G2161" i="1"/>
  <c r="H2217" i="1"/>
  <c r="G2217" i="1"/>
  <c r="H2321" i="1"/>
  <c r="G2321" i="1"/>
  <c r="H2353" i="1"/>
  <c r="G2353" i="1"/>
  <c r="H2405" i="1"/>
  <c r="G2405" i="1"/>
  <c r="G1776" i="1"/>
  <c r="H1776" i="1"/>
  <c r="H1904" i="1"/>
  <c r="G2032" i="1"/>
  <c r="H2032" i="1"/>
  <c r="H1971" i="1"/>
  <c r="G1971" i="1"/>
  <c r="G1926" i="1"/>
  <c r="H1926" i="1"/>
  <c r="G729" i="1"/>
  <c r="G877" i="1"/>
  <c r="G909" i="1"/>
  <c r="G361" i="1"/>
  <c r="H1037" i="1"/>
  <c r="G1020" i="1"/>
  <c r="H964" i="1"/>
  <c r="H1460" i="1"/>
  <c r="G1177" i="1"/>
  <c r="G1284" i="1"/>
  <c r="H1612" i="1"/>
  <c r="H1872" i="1"/>
  <c r="H2064" i="1"/>
  <c r="G2137" i="1"/>
  <c r="G1620" i="1"/>
  <c r="G1740" i="1"/>
  <c r="G2144" i="1"/>
  <c r="G1890" i="1"/>
  <c r="H137" i="1"/>
  <c r="G1221" i="1"/>
  <c r="G1121" i="1"/>
  <c r="H1517" i="1"/>
  <c r="H1581" i="1"/>
  <c r="G2319" i="1"/>
  <c r="H2442" i="1"/>
  <c r="G102" i="1"/>
  <c r="H272" i="1"/>
  <c r="G1754" i="1"/>
  <c r="G1778" i="1"/>
  <c r="G1842" i="1"/>
  <c r="G1906" i="1"/>
  <c r="H1906" i="1"/>
  <c r="G1998" i="1"/>
  <c r="H1998" i="1"/>
  <c r="H2034" i="1"/>
  <c r="H2098" i="1"/>
  <c r="G2098" i="1"/>
  <c r="H2162" i="1"/>
  <c r="G2162" i="1"/>
  <c r="G633" i="1"/>
  <c r="H633" i="1"/>
  <c r="H1033" i="1"/>
  <c r="G1033" i="1"/>
  <c r="G1165" i="1"/>
  <c r="H1165" i="1"/>
  <c r="G1393" i="1"/>
  <c r="H1393" i="1"/>
  <c r="H1453" i="1"/>
  <c r="G1453" i="1"/>
  <c r="G1569" i="1"/>
  <c r="G1673" i="1"/>
  <c r="G1697" i="1"/>
  <c r="G1765" i="1"/>
  <c r="G1885" i="1"/>
  <c r="H2233" i="1"/>
  <c r="G2233" i="1"/>
  <c r="H2257" i="1"/>
  <c r="G2257" i="1"/>
  <c r="H2325" i="1"/>
  <c r="G2325" i="1"/>
  <c r="H677" i="1"/>
  <c r="G701" i="1"/>
  <c r="H961" i="1"/>
  <c r="H1129" i="1"/>
  <c r="G1985" i="1"/>
  <c r="H1934" i="1"/>
  <c r="H2062" i="1"/>
  <c r="G2359" i="1"/>
  <c r="H2359" i="1"/>
  <c r="G2407" i="1"/>
  <c r="H2407" i="1"/>
  <c r="H1273" i="1"/>
  <c r="G1273" i="1"/>
  <c r="G1389" i="1"/>
  <c r="H1389" i="1"/>
  <c r="H1645" i="1"/>
  <c r="G1645" i="1"/>
  <c r="H2297" i="1"/>
  <c r="G2297" i="1"/>
  <c r="H764" i="1"/>
  <c r="G764" i="1"/>
  <c r="H788" i="1"/>
  <c r="G788" i="1"/>
  <c r="H988" i="1"/>
  <c r="G988" i="1"/>
  <c r="H1028" i="1"/>
  <c r="G1028" i="1"/>
  <c r="H1044" i="1"/>
  <c r="G1044" i="1"/>
  <c r="H1068" i="1"/>
  <c r="G1068" i="1"/>
  <c r="H1172" i="1"/>
  <c r="G1172" i="1"/>
  <c r="G1316" i="1"/>
  <c r="H1316" i="1"/>
  <c r="G1400" i="1"/>
  <c r="H1400" i="1"/>
  <c r="H509" i="1"/>
  <c r="H805" i="1"/>
  <c r="G772" i="1"/>
  <c r="H1308" i="1"/>
  <c r="G828" i="1"/>
  <c r="H1628" i="1"/>
  <c r="G126" i="1"/>
  <c r="H126" i="1"/>
  <c r="G728" i="1"/>
  <c r="H728" i="1"/>
  <c r="G1770" i="1"/>
  <c r="H1770" i="1"/>
  <c r="G1794" i="1"/>
  <c r="H1794" i="1"/>
  <c r="G1818" i="1"/>
  <c r="H1818" i="1"/>
  <c r="H2050" i="1"/>
  <c r="G2050" i="1"/>
  <c r="H2106" i="1"/>
  <c r="G2106" i="1"/>
  <c r="H2146" i="1"/>
  <c r="G2146" i="1"/>
  <c r="H2210" i="1"/>
  <c r="G2210" i="1"/>
  <c r="H2370" i="1"/>
  <c r="G2370" i="1"/>
  <c r="G2430" i="1"/>
  <c r="H2430" i="1"/>
  <c r="G2458" i="1"/>
  <c r="H2458" i="1"/>
  <c r="G2474" i="1"/>
  <c r="H2474" i="1"/>
  <c r="G2506" i="1"/>
  <c r="H2506" i="1"/>
  <c r="H2538" i="1"/>
  <c r="G2538" i="1"/>
  <c r="H1257" i="1"/>
  <c r="G1257" i="1"/>
  <c r="G1671" i="1"/>
  <c r="H1671" i="1"/>
  <c r="G2501" i="1"/>
  <c r="H2501" i="1"/>
  <c r="G2565" i="1"/>
  <c r="H2565" i="1"/>
  <c r="H2107" i="1"/>
  <c r="G2107" i="1"/>
  <c r="G2463" i="1"/>
  <c r="H2463" i="1"/>
  <c r="H2575" i="1"/>
  <c r="G2575" i="1"/>
  <c r="G1181" i="1"/>
  <c r="H1813" i="1"/>
  <c r="G1813" i="1"/>
  <c r="G2054" i="1"/>
  <c r="H2054" i="1"/>
  <c r="H812" i="1"/>
  <c r="G812" i="1"/>
  <c r="H924" i="1"/>
  <c r="G1092" i="1"/>
  <c r="G1100" i="1"/>
  <c r="H1100" i="1"/>
  <c r="H1148" i="1"/>
  <c r="H1212" i="1"/>
  <c r="G1268" i="1"/>
  <c r="H1268" i="1"/>
  <c r="G2182" i="1"/>
  <c r="H2182" i="1"/>
  <c r="G27" i="1"/>
  <c r="H53" i="1"/>
  <c r="H77" i="1"/>
  <c r="H125" i="1"/>
  <c r="H257" i="1"/>
  <c r="H281" i="1"/>
  <c r="H405" i="1"/>
  <c r="G429" i="1"/>
  <c r="G545" i="1"/>
  <c r="G705" i="1"/>
  <c r="G857" i="1"/>
  <c r="G985" i="1"/>
  <c r="G457" i="1"/>
  <c r="H773" i="1"/>
  <c r="G1117" i="1"/>
  <c r="G1052" i="1"/>
  <c r="G804" i="1"/>
  <c r="G884" i="1"/>
  <c r="H1157" i="1"/>
  <c r="G385" i="1"/>
  <c r="G1289" i="1"/>
  <c r="H1424" i="1"/>
  <c r="G844" i="1"/>
  <c r="G1348" i="1"/>
  <c r="H2000" i="1"/>
  <c r="H2040" i="1"/>
  <c r="H1560" i="1"/>
  <c r="G1952" i="1"/>
  <c r="G2024" i="1"/>
  <c r="G2096" i="1"/>
  <c r="H1834" i="1"/>
  <c r="H1946" i="1"/>
  <c r="H2170" i="1"/>
  <c r="G94" i="1"/>
  <c r="G2306" i="1"/>
  <c r="H2490" i="1"/>
  <c r="H606" i="1"/>
  <c r="H1761" i="1"/>
  <c r="G1761" i="1"/>
  <c r="G2039" i="1"/>
  <c r="H2039" i="1"/>
  <c r="H1298" i="1"/>
  <c r="G1298" i="1"/>
  <c r="G1870" i="1"/>
  <c r="G1938" i="1"/>
  <c r="H1938" i="1"/>
  <c r="G1970" i="1"/>
  <c r="H1970" i="1"/>
  <c r="H2066" i="1"/>
  <c r="G2126" i="1"/>
  <c r="H2126" i="1"/>
  <c r="H2226" i="1"/>
  <c r="G2226" i="1"/>
  <c r="G2422" i="1"/>
  <c r="H2422" i="1"/>
  <c r="G1225" i="1"/>
  <c r="H1225" i="1"/>
  <c r="H1329" i="1"/>
  <c r="G1329" i="1"/>
  <c r="H1373" i="1"/>
  <c r="G1373" i="1"/>
  <c r="H1429" i="1"/>
  <c r="H1501" i="1"/>
  <c r="G1501" i="1"/>
  <c r="H5" i="1"/>
  <c r="G29" i="1"/>
  <c r="G73" i="1"/>
  <c r="H142" i="1"/>
  <c r="H294" i="1"/>
  <c r="H233" i="1"/>
  <c r="H313" i="1"/>
  <c r="G317" i="1"/>
  <c r="H565" i="1"/>
  <c r="G589" i="1"/>
  <c r="H461" i="1"/>
  <c r="G369" i="1"/>
  <c r="H638" i="1"/>
  <c r="G709" i="1"/>
  <c r="G733" i="1"/>
  <c r="G833" i="1"/>
  <c r="G881" i="1"/>
  <c r="G897" i="1"/>
  <c r="G973" i="1"/>
  <c r="H537" i="1"/>
  <c r="G1097" i="1"/>
  <c r="G1145" i="1"/>
  <c r="G900" i="1"/>
  <c r="G980" i="1"/>
  <c r="H1252" i="1"/>
  <c r="H1276" i="1"/>
  <c r="H1384" i="1"/>
  <c r="G1449" i="1"/>
  <c r="H1484" i="1"/>
  <c r="G1497" i="1"/>
  <c r="H780" i="1"/>
  <c r="G956" i="1"/>
  <c r="H1057" i="1"/>
  <c r="G1516" i="1"/>
  <c r="G1805" i="1"/>
  <c r="H1968" i="1"/>
  <c r="H2104" i="1"/>
  <c r="G2201" i="1"/>
  <c r="G1660" i="1"/>
  <c r="G1888" i="1"/>
  <c r="G2072" i="1"/>
  <c r="H1540" i="1"/>
  <c r="G1584" i="1"/>
  <c r="H1786" i="1"/>
  <c r="H1842" i="1"/>
  <c r="H1898" i="1"/>
  <c r="G1954" i="1"/>
  <c r="G2002" i="1"/>
  <c r="G2114" i="1"/>
  <c r="G2242" i="1"/>
  <c r="G2200" i="1"/>
  <c r="H2378" i="1"/>
  <c r="H2176" i="1"/>
  <c r="G467" i="1"/>
  <c r="G1140" i="1"/>
  <c r="H1557" i="1"/>
  <c r="G641" i="1"/>
  <c r="G2171" i="1"/>
  <c r="G2235" i="1"/>
  <c r="H2495" i="1"/>
  <c r="H2462" i="1"/>
  <c r="H794" i="1"/>
  <c r="H858" i="1"/>
  <c r="H874" i="1"/>
  <c r="H922" i="1"/>
  <c r="H978" i="1"/>
  <c r="H1146" i="1"/>
  <c r="H489" i="1"/>
  <c r="H941" i="1"/>
  <c r="G1185" i="1"/>
  <c r="G1082" i="1"/>
  <c r="G1210" i="1"/>
  <c r="G1782" i="1"/>
  <c r="H1782" i="1"/>
  <c r="G1802" i="1"/>
  <c r="H1802" i="1"/>
  <c r="G2142" i="1"/>
  <c r="H2142" i="1"/>
  <c r="G2214" i="1"/>
  <c r="H2214" i="1"/>
  <c r="H2330" i="1"/>
  <c r="G2330" i="1"/>
  <c r="H2566" i="1"/>
  <c r="G2566" i="1"/>
  <c r="G225" i="1"/>
  <c r="H1896" i="1"/>
  <c r="G2386" i="1"/>
  <c r="H2386" i="1"/>
  <c r="H2480" i="1"/>
  <c r="G2480" i="1"/>
  <c r="G2544" i="1"/>
  <c r="H2544" i="1"/>
  <c r="H1267" i="1"/>
  <c r="G1267" i="1"/>
  <c r="G1475" i="1"/>
  <c r="H1475" i="1"/>
  <c r="G1591" i="1"/>
  <c r="H1591" i="1"/>
  <c r="H1691" i="1"/>
  <c r="G1691" i="1"/>
  <c r="H2123" i="1"/>
  <c r="G2123" i="1"/>
  <c r="H2187" i="1"/>
  <c r="G2187" i="1"/>
  <c r="H2219" i="1"/>
  <c r="G2219" i="1"/>
  <c r="H1582" i="1"/>
  <c r="G1582" i="1"/>
  <c r="H2282" i="1"/>
  <c r="G2282" i="1"/>
  <c r="G2411" i="1"/>
  <c r="H2411" i="1"/>
  <c r="G2439" i="1"/>
  <c r="H2439" i="1"/>
  <c r="G1672" i="1"/>
  <c r="H1672" i="1"/>
  <c r="H2472" i="1"/>
  <c r="H2504" i="1"/>
  <c r="G289" i="1"/>
  <c r="G1798" i="1"/>
  <c r="G1919" i="1"/>
  <c r="H1919" i="1"/>
  <c r="G2069" i="1"/>
  <c r="H2301" i="1"/>
  <c r="G2301" i="1"/>
  <c r="G2592" i="1"/>
  <c r="H2592" i="1"/>
  <c r="G1854" i="1"/>
  <c r="H1854" i="1"/>
  <c r="G1930" i="1"/>
  <c r="H1930" i="1"/>
  <c r="G2070" i="1"/>
  <c r="H2070" i="1"/>
  <c r="H2266" i="1"/>
  <c r="G2266" i="1"/>
  <c r="G2414" i="1"/>
  <c r="H2414" i="1"/>
  <c r="H2582" i="1"/>
  <c r="G2582" i="1"/>
  <c r="H1821" i="1"/>
  <c r="H1249" i="1"/>
  <c r="G823" i="1"/>
  <c r="H823" i="1"/>
  <c r="G887" i="1"/>
  <c r="H887" i="1"/>
  <c r="H919" i="1"/>
  <c r="G919" i="1"/>
  <c r="G1503" i="1"/>
  <c r="H1503" i="1"/>
  <c r="G2103" i="1"/>
  <c r="H2103" i="1"/>
  <c r="H2155" i="1"/>
  <c r="G2155" i="1"/>
  <c r="H2195" i="1"/>
  <c r="G2195" i="1"/>
  <c r="G2231" i="1"/>
  <c r="H2231" i="1"/>
  <c r="G2387" i="1"/>
  <c r="H2387" i="1"/>
  <c r="G169" i="1"/>
  <c r="H169" i="1"/>
  <c r="H1321" i="1"/>
  <c r="G1321" i="1"/>
  <c r="H1401" i="1"/>
  <c r="G1401" i="1"/>
  <c r="H2289" i="1"/>
  <c r="G2289" i="1"/>
  <c r="G2433" i="1"/>
  <c r="H2433" i="1"/>
  <c r="H1843" i="1"/>
  <c r="G1843" i="1"/>
  <c r="G1964" i="1"/>
  <c r="H1964" i="1"/>
  <c r="H2380" i="1"/>
  <c r="G2380" i="1"/>
  <c r="H1192" i="1"/>
  <c r="G1192" i="1"/>
  <c r="G1728" i="1"/>
  <c r="H1728" i="1"/>
  <c r="G1980" i="1"/>
  <c r="H1980" i="1"/>
  <c r="G2300" i="1"/>
  <c r="H2300" i="1"/>
  <c r="H2340" i="1"/>
  <c r="G2340" i="1"/>
  <c r="G329" i="1"/>
  <c r="H1457" i="1"/>
  <c r="H1505" i="1"/>
  <c r="G1649" i="1"/>
  <c r="G1921" i="1"/>
  <c r="G3" i="1"/>
  <c r="H225" i="1"/>
  <c r="G769" i="1"/>
  <c r="H1082" i="1"/>
  <c r="H1210" i="1"/>
  <c r="G1107" i="1"/>
  <c r="G1045" i="1"/>
  <c r="H1093" i="1"/>
  <c r="G1137" i="1"/>
  <c r="G847" i="1"/>
  <c r="G975" i="1"/>
  <c r="G1249" i="1"/>
  <c r="G1377" i="1"/>
  <c r="H1444" i="1"/>
  <c r="G1589" i="1"/>
  <c r="G1296" i="1"/>
  <c r="H1335" i="1"/>
  <c r="G1605" i="1"/>
  <c r="G1621" i="1"/>
  <c r="G1749" i="1"/>
  <c r="H1852" i="1"/>
  <c r="H1924" i="1"/>
  <c r="H1948" i="1"/>
  <c r="H2132" i="1"/>
  <c r="G2241" i="1"/>
  <c r="H1259" i="1"/>
  <c r="G1680" i="1"/>
  <c r="G1972" i="1"/>
  <c r="G2108" i="1"/>
  <c r="H1327" i="1"/>
  <c r="H1375" i="1"/>
  <c r="H2364" i="1"/>
  <c r="H1527" i="1"/>
  <c r="G1115" i="1"/>
  <c r="H1798" i="1"/>
  <c r="H1830" i="1"/>
  <c r="H1894" i="1"/>
  <c r="H1958" i="1"/>
  <c r="G2022" i="1"/>
  <c r="H2086" i="1"/>
  <c r="H2390" i="1"/>
  <c r="H473" i="1"/>
  <c r="H1048" i="1"/>
  <c r="H1543" i="1"/>
  <c r="G1211" i="1"/>
  <c r="G2338" i="1"/>
  <c r="G1699" i="1"/>
  <c r="H2167" i="1"/>
  <c r="H1683" i="1"/>
  <c r="G1615" i="1"/>
  <c r="H1828" i="1"/>
  <c r="H26" i="1"/>
  <c r="H34" i="1"/>
  <c r="H42" i="1"/>
  <c r="H114" i="1"/>
  <c r="G130" i="1"/>
  <c r="H138" i="1"/>
  <c r="H146" i="1"/>
  <c r="G162" i="1"/>
  <c r="H186" i="1"/>
  <c r="H218" i="1"/>
  <c r="H282" i="1"/>
  <c r="H322" i="1"/>
  <c r="G362" i="1"/>
  <c r="H378" i="1"/>
  <c r="G386" i="1"/>
  <c r="G394" i="1"/>
  <c r="G410" i="1"/>
  <c r="H418" i="1"/>
  <c r="G426" i="1"/>
  <c r="G442" i="1"/>
  <c r="H474" i="1"/>
  <c r="G482" i="1"/>
  <c r="H498" i="1"/>
  <c r="G522" i="1"/>
  <c r="G538" i="1"/>
  <c r="H546" i="1"/>
  <c r="H562" i="1"/>
  <c r="G570" i="1"/>
  <c r="H578" i="1"/>
  <c r="G602" i="1"/>
  <c r="G610" i="1"/>
  <c r="G626" i="1"/>
  <c r="G634" i="1"/>
  <c r="G642" i="1"/>
  <c r="G650" i="1"/>
  <c r="H658" i="1"/>
  <c r="H666" i="1"/>
  <c r="H674" i="1"/>
  <c r="H682" i="1"/>
  <c r="H690" i="1"/>
  <c r="G698" i="1"/>
  <c r="G706" i="1"/>
  <c r="G730" i="1"/>
  <c r="G738" i="1"/>
  <c r="G746" i="1"/>
  <c r="H754" i="1"/>
  <c r="G23" i="1"/>
  <c r="G39" i="1"/>
  <c r="H55" i="1"/>
  <c r="G63" i="1"/>
  <c r="H71" i="1"/>
  <c r="H87" i="1"/>
  <c r="G95" i="1"/>
  <c r="H111" i="1"/>
  <c r="H119" i="1"/>
  <c r="H127" i="1"/>
  <c r="G135" i="1"/>
  <c r="H143" i="1"/>
  <c r="H159" i="1"/>
  <c r="G167" i="1"/>
  <c r="H175" i="1"/>
  <c r="H183" i="1"/>
  <c r="G199" i="1"/>
  <c r="H223" i="1"/>
  <c r="H239" i="1"/>
  <c r="G263" i="1"/>
  <c r="G271" i="1"/>
  <c r="H279" i="1"/>
  <c r="H287" i="1"/>
  <c r="G295" i="1"/>
  <c r="H303" i="1"/>
  <c r="G311" i="1"/>
  <c r="H319" i="1"/>
  <c r="G327" i="1"/>
  <c r="G343" i="1"/>
  <c r="H359" i="1"/>
  <c r="H391" i="1"/>
  <c r="G407" i="1"/>
  <c r="H423" i="1"/>
  <c r="G455" i="1"/>
  <c r="H471" i="1"/>
  <c r="H503" i="1"/>
  <c r="H519" i="1"/>
  <c r="G543" i="1"/>
  <c r="G567" i="1"/>
  <c r="G575" i="1"/>
  <c r="G583" i="1"/>
  <c r="G591" i="1"/>
  <c r="H607" i="1"/>
  <c r="G615" i="1"/>
  <c r="G631" i="1"/>
  <c r="H639" i="1"/>
  <c r="H647" i="1"/>
  <c r="H655" i="1"/>
  <c r="H671" i="1"/>
  <c r="H679" i="1"/>
  <c r="H687" i="1"/>
  <c r="H711" i="1"/>
  <c r="G719" i="1"/>
  <c r="G20" i="1"/>
  <c r="G36" i="1"/>
  <c r="H52" i="1"/>
  <c r="H60" i="1"/>
  <c r="H76" i="1"/>
  <c r="G84" i="1"/>
  <c r="G108" i="1"/>
  <c r="G116" i="1"/>
  <c r="G124" i="1"/>
  <c r="G132" i="1"/>
  <c r="H140" i="1"/>
  <c r="G148" i="1"/>
  <c r="G156" i="1"/>
  <c r="G180" i="1"/>
  <c r="H196" i="1"/>
  <c r="H204" i="1"/>
  <c r="G212" i="1"/>
  <c r="H220" i="1"/>
  <c r="H228" i="1"/>
  <c r="H236" i="1"/>
  <c r="G244" i="1"/>
  <c r="H252" i="1"/>
  <c r="G260" i="1"/>
  <c r="H268" i="1"/>
  <c r="H284" i="1"/>
  <c r="H300" i="1"/>
  <c r="G1154" i="1"/>
  <c r="G1162" i="1"/>
  <c r="G308" i="1"/>
  <c r="G324" i="1"/>
  <c r="G332" i="1"/>
  <c r="H340" i="1"/>
  <c r="H348" i="1"/>
  <c r="H388" i="1"/>
  <c r="H404" i="1"/>
  <c r="H412" i="1"/>
  <c r="G428" i="1"/>
  <c r="H436" i="1"/>
  <c r="G444" i="1"/>
  <c r="H452" i="1"/>
  <c r="H460" i="1"/>
  <c r="H484" i="1"/>
  <c r="G492" i="1"/>
  <c r="G508" i="1"/>
  <c r="G516" i="1"/>
  <c r="H524" i="1"/>
  <c r="H540" i="1"/>
  <c r="H548" i="1"/>
  <c r="H556" i="1"/>
  <c r="G564" i="1"/>
  <c r="H572" i="1"/>
  <c r="H580" i="1"/>
  <c r="H588" i="1"/>
  <c r="G596" i="1"/>
  <c r="G604" i="1"/>
  <c r="H612" i="1"/>
  <c r="G628" i="1"/>
  <c r="G636" i="1"/>
  <c r="H644" i="1"/>
  <c r="H652" i="1"/>
  <c r="H668" i="1"/>
  <c r="G676" i="1"/>
  <c r="H684" i="1"/>
  <c r="H692" i="1"/>
  <c r="H700" i="1"/>
  <c r="H708" i="1"/>
  <c r="H716" i="1"/>
  <c r="G724" i="1"/>
  <c r="H732" i="1"/>
  <c r="H740" i="1"/>
  <c r="G1310" i="1"/>
  <c r="G1326" i="1"/>
  <c r="H1334" i="1"/>
  <c r="H1358" i="1"/>
  <c r="H1366" i="1"/>
  <c r="H1374" i="1"/>
  <c r="H1382" i="1"/>
  <c r="G1390" i="1"/>
  <c r="H1398" i="1"/>
  <c r="G1406" i="1"/>
  <c r="G1414" i="1"/>
  <c r="G1422" i="1"/>
  <c r="G1438" i="1"/>
  <c r="G1454" i="1"/>
  <c r="G1462" i="1"/>
  <c r="G1470" i="1"/>
  <c r="H1478" i="1"/>
  <c r="G1486" i="1"/>
  <c r="G1494" i="1"/>
  <c r="G1502" i="1"/>
  <c r="H1518" i="1"/>
  <c r="G1546" i="1"/>
  <c r="H1554" i="1"/>
  <c r="G1570" i="1"/>
  <c r="G1578" i="1"/>
  <c r="G1590" i="1"/>
  <c r="G1606" i="1"/>
  <c r="G1614" i="1"/>
  <c r="H1630" i="1"/>
  <c r="G1646" i="1"/>
  <c r="G1662" i="1"/>
  <c r="H1678" i="1"/>
  <c r="G1686" i="1"/>
  <c r="H1702" i="1"/>
  <c r="H1710" i="1"/>
  <c r="G1734" i="1"/>
  <c r="G1758" i="1"/>
  <c r="H1933" i="1"/>
  <c r="H1953" i="1"/>
  <c r="H2013" i="1"/>
  <c r="H2045" i="1"/>
  <c r="H2149" i="1"/>
  <c r="H2165" i="1"/>
  <c r="G38" i="1"/>
  <c r="H38" i="1"/>
  <c r="G62" i="1"/>
  <c r="H62" i="1"/>
  <c r="H86" i="1"/>
  <c r="G86" i="1"/>
  <c r="G214" i="1"/>
  <c r="H214" i="1"/>
  <c r="G262" i="1"/>
  <c r="H262" i="1"/>
  <c r="H334" i="1"/>
  <c r="G334" i="1"/>
  <c r="G590" i="1"/>
  <c r="H590" i="1"/>
  <c r="G686" i="1"/>
  <c r="H686" i="1"/>
  <c r="G203" i="1"/>
  <c r="H203" i="1"/>
  <c r="G299" i="1"/>
  <c r="H299" i="1"/>
  <c r="G387" i="1"/>
  <c r="H387" i="1"/>
  <c r="G419" i="1"/>
  <c r="H419" i="1"/>
  <c r="G507" i="1"/>
  <c r="H507" i="1"/>
  <c r="H595" i="1"/>
  <c r="G595" i="1"/>
  <c r="H627" i="1"/>
  <c r="G627" i="1"/>
  <c r="H651" i="1"/>
  <c r="G651" i="1"/>
  <c r="H691" i="1"/>
  <c r="G691" i="1"/>
  <c r="H723" i="1"/>
  <c r="G723" i="1"/>
  <c r="G24" i="1"/>
  <c r="H24" i="1"/>
  <c r="G40" i="1"/>
  <c r="H40" i="1"/>
  <c r="G64" i="1"/>
  <c r="H64" i="1"/>
  <c r="G88" i="1"/>
  <c r="H88" i="1"/>
  <c r="G128" i="1"/>
  <c r="H128" i="1"/>
  <c r="H176" i="1"/>
  <c r="G176" i="1"/>
  <c r="H216" i="1"/>
  <c r="G216" i="1"/>
  <c r="G240" i="1"/>
  <c r="H240" i="1"/>
  <c r="G256" i="1"/>
  <c r="H256" i="1"/>
  <c r="G304" i="1"/>
  <c r="H304" i="1"/>
  <c r="H352" i="1"/>
  <c r="G352" i="1"/>
  <c r="H368" i="1"/>
  <c r="G368" i="1"/>
  <c r="H400" i="1"/>
  <c r="G400" i="1"/>
  <c r="H456" i="1"/>
  <c r="G456" i="1"/>
  <c r="H480" i="1"/>
  <c r="G480" i="1"/>
  <c r="H528" i="1"/>
  <c r="G528" i="1"/>
  <c r="H552" i="1"/>
  <c r="G552" i="1"/>
  <c r="H576" i="1"/>
  <c r="G576" i="1"/>
  <c r="G600" i="1"/>
  <c r="H600" i="1"/>
  <c r="H624" i="1"/>
  <c r="G624" i="1"/>
  <c r="G656" i="1"/>
  <c r="H656" i="1"/>
  <c r="G704" i="1"/>
  <c r="H704" i="1"/>
  <c r="H1641" i="1"/>
  <c r="G1641" i="1"/>
  <c r="H2316" i="1"/>
  <c r="G2316" i="1"/>
  <c r="H2542" i="1"/>
  <c r="G2542" i="1"/>
  <c r="H1402" i="1"/>
  <c r="G1402" i="1"/>
  <c r="G1490" i="1"/>
  <c r="H1490" i="1"/>
  <c r="H1514" i="1"/>
  <c r="G1514" i="1"/>
  <c r="H1542" i="1"/>
  <c r="G1542" i="1"/>
  <c r="G1658" i="1"/>
  <c r="H1658" i="1"/>
  <c r="G1682" i="1"/>
  <c r="H1682" i="1"/>
  <c r="G1706" i="1"/>
  <c r="H1706" i="1"/>
  <c r="G1714" i="1"/>
  <c r="H1714" i="1"/>
  <c r="G1836" i="1"/>
  <c r="H1836" i="1"/>
  <c r="H2227" i="1"/>
  <c r="G2227" i="1"/>
  <c r="H1175" i="1"/>
  <c r="G1175" i="1"/>
  <c r="G1191" i="1"/>
  <c r="H1191" i="1"/>
  <c r="G1247" i="1"/>
  <c r="H1247" i="1"/>
  <c r="G1255" i="1"/>
  <c r="H1255" i="1"/>
  <c r="G1283" i="1"/>
  <c r="H1283" i="1"/>
  <c r="H1299" i="1"/>
  <c r="G1299" i="1"/>
  <c r="H1323" i="1"/>
  <c r="G1323" i="1"/>
  <c r="G1395" i="1"/>
  <c r="H1395" i="1"/>
  <c r="G1507" i="1"/>
  <c r="H1507" i="1"/>
  <c r="G1555" i="1"/>
  <c r="H1555" i="1"/>
  <c r="H1703" i="1"/>
  <c r="G1703" i="1"/>
  <c r="G1727" i="1"/>
  <c r="H1727" i="1"/>
  <c r="H2590" i="1"/>
  <c r="G2590" i="1"/>
  <c r="G43" i="1"/>
  <c r="H59" i="1"/>
  <c r="H67" i="1"/>
  <c r="H75" i="1"/>
  <c r="H110" i="1"/>
  <c r="H150" i="1"/>
  <c r="H182" i="1"/>
  <c r="H91" i="1"/>
  <c r="H254" i="1"/>
  <c r="H200" i="1"/>
  <c r="G248" i="1"/>
  <c r="H288" i="1"/>
  <c r="H355" i="1"/>
  <c r="H435" i="1"/>
  <c r="H550" i="1"/>
  <c r="H614" i="1"/>
  <c r="H664" i="1"/>
  <c r="G1602" i="1"/>
  <c r="G1730" i="1"/>
  <c r="H78" i="1"/>
  <c r="H30" i="1"/>
  <c r="G22" i="1"/>
  <c r="H22" i="1"/>
  <c r="G46" i="1"/>
  <c r="H46" i="1"/>
  <c r="G70" i="1"/>
  <c r="H70" i="1"/>
  <c r="G246" i="1"/>
  <c r="H246" i="1"/>
  <c r="G318" i="1"/>
  <c r="H318" i="1"/>
  <c r="G342" i="1"/>
  <c r="H342" i="1"/>
  <c r="G598" i="1"/>
  <c r="H598" i="1"/>
  <c r="G662" i="1"/>
  <c r="H662" i="1"/>
  <c r="G710" i="1"/>
  <c r="H710" i="1"/>
  <c r="G235" i="1"/>
  <c r="H235" i="1"/>
  <c r="G339" i="1"/>
  <c r="H339" i="1"/>
  <c r="G395" i="1"/>
  <c r="H395" i="1"/>
  <c r="G499" i="1"/>
  <c r="H499" i="1"/>
  <c r="H539" i="1"/>
  <c r="G539" i="1"/>
  <c r="H563" i="1"/>
  <c r="G563" i="1"/>
  <c r="G587" i="1"/>
  <c r="H587" i="1"/>
  <c r="H611" i="1"/>
  <c r="G611" i="1"/>
  <c r="H731" i="1"/>
  <c r="G731" i="1"/>
  <c r="G32" i="1"/>
  <c r="H32" i="1"/>
  <c r="G48" i="1"/>
  <c r="H48" i="1"/>
  <c r="H72" i="1"/>
  <c r="G72" i="1"/>
  <c r="H96" i="1"/>
  <c r="G96" i="1"/>
  <c r="G120" i="1"/>
  <c r="H120" i="1"/>
  <c r="G136" i="1"/>
  <c r="H136" i="1"/>
  <c r="G160" i="1"/>
  <c r="H160" i="1"/>
  <c r="H280" i="1"/>
  <c r="G280" i="1"/>
  <c r="G344" i="1"/>
  <c r="H344" i="1"/>
  <c r="H416" i="1"/>
  <c r="G416" i="1"/>
  <c r="H448" i="1"/>
  <c r="G448" i="1"/>
  <c r="H496" i="1"/>
  <c r="G496" i="1"/>
  <c r="H512" i="1"/>
  <c r="G512" i="1"/>
  <c r="H584" i="1"/>
  <c r="G584" i="1"/>
  <c r="H616" i="1"/>
  <c r="G616" i="1"/>
  <c r="G672" i="1"/>
  <c r="H672" i="1"/>
  <c r="H696" i="1"/>
  <c r="G696" i="1"/>
  <c r="G720" i="1"/>
  <c r="H720" i="1"/>
  <c r="G736" i="1"/>
  <c r="H736" i="1"/>
  <c r="H2009" i="1"/>
  <c r="G2009" i="1"/>
  <c r="G1314" i="1"/>
  <c r="H1314" i="1"/>
  <c r="H1338" i="1"/>
  <c r="G1338" i="1"/>
  <c r="G1362" i="1"/>
  <c r="H1362" i="1"/>
  <c r="H1442" i="1"/>
  <c r="G1442" i="1"/>
  <c r="G1506" i="1"/>
  <c r="H1506" i="1"/>
  <c r="H1566" i="1"/>
  <c r="G1566" i="1"/>
  <c r="H1586" i="1"/>
  <c r="G1586" i="1"/>
  <c r="G1610" i="1"/>
  <c r="H1610" i="1"/>
  <c r="G1626" i="1"/>
  <c r="H1626" i="1"/>
  <c r="G1650" i="1"/>
  <c r="H1650" i="1"/>
  <c r="G1674" i="1"/>
  <c r="H1674" i="1"/>
  <c r="G1690" i="1"/>
  <c r="H1690" i="1"/>
  <c r="H859" i="1"/>
  <c r="G859" i="1"/>
  <c r="G1007" i="1"/>
  <c r="H1007" i="1"/>
  <c r="G1331" i="1"/>
  <c r="H1331" i="1"/>
  <c r="G1407" i="1"/>
  <c r="H1407" i="1"/>
  <c r="G1431" i="1"/>
  <c r="H1431" i="1"/>
  <c r="G1463" i="1"/>
  <c r="H1463" i="1"/>
  <c r="H1499" i="1"/>
  <c r="G1499" i="1"/>
  <c r="G1571" i="1"/>
  <c r="H1571" i="1"/>
  <c r="H1587" i="1"/>
  <c r="G1587" i="1"/>
  <c r="G1759" i="1"/>
  <c r="H1759" i="1"/>
  <c r="H2583" i="1"/>
  <c r="G2583" i="1"/>
  <c r="H2420" i="1"/>
  <c r="G2420" i="1"/>
  <c r="G35" i="1"/>
  <c r="G115" i="1"/>
  <c r="H134" i="1"/>
  <c r="G155" i="1"/>
  <c r="H174" i="1"/>
  <c r="H83" i="1"/>
  <c r="H99" i="1"/>
  <c r="G158" i="1"/>
  <c r="H222" i="1"/>
  <c r="H310" i="1"/>
  <c r="H208" i="1"/>
  <c r="G296" i="1"/>
  <c r="H371" i="1"/>
  <c r="H443" i="1"/>
  <c r="H531" i="1"/>
  <c r="H326" i="1"/>
  <c r="H571" i="1"/>
  <c r="H688" i="1"/>
  <c r="G1634" i="1"/>
  <c r="H54" i="1"/>
  <c r="H184" i="1"/>
  <c r="G168" i="1"/>
  <c r="H579" i="1"/>
  <c r="G1651" i="1"/>
  <c r="H278" i="1"/>
  <c r="G278" i="1"/>
  <c r="G558" i="1"/>
  <c r="H558" i="1"/>
  <c r="G654" i="1"/>
  <c r="H654" i="1"/>
  <c r="G678" i="1"/>
  <c r="H678" i="1"/>
  <c r="G726" i="1"/>
  <c r="H726" i="1"/>
  <c r="H147" i="1"/>
  <c r="G147" i="1"/>
  <c r="G267" i="1"/>
  <c r="H267" i="1"/>
  <c r="G363" i="1"/>
  <c r="H363" i="1"/>
  <c r="G379" i="1"/>
  <c r="H379" i="1"/>
  <c r="G555" i="1"/>
  <c r="H555" i="1"/>
  <c r="G603" i="1"/>
  <c r="H603" i="1"/>
  <c r="H619" i="1"/>
  <c r="G619" i="1"/>
  <c r="G643" i="1"/>
  <c r="H643" i="1"/>
  <c r="H707" i="1"/>
  <c r="G707" i="1"/>
  <c r="G80" i="1"/>
  <c r="H80" i="1"/>
  <c r="G112" i="1"/>
  <c r="H112" i="1"/>
  <c r="G144" i="1"/>
  <c r="H144" i="1"/>
  <c r="G192" i="1"/>
  <c r="H192" i="1"/>
  <c r="H328" i="1"/>
  <c r="G328" i="1"/>
  <c r="H336" i="1"/>
  <c r="G336" i="1"/>
  <c r="H384" i="1"/>
  <c r="G384" i="1"/>
  <c r="H408" i="1"/>
  <c r="G408" i="1"/>
  <c r="H440" i="1"/>
  <c r="G440" i="1"/>
  <c r="H488" i="1"/>
  <c r="G488" i="1"/>
  <c r="H544" i="1"/>
  <c r="G544" i="1"/>
  <c r="H560" i="1"/>
  <c r="G560" i="1"/>
  <c r="H640" i="1"/>
  <c r="G640" i="1"/>
  <c r="H680" i="1"/>
  <c r="G680" i="1"/>
  <c r="H1859" i="1"/>
  <c r="G1859" i="1"/>
  <c r="H2243" i="1"/>
  <c r="G2243" i="1"/>
  <c r="H2346" i="1"/>
  <c r="G2346" i="1"/>
  <c r="G2478" i="1"/>
  <c r="H2478" i="1"/>
  <c r="H1450" i="1"/>
  <c r="G1450" i="1"/>
  <c r="G1550" i="1"/>
  <c r="H1550" i="1"/>
  <c r="H1574" i="1"/>
  <c r="G1574" i="1"/>
  <c r="G1594" i="1"/>
  <c r="H1594" i="1"/>
  <c r="G1618" i="1"/>
  <c r="H1618" i="1"/>
  <c r="G1642" i="1"/>
  <c r="H1642" i="1"/>
  <c r="G1722" i="1"/>
  <c r="H1722" i="1"/>
  <c r="H1956" i="1"/>
  <c r="G1956" i="1"/>
  <c r="H795" i="1"/>
  <c r="G795" i="1"/>
  <c r="H923" i="1"/>
  <c r="G923" i="1"/>
  <c r="H1039" i="1"/>
  <c r="G1039" i="1"/>
  <c r="G1079" i="1"/>
  <c r="H1079" i="1"/>
  <c r="G1143" i="1"/>
  <c r="H1143" i="1"/>
  <c r="G1183" i="1"/>
  <c r="H1183" i="1"/>
  <c r="H1215" i="1"/>
  <c r="G1215" i="1"/>
  <c r="H1239" i="1"/>
  <c r="G1239" i="1"/>
  <c r="G1291" i="1"/>
  <c r="H1291" i="1"/>
  <c r="H1387" i="1"/>
  <c r="G1387" i="1"/>
  <c r="G1439" i="1"/>
  <c r="H1439" i="1"/>
  <c r="G1455" i="1"/>
  <c r="H1455" i="1"/>
  <c r="G1471" i="1"/>
  <c r="H1471" i="1"/>
  <c r="H1563" i="1"/>
  <c r="G1563" i="1"/>
  <c r="G1687" i="1"/>
  <c r="H1687" i="1"/>
  <c r="G11" i="1"/>
  <c r="G19" i="1"/>
  <c r="G123" i="1"/>
  <c r="H190" i="1"/>
  <c r="H230" i="1"/>
  <c r="H286" i="1"/>
  <c r="H224" i="1"/>
  <c r="H264" i="1"/>
  <c r="H403" i="1"/>
  <c r="H475" i="1"/>
  <c r="G432" i="1"/>
  <c r="G520" i="1"/>
  <c r="H582" i="1"/>
  <c r="H718" i="1"/>
  <c r="G659" i="1"/>
  <c r="G987" i="1"/>
  <c r="G712" i="1"/>
  <c r="H991" i="1"/>
  <c r="G2077" i="1"/>
  <c r="H1339" i="1"/>
  <c r="G1666" i="1"/>
  <c r="H56" i="1"/>
  <c r="H118" i="1"/>
  <c r="H302" i="1"/>
  <c r="H502" i="1"/>
  <c r="H534" i="1"/>
  <c r="H646" i="1"/>
  <c r="H702" i="1"/>
  <c r="H750" i="1"/>
  <c r="G131" i="1"/>
  <c r="G163" i="1"/>
  <c r="H331" i="1"/>
  <c r="H451" i="1"/>
  <c r="H483" i="1"/>
  <c r="H515" i="1"/>
  <c r="G547" i="1"/>
  <c r="G683" i="1"/>
  <c r="G715" i="1"/>
  <c r="H152" i="1"/>
  <c r="H608" i="1"/>
  <c r="G2485" i="1"/>
  <c r="H2485" i="1"/>
  <c r="G15" i="1"/>
  <c r="G50" i="1"/>
  <c r="G66" i="1"/>
  <c r="G82" i="1"/>
  <c r="G90" i="1"/>
  <c r="G98" i="1"/>
  <c r="G146" i="1"/>
  <c r="H234" i="1"/>
  <c r="G290" i="1"/>
  <c r="G314" i="1"/>
  <c r="G418" i="1"/>
  <c r="G434" i="1"/>
  <c r="G458" i="1"/>
  <c r="G514" i="1"/>
  <c r="G758" i="1"/>
  <c r="H766" i="1"/>
  <c r="G774" i="1"/>
  <c r="G782" i="1"/>
  <c r="G790" i="1"/>
  <c r="H806" i="1"/>
  <c r="G822" i="1"/>
  <c r="H830" i="1"/>
  <c r="G838" i="1"/>
  <c r="G846" i="1"/>
  <c r="G854" i="1"/>
  <c r="G862" i="1"/>
  <c r="H870" i="1"/>
  <c r="H878" i="1"/>
  <c r="G886" i="1"/>
  <c r="H894" i="1"/>
  <c r="G902" i="1"/>
  <c r="G910" i="1"/>
  <c r="G918" i="1"/>
  <c r="G926" i="1"/>
  <c r="H934" i="1"/>
  <c r="G942" i="1"/>
  <c r="G950" i="1"/>
  <c r="H958" i="1"/>
  <c r="G966" i="1"/>
  <c r="H974" i="1"/>
  <c r="H982" i="1"/>
  <c r="H990" i="1"/>
  <c r="G998" i="1"/>
  <c r="G1006" i="1"/>
  <c r="G1014" i="1"/>
  <c r="G1030" i="1"/>
  <c r="H1062" i="1"/>
  <c r="G1078" i="1"/>
  <c r="H1086" i="1"/>
  <c r="G1094" i="1"/>
  <c r="H1110" i="1"/>
  <c r="H1126" i="1"/>
  <c r="H1134" i="1"/>
  <c r="G794" i="1"/>
  <c r="G802" i="1"/>
  <c r="G810" i="1"/>
  <c r="G858" i="1"/>
  <c r="G866" i="1"/>
  <c r="G874" i="1"/>
  <c r="G922" i="1"/>
  <c r="G930" i="1"/>
  <c r="G938" i="1"/>
  <c r="G962" i="1"/>
  <c r="G978" i="1"/>
  <c r="G986" i="1"/>
  <c r="G1090" i="1"/>
  <c r="G1098" i="1"/>
  <c r="G1106" i="1"/>
  <c r="G1146" i="1"/>
  <c r="H1250" i="1"/>
  <c r="H1274" i="1"/>
  <c r="H345" i="1"/>
  <c r="H1561" i="1"/>
  <c r="H1685" i="1"/>
  <c r="H1729" i="1"/>
  <c r="H1753" i="1"/>
  <c r="H1773" i="1"/>
  <c r="H1817" i="1"/>
  <c r="H1841" i="1"/>
  <c r="H2457" i="1"/>
  <c r="G1142" i="1"/>
  <c r="H1150" i="1"/>
  <c r="G1158" i="1"/>
  <c r="G1182" i="1"/>
  <c r="H1190" i="1"/>
  <c r="H1206" i="1"/>
  <c r="G1214" i="1"/>
  <c r="G1230" i="1"/>
  <c r="H1238" i="1"/>
  <c r="G1246" i="1"/>
  <c r="G1254" i="1"/>
  <c r="G1262" i="1"/>
  <c r="H1270" i="1"/>
  <c r="H1278" i="1"/>
  <c r="G1286" i="1"/>
  <c r="G1294" i="1"/>
  <c r="G37" i="1"/>
  <c r="G61" i="1"/>
  <c r="H85" i="1"/>
  <c r="H129" i="1"/>
  <c r="H161" i="1"/>
  <c r="G185" i="1"/>
  <c r="H209" i="1"/>
  <c r="H237" i="1"/>
  <c r="G285" i="1"/>
  <c r="H337" i="1"/>
  <c r="H357" i="1"/>
  <c r="H381" i="1"/>
  <c r="H433" i="1"/>
  <c r="H477" i="1"/>
  <c r="H505" i="1"/>
  <c r="H525" i="1"/>
  <c r="H573" i="1"/>
  <c r="G593" i="1"/>
  <c r="H725" i="1"/>
  <c r="H789" i="1"/>
  <c r="G813" i="1"/>
  <c r="G861" i="1"/>
  <c r="H885" i="1"/>
  <c r="H933" i="1"/>
  <c r="H977" i="1"/>
  <c r="H1021" i="1"/>
  <c r="G1041" i="1"/>
  <c r="G1065" i="1"/>
  <c r="G1089" i="1"/>
  <c r="H1109" i="1"/>
  <c r="H1133" i="1"/>
  <c r="G1153" i="1"/>
  <c r="H1197" i="1"/>
  <c r="G1217" i="1"/>
  <c r="H1297" i="1"/>
  <c r="H1341" i="1"/>
  <c r="G1409" i="1"/>
  <c r="H995" i="1"/>
  <c r="H1003" i="1"/>
  <c r="G1163" i="1"/>
  <c r="G1519" i="1"/>
  <c r="G1535" i="1"/>
  <c r="G1567" i="1"/>
  <c r="G1583" i="1"/>
  <c r="G1639" i="1"/>
  <c r="H1715" i="1"/>
  <c r="H1723" i="1"/>
  <c r="H1747" i="1"/>
  <c r="H1755" i="1"/>
  <c r="H1771" i="1"/>
  <c r="H1779" i="1"/>
  <c r="H1803" i="1"/>
  <c r="H1811" i="1"/>
  <c r="H1835" i="1"/>
  <c r="G1847" i="1"/>
  <c r="H1867" i="1"/>
  <c r="H1875" i="1"/>
  <c r="H1899" i="1"/>
  <c r="H1907" i="1"/>
  <c r="H1931" i="1"/>
  <c r="H1939" i="1"/>
  <c r="H1963" i="1"/>
  <c r="G1975" i="1"/>
  <c r="H1995" i="1"/>
  <c r="H2003" i="1"/>
  <c r="H2027" i="1"/>
  <c r="H2035" i="1"/>
  <c r="H2059" i="1"/>
  <c r="H2067" i="1"/>
  <c r="H1593" i="1"/>
  <c r="H1613" i="1"/>
  <c r="H1849" i="1"/>
  <c r="H1945" i="1"/>
  <c r="H1957" i="1"/>
  <c r="H1977" i="1"/>
  <c r="H2001" i="1"/>
  <c r="H2021" i="1"/>
  <c r="H2033" i="1"/>
  <c r="H2057" i="1"/>
  <c r="H2497" i="1"/>
  <c r="H2432" i="1"/>
  <c r="H2444" i="1"/>
  <c r="G213" i="1"/>
  <c r="G277" i="1"/>
  <c r="H1233" i="1"/>
  <c r="H1281" i="1"/>
  <c r="H1361" i="1"/>
  <c r="H1405" i="1"/>
  <c r="H1425" i="1"/>
  <c r="H1529" i="1"/>
  <c r="H1545" i="1"/>
  <c r="H1681" i="1"/>
  <c r="H1705" i="1"/>
  <c r="H1769" i="1"/>
  <c r="H1789" i="1"/>
  <c r="H1845" i="1"/>
  <c r="H1861" i="1"/>
  <c r="H1909" i="1"/>
  <c r="H2081" i="1"/>
  <c r="H2229" i="1"/>
  <c r="H2253" i="1"/>
  <c r="H2421" i="1"/>
  <c r="H2091" i="1"/>
  <c r="H1721" i="1"/>
  <c r="H1801" i="1"/>
  <c r="H1917" i="1"/>
  <c r="H1969" i="1"/>
  <c r="H1993" i="1"/>
  <c r="H2041" i="1"/>
  <c r="H2089" i="1"/>
  <c r="H1024" i="1"/>
  <c r="H1040" i="1"/>
  <c r="H1056" i="1"/>
  <c r="H1072" i="1"/>
  <c r="H1120" i="1"/>
  <c r="H1160" i="1"/>
  <c r="H1168" i="1"/>
  <c r="G1176" i="1"/>
  <c r="H1184" i="1"/>
  <c r="H1232" i="1"/>
  <c r="G21" i="1"/>
  <c r="G45" i="1"/>
  <c r="G69" i="1"/>
  <c r="H89" i="1"/>
  <c r="G113" i="1"/>
  <c r="G153" i="1"/>
  <c r="G177" i="1"/>
  <c r="H201" i="1"/>
  <c r="G221" i="1"/>
  <c r="H265" i="1"/>
  <c r="G305" i="1"/>
  <c r="H353" i="1"/>
  <c r="H397" i="1"/>
  <c r="H417" i="1"/>
  <c r="H465" i="1"/>
  <c r="H493" i="1"/>
  <c r="G513" i="1"/>
  <c r="H541" i="1"/>
  <c r="G557" i="1"/>
  <c r="G585" i="1"/>
  <c r="G609" i="1"/>
  <c r="H629" i="1"/>
  <c r="G653" i="1"/>
  <c r="H721" i="1"/>
  <c r="H741" i="1"/>
  <c r="G797" i="1"/>
  <c r="H821" i="1"/>
  <c r="H869" i="1"/>
  <c r="H945" i="1"/>
  <c r="G1005" i="1"/>
  <c r="H1029" i="1"/>
  <c r="H1061" i="1"/>
  <c r="H1085" i="1"/>
  <c r="H1113" i="1"/>
  <c r="H1149" i="1"/>
  <c r="H1173" i="1"/>
  <c r="H1201" i="1"/>
  <c r="G1229" i="1"/>
  <c r="G1313" i="1"/>
  <c r="G1369" i="1"/>
  <c r="H1397" i="1"/>
  <c r="H1417" i="1"/>
  <c r="G1433" i="1"/>
  <c r="G1441" i="1"/>
  <c r="G1473" i="1"/>
  <c r="G1489" i="1"/>
  <c r="H1521" i="1"/>
  <c r="H1537" i="1"/>
  <c r="H1585" i="1"/>
  <c r="G1609" i="1"/>
  <c r="H1625" i="1"/>
  <c r="H1669" i="1"/>
  <c r="H1693" i="1"/>
  <c r="H1713" i="1"/>
  <c r="H1757" i="1"/>
  <c r="H1777" i="1"/>
  <c r="H1797" i="1"/>
  <c r="H1833" i="1"/>
  <c r="H1853" i="1"/>
  <c r="H1873" i="1"/>
  <c r="H1905" i="1"/>
  <c r="H1961" i="1"/>
  <c r="H2073" i="1"/>
  <c r="H2085" i="1"/>
  <c r="H2109" i="1"/>
  <c r="H2441" i="1"/>
  <c r="H2521" i="1"/>
  <c r="H191" i="1"/>
  <c r="G191" i="1"/>
  <c r="G487" i="1"/>
  <c r="H487" i="1"/>
  <c r="G164" i="1"/>
  <c r="H164" i="1"/>
  <c r="G798" i="1"/>
  <c r="H798" i="1"/>
  <c r="H1046" i="1"/>
  <c r="G1046" i="1"/>
  <c r="G1070" i="1"/>
  <c r="H1070" i="1"/>
  <c r="H1174" i="1"/>
  <c r="G1174" i="1"/>
  <c r="H1302" i="1"/>
  <c r="G1302" i="1"/>
  <c r="H1538" i="1"/>
  <c r="G1538" i="1"/>
  <c r="H1598" i="1"/>
  <c r="G1598" i="1"/>
  <c r="G228" i="1"/>
  <c r="H564" i="1"/>
  <c r="G279" i="1"/>
  <c r="H1646" i="1"/>
  <c r="H82" i="1"/>
  <c r="G519" i="1"/>
  <c r="G2099" i="1"/>
  <c r="H154" i="1"/>
  <c r="G154" i="1"/>
  <c r="G242" i="1"/>
  <c r="H242" i="1"/>
  <c r="H255" i="1"/>
  <c r="G255" i="1"/>
  <c r="G375" i="1"/>
  <c r="H375" i="1"/>
  <c r="G439" i="1"/>
  <c r="H439" i="1"/>
  <c r="H551" i="1"/>
  <c r="G551" i="1"/>
  <c r="H292" i="1"/>
  <c r="G292" i="1"/>
  <c r="G356" i="1"/>
  <c r="H356" i="1"/>
  <c r="H476" i="1"/>
  <c r="G476" i="1"/>
  <c r="H660" i="1"/>
  <c r="G660" i="1"/>
  <c r="H1949" i="1"/>
  <c r="G1949" i="1"/>
  <c r="G1102" i="1"/>
  <c r="H1102" i="1"/>
  <c r="G1118" i="1"/>
  <c r="H1118" i="1"/>
  <c r="G1222" i="1"/>
  <c r="H1222" i="1"/>
  <c r="H1430" i="1"/>
  <c r="G1430" i="1"/>
  <c r="H1622" i="1"/>
  <c r="G1622" i="1"/>
  <c r="G1638" i="1"/>
  <c r="H1638" i="1"/>
  <c r="G1654" i="1"/>
  <c r="H1654" i="1"/>
  <c r="G1670" i="1"/>
  <c r="H1670" i="1"/>
  <c r="H1694" i="1"/>
  <c r="G1694" i="1"/>
  <c r="G1718" i="1"/>
  <c r="H1718" i="1"/>
  <c r="G1726" i="1"/>
  <c r="H1726" i="1"/>
  <c r="G1742" i="1"/>
  <c r="H1742" i="1"/>
  <c r="G1750" i="1"/>
  <c r="H1750" i="1"/>
  <c r="H1766" i="1"/>
  <c r="G1766" i="1"/>
  <c r="H39" i="1"/>
  <c r="H602" i="1"/>
  <c r="H1078" i="1"/>
  <c r="H1182" i="1"/>
  <c r="G220" i="1"/>
  <c r="G548" i="1"/>
  <c r="G1828" i="1"/>
  <c r="G652" i="1"/>
  <c r="H1578" i="1"/>
  <c r="H1686" i="1"/>
  <c r="G143" i="1"/>
  <c r="H343" i="1"/>
  <c r="G223" i="1"/>
  <c r="H926" i="1"/>
  <c r="H1230" i="1"/>
  <c r="G580" i="1"/>
  <c r="G484" i="1"/>
  <c r="G140" i="1"/>
  <c r="G284" i="1"/>
  <c r="G388" i="1"/>
  <c r="G687" i="1"/>
  <c r="G1554" i="1"/>
  <c r="H1546" i="1"/>
  <c r="H1606" i="1"/>
  <c r="H1662" i="1"/>
  <c r="G1702" i="1"/>
  <c r="H1758" i="1"/>
  <c r="G556" i="1"/>
  <c r="H604" i="1"/>
  <c r="G1374" i="1"/>
  <c r="H1502" i="1"/>
  <c r="G639" i="1"/>
  <c r="G1278" i="1"/>
  <c r="G1382" i="1"/>
  <c r="H122" i="1"/>
  <c r="G122" i="1"/>
  <c r="G210" i="1"/>
  <c r="H210" i="1"/>
  <c r="G274" i="1"/>
  <c r="H274" i="1"/>
  <c r="G306" i="1"/>
  <c r="H306" i="1"/>
  <c r="G338" i="1"/>
  <c r="H338" i="1"/>
  <c r="H506" i="1"/>
  <c r="G506" i="1"/>
  <c r="H151" i="1"/>
  <c r="G151" i="1"/>
  <c r="G172" i="1"/>
  <c r="H172" i="1"/>
  <c r="H420" i="1"/>
  <c r="G420" i="1"/>
  <c r="G620" i="1"/>
  <c r="H620" i="1"/>
  <c r="G1522" i="1"/>
  <c r="H1522" i="1"/>
  <c r="G1022" i="1"/>
  <c r="H1022" i="1"/>
  <c r="G1038" i="1"/>
  <c r="H1038" i="1"/>
  <c r="G1054" i="1"/>
  <c r="H1054" i="1"/>
  <c r="G1166" i="1"/>
  <c r="H1166" i="1"/>
  <c r="H1350" i="1"/>
  <c r="G1350" i="1"/>
  <c r="G1530" i="1"/>
  <c r="H1530" i="1"/>
  <c r="G1562" i="1"/>
  <c r="H1562" i="1"/>
  <c r="H327" i="1"/>
  <c r="H455" i="1"/>
  <c r="H260" i="1"/>
  <c r="H634" i="1"/>
  <c r="H650" i="1"/>
  <c r="H1214" i="1"/>
  <c r="G692" i="1"/>
  <c r="G668" i="1"/>
  <c r="G1710" i="1"/>
  <c r="H628" i="1"/>
  <c r="G1086" i="1"/>
  <c r="G1206" i="1"/>
  <c r="H615" i="1"/>
  <c r="G18" i="1"/>
  <c r="H18" i="1"/>
  <c r="G34" i="1"/>
  <c r="G42" i="1"/>
  <c r="H50" i="1"/>
  <c r="H58" i="1"/>
  <c r="G58" i="1"/>
  <c r="H66" i="1"/>
  <c r="G74" i="1"/>
  <c r="H74" i="1"/>
  <c r="H90" i="1"/>
  <c r="H98" i="1"/>
  <c r="H106" i="1"/>
  <c r="G106" i="1"/>
  <c r="H130" i="1"/>
  <c r="G138" i="1"/>
  <c r="H162" i="1"/>
  <c r="G170" i="1"/>
  <c r="H170" i="1"/>
  <c r="G186" i="1"/>
  <c r="H194" i="1"/>
  <c r="G194" i="1"/>
  <c r="G202" i="1"/>
  <c r="H202" i="1"/>
  <c r="G226" i="1"/>
  <c r="H226" i="1"/>
  <c r="G234" i="1"/>
  <c r="H250" i="1"/>
  <c r="G250" i="1"/>
  <c r="H258" i="1"/>
  <c r="G258" i="1"/>
  <c r="G266" i="1"/>
  <c r="H266" i="1"/>
  <c r="G282" i="1"/>
  <c r="H290" i="1"/>
  <c r="G298" i="1"/>
  <c r="H314" i="1"/>
  <c r="G330" i="1"/>
  <c r="H346" i="1"/>
  <c r="H354" i="1"/>
  <c r="G354" i="1"/>
  <c r="G370" i="1"/>
  <c r="H370" i="1"/>
  <c r="G378" i="1"/>
  <c r="H386" i="1"/>
  <c r="G402" i="1"/>
  <c r="H402" i="1"/>
  <c r="H410" i="1"/>
  <c r="H450" i="1"/>
  <c r="G450" i="1"/>
  <c r="G466" i="1"/>
  <c r="H466" i="1"/>
  <c r="G490" i="1"/>
  <c r="H490" i="1"/>
  <c r="G498" i="1"/>
  <c r="H514" i="1"/>
  <c r="H522" i="1"/>
  <c r="G530" i="1"/>
  <c r="H530" i="1"/>
  <c r="G546" i="1"/>
  <c r="G554" i="1"/>
  <c r="H554" i="1"/>
  <c r="G562" i="1"/>
  <c r="H570" i="1"/>
  <c r="G578" i="1"/>
  <c r="G586" i="1"/>
  <c r="G594" i="1"/>
  <c r="H594" i="1"/>
  <c r="H610" i="1"/>
  <c r="G618" i="1"/>
  <c r="H626" i="1"/>
  <c r="H642" i="1"/>
  <c r="G658" i="1"/>
  <c r="G666" i="1"/>
  <c r="G674" i="1"/>
  <c r="G682" i="1"/>
  <c r="G690" i="1"/>
  <c r="G714" i="1"/>
  <c r="H714" i="1"/>
  <c r="G722" i="1"/>
  <c r="H722" i="1"/>
  <c r="G754" i="1"/>
  <c r="G31" i="1"/>
  <c r="G47" i="1"/>
  <c r="H47" i="1"/>
  <c r="G55" i="1"/>
  <c r="H63" i="1"/>
  <c r="G71" i="1"/>
  <c r="H79" i="1"/>
  <c r="G79" i="1"/>
  <c r="G87" i="1"/>
  <c r="H95" i="1"/>
  <c r="H103" i="1"/>
  <c r="G111" i="1"/>
  <c r="G119" i="1"/>
  <c r="G159" i="1"/>
  <c r="H207" i="1"/>
  <c r="H215" i="1"/>
  <c r="H231" i="1"/>
  <c r="H247" i="1"/>
  <c r="H311" i="1"/>
  <c r="H567" i="1"/>
  <c r="H591" i="1"/>
  <c r="G607" i="1"/>
  <c r="G663" i="1"/>
  <c r="G695" i="1"/>
  <c r="H703" i="1"/>
  <c r="H727" i="1"/>
  <c r="G28" i="1"/>
  <c r="G44" i="1"/>
  <c r="G52" i="1"/>
  <c r="G68" i="1"/>
  <c r="H84" i="1"/>
  <c r="G92" i="1"/>
  <c r="H100" i="1"/>
  <c r="H316" i="1"/>
  <c r="H372" i="1"/>
  <c r="G207" i="1"/>
  <c r="G215" i="1"/>
  <c r="H28" i="1"/>
  <c r="G231" i="1"/>
  <c r="H2494" i="1"/>
  <c r="G1055" i="1"/>
  <c r="H1055" i="1"/>
  <c r="G175" i="1"/>
  <c r="G183" i="1"/>
  <c r="H199" i="1"/>
  <c r="G239" i="1"/>
  <c r="G247" i="1"/>
  <c r="H263" i="1"/>
  <c r="H271" i="1"/>
  <c r="H295" i="1"/>
  <c r="G319" i="1"/>
  <c r="G335" i="1"/>
  <c r="H335" i="1"/>
  <c r="G351" i="1"/>
  <c r="H351" i="1"/>
  <c r="G359" i="1"/>
  <c r="G367" i="1"/>
  <c r="H367" i="1"/>
  <c r="G383" i="1"/>
  <c r="H383" i="1"/>
  <c r="G391" i="1"/>
  <c r="G399" i="1"/>
  <c r="H399" i="1"/>
  <c r="G415" i="1"/>
  <c r="H415" i="1"/>
  <c r="G423" i="1"/>
  <c r="G431" i="1"/>
  <c r="H431" i="1"/>
  <c r="G447" i="1"/>
  <c r="H447" i="1"/>
  <c r="G463" i="1"/>
  <c r="H463" i="1"/>
  <c r="G471" i="1"/>
  <c r="G479" i="1"/>
  <c r="H479" i="1"/>
  <c r="G495" i="1"/>
  <c r="H495" i="1"/>
  <c r="G503" i="1"/>
  <c r="G511" i="1"/>
  <c r="H511" i="1"/>
  <c r="G527" i="1"/>
  <c r="H527" i="1"/>
  <c r="G535" i="1"/>
  <c r="H559" i="1"/>
  <c r="H583" i="1"/>
  <c r="H599" i="1"/>
  <c r="G599" i="1"/>
  <c r="G647" i="1"/>
  <c r="G655" i="1"/>
  <c r="H663" i="1"/>
  <c r="H695" i="1"/>
  <c r="G703" i="1"/>
  <c r="G727" i="1"/>
  <c r="H20" i="1"/>
  <c r="H36" i="1"/>
  <c r="H44" i="1"/>
  <c r="H92" i="1"/>
  <c r="G100" i="1"/>
  <c r="H108" i="1"/>
  <c r="H124" i="1"/>
  <c r="H132" i="1"/>
  <c r="H156" i="1"/>
  <c r="H180" i="1"/>
  <c r="G188" i="1"/>
  <c r="H212" i="1"/>
  <c r="H244" i="1"/>
  <c r="G252" i="1"/>
  <c r="H276" i="1"/>
  <c r="H308" i="1"/>
  <c r="G316" i="1"/>
  <c r="H324" i="1"/>
  <c r="H332" i="1"/>
  <c r="G340" i="1"/>
  <c r="G348" i="1"/>
  <c r="H364" i="1"/>
  <c r="G372" i="1"/>
  <c r="H396" i="1"/>
  <c r="G396" i="1"/>
  <c r="G404" i="1"/>
  <c r="H428" i="1"/>
  <c r="G436" i="1"/>
  <c r="G452" i="1"/>
  <c r="G460" i="1"/>
  <c r="H516" i="1"/>
  <c r="G524" i="1"/>
  <c r="G572" i="1"/>
  <c r="G588" i="1"/>
  <c r="G612" i="1"/>
  <c r="H676" i="1"/>
  <c r="G684" i="1"/>
  <c r="H724" i="1"/>
  <c r="H1310" i="1"/>
  <c r="G1318" i="1"/>
  <c r="H1342" i="1"/>
  <c r="G1358" i="1"/>
  <c r="H1438" i="1"/>
  <c r="H1446" i="1"/>
  <c r="H1454" i="1"/>
  <c r="H1462" i="1"/>
  <c r="G1478" i="1"/>
  <c r="H1510" i="1"/>
  <c r="G1518" i="1"/>
  <c r="G1119" i="1"/>
  <c r="G1135" i="1"/>
  <c r="H1271" i="1"/>
  <c r="G1355" i="1"/>
  <c r="G1167" i="1"/>
  <c r="G1315" i="1"/>
  <c r="G1363" i="1"/>
  <c r="G2361" i="1"/>
  <c r="G2464" i="1"/>
  <c r="G2425" i="1"/>
  <c r="H2425" i="1"/>
  <c r="G2517" i="1"/>
  <c r="H2517" i="1"/>
  <c r="H2528" i="1"/>
  <c r="G2528" i="1"/>
  <c r="H1318" i="1"/>
  <c r="G1334" i="1"/>
  <c r="G1398" i="1"/>
  <c r="H1406" i="1"/>
  <c r="G1446" i="1"/>
  <c r="H1486" i="1"/>
  <c r="H1494" i="1"/>
  <c r="G1510" i="1"/>
  <c r="G2426" i="1"/>
  <c r="H2426" i="1"/>
  <c r="G2454" i="1"/>
  <c r="H2454" i="1"/>
  <c r="G2470" i="1"/>
  <c r="H2470" i="1"/>
  <c r="G2486" i="1"/>
  <c r="H2486" i="1"/>
  <c r="G2502" i="1"/>
  <c r="H2502" i="1"/>
  <c r="G2518" i="1"/>
  <c r="H2518" i="1"/>
  <c r="G2534" i="1"/>
  <c r="H2534" i="1"/>
  <c r="G1774" i="1"/>
  <c r="G1838" i="1"/>
  <c r="G1902" i="1"/>
  <c r="G1966" i="1"/>
  <c r="G2030" i="1"/>
  <c r="G2094" i="1"/>
  <c r="G2302" i="1"/>
  <c r="G2310" i="1"/>
  <c r="G2366" i="1"/>
  <c r="H2374" i="1"/>
  <c r="H1445" i="1"/>
  <c r="H1461" i="1"/>
  <c r="H1477" i="1"/>
  <c r="H1493" i="1"/>
  <c r="H1541" i="1"/>
  <c r="H1573" i="1"/>
  <c r="H1657" i="1"/>
  <c r="H1793" i="1"/>
  <c r="H1829" i="1"/>
  <c r="H1857" i="1"/>
  <c r="H1877" i="1"/>
  <c r="H1893" i="1"/>
  <c r="H763" i="1"/>
  <c r="H771" i="1"/>
  <c r="H779" i="1"/>
  <c r="H827" i="1"/>
  <c r="H835" i="1"/>
  <c r="H843" i="1"/>
  <c r="H891" i="1"/>
  <c r="H899" i="1"/>
  <c r="H907" i="1"/>
  <c r="H939" i="1"/>
  <c r="H955" i="1"/>
  <c r="H963" i="1"/>
  <c r="G1015" i="1"/>
  <c r="G1127" i="1"/>
  <c r="H1603" i="1"/>
  <c r="H1627" i="1"/>
  <c r="H1659" i="1"/>
  <c r="G1679" i="1"/>
  <c r="H1695" i="1"/>
  <c r="G1735" i="1"/>
  <c r="G1767" i="1"/>
  <c r="H1787" i="1"/>
  <c r="G1823" i="1"/>
  <c r="H1851" i="1"/>
  <c r="G1887" i="1"/>
  <c r="H1915" i="1"/>
  <c r="G1951" i="1"/>
  <c r="H1979" i="1"/>
  <c r="G2015" i="1"/>
  <c r="H2043" i="1"/>
  <c r="G2079" i="1"/>
  <c r="G133" i="1"/>
  <c r="G205" i="1"/>
  <c r="G229" i="1"/>
  <c r="H253" i="1"/>
  <c r="G309" i="1"/>
  <c r="H437" i="1"/>
  <c r="H485" i="1"/>
  <c r="G613" i="1"/>
  <c r="H637" i="1"/>
  <c r="G781" i="1"/>
  <c r="G829" i="1"/>
  <c r="H901" i="1"/>
  <c r="H1013" i="1"/>
  <c r="H1181" i="1"/>
  <c r="H1205" i="1"/>
  <c r="H1357" i="1"/>
  <c r="H1601" i="1"/>
  <c r="H1737" i="1"/>
  <c r="H1981" i="1"/>
  <c r="H1084" i="1"/>
  <c r="H1092" i="1"/>
  <c r="G1108" i="1"/>
  <c r="G1148" i="1"/>
  <c r="G1188" i="1"/>
  <c r="G2272" i="1"/>
  <c r="G2280" i="1"/>
  <c r="G2304" i="1"/>
  <c r="G2312" i="1"/>
  <c r="G2336" i="1"/>
  <c r="G2344" i="1"/>
  <c r="G2368" i="1"/>
  <c r="H2376" i="1"/>
  <c r="G806" i="1"/>
  <c r="G814" i="1"/>
  <c r="G870" i="1"/>
  <c r="G878" i="1"/>
  <c r="G934" i="1"/>
  <c r="G974" i="1"/>
  <c r="G982" i="1"/>
  <c r="G1198" i="1"/>
  <c r="G1270" i="1"/>
  <c r="H109" i="1"/>
  <c r="G2283" i="1"/>
  <c r="G2291" i="1"/>
  <c r="H1889" i="1"/>
  <c r="H2017" i="1"/>
  <c r="G206" i="1"/>
  <c r="G238" i="1"/>
  <c r="G270" i="1"/>
  <c r="G302" i="1"/>
  <c r="G350" i="1"/>
  <c r="G366" i="1"/>
  <c r="G374" i="1"/>
  <c r="G382" i="1"/>
  <c r="G398" i="1"/>
  <c r="G406" i="1"/>
  <c r="G414" i="1"/>
  <c r="G430" i="1"/>
  <c r="G438" i="1"/>
  <c r="G446" i="1"/>
  <c r="G454" i="1"/>
  <c r="G462" i="1"/>
  <c r="G478" i="1"/>
  <c r="G486" i="1"/>
  <c r="G494" i="1"/>
  <c r="G510" i="1"/>
  <c r="G518" i="1"/>
  <c r="G526" i="1"/>
  <c r="G566" i="1"/>
  <c r="G622" i="1"/>
  <c r="G630" i="1"/>
  <c r="G646" i="1"/>
  <c r="G670" i="1"/>
  <c r="G742" i="1"/>
  <c r="G750" i="1"/>
  <c r="H107" i="1"/>
  <c r="H131" i="1"/>
  <c r="H139" i="1"/>
  <c r="H163" i="1"/>
  <c r="H171" i="1"/>
  <c r="G187" i="1"/>
  <c r="G219" i="1"/>
  <c r="G251" i="1"/>
  <c r="G283" i="1"/>
  <c r="G315" i="1"/>
  <c r="H323" i="1"/>
  <c r="G331" i="1"/>
  <c r="G347" i="1"/>
  <c r="G411" i="1"/>
  <c r="G427" i="1"/>
  <c r="G451" i="1"/>
  <c r="G459" i="1"/>
  <c r="G483" i="1"/>
  <c r="G491" i="1"/>
  <c r="G515" i="1"/>
  <c r="G523" i="1"/>
  <c r="H547" i="1"/>
  <c r="H667" i="1"/>
  <c r="H675" i="1"/>
  <c r="H683" i="1"/>
  <c r="H715" i="1"/>
  <c r="G320" i="1"/>
  <c r="H360" i="1"/>
  <c r="H392" i="1"/>
  <c r="H424" i="1"/>
  <c r="H472" i="1"/>
  <c r="H504" i="1"/>
  <c r="H536" i="1"/>
  <c r="G608" i="1"/>
  <c r="G762" i="1"/>
  <c r="G770" i="1"/>
  <c r="G778" i="1"/>
  <c r="G786" i="1"/>
  <c r="G818" i="1"/>
  <c r="G826" i="1"/>
  <c r="G834" i="1"/>
  <c r="G842" i="1"/>
  <c r="G850" i="1"/>
  <c r="G882" i="1"/>
  <c r="G890" i="1"/>
  <c r="G898" i="1"/>
  <c r="G906" i="1"/>
  <c r="G914" i="1"/>
  <c r="G946" i="1"/>
  <c r="G954" i="1"/>
  <c r="G970" i="1"/>
  <c r="G994" i="1"/>
  <c r="G1002" i="1"/>
  <c r="G1010" i="1"/>
  <c r="G1018" i="1"/>
  <c r="G1026" i="1"/>
  <c r="G1034" i="1"/>
  <c r="G1042" i="1"/>
  <c r="G1050" i="1"/>
  <c r="G1058" i="1"/>
  <c r="G1066" i="1"/>
  <c r="G1074" i="1"/>
  <c r="G1114" i="1"/>
  <c r="G1122" i="1"/>
  <c r="G1130" i="1"/>
  <c r="G1170" i="1"/>
  <c r="G1186" i="1"/>
  <c r="G1202" i="1"/>
  <c r="G1218" i="1"/>
  <c r="G1226" i="1"/>
  <c r="G1250" i="1"/>
  <c r="H1258" i="1"/>
  <c r="H1322" i="1"/>
  <c r="H1354" i="1"/>
  <c r="G1378" i="1"/>
  <c r="H1386" i="1"/>
  <c r="H1434" i="1"/>
  <c r="H1466" i="1"/>
  <c r="H1482" i="1"/>
  <c r="H1498" i="1"/>
  <c r="H1558" i="1"/>
  <c r="G2270" i="1"/>
  <c r="G2278" i="1"/>
  <c r="G2334" i="1"/>
  <c r="G2342" i="1"/>
  <c r="H325" i="1"/>
  <c r="H1285" i="1"/>
  <c r="H1469" i="1"/>
  <c r="H1485" i="1"/>
  <c r="H1533" i="1"/>
  <c r="H1553" i="1"/>
  <c r="H1569" i="1"/>
  <c r="H1673" i="1"/>
  <c r="H1765" i="1"/>
  <c r="H1825" i="1"/>
  <c r="H1837" i="1"/>
  <c r="H1869" i="1"/>
  <c r="H1901" i="1"/>
  <c r="H1925" i="1"/>
  <c r="H2093" i="1"/>
  <c r="H2157" i="1"/>
  <c r="H2476" i="1"/>
  <c r="H2536" i="1"/>
  <c r="H329" i="1"/>
  <c r="H1649" i="1"/>
  <c r="H1733" i="1"/>
  <c r="H1921" i="1"/>
  <c r="H1985" i="1"/>
  <c r="H2049" i="1"/>
  <c r="H1913" i="1"/>
  <c r="H1989" i="1"/>
  <c r="H2025" i="1"/>
  <c r="H2065" i="1"/>
  <c r="H1011" i="1"/>
  <c r="H1179" i="1"/>
  <c r="H1731" i="1"/>
  <c r="H1739" i="1"/>
  <c r="H1763" i="1"/>
  <c r="H1795" i="1"/>
  <c r="H1819" i="1"/>
  <c r="H1827" i="1"/>
  <c r="G1855" i="1"/>
  <c r="H1883" i="1"/>
  <c r="H1891" i="1"/>
  <c r="H1923" i="1"/>
  <c r="H1947" i="1"/>
  <c r="H1955" i="1"/>
  <c r="G1983" i="1"/>
  <c r="H2011" i="1"/>
  <c r="H2019" i="1"/>
  <c r="H2051" i="1"/>
  <c r="H2075" i="1"/>
  <c r="H2083" i="1"/>
  <c r="G2347" i="1"/>
  <c r="G2355" i="1"/>
  <c r="G269" i="1"/>
  <c r="G293" i="1"/>
  <c r="G625" i="1"/>
  <c r="H1629" i="1"/>
  <c r="H1677" i="1"/>
  <c r="G1994" i="1"/>
  <c r="H744" i="1"/>
  <c r="H800" i="1"/>
  <c r="H808" i="1"/>
  <c r="H864" i="1"/>
  <c r="H872" i="1"/>
  <c r="H928" i="1"/>
  <c r="H936" i="1"/>
  <c r="H976" i="1"/>
  <c r="H984" i="1"/>
  <c r="G1080" i="1"/>
  <c r="H1088" i="1"/>
  <c r="H1096" i="1"/>
  <c r="H1104" i="1"/>
  <c r="G1144" i="1"/>
  <c r="G1200" i="1"/>
  <c r="H1208" i="1"/>
  <c r="H1272" i="1"/>
  <c r="G1328" i="1"/>
  <c r="H1372" i="1"/>
  <c r="G1380" i="1"/>
  <c r="G1412" i="1"/>
  <c r="H1420" i="1"/>
  <c r="G1472" i="1"/>
  <c r="G1528" i="1"/>
  <c r="G1536" i="1"/>
  <c r="G1588" i="1"/>
  <c r="G1616" i="1"/>
  <c r="H1640" i="1"/>
  <c r="G1664" i="1"/>
  <c r="H1688" i="1"/>
  <c r="H1720" i="1"/>
  <c r="H1752" i="1"/>
  <c r="G1804" i="1"/>
  <c r="G1868" i="1"/>
  <c r="G1932" i="1"/>
  <c r="G1996" i="1"/>
  <c r="G2060" i="1"/>
  <c r="H2440" i="1"/>
  <c r="H2508" i="1"/>
  <c r="G2568" i="1"/>
  <c r="H341" i="1"/>
  <c r="H1597" i="1"/>
  <c r="H1617" i="1"/>
  <c r="H1725" i="1"/>
  <c r="H1745" i="1"/>
  <c r="H1809" i="1"/>
  <c r="H1897" i="1"/>
  <c r="H1929" i="1"/>
  <c r="H2097" i="1"/>
  <c r="H1701" i="1"/>
  <c r="H468" i="1"/>
  <c r="G468" i="1"/>
  <c r="H500" i="1"/>
  <c r="G500" i="1"/>
  <c r="H1941" i="1"/>
  <c r="H113" i="1"/>
  <c r="H177" i="1"/>
  <c r="H543" i="1"/>
  <c r="G465" i="1"/>
  <c r="H698" i="1"/>
  <c r="H706" i="1"/>
  <c r="H730" i="1"/>
  <c r="H738" i="1"/>
  <c r="H746" i="1"/>
  <c r="G541" i="1"/>
  <c r="H653" i="1"/>
  <c r="H781" i="1"/>
  <c r="H797" i="1"/>
  <c r="H813" i="1"/>
  <c r="H829" i="1"/>
  <c r="H861" i="1"/>
  <c r="H1005" i="1"/>
  <c r="G739" i="1"/>
  <c r="G803" i="1"/>
  <c r="G867" i="1"/>
  <c r="G931" i="1"/>
  <c r="G1021" i="1"/>
  <c r="H1031" i="1"/>
  <c r="G1085" i="1"/>
  <c r="H1095" i="1"/>
  <c r="G1149" i="1"/>
  <c r="G1113" i="1"/>
  <c r="G1201" i="1"/>
  <c r="G671" i="1"/>
  <c r="G1151" i="1"/>
  <c r="G1197" i="1"/>
  <c r="H1207" i="1"/>
  <c r="H1328" i="1"/>
  <c r="H1472" i="1"/>
  <c r="G1521" i="1"/>
  <c r="G1537" i="1"/>
  <c r="G1585" i="1"/>
  <c r="G700" i="1"/>
  <c r="G732" i="1"/>
  <c r="G1372" i="1"/>
  <c r="G1420" i="1"/>
  <c r="G1669" i="1"/>
  <c r="G1693" i="1"/>
  <c r="G1757" i="1"/>
  <c r="G1797" i="1"/>
  <c r="G2013" i="1"/>
  <c r="G2029" i="1"/>
  <c r="G2045" i="1"/>
  <c r="G2053" i="1"/>
  <c r="G2209" i="1"/>
  <c r="G2225" i="1"/>
  <c r="H1307" i="1"/>
  <c r="H1371" i="1"/>
  <c r="G1640" i="1"/>
  <c r="G1688" i="1"/>
  <c r="G1720" i="1"/>
  <c r="G1752" i="1"/>
  <c r="G2397" i="1"/>
  <c r="G679" i="1"/>
  <c r="G2388" i="1"/>
  <c r="H153" i="1"/>
  <c r="H1347" i="1"/>
  <c r="H1379" i="1"/>
  <c r="G209" i="1"/>
  <c r="G474" i="1"/>
  <c r="G201" i="1"/>
  <c r="G265" i="1"/>
  <c r="H1103" i="1"/>
  <c r="H1369" i="1"/>
  <c r="H1433" i="1"/>
  <c r="G629" i="1"/>
  <c r="G1238" i="1"/>
  <c r="H1326" i="1"/>
  <c r="H1246" i="1"/>
  <c r="G1062" i="1"/>
  <c r="H1294" i="1"/>
  <c r="H1422" i="1"/>
  <c r="H1254" i="1"/>
  <c r="H1799" i="1"/>
  <c r="H1831" i="1"/>
  <c r="H1863" i="1"/>
  <c r="H1895" i="1"/>
  <c r="H1927" i="1"/>
  <c r="H1959" i="1"/>
  <c r="H1991" i="1"/>
  <c r="H2023" i="1"/>
  <c r="H2055" i="1"/>
  <c r="H2087" i="1"/>
  <c r="H2119" i="1"/>
  <c r="H2151" i="1"/>
  <c r="H2183" i="1"/>
  <c r="H2215" i="1"/>
  <c r="H2471" i="1"/>
  <c r="H2535" i="1"/>
  <c r="G2558" i="1"/>
  <c r="H102" i="1"/>
  <c r="G358" i="1"/>
  <c r="G390" i="1"/>
  <c r="G422" i="1"/>
  <c r="G470" i="1"/>
  <c r="G502" i="1"/>
  <c r="G534" i="1"/>
  <c r="G702" i="1"/>
  <c r="G734" i="1"/>
  <c r="H211" i="1"/>
  <c r="G211" i="1"/>
  <c r="H243" i="1"/>
  <c r="G243" i="1"/>
  <c r="H275" i="1"/>
  <c r="G275" i="1"/>
  <c r="H307" i="1"/>
  <c r="G307" i="1"/>
  <c r="H315" i="1"/>
  <c r="H320" i="1"/>
  <c r="G766" i="1"/>
  <c r="G830" i="1"/>
  <c r="G894" i="1"/>
  <c r="G958" i="1"/>
  <c r="G990" i="1"/>
  <c r="G1110" i="1"/>
  <c r="G1126" i="1"/>
  <c r="G1134" i="1"/>
  <c r="G1150" i="1"/>
  <c r="G1190" i="1"/>
  <c r="H1286" i="1"/>
  <c r="G1346" i="1"/>
  <c r="H1346" i="1"/>
  <c r="H1370" i="1"/>
  <c r="G1394" i="1"/>
  <c r="H1394" i="1"/>
  <c r="H1418" i="1"/>
  <c r="G1458" i="1"/>
  <c r="H1458" i="1"/>
  <c r="H1526" i="1"/>
  <c r="H1534" i="1"/>
  <c r="G2318" i="1"/>
  <c r="G237" i="1"/>
  <c r="G261" i="1"/>
  <c r="H1237" i="1"/>
  <c r="H1277" i="1"/>
  <c r="H1317" i="1"/>
  <c r="H1365" i="1"/>
  <c r="H1381" i="1"/>
  <c r="H1409" i="1"/>
  <c r="H1421" i="1"/>
  <c r="H1697" i="1"/>
  <c r="H1885" i="1"/>
  <c r="H2141" i="1"/>
  <c r="H2173" i="1"/>
  <c r="H2245" i="1"/>
  <c r="H2381" i="1"/>
  <c r="H2401" i="1"/>
  <c r="H2437" i="1"/>
  <c r="H2537" i="1"/>
  <c r="G1159" i="1"/>
  <c r="G1223" i="1"/>
  <c r="H1531" i="1"/>
  <c r="H1539" i="1"/>
  <c r="G1547" i="1"/>
  <c r="H1547" i="1"/>
  <c r="H1595" i="1"/>
  <c r="H1611" i="1"/>
  <c r="H1619" i="1"/>
  <c r="H1643" i="1"/>
  <c r="H2259" i="1"/>
  <c r="H1293" i="1"/>
  <c r="H2101" i="1"/>
  <c r="H2133" i="1"/>
  <c r="H2189" i="1"/>
  <c r="H2261" i="1"/>
  <c r="H2489" i="1"/>
  <c r="H2505" i="1"/>
  <c r="H1132" i="1"/>
  <c r="G1132" i="1"/>
  <c r="H1220" i="1"/>
  <c r="G1220" i="1"/>
  <c r="H2460" i="1"/>
  <c r="H2488" i="1"/>
  <c r="H2524" i="1"/>
  <c r="G2552" i="1"/>
  <c r="G2588" i="1"/>
  <c r="G245" i="1"/>
  <c r="H1269" i="1"/>
  <c r="H1333" i="1"/>
  <c r="H1349" i="1"/>
  <c r="H1473" i="1"/>
  <c r="H1489" i="1"/>
  <c r="H1549" i="1"/>
  <c r="H1565" i="1"/>
  <c r="H1609" i="1"/>
  <c r="H2465" i="1"/>
  <c r="H2513" i="1"/>
  <c r="H623" i="1"/>
  <c r="G623" i="1"/>
  <c r="H532" i="1"/>
  <c r="G532" i="1"/>
  <c r="H21" i="1"/>
  <c r="H45" i="1"/>
  <c r="H362" i="1"/>
  <c r="H394" i="1"/>
  <c r="H426" i="1"/>
  <c r="H442" i="1"/>
  <c r="G322" i="1"/>
  <c r="G303" i="1"/>
  <c r="G433" i="1"/>
  <c r="G821" i="1"/>
  <c r="G885" i="1"/>
  <c r="H1014" i="1"/>
  <c r="H1142" i="1"/>
  <c r="G505" i="1"/>
  <c r="G747" i="1"/>
  <c r="G811" i="1"/>
  <c r="G875" i="1"/>
  <c r="G971" i="1"/>
  <c r="H1047" i="1"/>
  <c r="H1111" i="1"/>
  <c r="G573" i="1"/>
  <c r="G800" i="1"/>
  <c r="G864" i="1"/>
  <c r="G928" i="1"/>
  <c r="G976" i="1"/>
  <c r="G1071" i="1"/>
  <c r="G204" i="1"/>
  <c r="G236" i="1"/>
  <c r="G268" i="1"/>
  <c r="G300" i="1"/>
  <c r="G353" i="1"/>
  <c r="G1013" i="1"/>
  <c r="G1109" i="1"/>
  <c r="G708" i="1"/>
  <c r="G740" i="1"/>
  <c r="G1417" i="1"/>
  <c r="G1573" i="1"/>
  <c r="G1173" i="1"/>
  <c r="G1199" i="1"/>
  <c r="H1415" i="1"/>
  <c r="H1447" i="1"/>
  <c r="H1479" i="1"/>
  <c r="H1616" i="1"/>
  <c r="H1664" i="1"/>
  <c r="G1205" i="1"/>
  <c r="G1231" i="1"/>
  <c r="H1263" i="1"/>
  <c r="H1423" i="1"/>
  <c r="H1487" i="1"/>
  <c r="H1515" i="1"/>
  <c r="H1552" i="1"/>
  <c r="G711" i="1"/>
  <c r="G999" i="1"/>
  <c r="G1096" i="1"/>
  <c r="H1536" i="1"/>
  <c r="H1614" i="1"/>
  <c r="H1774" i="1"/>
  <c r="H1838" i="1"/>
  <c r="H1902" i="1"/>
  <c r="H1966" i="1"/>
  <c r="H2030" i="1"/>
  <c r="H2094" i="1"/>
  <c r="H2158" i="1"/>
  <c r="H2222" i="1"/>
  <c r="H2238" i="1"/>
  <c r="H444" i="1"/>
  <c r="H508" i="1"/>
  <c r="H1200" i="1"/>
  <c r="H1262" i="1"/>
  <c r="G1208" i="1"/>
  <c r="H2419" i="1"/>
  <c r="H1470" i="1"/>
  <c r="H1523" i="1"/>
  <c r="H1711" i="1"/>
  <c r="H1743" i="1"/>
  <c r="H1775" i="1"/>
  <c r="H1807" i="1"/>
  <c r="H1839" i="1"/>
  <c r="H1871" i="1"/>
  <c r="H1903" i="1"/>
  <c r="H1935" i="1"/>
  <c r="H1967" i="1"/>
  <c r="H1999" i="1"/>
  <c r="H2031" i="1"/>
  <c r="H2063" i="1"/>
  <c r="H2095" i="1"/>
  <c r="H2127" i="1"/>
  <c r="H2159" i="1"/>
  <c r="H2191" i="1"/>
  <c r="H2223" i="1"/>
  <c r="H2418" i="1"/>
  <c r="H2434" i="1"/>
  <c r="H2569" i="1"/>
  <c r="H2357" i="1"/>
  <c r="H195" i="1"/>
  <c r="G195" i="1"/>
  <c r="H227" i="1"/>
  <c r="G227" i="1"/>
  <c r="H259" i="1"/>
  <c r="G259" i="1"/>
  <c r="H291" i="1"/>
  <c r="G291" i="1"/>
  <c r="H635" i="1"/>
  <c r="G635" i="1"/>
  <c r="G104" i="1"/>
  <c r="H104" i="1"/>
  <c r="H632" i="1"/>
  <c r="G632" i="1"/>
  <c r="G1282" i="1"/>
  <c r="H1282" i="1"/>
  <c r="G1330" i="1"/>
  <c r="H1330" i="1"/>
  <c r="G1410" i="1"/>
  <c r="H1410" i="1"/>
  <c r="G1426" i="1"/>
  <c r="H1426" i="1"/>
  <c r="G1474" i="1"/>
  <c r="H1474" i="1"/>
  <c r="H1227" i="1"/>
  <c r="G1227" i="1"/>
  <c r="G1607" i="1"/>
  <c r="H1607" i="1"/>
  <c r="G1663" i="1"/>
  <c r="H1663" i="1"/>
  <c r="H1076" i="1"/>
  <c r="G1076" i="1"/>
  <c r="G101" i="1"/>
  <c r="H101" i="1"/>
  <c r="G189" i="1"/>
  <c r="H1301" i="1"/>
  <c r="H1345" i="1"/>
  <c r="H2125" i="1"/>
  <c r="H2181" i="1"/>
  <c r="H2473" i="1"/>
  <c r="G13" i="1"/>
  <c r="H37" i="1"/>
  <c r="H61" i="1"/>
  <c r="H69" i="1"/>
  <c r="H116" i="1"/>
  <c r="H148" i="1"/>
  <c r="H538" i="1"/>
  <c r="G357" i="1"/>
  <c r="G437" i="1"/>
  <c r="G485" i="1"/>
  <c r="H585" i="1"/>
  <c r="G725" i="1"/>
  <c r="G741" i="1"/>
  <c r="G789" i="1"/>
  <c r="G869" i="1"/>
  <c r="G901" i="1"/>
  <c r="G933" i="1"/>
  <c r="H1030" i="1"/>
  <c r="H1158" i="1"/>
  <c r="H609" i="1"/>
  <c r="G417" i="1"/>
  <c r="H305" i="1"/>
  <c r="H758" i="1"/>
  <c r="H774" i="1"/>
  <c r="H782" i="1"/>
  <c r="H790" i="1"/>
  <c r="H822" i="1"/>
  <c r="H838" i="1"/>
  <c r="H846" i="1"/>
  <c r="H854" i="1"/>
  <c r="H886" i="1"/>
  <c r="H902" i="1"/>
  <c r="H910" i="1"/>
  <c r="H918" i="1"/>
  <c r="H942" i="1"/>
  <c r="H950" i="1"/>
  <c r="H966" i="1"/>
  <c r="H998" i="1"/>
  <c r="H1006" i="1"/>
  <c r="G755" i="1"/>
  <c r="G787" i="1"/>
  <c r="G819" i="1"/>
  <c r="G851" i="1"/>
  <c r="G883" i="1"/>
  <c r="G915" i="1"/>
  <c r="G947" i="1"/>
  <c r="G979" i="1"/>
  <c r="H1063" i="1"/>
  <c r="G1088" i="1"/>
  <c r="G1023" i="1"/>
  <c r="G1087" i="1"/>
  <c r="H1380" i="1"/>
  <c r="H1412" i="1"/>
  <c r="G1601" i="1"/>
  <c r="G1625" i="1"/>
  <c r="G1657" i="1"/>
  <c r="G1713" i="1"/>
  <c r="G1737" i="1"/>
  <c r="G1777" i="1"/>
  <c r="G1793" i="1"/>
  <c r="G1833" i="1"/>
  <c r="G1857" i="1"/>
  <c r="G1865" i="1"/>
  <c r="G1873" i="1"/>
  <c r="G1905" i="1"/>
  <c r="G1937" i="1"/>
  <c r="G1953" i="1"/>
  <c r="G2081" i="1"/>
  <c r="G2113" i="1"/>
  <c r="H2327" i="1"/>
  <c r="G1635" i="1"/>
  <c r="G1667" i="1"/>
  <c r="G1366" i="1"/>
  <c r="G644" i="1"/>
  <c r="G2251" i="1"/>
  <c r="H1579" i="1"/>
  <c r="H1719" i="1"/>
  <c r="H1751" i="1"/>
  <c r="H1815" i="1"/>
  <c r="H1879" i="1"/>
  <c r="H1943" i="1"/>
  <c r="H2007" i="1"/>
  <c r="H2071" i="1"/>
  <c r="H2135" i="1"/>
  <c r="H2199" i="1"/>
  <c r="G2574" i="1"/>
  <c r="H135" i="1"/>
  <c r="H167" i="1"/>
  <c r="H380" i="1"/>
  <c r="G380" i="1"/>
  <c r="G1138" i="1"/>
  <c r="G1178" i="1"/>
  <c r="H1242" i="1"/>
  <c r="G1266" i="1"/>
  <c r="H1266" i="1"/>
  <c r="H1290" i="1"/>
  <c r="H1414" i="1"/>
  <c r="H1590" i="1"/>
  <c r="G2286" i="1"/>
  <c r="G2350" i="1"/>
  <c r="G197" i="1"/>
  <c r="G301" i="1"/>
  <c r="G605" i="1"/>
  <c r="H1413" i="1"/>
  <c r="H1509" i="1"/>
  <c r="H2213" i="1"/>
  <c r="H2449" i="1"/>
  <c r="H2481" i="1"/>
  <c r="G1195" i="1"/>
  <c r="G1599" i="1"/>
  <c r="H1599" i="1"/>
  <c r="G1631" i="1"/>
  <c r="H1631" i="1"/>
  <c r="G1647" i="1"/>
  <c r="H1647" i="1"/>
  <c r="G2315" i="1"/>
  <c r="G2323" i="1"/>
  <c r="G253" i="1"/>
  <c r="G637" i="1"/>
  <c r="H1253" i="1"/>
  <c r="H2117" i="1"/>
  <c r="H2221" i="1"/>
  <c r="H2385" i="1"/>
  <c r="H2533" i="1"/>
  <c r="G1224" i="1"/>
  <c r="H2412" i="1"/>
  <c r="H2428" i="1"/>
  <c r="H2456" i="1"/>
  <c r="H2492" i="1"/>
  <c r="H2520" i="1"/>
  <c r="G2556" i="1"/>
  <c r="G2584" i="1"/>
  <c r="H2453" i="1"/>
  <c r="G16" i="1"/>
  <c r="H16" i="1"/>
  <c r="J14" i="3" l="1"/>
  <c r="L13" i="3"/>
  <c r="L12" i="3"/>
  <c r="K31" i="3"/>
  <c r="K32" i="3" s="1"/>
  <c r="K33" i="3" s="1"/>
  <c r="K34" i="3" s="1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K47" i="3" s="1"/>
  <c r="K48" i="3" s="1"/>
  <c r="K49" i="3" s="1"/>
  <c r="K50" i="3" s="1"/>
  <c r="K51" i="3" s="1"/>
  <c r="K52" i="3" s="1"/>
  <c r="K53" i="3" s="1"/>
  <c r="K54" i="3" s="1"/>
  <c r="K55" i="3" s="1"/>
  <c r="K56" i="3" s="1"/>
  <c r="K57" i="3" s="1"/>
  <c r="K58" i="3" s="1"/>
  <c r="K59" i="3" s="1"/>
  <c r="K60" i="3" s="1"/>
  <c r="K61" i="3" s="1"/>
  <c r="K62" i="3" s="1"/>
  <c r="K63" i="3" s="1"/>
  <c r="K64" i="3" s="1"/>
  <c r="K65" i="3" s="1"/>
  <c r="K66" i="3" s="1"/>
  <c r="K67" i="3" s="1"/>
  <c r="K68" i="3" s="1"/>
  <c r="K69" i="3" s="1"/>
  <c r="K70" i="3" s="1"/>
  <c r="K71" i="3" s="1"/>
  <c r="K72" i="3" s="1"/>
  <c r="K73" i="3" s="1"/>
  <c r="K74" i="3" s="1"/>
  <c r="K75" i="3" s="1"/>
  <c r="K76" i="3" s="1"/>
  <c r="K77" i="3" s="1"/>
  <c r="K78" i="3" s="1"/>
  <c r="K79" i="3" s="1"/>
  <c r="K80" i="3" s="1"/>
  <c r="K81" i="3" s="1"/>
  <c r="K82" i="3" s="1"/>
  <c r="K83" i="3" s="1"/>
  <c r="K84" i="3" s="1"/>
  <c r="K85" i="3" s="1"/>
  <c r="K86" i="3" s="1"/>
  <c r="K87" i="3" s="1"/>
  <c r="K88" i="3" s="1"/>
  <c r="K89" i="3" s="1"/>
  <c r="K90" i="3" s="1"/>
  <c r="K91" i="3" s="1"/>
  <c r="K92" i="3" s="1"/>
  <c r="K93" i="3" s="1"/>
  <c r="K94" i="3" s="1"/>
  <c r="K95" i="3" s="1"/>
  <c r="K96" i="3" s="1"/>
  <c r="K97" i="3" s="1"/>
  <c r="K98" i="3" s="1"/>
  <c r="K99" i="3" s="1"/>
  <c r="K100" i="3" s="1"/>
  <c r="K101" i="3" s="1"/>
  <c r="K102" i="3" s="1"/>
  <c r="K103" i="3" s="1"/>
  <c r="K104" i="3" s="1"/>
  <c r="K105" i="3" s="1"/>
  <c r="K106" i="3" s="1"/>
  <c r="K107" i="3" s="1"/>
  <c r="K108" i="3" s="1"/>
  <c r="K109" i="3" s="1"/>
  <c r="K110" i="3" s="1"/>
  <c r="K111" i="3" s="1"/>
  <c r="K112" i="3" s="1"/>
  <c r="K113" i="3" s="1"/>
  <c r="K114" i="3" s="1"/>
  <c r="K115" i="3" s="1"/>
  <c r="K116" i="3" s="1"/>
  <c r="K117" i="3" s="1"/>
  <c r="K118" i="3" s="1"/>
  <c r="K119" i="3" s="1"/>
  <c r="K120" i="3" s="1"/>
  <c r="K121" i="3" s="1"/>
  <c r="K122" i="3" s="1"/>
  <c r="K123" i="3" s="1"/>
  <c r="K124" i="3" s="1"/>
  <c r="K125" i="3" s="1"/>
  <c r="K126" i="3" s="1"/>
  <c r="K127" i="3" s="1"/>
  <c r="K128" i="3" s="1"/>
  <c r="K129" i="3" s="1"/>
  <c r="K130" i="3" s="1"/>
  <c r="K131" i="3" s="1"/>
  <c r="K132" i="3" s="1"/>
  <c r="K133" i="3" s="1"/>
  <c r="K134" i="3" s="1"/>
  <c r="K135" i="3" s="1"/>
  <c r="K136" i="3" s="1"/>
  <c r="K137" i="3" s="1"/>
  <c r="K138" i="3" s="1"/>
  <c r="K139" i="3" s="1"/>
  <c r="K140" i="3" s="1"/>
  <c r="K141" i="3" s="1"/>
  <c r="K142" i="3" s="1"/>
  <c r="K143" i="3" s="1"/>
  <c r="K144" i="3" s="1"/>
  <c r="K145" i="3" s="1"/>
  <c r="K146" i="3" s="1"/>
  <c r="K147" i="3" s="1"/>
  <c r="K148" i="3" s="1"/>
  <c r="K149" i="3" s="1"/>
  <c r="K150" i="3" s="1"/>
  <c r="K151" i="3" s="1"/>
  <c r="K152" i="3" s="1"/>
  <c r="K153" i="3" s="1"/>
  <c r="K154" i="3" s="1"/>
  <c r="K155" i="3" s="1"/>
  <c r="K156" i="3" s="1"/>
  <c r="K157" i="3" s="1"/>
  <c r="K158" i="3" s="1"/>
  <c r="K159" i="3" s="1"/>
  <c r="K160" i="3" s="1"/>
  <c r="K161" i="3" s="1"/>
  <c r="K162" i="3" s="1"/>
  <c r="K163" i="3" s="1"/>
  <c r="K164" i="3" s="1"/>
  <c r="K165" i="3" s="1"/>
  <c r="K166" i="3" s="1"/>
  <c r="K167" i="3" s="1"/>
  <c r="K168" i="3" s="1"/>
  <c r="K169" i="3" s="1"/>
  <c r="K170" i="3" s="1"/>
  <c r="K171" i="3" s="1"/>
  <c r="K172" i="3" s="1"/>
  <c r="K173" i="3" s="1"/>
  <c r="K174" i="3" s="1"/>
  <c r="K175" i="3" s="1"/>
  <c r="K176" i="3" s="1"/>
  <c r="K177" i="3" s="1"/>
  <c r="K178" i="3" s="1"/>
  <c r="K179" i="3" s="1"/>
  <c r="K180" i="3" s="1"/>
  <c r="K181" i="3" s="1"/>
  <c r="K182" i="3" s="1"/>
  <c r="K183" i="3" s="1"/>
  <c r="K184" i="3" s="1"/>
  <c r="K185" i="3" s="1"/>
  <c r="K186" i="3" s="1"/>
  <c r="K187" i="3" s="1"/>
  <c r="K188" i="3" s="1"/>
  <c r="K189" i="3" s="1"/>
  <c r="K190" i="3" s="1"/>
  <c r="K191" i="3" s="1"/>
  <c r="K192" i="3" s="1"/>
  <c r="K193" i="3" s="1"/>
  <c r="K194" i="3" s="1"/>
  <c r="K195" i="3" s="1"/>
  <c r="K196" i="3" s="1"/>
  <c r="K197" i="3" s="1"/>
  <c r="K198" i="3" s="1"/>
  <c r="K199" i="3" s="1"/>
  <c r="K200" i="3" s="1"/>
  <c r="K201" i="3" s="1"/>
  <c r="K202" i="3" s="1"/>
  <c r="K203" i="3" s="1"/>
  <c r="K204" i="3" s="1"/>
  <c r="K205" i="3" s="1"/>
  <c r="K206" i="3" s="1"/>
  <c r="K207" i="3" s="1"/>
  <c r="K208" i="3" s="1"/>
  <c r="K209" i="3" s="1"/>
  <c r="K210" i="3" s="1"/>
  <c r="K211" i="3" s="1"/>
  <c r="K212" i="3" s="1"/>
  <c r="K213" i="3" s="1"/>
  <c r="K214" i="3" s="1"/>
  <c r="K215" i="3" s="1"/>
  <c r="K216" i="3" s="1"/>
  <c r="K217" i="3" s="1"/>
  <c r="K218" i="3" s="1"/>
  <c r="K219" i="3" s="1"/>
  <c r="K220" i="3" s="1"/>
  <c r="K221" i="3" s="1"/>
  <c r="K222" i="3" s="1"/>
  <c r="K223" i="3" s="1"/>
  <c r="K224" i="3" s="1"/>
  <c r="K225" i="3" s="1"/>
  <c r="K226" i="3" s="1"/>
  <c r="K227" i="3" s="1"/>
  <c r="K228" i="3" s="1"/>
  <c r="K229" i="3" s="1"/>
  <c r="K230" i="3" s="1"/>
  <c r="K231" i="3" s="1"/>
  <c r="K232" i="3" s="1"/>
  <c r="K233" i="3" s="1"/>
  <c r="K234" i="3" s="1"/>
  <c r="K235" i="3" s="1"/>
  <c r="K236" i="3" s="1"/>
  <c r="K237" i="3" s="1"/>
  <c r="K238" i="3" s="1"/>
  <c r="K239" i="3" s="1"/>
  <c r="K240" i="3" s="1"/>
  <c r="K241" i="3" s="1"/>
  <c r="K242" i="3" s="1"/>
  <c r="K243" i="3" s="1"/>
  <c r="K244" i="3" s="1"/>
  <c r="K245" i="3" s="1"/>
  <c r="K246" i="3" s="1"/>
  <c r="K247" i="3" s="1"/>
  <c r="K248" i="3" s="1"/>
  <c r="K249" i="3" s="1"/>
  <c r="K250" i="3" s="1"/>
  <c r="K251" i="3" s="1"/>
  <c r="K252" i="3" s="1"/>
  <c r="K253" i="3" s="1"/>
  <c r="K254" i="3" s="1"/>
  <c r="K255" i="3" s="1"/>
  <c r="K256" i="3" s="1"/>
  <c r="K257" i="3" s="1"/>
  <c r="K258" i="3" s="1"/>
  <c r="K259" i="3" s="1"/>
  <c r="K260" i="3" s="1"/>
  <c r="K261" i="3" s="1"/>
  <c r="K262" i="3" s="1"/>
  <c r="K263" i="3" s="1"/>
  <c r="K264" i="3" s="1"/>
  <c r="K265" i="3" s="1"/>
  <c r="K266" i="3" s="1"/>
  <c r="K267" i="3" s="1"/>
  <c r="K268" i="3" s="1"/>
  <c r="K269" i="3" s="1"/>
  <c r="K270" i="3" s="1"/>
  <c r="K271" i="3" s="1"/>
  <c r="K272" i="3" s="1"/>
  <c r="K273" i="3" s="1"/>
  <c r="K274" i="3" s="1"/>
  <c r="K275" i="3" s="1"/>
  <c r="K276" i="3" s="1"/>
  <c r="K277" i="3" s="1"/>
  <c r="K278" i="3" s="1"/>
  <c r="K279" i="3" s="1"/>
  <c r="K280" i="3" s="1"/>
  <c r="K281" i="3" s="1"/>
  <c r="K282" i="3" s="1"/>
  <c r="K283" i="3" s="1"/>
  <c r="K284" i="3" s="1"/>
  <c r="K285" i="3" s="1"/>
  <c r="K286" i="3" s="1"/>
  <c r="K287" i="3" s="1"/>
  <c r="K288" i="3" s="1"/>
  <c r="K289" i="3" s="1"/>
  <c r="K290" i="3" s="1"/>
  <c r="K291" i="3" s="1"/>
  <c r="K292" i="3" s="1"/>
  <c r="K293" i="3" s="1"/>
  <c r="K294" i="3" s="1"/>
  <c r="K295" i="3" s="1"/>
  <c r="K296" i="3" s="1"/>
  <c r="K297" i="3" s="1"/>
  <c r="K298" i="3" s="1"/>
  <c r="K299" i="3" s="1"/>
  <c r="K300" i="3" s="1"/>
  <c r="K301" i="3" s="1"/>
  <c r="K302" i="3" s="1"/>
  <c r="K303" i="3" s="1"/>
  <c r="K304" i="3" s="1"/>
  <c r="K305" i="3" s="1"/>
  <c r="K306" i="3" s="1"/>
  <c r="K307" i="3" s="1"/>
  <c r="K308" i="3" s="1"/>
  <c r="K309" i="3" s="1"/>
  <c r="K310" i="3" s="1"/>
  <c r="K311" i="3" s="1"/>
  <c r="K312" i="3" s="1"/>
  <c r="K313" i="3" s="1"/>
  <c r="K314" i="3" s="1"/>
  <c r="K315" i="3" s="1"/>
  <c r="K316" i="3" s="1"/>
  <c r="K317" i="3" s="1"/>
  <c r="K318" i="3" s="1"/>
  <c r="K319" i="3" s="1"/>
  <c r="K320" i="3" s="1"/>
  <c r="K321" i="3" s="1"/>
  <c r="K322" i="3" s="1"/>
  <c r="K323" i="3" s="1"/>
  <c r="K324" i="3" s="1"/>
  <c r="K325" i="3" s="1"/>
  <c r="K326" i="3" s="1"/>
  <c r="K327" i="3" s="1"/>
  <c r="K328" i="3" s="1"/>
  <c r="K329" i="3" s="1"/>
  <c r="K330" i="3" s="1"/>
  <c r="K331" i="3" s="1"/>
  <c r="K332" i="3" s="1"/>
  <c r="K333" i="3" s="1"/>
  <c r="K334" i="3" s="1"/>
  <c r="K335" i="3" s="1"/>
  <c r="K336" i="3" s="1"/>
  <c r="K337" i="3" s="1"/>
  <c r="K338" i="3" s="1"/>
  <c r="K339" i="3" s="1"/>
  <c r="K340" i="3" s="1"/>
  <c r="K341" i="3" s="1"/>
  <c r="K342" i="3" s="1"/>
  <c r="K343" i="3" s="1"/>
  <c r="K344" i="3" s="1"/>
  <c r="K345" i="3" s="1"/>
  <c r="K346" i="3" s="1"/>
  <c r="K347" i="3" s="1"/>
  <c r="K348" i="3" s="1"/>
  <c r="K349" i="3" s="1"/>
  <c r="K350" i="3" s="1"/>
  <c r="K351" i="3" s="1"/>
  <c r="K352" i="3" s="1"/>
  <c r="K353" i="3" s="1"/>
  <c r="K354" i="3" s="1"/>
  <c r="K355" i="3" s="1"/>
  <c r="K356" i="3" s="1"/>
  <c r="K357" i="3" s="1"/>
  <c r="K358" i="3" s="1"/>
  <c r="K359" i="3" s="1"/>
  <c r="K360" i="3" s="1"/>
  <c r="K361" i="3" s="1"/>
  <c r="K362" i="3" s="1"/>
  <c r="K363" i="3" s="1"/>
  <c r="K364" i="3" s="1"/>
  <c r="K365" i="3" s="1"/>
  <c r="K366" i="3" s="1"/>
  <c r="K367" i="3" s="1"/>
  <c r="K368" i="3" s="1"/>
  <c r="K369" i="3" s="1"/>
  <c r="K370" i="3" s="1"/>
  <c r="K371" i="3" s="1"/>
  <c r="K372" i="3" s="1"/>
  <c r="K373" i="3" s="1"/>
  <c r="K374" i="3" s="1"/>
  <c r="K375" i="3" s="1"/>
  <c r="K376" i="3" s="1"/>
  <c r="K377" i="3" s="1"/>
  <c r="K378" i="3" s="1"/>
  <c r="K379" i="3" s="1"/>
  <c r="K380" i="3" s="1"/>
  <c r="K381" i="3" s="1"/>
  <c r="K382" i="3" s="1"/>
  <c r="K383" i="3" s="1"/>
  <c r="K384" i="3" s="1"/>
  <c r="K385" i="3" s="1"/>
  <c r="K386" i="3" s="1"/>
  <c r="K387" i="3" s="1"/>
  <c r="K388" i="3" s="1"/>
  <c r="K389" i="3" s="1"/>
  <c r="K390" i="3" s="1"/>
  <c r="K391" i="3" s="1"/>
  <c r="K392" i="3" s="1"/>
  <c r="K393" i="3" s="1"/>
  <c r="K394" i="3" s="1"/>
  <c r="K395" i="3" s="1"/>
  <c r="K396" i="3" s="1"/>
  <c r="K397" i="3" s="1"/>
  <c r="K398" i="3" s="1"/>
  <c r="K399" i="3" s="1"/>
  <c r="K400" i="3" s="1"/>
  <c r="K401" i="3" s="1"/>
  <c r="K402" i="3" s="1"/>
  <c r="K403" i="3" s="1"/>
  <c r="K404" i="3" s="1"/>
  <c r="K405" i="3" s="1"/>
  <c r="K406" i="3" s="1"/>
  <c r="K407" i="3" s="1"/>
  <c r="K408" i="3" s="1"/>
  <c r="K409" i="3" s="1"/>
  <c r="K410" i="3" s="1"/>
  <c r="K411" i="3" s="1"/>
  <c r="K412" i="3" s="1"/>
  <c r="K413" i="3" s="1"/>
  <c r="K414" i="3" s="1"/>
  <c r="K415" i="3" s="1"/>
  <c r="K416" i="3" s="1"/>
  <c r="K417" i="3" s="1"/>
  <c r="K418" i="3" s="1"/>
  <c r="K419" i="3" s="1"/>
  <c r="K420" i="3" s="1"/>
  <c r="K421" i="3" s="1"/>
  <c r="K422" i="3" s="1"/>
  <c r="K423" i="3" s="1"/>
  <c r="K424" i="3" s="1"/>
  <c r="K425" i="3" s="1"/>
  <c r="K426" i="3" s="1"/>
  <c r="K427" i="3" s="1"/>
  <c r="K428" i="3" s="1"/>
  <c r="K429" i="3" s="1"/>
  <c r="K430" i="3" s="1"/>
  <c r="K431" i="3" s="1"/>
  <c r="K432" i="3" s="1"/>
  <c r="K433" i="3" s="1"/>
  <c r="K434" i="3" s="1"/>
  <c r="K435" i="3" s="1"/>
  <c r="K436" i="3" s="1"/>
  <c r="K437" i="3" s="1"/>
  <c r="K438" i="3" s="1"/>
  <c r="K439" i="3" s="1"/>
  <c r="K440" i="3" s="1"/>
  <c r="K441" i="3" s="1"/>
  <c r="K442" i="3" s="1"/>
  <c r="K443" i="3" s="1"/>
  <c r="K444" i="3" s="1"/>
  <c r="K445" i="3" s="1"/>
  <c r="K446" i="3" s="1"/>
  <c r="K447" i="3" s="1"/>
  <c r="K448" i="3" s="1"/>
  <c r="K449" i="3" s="1"/>
  <c r="K450" i="3" s="1"/>
  <c r="K451" i="3" s="1"/>
  <c r="K452" i="3" s="1"/>
  <c r="K453" i="3" s="1"/>
  <c r="K454" i="3" s="1"/>
  <c r="K455" i="3" s="1"/>
  <c r="K456" i="3" s="1"/>
  <c r="K457" i="3" s="1"/>
  <c r="K458" i="3" s="1"/>
  <c r="K459" i="3" s="1"/>
  <c r="K460" i="3" s="1"/>
  <c r="K461" i="3" s="1"/>
  <c r="K462" i="3" s="1"/>
  <c r="K463" i="3" s="1"/>
  <c r="K464" i="3" s="1"/>
  <c r="K465" i="3" s="1"/>
  <c r="K466" i="3" s="1"/>
  <c r="K467" i="3" s="1"/>
  <c r="K468" i="3" s="1"/>
  <c r="K469" i="3" s="1"/>
  <c r="K470" i="3" s="1"/>
  <c r="K471" i="3" s="1"/>
  <c r="K472" i="3" s="1"/>
  <c r="K473" i="3" s="1"/>
  <c r="K474" i="3" s="1"/>
  <c r="K475" i="3" s="1"/>
  <c r="K476" i="3" s="1"/>
  <c r="K477" i="3" s="1"/>
  <c r="K478" i="3" s="1"/>
  <c r="K479" i="3" s="1"/>
  <c r="K480" i="3" s="1"/>
  <c r="K481" i="3" s="1"/>
  <c r="K482" i="3" s="1"/>
  <c r="K483" i="3" s="1"/>
  <c r="K484" i="3" s="1"/>
  <c r="K485" i="3" s="1"/>
  <c r="K486" i="3" s="1"/>
  <c r="K487" i="3" s="1"/>
  <c r="K488" i="3" s="1"/>
  <c r="K489" i="3" s="1"/>
  <c r="K490" i="3" s="1"/>
  <c r="K491" i="3" s="1"/>
  <c r="K492" i="3" s="1"/>
  <c r="K493" i="3" s="1"/>
  <c r="K494" i="3" s="1"/>
  <c r="K495" i="3" s="1"/>
  <c r="K496" i="3" s="1"/>
  <c r="K497" i="3" s="1"/>
  <c r="K498" i="3" s="1"/>
  <c r="K499" i="3" s="1"/>
  <c r="K500" i="3" s="1"/>
  <c r="K501" i="3" s="1"/>
  <c r="K502" i="3" s="1"/>
  <c r="K503" i="3" s="1"/>
  <c r="K504" i="3" s="1"/>
  <c r="K505" i="3" s="1"/>
  <c r="K506" i="3" s="1"/>
  <c r="K507" i="3" s="1"/>
  <c r="K508" i="3" s="1"/>
  <c r="K509" i="3" s="1"/>
  <c r="K510" i="3" s="1"/>
  <c r="K511" i="3" s="1"/>
  <c r="K512" i="3" s="1"/>
  <c r="K513" i="3" s="1"/>
  <c r="K514" i="3" s="1"/>
  <c r="K515" i="3" s="1"/>
  <c r="K516" i="3" s="1"/>
  <c r="K517" i="3" s="1"/>
  <c r="K518" i="3" s="1"/>
  <c r="K519" i="3" s="1"/>
  <c r="K520" i="3" s="1"/>
  <c r="K521" i="3" s="1"/>
  <c r="K522" i="3" s="1"/>
  <c r="K523" i="3" s="1"/>
  <c r="K524" i="3" s="1"/>
  <c r="K525" i="3" s="1"/>
  <c r="K526" i="3" s="1"/>
  <c r="K527" i="3" s="1"/>
  <c r="K528" i="3" s="1"/>
  <c r="K529" i="3" s="1"/>
  <c r="K530" i="3" s="1"/>
  <c r="K531" i="3" s="1"/>
  <c r="K532" i="3" s="1"/>
  <c r="K533" i="3" s="1"/>
  <c r="K534" i="3" s="1"/>
  <c r="K535" i="3" s="1"/>
  <c r="K536" i="3" s="1"/>
  <c r="K537" i="3" s="1"/>
  <c r="K538" i="3" s="1"/>
  <c r="K539" i="3" s="1"/>
  <c r="K540" i="3" s="1"/>
  <c r="K541" i="3" s="1"/>
  <c r="K542" i="3" s="1"/>
  <c r="K543" i="3" s="1"/>
  <c r="K544" i="3" s="1"/>
  <c r="K545" i="3" s="1"/>
  <c r="K546" i="3" s="1"/>
  <c r="K547" i="3" s="1"/>
  <c r="K548" i="3" s="1"/>
  <c r="K549" i="3" s="1"/>
  <c r="K550" i="3" s="1"/>
  <c r="K551" i="3" s="1"/>
  <c r="K552" i="3" s="1"/>
  <c r="K553" i="3" s="1"/>
  <c r="K554" i="3" s="1"/>
  <c r="K555" i="3" s="1"/>
  <c r="K556" i="3" s="1"/>
  <c r="K557" i="3" s="1"/>
  <c r="K558" i="3" s="1"/>
  <c r="K559" i="3" s="1"/>
  <c r="K560" i="3" s="1"/>
  <c r="K561" i="3" s="1"/>
  <c r="K562" i="3" s="1"/>
  <c r="K563" i="3" s="1"/>
  <c r="K564" i="3" s="1"/>
  <c r="K565" i="3" s="1"/>
  <c r="K566" i="3" s="1"/>
  <c r="K567" i="3" s="1"/>
  <c r="K568" i="3" s="1"/>
  <c r="K569" i="3" s="1"/>
  <c r="K570" i="3" s="1"/>
  <c r="K571" i="3" s="1"/>
  <c r="K572" i="3" s="1"/>
  <c r="K573" i="3" s="1"/>
  <c r="K574" i="3" s="1"/>
  <c r="K575" i="3" s="1"/>
  <c r="K576" i="3" s="1"/>
  <c r="K577" i="3" s="1"/>
  <c r="K578" i="3" s="1"/>
  <c r="K579" i="3" s="1"/>
  <c r="K580" i="3" s="1"/>
  <c r="K581" i="3" s="1"/>
  <c r="K582" i="3" s="1"/>
  <c r="K583" i="3" s="1"/>
  <c r="K584" i="3" s="1"/>
  <c r="K585" i="3" s="1"/>
  <c r="K586" i="3" s="1"/>
  <c r="K587" i="3" s="1"/>
  <c r="K588" i="3" s="1"/>
  <c r="K589" i="3" s="1"/>
  <c r="K590" i="3" s="1"/>
  <c r="K591" i="3" s="1"/>
  <c r="K592" i="3" s="1"/>
  <c r="K593" i="3" s="1"/>
  <c r="K594" i="3" s="1"/>
  <c r="K595" i="3" s="1"/>
  <c r="K596" i="3" s="1"/>
  <c r="K597" i="3" s="1"/>
  <c r="K598" i="3" s="1"/>
  <c r="K599" i="3" s="1"/>
  <c r="K600" i="3" s="1"/>
  <c r="K601" i="3" s="1"/>
  <c r="K602" i="3" s="1"/>
  <c r="K603" i="3" s="1"/>
  <c r="K604" i="3" s="1"/>
  <c r="K605" i="3" s="1"/>
  <c r="K606" i="3" s="1"/>
  <c r="K607" i="3" s="1"/>
  <c r="K608" i="3" s="1"/>
  <c r="K609" i="3" s="1"/>
  <c r="K610" i="3" s="1"/>
  <c r="K611" i="3" s="1"/>
  <c r="K612" i="3" s="1"/>
  <c r="K613" i="3" s="1"/>
  <c r="K614" i="3" s="1"/>
  <c r="K615" i="3" s="1"/>
  <c r="K616" i="3" s="1"/>
  <c r="K617" i="3" s="1"/>
  <c r="K618" i="3" s="1"/>
  <c r="K619" i="3" s="1"/>
  <c r="K620" i="3" s="1"/>
  <c r="K621" i="3" s="1"/>
  <c r="K622" i="3" s="1"/>
  <c r="K623" i="3" s="1"/>
  <c r="K624" i="3" s="1"/>
  <c r="K625" i="3" s="1"/>
  <c r="K626" i="3" s="1"/>
  <c r="K627" i="3" s="1"/>
  <c r="K628" i="3" s="1"/>
  <c r="K629" i="3" s="1"/>
  <c r="K630" i="3" s="1"/>
  <c r="K631" i="3" s="1"/>
  <c r="K632" i="3" s="1"/>
  <c r="K633" i="3" s="1"/>
  <c r="K634" i="3" s="1"/>
  <c r="K635" i="3" s="1"/>
  <c r="K636" i="3" s="1"/>
  <c r="K637" i="3" s="1"/>
  <c r="K638" i="3" s="1"/>
  <c r="K639" i="3" s="1"/>
  <c r="K640" i="3" s="1"/>
  <c r="K641" i="3" s="1"/>
  <c r="K642" i="3" s="1"/>
  <c r="K643" i="3" s="1"/>
  <c r="K644" i="3" s="1"/>
  <c r="K645" i="3" s="1"/>
  <c r="K646" i="3" s="1"/>
  <c r="K647" i="3" s="1"/>
  <c r="K648" i="3" s="1"/>
  <c r="K649" i="3" s="1"/>
  <c r="K650" i="3" s="1"/>
  <c r="K651" i="3" s="1"/>
  <c r="K652" i="3" s="1"/>
  <c r="K653" i="3" s="1"/>
  <c r="K654" i="3" s="1"/>
  <c r="K655" i="3" s="1"/>
  <c r="K656" i="3" s="1"/>
  <c r="K657" i="3" s="1"/>
  <c r="K658" i="3" s="1"/>
  <c r="K659" i="3" s="1"/>
  <c r="K660" i="3" s="1"/>
  <c r="K661" i="3" s="1"/>
  <c r="K662" i="3" s="1"/>
  <c r="K663" i="3" s="1"/>
  <c r="K664" i="3" s="1"/>
  <c r="K665" i="3" s="1"/>
  <c r="K666" i="3" s="1"/>
  <c r="K667" i="3" s="1"/>
  <c r="K668" i="3" s="1"/>
  <c r="K669" i="3" s="1"/>
  <c r="K670" i="3" s="1"/>
  <c r="K671" i="3" s="1"/>
  <c r="K672" i="3" s="1"/>
  <c r="K673" i="3" s="1"/>
  <c r="K674" i="3" s="1"/>
  <c r="K675" i="3" s="1"/>
  <c r="K676" i="3" s="1"/>
  <c r="K677" i="3" s="1"/>
  <c r="K678" i="3" s="1"/>
  <c r="K679" i="3" s="1"/>
  <c r="K680" i="3" s="1"/>
  <c r="K681" i="3" s="1"/>
  <c r="K682" i="3" s="1"/>
  <c r="K683" i="3" s="1"/>
  <c r="K684" i="3" s="1"/>
  <c r="K685" i="3" s="1"/>
  <c r="K686" i="3" s="1"/>
  <c r="K687" i="3" s="1"/>
  <c r="K688" i="3" s="1"/>
  <c r="K689" i="3" s="1"/>
  <c r="K690" i="3" s="1"/>
  <c r="K691" i="3" s="1"/>
  <c r="K692" i="3" s="1"/>
  <c r="K693" i="3" s="1"/>
  <c r="K694" i="3" s="1"/>
  <c r="K695" i="3" s="1"/>
  <c r="K696" i="3" s="1"/>
  <c r="K697" i="3" s="1"/>
  <c r="K698" i="3" s="1"/>
  <c r="K699" i="3" s="1"/>
  <c r="K700" i="3" s="1"/>
  <c r="K701" i="3" s="1"/>
  <c r="K702" i="3" s="1"/>
  <c r="K703" i="3" s="1"/>
  <c r="K704" i="3" s="1"/>
  <c r="K705" i="3" s="1"/>
  <c r="K706" i="3" s="1"/>
  <c r="K707" i="3" s="1"/>
  <c r="K708" i="3" s="1"/>
  <c r="K709" i="3" s="1"/>
  <c r="K710" i="3" s="1"/>
  <c r="K711" i="3" s="1"/>
  <c r="K712" i="3" s="1"/>
  <c r="K713" i="3" s="1"/>
  <c r="K714" i="3" s="1"/>
  <c r="K715" i="3" s="1"/>
  <c r="K716" i="3" s="1"/>
  <c r="K717" i="3" s="1"/>
  <c r="K718" i="3" s="1"/>
  <c r="K719" i="3" s="1"/>
  <c r="K720" i="3" s="1"/>
  <c r="K721" i="3" s="1"/>
  <c r="K722" i="3" s="1"/>
  <c r="K723" i="3" s="1"/>
  <c r="K724" i="3" s="1"/>
  <c r="K725" i="3" s="1"/>
  <c r="K726" i="3" s="1"/>
  <c r="K727" i="3" s="1"/>
  <c r="K728" i="3" s="1"/>
  <c r="K729" i="3" s="1"/>
  <c r="K730" i="3" s="1"/>
  <c r="K731" i="3" s="1"/>
  <c r="K732" i="3" s="1"/>
  <c r="K733" i="3" s="1"/>
  <c r="K734" i="3" s="1"/>
  <c r="K735" i="3" s="1"/>
  <c r="K736" i="3" s="1"/>
  <c r="K737" i="3" s="1"/>
  <c r="K738" i="3" s="1"/>
  <c r="K739" i="3" s="1"/>
  <c r="K740" i="3" s="1"/>
  <c r="K741" i="3" s="1"/>
  <c r="K742" i="3" s="1"/>
  <c r="K743" i="3" s="1"/>
  <c r="K744" i="3" s="1"/>
  <c r="K745" i="3" s="1"/>
  <c r="K746" i="3" s="1"/>
  <c r="K747" i="3" s="1"/>
  <c r="K748" i="3" s="1"/>
  <c r="K749" i="3" s="1"/>
  <c r="K750" i="3" s="1"/>
  <c r="K751" i="3" s="1"/>
  <c r="K752" i="3" s="1"/>
  <c r="K753" i="3" s="1"/>
  <c r="K754" i="3" s="1"/>
  <c r="K755" i="3" s="1"/>
  <c r="K756" i="3" s="1"/>
  <c r="K757" i="3" s="1"/>
  <c r="K758" i="3" s="1"/>
  <c r="K759" i="3" s="1"/>
  <c r="K760" i="3" s="1"/>
  <c r="K761" i="3" s="1"/>
  <c r="K762" i="3" s="1"/>
  <c r="K763" i="3" s="1"/>
  <c r="K764" i="3" s="1"/>
  <c r="K765" i="3" s="1"/>
  <c r="K766" i="3" s="1"/>
  <c r="K767" i="3" s="1"/>
  <c r="K768" i="3" s="1"/>
  <c r="K769" i="3" s="1"/>
  <c r="K770" i="3" s="1"/>
  <c r="K771" i="3" s="1"/>
  <c r="K772" i="3" s="1"/>
  <c r="K773" i="3" s="1"/>
  <c r="K774" i="3" s="1"/>
  <c r="K775" i="3" s="1"/>
  <c r="K776" i="3" s="1"/>
  <c r="K777" i="3" s="1"/>
  <c r="K778" i="3" s="1"/>
  <c r="K779" i="3" s="1"/>
  <c r="K780" i="3" s="1"/>
  <c r="K781" i="3" s="1"/>
  <c r="K782" i="3" s="1"/>
  <c r="K783" i="3" s="1"/>
  <c r="K784" i="3" s="1"/>
  <c r="K785" i="3" s="1"/>
  <c r="K786" i="3" s="1"/>
  <c r="K787" i="3" s="1"/>
  <c r="K788" i="3" s="1"/>
  <c r="K789" i="3" s="1"/>
  <c r="K790" i="3" s="1"/>
  <c r="K791" i="3" s="1"/>
  <c r="K792" i="3" s="1"/>
  <c r="K793" i="3" s="1"/>
  <c r="K794" i="3" s="1"/>
  <c r="K795" i="3" s="1"/>
  <c r="K796" i="3" s="1"/>
  <c r="K797" i="3" s="1"/>
  <c r="K798" i="3" s="1"/>
  <c r="K799" i="3" s="1"/>
  <c r="K800" i="3" s="1"/>
  <c r="K801" i="3" s="1"/>
  <c r="K802" i="3" s="1"/>
  <c r="K803" i="3" s="1"/>
  <c r="K804" i="3" s="1"/>
  <c r="K805" i="3" s="1"/>
  <c r="K806" i="3" s="1"/>
  <c r="K807" i="3" s="1"/>
  <c r="K808" i="3" s="1"/>
  <c r="K809" i="3" s="1"/>
  <c r="K810" i="3" s="1"/>
  <c r="K811" i="3" s="1"/>
  <c r="K812" i="3" s="1"/>
  <c r="K813" i="3" s="1"/>
  <c r="K814" i="3" s="1"/>
  <c r="K815" i="3" s="1"/>
  <c r="K816" i="3" s="1"/>
  <c r="K817" i="3" s="1"/>
  <c r="K818" i="3" s="1"/>
  <c r="K819" i="3" s="1"/>
  <c r="K820" i="3" s="1"/>
  <c r="K821" i="3" s="1"/>
  <c r="K822" i="3" s="1"/>
  <c r="K823" i="3" s="1"/>
  <c r="K824" i="3" s="1"/>
  <c r="K825" i="3" s="1"/>
  <c r="K826" i="3" s="1"/>
  <c r="K827" i="3" s="1"/>
  <c r="K828" i="3" s="1"/>
  <c r="K829" i="3" s="1"/>
  <c r="K830" i="3" s="1"/>
  <c r="K831" i="3" s="1"/>
  <c r="K832" i="3" s="1"/>
  <c r="K833" i="3" s="1"/>
  <c r="K834" i="3" s="1"/>
  <c r="K835" i="3" s="1"/>
  <c r="K836" i="3" s="1"/>
  <c r="K837" i="3" s="1"/>
  <c r="K838" i="3" s="1"/>
  <c r="K839" i="3" s="1"/>
  <c r="K840" i="3" s="1"/>
  <c r="K841" i="3" s="1"/>
  <c r="K842" i="3" s="1"/>
  <c r="K843" i="3" s="1"/>
  <c r="K844" i="3" s="1"/>
  <c r="K845" i="3" s="1"/>
  <c r="K846" i="3" s="1"/>
  <c r="K847" i="3" s="1"/>
  <c r="K848" i="3" s="1"/>
  <c r="K849" i="3" s="1"/>
  <c r="K850" i="3" s="1"/>
  <c r="K851" i="3" s="1"/>
  <c r="K852" i="3" s="1"/>
  <c r="K853" i="3" s="1"/>
  <c r="K854" i="3" s="1"/>
  <c r="K855" i="3" s="1"/>
  <c r="K856" i="3" s="1"/>
  <c r="K857" i="3" s="1"/>
  <c r="K858" i="3" s="1"/>
  <c r="K859" i="3" s="1"/>
  <c r="K860" i="3" s="1"/>
  <c r="K861" i="3" s="1"/>
  <c r="K862" i="3" s="1"/>
  <c r="K863" i="3" s="1"/>
  <c r="K864" i="3" s="1"/>
  <c r="K865" i="3" s="1"/>
  <c r="K866" i="3" s="1"/>
  <c r="K867" i="3" s="1"/>
  <c r="K868" i="3" s="1"/>
  <c r="K869" i="3" s="1"/>
  <c r="K870" i="3" s="1"/>
  <c r="K871" i="3" s="1"/>
  <c r="K872" i="3" s="1"/>
  <c r="K873" i="3" s="1"/>
  <c r="K874" i="3" s="1"/>
  <c r="K875" i="3" s="1"/>
  <c r="K876" i="3" s="1"/>
  <c r="K877" i="3" s="1"/>
  <c r="K878" i="3" s="1"/>
  <c r="K879" i="3" s="1"/>
  <c r="K880" i="3" s="1"/>
  <c r="K881" i="3" s="1"/>
  <c r="K882" i="3" s="1"/>
  <c r="K883" i="3" s="1"/>
  <c r="K884" i="3" s="1"/>
  <c r="K885" i="3" s="1"/>
  <c r="K886" i="3" s="1"/>
  <c r="K887" i="3" s="1"/>
  <c r="K888" i="3" s="1"/>
  <c r="K889" i="3" s="1"/>
  <c r="K890" i="3" s="1"/>
  <c r="K891" i="3" s="1"/>
  <c r="K892" i="3" s="1"/>
  <c r="K893" i="3" s="1"/>
  <c r="K894" i="3" s="1"/>
  <c r="K895" i="3" s="1"/>
  <c r="K896" i="3" s="1"/>
  <c r="K897" i="3" s="1"/>
  <c r="K898" i="3" s="1"/>
  <c r="K899" i="3" s="1"/>
  <c r="K900" i="3" s="1"/>
  <c r="K901" i="3" s="1"/>
  <c r="K902" i="3" s="1"/>
  <c r="K903" i="3" s="1"/>
  <c r="K904" i="3" s="1"/>
  <c r="K905" i="3" s="1"/>
  <c r="K906" i="3" s="1"/>
  <c r="K907" i="3" s="1"/>
  <c r="K908" i="3" s="1"/>
  <c r="K909" i="3" s="1"/>
  <c r="K910" i="3" s="1"/>
  <c r="K911" i="3" s="1"/>
  <c r="K912" i="3" s="1"/>
  <c r="K913" i="3" s="1"/>
  <c r="K914" i="3" s="1"/>
  <c r="K915" i="3" s="1"/>
  <c r="K916" i="3" s="1"/>
  <c r="K917" i="3" s="1"/>
  <c r="K918" i="3" s="1"/>
  <c r="K919" i="3" s="1"/>
  <c r="K920" i="3" s="1"/>
  <c r="K921" i="3" s="1"/>
  <c r="K922" i="3" s="1"/>
  <c r="K923" i="3" s="1"/>
  <c r="K924" i="3" s="1"/>
  <c r="K925" i="3" s="1"/>
  <c r="K926" i="3" s="1"/>
  <c r="K927" i="3" s="1"/>
  <c r="K928" i="3" s="1"/>
  <c r="K929" i="3" s="1"/>
  <c r="K930" i="3" s="1"/>
  <c r="K931" i="3" s="1"/>
  <c r="K932" i="3" s="1"/>
  <c r="K933" i="3" s="1"/>
  <c r="K934" i="3" s="1"/>
  <c r="K935" i="3" s="1"/>
  <c r="K936" i="3" s="1"/>
  <c r="K937" i="3" s="1"/>
  <c r="K938" i="3" s="1"/>
  <c r="K939" i="3" s="1"/>
  <c r="K940" i="3" s="1"/>
  <c r="K941" i="3" s="1"/>
  <c r="K942" i="3" s="1"/>
  <c r="K943" i="3" s="1"/>
  <c r="K944" i="3" s="1"/>
  <c r="K945" i="3" s="1"/>
  <c r="K946" i="3" s="1"/>
  <c r="K947" i="3" s="1"/>
  <c r="K948" i="3" s="1"/>
  <c r="K949" i="3" s="1"/>
  <c r="K950" i="3" s="1"/>
  <c r="K951" i="3" s="1"/>
  <c r="K952" i="3" s="1"/>
  <c r="K953" i="3" s="1"/>
  <c r="K954" i="3" s="1"/>
  <c r="K955" i="3" s="1"/>
  <c r="K956" i="3" s="1"/>
  <c r="K957" i="3" s="1"/>
  <c r="K958" i="3" s="1"/>
  <c r="K959" i="3" s="1"/>
  <c r="K960" i="3" s="1"/>
  <c r="K961" i="3" s="1"/>
  <c r="K962" i="3" s="1"/>
  <c r="K963" i="3" s="1"/>
  <c r="K964" i="3" s="1"/>
  <c r="K965" i="3" s="1"/>
  <c r="K966" i="3" s="1"/>
  <c r="K967" i="3" s="1"/>
  <c r="K968" i="3" s="1"/>
  <c r="K969" i="3" s="1"/>
  <c r="K970" i="3" s="1"/>
  <c r="K971" i="3" s="1"/>
  <c r="K972" i="3" s="1"/>
  <c r="K973" i="3" s="1"/>
  <c r="K974" i="3" s="1"/>
  <c r="K975" i="3" s="1"/>
  <c r="K976" i="3" s="1"/>
  <c r="K977" i="3" s="1"/>
  <c r="K978" i="3" s="1"/>
  <c r="K979" i="3" s="1"/>
  <c r="K980" i="3" s="1"/>
  <c r="K981" i="3" s="1"/>
  <c r="K982" i="3" s="1"/>
  <c r="K983" i="3" s="1"/>
  <c r="K984" i="3" s="1"/>
  <c r="K985" i="3" s="1"/>
  <c r="K986" i="3" s="1"/>
  <c r="K987" i="3" s="1"/>
  <c r="K988" i="3" s="1"/>
  <c r="K989" i="3" s="1"/>
  <c r="K990" i="3" s="1"/>
  <c r="K991" i="3" s="1"/>
  <c r="K992" i="3" s="1"/>
  <c r="K993" i="3" s="1"/>
  <c r="K994" i="3" s="1"/>
  <c r="K995" i="3" s="1"/>
  <c r="K996" i="3" s="1"/>
  <c r="K997" i="3" s="1"/>
  <c r="K998" i="3" s="1"/>
  <c r="K999" i="3" s="1"/>
  <c r="K1000" i="3" s="1"/>
  <c r="K1001" i="3" s="1"/>
  <c r="K1002" i="3" s="1"/>
  <c r="K1003" i="3" s="1"/>
  <c r="K1004" i="3" s="1"/>
  <c r="K1005" i="3" s="1"/>
  <c r="K1006" i="3" s="1"/>
  <c r="K1007" i="3" s="1"/>
  <c r="K1008" i="3" s="1"/>
  <c r="K1009" i="3" s="1"/>
  <c r="K1010" i="3" s="1"/>
  <c r="K1011" i="3" s="1"/>
  <c r="K1012" i="3" s="1"/>
  <c r="K1013" i="3" s="1"/>
  <c r="K1014" i="3" s="1"/>
  <c r="K1015" i="3" s="1"/>
  <c r="K1016" i="3" s="1"/>
  <c r="K1017" i="3" s="1"/>
  <c r="K1018" i="3" s="1"/>
  <c r="K1019" i="3" s="1"/>
  <c r="K1020" i="3" s="1"/>
  <c r="K1021" i="3" s="1"/>
  <c r="K1022" i="3" s="1"/>
  <c r="K1023" i="3" s="1"/>
  <c r="K1024" i="3" s="1"/>
  <c r="K1025" i="3" s="1"/>
  <c r="K1026" i="3" s="1"/>
  <c r="K1027" i="3" s="1"/>
  <c r="K1028" i="3" s="1"/>
  <c r="K1029" i="3" s="1"/>
  <c r="K1030" i="3" s="1"/>
  <c r="K1031" i="3" s="1"/>
  <c r="K1032" i="3" s="1"/>
  <c r="K1033" i="3" s="1"/>
  <c r="K1034" i="3" s="1"/>
  <c r="K1035" i="3" s="1"/>
  <c r="K1036" i="3" s="1"/>
  <c r="K1037" i="3" s="1"/>
  <c r="K1038" i="3" s="1"/>
  <c r="K1039" i="3" s="1"/>
  <c r="K1040" i="3" s="1"/>
  <c r="K1041" i="3" s="1"/>
  <c r="K1042" i="3" s="1"/>
  <c r="K1043" i="3" s="1"/>
  <c r="K1044" i="3" s="1"/>
  <c r="K1045" i="3" s="1"/>
  <c r="K1046" i="3" s="1"/>
  <c r="K1047" i="3" s="1"/>
  <c r="K1048" i="3" s="1"/>
  <c r="K1049" i="3" s="1"/>
  <c r="K1050" i="3" s="1"/>
  <c r="K1051" i="3" s="1"/>
  <c r="K1052" i="3" s="1"/>
  <c r="K1053" i="3" s="1"/>
  <c r="K1054" i="3" s="1"/>
  <c r="K1055" i="3" s="1"/>
  <c r="K1056" i="3" s="1"/>
  <c r="K1057" i="3" s="1"/>
  <c r="K1058" i="3" s="1"/>
  <c r="K1059" i="3" s="1"/>
  <c r="K1060" i="3" s="1"/>
  <c r="K1061" i="3" s="1"/>
  <c r="K1062" i="3" s="1"/>
  <c r="K1063" i="3" s="1"/>
  <c r="K1064" i="3" s="1"/>
  <c r="K1065" i="3" s="1"/>
  <c r="K1066" i="3" s="1"/>
  <c r="K1067" i="3" s="1"/>
  <c r="K1068" i="3" s="1"/>
  <c r="K1069" i="3" s="1"/>
  <c r="K1070" i="3" s="1"/>
  <c r="K1071" i="3" s="1"/>
  <c r="K1072" i="3" s="1"/>
  <c r="K1073" i="3" s="1"/>
  <c r="K1074" i="3" s="1"/>
  <c r="K1075" i="3" s="1"/>
  <c r="K1076" i="3" s="1"/>
  <c r="K1077" i="3" s="1"/>
  <c r="K1078" i="3" s="1"/>
  <c r="K1079" i="3" s="1"/>
  <c r="K1080" i="3" s="1"/>
  <c r="K1081" i="3" s="1"/>
  <c r="K1082" i="3" s="1"/>
  <c r="K1083" i="3" s="1"/>
  <c r="K1084" i="3" s="1"/>
  <c r="K1085" i="3" s="1"/>
  <c r="K1086" i="3" s="1"/>
  <c r="K1087" i="3" s="1"/>
  <c r="K1088" i="3" s="1"/>
  <c r="K1089" i="3" s="1"/>
  <c r="K1090" i="3" s="1"/>
  <c r="K1091" i="3" s="1"/>
  <c r="K1092" i="3" s="1"/>
  <c r="K1093" i="3" s="1"/>
  <c r="K1094" i="3" s="1"/>
  <c r="K1095" i="3" s="1"/>
  <c r="K1096" i="3" s="1"/>
  <c r="K1097" i="3" s="1"/>
  <c r="K1098" i="3" s="1"/>
  <c r="K1099" i="3" s="1"/>
  <c r="K1100" i="3" s="1"/>
  <c r="K1101" i="3" s="1"/>
  <c r="K1102" i="3" s="1"/>
  <c r="K1103" i="3" s="1"/>
  <c r="K1104" i="3" s="1"/>
  <c r="K1105" i="3" s="1"/>
  <c r="K1106" i="3" s="1"/>
  <c r="K1107" i="3" s="1"/>
  <c r="K1108" i="3" s="1"/>
  <c r="K1109" i="3" s="1"/>
  <c r="K1110" i="3" s="1"/>
  <c r="K1111" i="3" s="1"/>
  <c r="K1112" i="3" s="1"/>
  <c r="K1113" i="3" s="1"/>
  <c r="K1114" i="3" s="1"/>
  <c r="K1115" i="3" s="1"/>
  <c r="K1116" i="3" s="1"/>
  <c r="K1117" i="3" s="1"/>
  <c r="K1118" i="3" s="1"/>
  <c r="K1119" i="3" s="1"/>
  <c r="K1120" i="3" s="1"/>
  <c r="K1121" i="3" s="1"/>
  <c r="K1122" i="3" s="1"/>
  <c r="K1123" i="3" s="1"/>
  <c r="K1124" i="3" s="1"/>
  <c r="K1125" i="3" s="1"/>
  <c r="K1126" i="3" s="1"/>
  <c r="K1127" i="3" s="1"/>
  <c r="K1128" i="3" s="1"/>
  <c r="K1129" i="3" s="1"/>
  <c r="K1130" i="3" s="1"/>
  <c r="K1131" i="3" s="1"/>
  <c r="K1132" i="3" s="1"/>
  <c r="K1133" i="3" s="1"/>
  <c r="K1134" i="3" s="1"/>
  <c r="K1135" i="3" s="1"/>
  <c r="K1136" i="3" s="1"/>
  <c r="K1137" i="3" s="1"/>
  <c r="K1138" i="3" s="1"/>
  <c r="K1139" i="3" s="1"/>
  <c r="K1140" i="3" s="1"/>
  <c r="K1141" i="3" s="1"/>
  <c r="K1142" i="3" s="1"/>
  <c r="K1143" i="3" s="1"/>
  <c r="K1144" i="3" s="1"/>
  <c r="K1145" i="3" s="1"/>
  <c r="K1146" i="3" s="1"/>
  <c r="K1147" i="3" s="1"/>
  <c r="K1148" i="3" s="1"/>
  <c r="K1149" i="3" s="1"/>
  <c r="K1150" i="3" s="1"/>
  <c r="K1151" i="3" s="1"/>
  <c r="K1152" i="3" s="1"/>
  <c r="K1153" i="3" s="1"/>
  <c r="K1154" i="3" s="1"/>
  <c r="K1155" i="3" s="1"/>
  <c r="K1156" i="3" s="1"/>
  <c r="K1157" i="3" s="1"/>
  <c r="K1158" i="3" s="1"/>
  <c r="K1159" i="3" s="1"/>
  <c r="K1160" i="3" s="1"/>
  <c r="K1161" i="3" s="1"/>
  <c r="K1162" i="3" s="1"/>
  <c r="K1163" i="3" s="1"/>
  <c r="K1164" i="3" s="1"/>
  <c r="K1165" i="3" s="1"/>
  <c r="K1166" i="3" s="1"/>
  <c r="K1167" i="3" s="1"/>
  <c r="K1168" i="3" s="1"/>
  <c r="K1169" i="3" s="1"/>
  <c r="K1170" i="3" s="1"/>
  <c r="K1171" i="3" s="1"/>
  <c r="K1172" i="3" s="1"/>
  <c r="K1173" i="3" s="1"/>
  <c r="K1174" i="3" s="1"/>
  <c r="K1175" i="3" s="1"/>
  <c r="K1176" i="3" s="1"/>
  <c r="K1177" i="3" s="1"/>
  <c r="K1178" i="3" s="1"/>
  <c r="K1179" i="3" s="1"/>
  <c r="K1180" i="3" s="1"/>
  <c r="K1181" i="3" s="1"/>
  <c r="K1182" i="3" s="1"/>
  <c r="K1183" i="3" s="1"/>
  <c r="K1184" i="3" s="1"/>
  <c r="K1185" i="3" s="1"/>
  <c r="K1186" i="3" s="1"/>
  <c r="K1187" i="3" s="1"/>
  <c r="K1188" i="3" s="1"/>
  <c r="K1189" i="3" s="1"/>
  <c r="K1190" i="3" s="1"/>
  <c r="K1191" i="3" s="1"/>
  <c r="K1192" i="3" s="1"/>
  <c r="K1193" i="3" s="1"/>
  <c r="K1194" i="3" s="1"/>
  <c r="K1195" i="3" s="1"/>
  <c r="K1196" i="3" s="1"/>
  <c r="K1197" i="3" s="1"/>
  <c r="K1198" i="3" s="1"/>
  <c r="K1199" i="3" s="1"/>
  <c r="K1200" i="3" s="1"/>
  <c r="K1201" i="3" s="1"/>
  <c r="K1202" i="3" s="1"/>
  <c r="K1203" i="3" s="1"/>
  <c r="K1204" i="3" s="1"/>
  <c r="K1205" i="3" s="1"/>
  <c r="K1206" i="3" s="1"/>
  <c r="K1207" i="3" s="1"/>
  <c r="K1208" i="3" s="1"/>
  <c r="K1209" i="3" s="1"/>
  <c r="K1210" i="3" s="1"/>
  <c r="K1211" i="3" s="1"/>
  <c r="K1212" i="3" s="1"/>
  <c r="K1213" i="3" s="1"/>
  <c r="K1214" i="3" s="1"/>
  <c r="K1215" i="3" s="1"/>
  <c r="K1216" i="3" s="1"/>
  <c r="K1217" i="3" s="1"/>
  <c r="K1218" i="3" s="1"/>
  <c r="K1219" i="3" s="1"/>
  <c r="K1220" i="3" s="1"/>
  <c r="K1221" i="3" s="1"/>
  <c r="K1222" i="3" s="1"/>
  <c r="K1223" i="3" s="1"/>
  <c r="K1224" i="3" s="1"/>
  <c r="K1225" i="3" s="1"/>
  <c r="K1226" i="3" s="1"/>
  <c r="K1227" i="3" s="1"/>
  <c r="K1228" i="3" s="1"/>
  <c r="K1229" i="3" s="1"/>
  <c r="K1230" i="3" s="1"/>
  <c r="K1231" i="3" s="1"/>
  <c r="K1232" i="3" s="1"/>
  <c r="K1233" i="3" s="1"/>
  <c r="K1234" i="3" s="1"/>
  <c r="K1235" i="3" s="1"/>
  <c r="K1236" i="3" s="1"/>
  <c r="K1237" i="3" s="1"/>
  <c r="K1238" i="3" s="1"/>
  <c r="K1239" i="3" s="1"/>
  <c r="K1240" i="3" s="1"/>
  <c r="K1241" i="3" s="1"/>
  <c r="K1242" i="3" s="1"/>
  <c r="K1243" i="3" s="1"/>
  <c r="K1244" i="3" s="1"/>
  <c r="K1245" i="3" s="1"/>
  <c r="K1246" i="3" s="1"/>
  <c r="K1247" i="3" s="1"/>
  <c r="K1248" i="3" s="1"/>
  <c r="K1249" i="3" s="1"/>
  <c r="K1250" i="3" s="1"/>
  <c r="K1251" i="3" s="1"/>
  <c r="K1252" i="3" s="1"/>
  <c r="K1253" i="3" s="1"/>
  <c r="K1254" i="3" s="1"/>
  <c r="K1255" i="3" s="1"/>
  <c r="K1256" i="3" s="1"/>
  <c r="K1257" i="3" s="1"/>
  <c r="K1258" i="3" s="1"/>
  <c r="K1259" i="3" s="1"/>
  <c r="K1260" i="3" s="1"/>
  <c r="K1261" i="3" s="1"/>
  <c r="K1262" i="3" s="1"/>
  <c r="K1263" i="3" s="1"/>
  <c r="K1264" i="3" s="1"/>
  <c r="K1265" i="3" s="1"/>
  <c r="K1266" i="3" s="1"/>
  <c r="K1267" i="3" s="1"/>
  <c r="K1268" i="3" s="1"/>
  <c r="K1269" i="3" s="1"/>
  <c r="K1270" i="3" s="1"/>
  <c r="K1271" i="3" s="1"/>
  <c r="K1272" i="3" s="1"/>
  <c r="K1273" i="3" s="1"/>
  <c r="K1274" i="3" s="1"/>
  <c r="K1275" i="3" s="1"/>
  <c r="K1276" i="3" s="1"/>
  <c r="K1277" i="3" s="1"/>
  <c r="K1278" i="3" s="1"/>
  <c r="K1279" i="3" s="1"/>
  <c r="K1280" i="3" s="1"/>
  <c r="K1281" i="3" s="1"/>
  <c r="K1282" i="3" s="1"/>
  <c r="K1283" i="3" s="1"/>
  <c r="K1284" i="3" s="1"/>
  <c r="K1285" i="3" s="1"/>
  <c r="K1286" i="3" s="1"/>
  <c r="K1287" i="3" s="1"/>
  <c r="K1288" i="3" s="1"/>
  <c r="K1289" i="3" s="1"/>
  <c r="K1290" i="3" s="1"/>
  <c r="K1291" i="3" s="1"/>
  <c r="K1292" i="3" s="1"/>
  <c r="K1293" i="3" s="1"/>
  <c r="K1294" i="3" s="1"/>
  <c r="K1295" i="3" s="1"/>
  <c r="K1296" i="3" s="1"/>
  <c r="K1297" i="3" s="1"/>
  <c r="K1298" i="3" s="1"/>
  <c r="K1299" i="3" s="1"/>
  <c r="K1300" i="3" s="1"/>
  <c r="K1301" i="3" s="1"/>
  <c r="K1302" i="3" s="1"/>
  <c r="K1303" i="3" s="1"/>
  <c r="K1304" i="3" s="1"/>
  <c r="K1305" i="3" s="1"/>
  <c r="K1306" i="3" s="1"/>
  <c r="K1307" i="3" s="1"/>
  <c r="K1308" i="3" s="1"/>
  <c r="K1309" i="3" s="1"/>
  <c r="K1310" i="3" s="1"/>
  <c r="K1311" i="3" s="1"/>
  <c r="K1312" i="3" s="1"/>
  <c r="K1313" i="3" s="1"/>
  <c r="K1314" i="3" s="1"/>
  <c r="K1315" i="3" s="1"/>
  <c r="K1316" i="3" s="1"/>
  <c r="K1317" i="3" s="1"/>
  <c r="K1318" i="3" s="1"/>
  <c r="K1319" i="3" s="1"/>
  <c r="K1320" i="3" s="1"/>
  <c r="K1321" i="3" s="1"/>
  <c r="K1322" i="3" s="1"/>
  <c r="K1323" i="3" s="1"/>
  <c r="K1324" i="3" s="1"/>
  <c r="K1325" i="3" s="1"/>
  <c r="K1326" i="3" s="1"/>
  <c r="K1327" i="3" s="1"/>
  <c r="K1328" i="3" s="1"/>
  <c r="K1329" i="3" s="1"/>
  <c r="K1330" i="3" s="1"/>
  <c r="K1331" i="3" s="1"/>
  <c r="K1332" i="3" s="1"/>
  <c r="K1333" i="3" s="1"/>
  <c r="K1334" i="3" s="1"/>
  <c r="K1335" i="3" s="1"/>
  <c r="K1336" i="3" s="1"/>
  <c r="K1337" i="3" s="1"/>
  <c r="K1338" i="3" s="1"/>
  <c r="K1339" i="3" s="1"/>
  <c r="K1340" i="3" s="1"/>
  <c r="K1341" i="3" s="1"/>
  <c r="K1342" i="3" s="1"/>
  <c r="K1343" i="3" s="1"/>
  <c r="K1344" i="3" s="1"/>
  <c r="K1345" i="3" s="1"/>
  <c r="K1346" i="3" s="1"/>
  <c r="K1347" i="3" s="1"/>
  <c r="K1348" i="3" s="1"/>
  <c r="K1349" i="3" s="1"/>
  <c r="K1350" i="3" s="1"/>
  <c r="K1351" i="3" s="1"/>
  <c r="K1352" i="3" s="1"/>
  <c r="K1353" i="3" s="1"/>
  <c r="K1354" i="3" s="1"/>
  <c r="K1355" i="3" s="1"/>
  <c r="K1356" i="3" s="1"/>
  <c r="K1357" i="3" s="1"/>
  <c r="K1358" i="3" s="1"/>
  <c r="K1359" i="3" s="1"/>
  <c r="K1360" i="3" s="1"/>
  <c r="K1361" i="3" s="1"/>
  <c r="K1362" i="3" s="1"/>
  <c r="K1363" i="3" s="1"/>
  <c r="K1364" i="3" s="1"/>
  <c r="K1365" i="3" s="1"/>
  <c r="K1366" i="3" s="1"/>
  <c r="K1367" i="3" s="1"/>
  <c r="K1368" i="3" s="1"/>
  <c r="K1369" i="3" s="1"/>
  <c r="K1370" i="3" s="1"/>
  <c r="K1371" i="3" s="1"/>
  <c r="K1372" i="3" s="1"/>
  <c r="K1373" i="3" s="1"/>
  <c r="K1374" i="3" s="1"/>
  <c r="K1375" i="3" s="1"/>
  <c r="K1376" i="3" s="1"/>
  <c r="K1377" i="3" s="1"/>
  <c r="K1378" i="3" s="1"/>
  <c r="K1379" i="3" s="1"/>
  <c r="K1380" i="3" s="1"/>
  <c r="K1381" i="3" s="1"/>
  <c r="K1382" i="3" s="1"/>
  <c r="K1383" i="3" s="1"/>
  <c r="K1384" i="3" s="1"/>
  <c r="K1385" i="3" s="1"/>
  <c r="K1386" i="3" s="1"/>
  <c r="K1387" i="3" s="1"/>
  <c r="K1388" i="3" s="1"/>
  <c r="K1389" i="3" s="1"/>
  <c r="K1390" i="3" s="1"/>
  <c r="K1391" i="3" s="1"/>
  <c r="K1392" i="3" s="1"/>
  <c r="K1393" i="3" s="1"/>
  <c r="K1394" i="3" s="1"/>
  <c r="K1395" i="3" s="1"/>
  <c r="K1396" i="3" s="1"/>
  <c r="K1397" i="3" s="1"/>
  <c r="K1398" i="3" s="1"/>
  <c r="K1399" i="3" s="1"/>
  <c r="K1400" i="3" s="1"/>
  <c r="K1401" i="3" s="1"/>
  <c r="K1402" i="3" s="1"/>
  <c r="K1403" i="3" s="1"/>
  <c r="K1404" i="3" s="1"/>
  <c r="K1405" i="3" s="1"/>
  <c r="K1406" i="3" s="1"/>
  <c r="K1407" i="3" s="1"/>
  <c r="K1408" i="3" s="1"/>
  <c r="K1409" i="3" s="1"/>
  <c r="K1410" i="3" s="1"/>
  <c r="K1411" i="3" s="1"/>
  <c r="K1412" i="3" s="1"/>
  <c r="K1413" i="3" s="1"/>
  <c r="K1414" i="3" s="1"/>
  <c r="K1415" i="3" s="1"/>
  <c r="K1416" i="3" s="1"/>
  <c r="K1417" i="3" s="1"/>
  <c r="K1418" i="3" s="1"/>
  <c r="K1419" i="3" s="1"/>
  <c r="K1420" i="3" s="1"/>
  <c r="K1421" i="3" s="1"/>
  <c r="K1422" i="3" s="1"/>
  <c r="K1423" i="3" s="1"/>
  <c r="K1424" i="3" s="1"/>
  <c r="K1425" i="3" s="1"/>
  <c r="K1426" i="3" s="1"/>
  <c r="K1427" i="3" s="1"/>
  <c r="K1428" i="3" s="1"/>
  <c r="K1429" i="3" s="1"/>
  <c r="K1430" i="3" s="1"/>
  <c r="K1431" i="3" s="1"/>
  <c r="K1432" i="3" s="1"/>
  <c r="K1433" i="3" s="1"/>
  <c r="K1434" i="3" s="1"/>
  <c r="K1435" i="3" s="1"/>
  <c r="K1436" i="3" s="1"/>
  <c r="K1437" i="3" s="1"/>
  <c r="K1438" i="3" s="1"/>
  <c r="K1439" i="3" s="1"/>
  <c r="K1440" i="3" s="1"/>
  <c r="K1441" i="3" s="1"/>
  <c r="K1442" i="3" s="1"/>
  <c r="K1443" i="3" s="1"/>
  <c r="K1444" i="3" s="1"/>
  <c r="K1445" i="3" s="1"/>
  <c r="K1446" i="3" s="1"/>
  <c r="K1447" i="3" s="1"/>
  <c r="K1448" i="3" s="1"/>
  <c r="K1449" i="3" s="1"/>
  <c r="K1450" i="3" s="1"/>
  <c r="K1451" i="3" s="1"/>
  <c r="K1452" i="3" s="1"/>
  <c r="K1453" i="3" s="1"/>
  <c r="K1454" i="3" s="1"/>
  <c r="K1455" i="3" s="1"/>
  <c r="K1456" i="3" s="1"/>
  <c r="K1457" i="3" s="1"/>
  <c r="K1458" i="3" s="1"/>
  <c r="K1459" i="3" s="1"/>
  <c r="K1460" i="3" s="1"/>
  <c r="K1461" i="3" s="1"/>
  <c r="K1462" i="3" s="1"/>
  <c r="K1463" i="3" s="1"/>
  <c r="K1464" i="3" s="1"/>
  <c r="K1465" i="3" s="1"/>
  <c r="K1466" i="3" s="1"/>
  <c r="K1467" i="3" s="1"/>
  <c r="K1468" i="3" s="1"/>
  <c r="K1469" i="3" s="1"/>
  <c r="K1470" i="3" s="1"/>
  <c r="K1471" i="3" s="1"/>
  <c r="K1472" i="3" s="1"/>
  <c r="K1473" i="3" s="1"/>
  <c r="K1474" i="3" s="1"/>
  <c r="K1475" i="3" s="1"/>
  <c r="K1476" i="3" s="1"/>
  <c r="K1477" i="3" s="1"/>
  <c r="K1478" i="3" s="1"/>
  <c r="K1479" i="3" s="1"/>
  <c r="K1480" i="3" s="1"/>
  <c r="K1481" i="3" s="1"/>
  <c r="K1482" i="3" s="1"/>
  <c r="K1483" i="3" s="1"/>
  <c r="K1484" i="3" s="1"/>
  <c r="K1485" i="3" s="1"/>
  <c r="K1486" i="3" s="1"/>
  <c r="K1487" i="3" s="1"/>
  <c r="K1488" i="3" s="1"/>
  <c r="K1489" i="3" s="1"/>
  <c r="K1490" i="3" s="1"/>
  <c r="K1491" i="3" s="1"/>
  <c r="K1492" i="3" s="1"/>
  <c r="K1493" i="3" s="1"/>
  <c r="K1494" i="3" s="1"/>
  <c r="K1495" i="3" s="1"/>
  <c r="K1496" i="3" s="1"/>
  <c r="K1497" i="3" s="1"/>
  <c r="K1498" i="3" s="1"/>
  <c r="K1499" i="3" s="1"/>
  <c r="K1500" i="3" s="1"/>
  <c r="K1501" i="3" s="1"/>
  <c r="K1502" i="3" s="1"/>
  <c r="K1503" i="3" s="1"/>
  <c r="K1504" i="3" s="1"/>
  <c r="K1505" i="3" s="1"/>
  <c r="K1506" i="3" s="1"/>
  <c r="K1507" i="3" s="1"/>
  <c r="K1508" i="3" s="1"/>
  <c r="K1509" i="3" s="1"/>
  <c r="K1510" i="3" s="1"/>
  <c r="K1511" i="3" s="1"/>
  <c r="K1512" i="3" s="1"/>
  <c r="K1513" i="3" s="1"/>
  <c r="K1514" i="3" s="1"/>
  <c r="K1515" i="3" s="1"/>
  <c r="K1516" i="3" s="1"/>
  <c r="K1517" i="3" s="1"/>
  <c r="K1518" i="3" s="1"/>
  <c r="K1519" i="3" s="1"/>
  <c r="K1520" i="3" s="1"/>
  <c r="K1521" i="3" s="1"/>
  <c r="K1522" i="3" s="1"/>
  <c r="K1523" i="3" s="1"/>
  <c r="K1524" i="3" s="1"/>
  <c r="K1525" i="3" s="1"/>
  <c r="K1526" i="3" s="1"/>
  <c r="K1527" i="3" s="1"/>
  <c r="K1528" i="3" s="1"/>
  <c r="K1529" i="3" s="1"/>
  <c r="K1530" i="3" s="1"/>
  <c r="K1531" i="3" s="1"/>
  <c r="K1532" i="3" s="1"/>
  <c r="K1533" i="3" s="1"/>
  <c r="K1534" i="3" s="1"/>
  <c r="K1535" i="3" s="1"/>
  <c r="K1536" i="3" s="1"/>
  <c r="K1537" i="3" s="1"/>
  <c r="K1538" i="3" s="1"/>
  <c r="K1539" i="3" s="1"/>
  <c r="K1540" i="3" s="1"/>
  <c r="K1541" i="3" s="1"/>
  <c r="K1542" i="3" s="1"/>
  <c r="K1543" i="3" s="1"/>
  <c r="K1544" i="3" s="1"/>
  <c r="K1545" i="3" s="1"/>
  <c r="K1546" i="3" s="1"/>
  <c r="K1547" i="3" s="1"/>
  <c r="K1548" i="3" s="1"/>
  <c r="K1549" i="3" s="1"/>
  <c r="K1550" i="3" s="1"/>
  <c r="K1551" i="3" s="1"/>
  <c r="K1552" i="3" s="1"/>
  <c r="K1553" i="3" s="1"/>
  <c r="K1554" i="3" s="1"/>
  <c r="K1555" i="3" s="1"/>
  <c r="K1556" i="3" s="1"/>
  <c r="K1557" i="3" s="1"/>
  <c r="K1558" i="3" s="1"/>
  <c r="K1559" i="3" s="1"/>
  <c r="K1560" i="3" s="1"/>
  <c r="K1561" i="3" s="1"/>
  <c r="K1562" i="3" s="1"/>
  <c r="K1563" i="3" s="1"/>
  <c r="K1564" i="3" s="1"/>
  <c r="K1565" i="3" s="1"/>
  <c r="K1566" i="3" s="1"/>
  <c r="K1567" i="3" s="1"/>
  <c r="K1568" i="3" s="1"/>
  <c r="K1569" i="3" s="1"/>
  <c r="K1570" i="3" s="1"/>
  <c r="K1571" i="3" s="1"/>
  <c r="K1572" i="3" s="1"/>
  <c r="K1573" i="3" s="1"/>
  <c r="K1574" i="3" s="1"/>
  <c r="K1575" i="3" s="1"/>
  <c r="K1576" i="3" s="1"/>
  <c r="K1577" i="3" s="1"/>
  <c r="K1578" i="3" s="1"/>
  <c r="K1579" i="3" s="1"/>
  <c r="K1580" i="3" s="1"/>
  <c r="K1581" i="3" s="1"/>
  <c r="K1582" i="3" s="1"/>
  <c r="K1583" i="3" s="1"/>
  <c r="K1584" i="3" s="1"/>
  <c r="K1585" i="3" s="1"/>
  <c r="K1586" i="3" s="1"/>
  <c r="K1587" i="3" s="1"/>
  <c r="K1588" i="3" s="1"/>
  <c r="K1589" i="3" s="1"/>
  <c r="K1590" i="3" s="1"/>
  <c r="K1591" i="3" s="1"/>
  <c r="K1592" i="3" s="1"/>
  <c r="K1593" i="3" s="1"/>
  <c r="K1594" i="3" s="1"/>
  <c r="K1595" i="3" s="1"/>
  <c r="K1596" i="3" s="1"/>
  <c r="K1597" i="3" s="1"/>
  <c r="K1598" i="3" s="1"/>
  <c r="K1599" i="3" s="1"/>
  <c r="K1600" i="3" s="1"/>
  <c r="K1601" i="3" s="1"/>
  <c r="K1602" i="3" s="1"/>
  <c r="K1603" i="3" s="1"/>
  <c r="K1604" i="3" s="1"/>
  <c r="K1605" i="3" s="1"/>
  <c r="K1606" i="3" s="1"/>
  <c r="K1607" i="3" s="1"/>
  <c r="K1608" i="3" s="1"/>
  <c r="K1609" i="3" s="1"/>
  <c r="K1610" i="3" s="1"/>
  <c r="K1611" i="3" s="1"/>
  <c r="K1612" i="3" s="1"/>
  <c r="K1613" i="3" s="1"/>
  <c r="K1614" i="3" s="1"/>
  <c r="K1615" i="3" s="1"/>
  <c r="K1616" i="3" s="1"/>
  <c r="K1617" i="3" s="1"/>
  <c r="K1618" i="3" s="1"/>
  <c r="K1619" i="3" s="1"/>
  <c r="K1620" i="3" s="1"/>
  <c r="K1621" i="3" s="1"/>
  <c r="K1622" i="3" s="1"/>
  <c r="K1623" i="3" s="1"/>
  <c r="K1624" i="3" s="1"/>
  <c r="K1625" i="3" s="1"/>
  <c r="K1626" i="3" s="1"/>
  <c r="K1627" i="3" s="1"/>
  <c r="K1628" i="3" s="1"/>
  <c r="K1629" i="3" s="1"/>
  <c r="K1630" i="3" s="1"/>
  <c r="K1631" i="3" s="1"/>
  <c r="K1632" i="3" s="1"/>
  <c r="K1633" i="3" s="1"/>
  <c r="K1634" i="3" s="1"/>
  <c r="K1635" i="3" s="1"/>
  <c r="K1636" i="3" s="1"/>
  <c r="K1637" i="3" s="1"/>
  <c r="K1638" i="3" s="1"/>
  <c r="K1639" i="3" s="1"/>
  <c r="K1640" i="3" s="1"/>
  <c r="K1641" i="3" s="1"/>
  <c r="K1642" i="3" s="1"/>
  <c r="K1643" i="3" s="1"/>
  <c r="K1644" i="3" s="1"/>
  <c r="K1645" i="3" s="1"/>
  <c r="K1646" i="3" s="1"/>
  <c r="K1647" i="3" s="1"/>
  <c r="K1648" i="3" s="1"/>
  <c r="K1649" i="3" s="1"/>
  <c r="K1650" i="3" s="1"/>
  <c r="K1651" i="3" s="1"/>
  <c r="K1652" i="3" s="1"/>
  <c r="K1653" i="3" s="1"/>
  <c r="K1654" i="3" s="1"/>
  <c r="K1655" i="3" s="1"/>
  <c r="K1656" i="3" s="1"/>
  <c r="K1657" i="3" s="1"/>
  <c r="K1658" i="3" s="1"/>
  <c r="K1659" i="3" s="1"/>
  <c r="K1660" i="3" s="1"/>
  <c r="K1661" i="3" s="1"/>
  <c r="K1662" i="3" s="1"/>
  <c r="K1663" i="3" s="1"/>
  <c r="K1664" i="3" s="1"/>
  <c r="K1665" i="3" s="1"/>
  <c r="K1666" i="3" s="1"/>
  <c r="K1667" i="3" s="1"/>
  <c r="K1668" i="3" s="1"/>
  <c r="K1669" i="3" s="1"/>
  <c r="K1670" i="3" s="1"/>
  <c r="K1671" i="3" s="1"/>
  <c r="K1672" i="3" s="1"/>
  <c r="K1673" i="3" s="1"/>
  <c r="K1674" i="3" s="1"/>
  <c r="K1675" i="3" s="1"/>
  <c r="K1676" i="3" s="1"/>
  <c r="K1677" i="3" s="1"/>
  <c r="K1678" i="3" s="1"/>
  <c r="K1679" i="3" s="1"/>
  <c r="K1680" i="3" s="1"/>
  <c r="K1681" i="3" s="1"/>
  <c r="K1682" i="3" s="1"/>
  <c r="K1683" i="3" s="1"/>
  <c r="K1684" i="3" s="1"/>
  <c r="K1685" i="3" s="1"/>
  <c r="K1686" i="3" s="1"/>
  <c r="K1687" i="3" s="1"/>
  <c r="K1688" i="3" s="1"/>
  <c r="K1689" i="3" s="1"/>
  <c r="K1690" i="3" s="1"/>
  <c r="K1691" i="3" s="1"/>
  <c r="K1692" i="3" s="1"/>
  <c r="K1693" i="3" s="1"/>
  <c r="K1694" i="3" s="1"/>
  <c r="K1695" i="3" s="1"/>
  <c r="K1696" i="3" s="1"/>
  <c r="K1697" i="3" s="1"/>
  <c r="K1698" i="3" s="1"/>
  <c r="K1699" i="3" s="1"/>
  <c r="K1700" i="3" s="1"/>
  <c r="K1701" i="3" s="1"/>
  <c r="K1702" i="3" s="1"/>
  <c r="K1703" i="3" s="1"/>
  <c r="K1704" i="3" s="1"/>
  <c r="K1705" i="3" s="1"/>
  <c r="K1706" i="3" s="1"/>
  <c r="K1707" i="3" s="1"/>
  <c r="K1708" i="3" s="1"/>
  <c r="K1709" i="3" s="1"/>
  <c r="K1710" i="3" s="1"/>
  <c r="K1711" i="3" s="1"/>
  <c r="K1712" i="3" s="1"/>
  <c r="K1713" i="3" s="1"/>
  <c r="K1714" i="3" s="1"/>
  <c r="K1715" i="3" s="1"/>
  <c r="K1716" i="3" s="1"/>
  <c r="K1717" i="3" s="1"/>
  <c r="K1718" i="3" s="1"/>
  <c r="K1719" i="3" s="1"/>
  <c r="K1720" i="3" s="1"/>
  <c r="K1721" i="3" s="1"/>
  <c r="K1722" i="3" s="1"/>
  <c r="K1723" i="3" s="1"/>
  <c r="K1724" i="3" s="1"/>
  <c r="K1725" i="3" s="1"/>
  <c r="K1726" i="3" s="1"/>
  <c r="K1727" i="3" s="1"/>
  <c r="K1728" i="3" s="1"/>
  <c r="K1729" i="3" s="1"/>
  <c r="K1730" i="3" s="1"/>
  <c r="K1731" i="3" s="1"/>
  <c r="K1732" i="3" s="1"/>
  <c r="K1733" i="3" s="1"/>
  <c r="K1734" i="3" s="1"/>
  <c r="K1735" i="3" s="1"/>
  <c r="K1736" i="3" s="1"/>
  <c r="K1737" i="3" s="1"/>
  <c r="K1738" i="3" s="1"/>
  <c r="K1739" i="3" s="1"/>
  <c r="K1740" i="3" s="1"/>
  <c r="K1741" i="3" s="1"/>
  <c r="K1742" i="3" s="1"/>
  <c r="K1743" i="3" s="1"/>
  <c r="K1744" i="3" s="1"/>
  <c r="K1745" i="3" s="1"/>
  <c r="K1746" i="3" s="1"/>
  <c r="K1747" i="3" s="1"/>
  <c r="K1748" i="3" s="1"/>
  <c r="K1749" i="3" s="1"/>
  <c r="K1750" i="3" s="1"/>
  <c r="K1751" i="3" s="1"/>
  <c r="K1752" i="3" s="1"/>
  <c r="K1753" i="3" s="1"/>
  <c r="K1754" i="3" s="1"/>
  <c r="K1755" i="3" s="1"/>
  <c r="K1756" i="3" s="1"/>
  <c r="K1757" i="3" s="1"/>
  <c r="K1758" i="3" s="1"/>
  <c r="K1759" i="3" s="1"/>
  <c r="K1760" i="3" s="1"/>
  <c r="K1761" i="3" s="1"/>
  <c r="K1762" i="3" s="1"/>
  <c r="K1763" i="3" s="1"/>
  <c r="K1764" i="3" s="1"/>
  <c r="K1765" i="3" s="1"/>
  <c r="K1766" i="3" s="1"/>
  <c r="K1767" i="3" s="1"/>
  <c r="K1768" i="3" s="1"/>
  <c r="K1769" i="3" s="1"/>
  <c r="K1770" i="3" s="1"/>
  <c r="K1771" i="3" s="1"/>
  <c r="K1772" i="3" s="1"/>
  <c r="K1773" i="3" s="1"/>
  <c r="K1774" i="3" s="1"/>
  <c r="K1775" i="3" s="1"/>
  <c r="K1776" i="3" s="1"/>
  <c r="K1777" i="3" s="1"/>
  <c r="K1778" i="3" s="1"/>
  <c r="K1779" i="3" s="1"/>
  <c r="K1780" i="3" s="1"/>
  <c r="K1781" i="3" s="1"/>
  <c r="K1782" i="3" s="1"/>
  <c r="K1783" i="3" s="1"/>
  <c r="K1784" i="3" s="1"/>
  <c r="K1785" i="3" s="1"/>
  <c r="K1786" i="3" s="1"/>
  <c r="K1787" i="3" s="1"/>
  <c r="K1788" i="3" s="1"/>
  <c r="K1789" i="3" s="1"/>
  <c r="K1790" i="3" s="1"/>
  <c r="K1791" i="3" s="1"/>
  <c r="K1792" i="3" s="1"/>
  <c r="K1793" i="3" s="1"/>
  <c r="K1794" i="3" s="1"/>
  <c r="K1795" i="3" s="1"/>
  <c r="K1796" i="3" s="1"/>
  <c r="K1797" i="3" s="1"/>
  <c r="K1798" i="3" s="1"/>
  <c r="K1799" i="3" s="1"/>
  <c r="K1800" i="3" s="1"/>
  <c r="K1801" i="3" s="1"/>
  <c r="K1802" i="3" s="1"/>
  <c r="K1803" i="3" s="1"/>
  <c r="K1804" i="3" s="1"/>
  <c r="K1805" i="3" s="1"/>
  <c r="K1806" i="3" s="1"/>
  <c r="K1807" i="3" s="1"/>
  <c r="K1808" i="3" s="1"/>
  <c r="K1809" i="3" s="1"/>
  <c r="K1810" i="3" s="1"/>
  <c r="K1811" i="3" s="1"/>
  <c r="K1812" i="3" s="1"/>
  <c r="K1813" i="3" s="1"/>
  <c r="K1814" i="3" s="1"/>
  <c r="K1815" i="3" s="1"/>
  <c r="K1816" i="3" s="1"/>
  <c r="K1817" i="3" s="1"/>
  <c r="K1818" i="3" s="1"/>
  <c r="K1819" i="3" s="1"/>
  <c r="K1820" i="3" s="1"/>
  <c r="K1821" i="3" s="1"/>
  <c r="K1822" i="3" s="1"/>
  <c r="K1823" i="3" s="1"/>
  <c r="K1824" i="3" s="1"/>
  <c r="K1825" i="3" s="1"/>
  <c r="K1826" i="3" s="1"/>
  <c r="K1827" i="3" s="1"/>
  <c r="K1828" i="3" s="1"/>
  <c r="K1829" i="3" s="1"/>
  <c r="K1830" i="3" s="1"/>
  <c r="K1831" i="3" s="1"/>
  <c r="K1832" i="3" s="1"/>
  <c r="K1833" i="3" s="1"/>
  <c r="K1834" i="3" s="1"/>
  <c r="K1835" i="3" s="1"/>
  <c r="K1836" i="3" s="1"/>
  <c r="K1837" i="3" s="1"/>
  <c r="K1838" i="3" s="1"/>
  <c r="K1839" i="3" s="1"/>
  <c r="K1840" i="3" s="1"/>
  <c r="K1841" i="3" s="1"/>
  <c r="K1842" i="3" s="1"/>
  <c r="K1843" i="3" s="1"/>
  <c r="K1844" i="3" s="1"/>
  <c r="K1845" i="3" s="1"/>
  <c r="K1846" i="3" s="1"/>
  <c r="K1847" i="3" s="1"/>
  <c r="K1848" i="3" s="1"/>
  <c r="K1849" i="3" s="1"/>
  <c r="K1850" i="3" s="1"/>
  <c r="K1851" i="3" s="1"/>
  <c r="K1852" i="3" s="1"/>
  <c r="K1853" i="3" s="1"/>
  <c r="K1854" i="3" s="1"/>
  <c r="K1855" i="3" s="1"/>
  <c r="K1856" i="3" s="1"/>
  <c r="K1857" i="3" s="1"/>
  <c r="K1858" i="3" s="1"/>
  <c r="K1859" i="3" s="1"/>
  <c r="K1860" i="3" s="1"/>
  <c r="K1861" i="3" s="1"/>
  <c r="K1862" i="3" s="1"/>
  <c r="K1863" i="3" s="1"/>
  <c r="K1864" i="3" s="1"/>
  <c r="K1865" i="3" s="1"/>
  <c r="K1866" i="3" s="1"/>
  <c r="K1867" i="3" s="1"/>
  <c r="K1868" i="3" s="1"/>
  <c r="K1869" i="3" s="1"/>
  <c r="K1870" i="3" s="1"/>
  <c r="K1871" i="3" s="1"/>
  <c r="K1872" i="3" s="1"/>
  <c r="K1873" i="3" s="1"/>
  <c r="K1874" i="3" s="1"/>
  <c r="K1875" i="3" s="1"/>
  <c r="K1876" i="3" s="1"/>
  <c r="K1877" i="3" s="1"/>
  <c r="K1878" i="3" s="1"/>
  <c r="K1879" i="3" s="1"/>
  <c r="K1880" i="3" s="1"/>
  <c r="K1881" i="3" s="1"/>
  <c r="K1882" i="3" s="1"/>
  <c r="K1883" i="3" s="1"/>
  <c r="K1884" i="3" s="1"/>
  <c r="K1885" i="3" s="1"/>
  <c r="K1886" i="3" s="1"/>
  <c r="K1887" i="3" s="1"/>
  <c r="K1888" i="3" s="1"/>
  <c r="K1889" i="3" s="1"/>
  <c r="K1890" i="3" s="1"/>
  <c r="K1891" i="3" s="1"/>
  <c r="K1892" i="3" s="1"/>
  <c r="K1893" i="3" s="1"/>
  <c r="K1894" i="3" s="1"/>
  <c r="K1895" i="3" s="1"/>
  <c r="K1896" i="3" s="1"/>
  <c r="K1897" i="3" s="1"/>
  <c r="K1898" i="3" s="1"/>
  <c r="K1899" i="3" s="1"/>
  <c r="K1900" i="3" s="1"/>
  <c r="K1901" i="3" s="1"/>
  <c r="K1902" i="3" s="1"/>
  <c r="K1903" i="3" s="1"/>
  <c r="K1904" i="3" s="1"/>
  <c r="K1905" i="3" s="1"/>
  <c r="K1906" i="3" s="1"/>
  <c r="K1907" i="3" s="1"/>
  <c r="K1908" i="3" s="1"/>
  <c r="K1909" i="3" s="1"/>
  <c r="K1910" i="3" s="1"/>
  <c r="K1911" i="3" s="1"/>
  <c r="K1912" i="3" s="1"/>
  <c r="K1913" i="3" s="1"/>
  <c r="K1914" i="3" s="1"/>
  <c r="K1915" i="3" s="1"/>
  <c r="K1916" i="3" s="1"/>
  <c r="K1917" i="3" s="1"/>
  <c r="K1918" i="3" s="1"/>
  <c r="K1919" i="3" s="1"/>
  <c r="K1920" i="3" s="1"/>
  <c r="K1921" i="3" s="1"/>
  <c r="K1922" i="3" s="1"/>
  <c r="K1923" i="3" s="1"/>
  <c r="K1924" i="3" s="1"/>
  <c r="K1925" i="3" s="1"/>
  <c r="K1926" i="3" s="1"/>
  <c r="K1927" i="3" s="1"/>
  <c r="K1928" i="3" s="1"/>
  <c r="K1929" i="3" s="1"/>
  <c r="K1930" i="3" s="1"/>
  <c r="K1931" i="3" s="1"/>
  <c r="K1932" i="3" s="1"/>
  <c r="K1933" i="3" s="1"/>
  <c r="K1934" i="3" s="1"/>
  <c r="K1935" i="3" s="1"/>
  <c r="K1936" i="3" s="1"/>
  <c r="K1937" i="3" s="1"/>
  <c r="K1938" i="3" s="1"/>
  <c r="K1939" i="3" s="1"/>
  <c r="K1940" i="3" s="1"/>
  <c r="K1941" i="3" s="1"/>
  <c r="K1942" i="3" s="1"/>
  <c r="K1943" i="3" s="1"/>
  <c r="K1944" i="3" s="1"/>
  <c r="K1945" i="3" s="1"/>
  <c r="K1946" i="3" s="1"/>
  <c r="K1947" i="3" s="1"/>
  <c r="K1948" i="3" s="1"/>
  <c r="K1949" i="3" s="1"/>
  <c r="K1950" i="3" s="1"/>
  <c r="K1951" i="3" s="1"/>
  <c r="K1952" i="3" s="1"/>
  <c r="K1953" i="3" s="1"/>
  <c r="K1954" i="3" s="1"/>
  <c r="K1955" i="3" s="1"/>
  <c r="K1956" i="3" s="1"/>
  <c r="K1957" i="3" s="1"/>
  <c r="K1958" i="3" s="1"/>
  <c r="K1959" i="3" s="1"/>
  <c r="K1960" i="3" s="1"/>
  <c r="K1961" i="3" s="1"/>
  <c r="K1962" i="3" s="1"/>
  <c r="K1963" i="3" s="1"/>
  <c r="K1964" i="3" s="1"/>
  <c r="K1965" i="3" s="1"/>
  <c r="K1966" i="3" s="1"/>
  <c r="K1967" i="3" s="1"/>
  <c r="K1968" i="3" s="1"/>
  <c r="K1969" i="3" s="1"/>
  <c r="K1970" i="3" s="1"/>
  <c r="K1971" i="3" s="1"/>
  <c r="K1972" i="3" s="1"/>
  <c r="K1973" i="3" s="1"/>
  <c r="K1974" i="3" s="1"/>
  <c r="K1975" i="3" s="1"/>
  <c r="K1976" i="3" s="1"/>
  <c r="K1977" i="3" s="1"/>
  <c r="K1978" i="3" s="1"/>
  <c r="K1979" i="3" s="1"/>
  <c r="K1980" i="3" s="1"/>
  <c r="K1981" i="3" s="1"/>
  <c r="K1982" i="3" s="1"/>
  <c r="K1983" i="3" s="1"/>
  <c r="K1984" i="3" s="1"/>
  <c r="K1985" i="3" s="1"/>
  <c r="K1986" i="3" s="1"/>
  <c r="K1987" i="3" s="1"/>
  <c r="K1988" i="3" s="1"/>
  <c r="K1989" i="3" s="1"/>
  <c r="K1990" i="3" s="1"/>
  <c r="K1991" i="3" s="1"/>
  <c r="K1992" i="3" s="1"/>
  <c r="K1993" i="3" s="1"/>
  <c r="K1994" i="3" s="1"/>
  <c r="K1995" i="3" s="1"/>
  <c r="K1996" i="3" s="1"/>
  <c r="K1997" i="3" s="1"/>
  <c r="K1998" i="3" s="1"/>
  <c r="K1999" i="3" s="1"/>
  <c r="K2000" i="3" s="1"/>
  <c r="K2001" i="3" s="1"/>
  <c r="K2002" i="3" s="1"/>
  <c r="K2003" i="3" s="1"/>
  <c r="K2004" i="3" s="1"/>
  <c r="K2005" i="3" s="1"/>
  <c r="K2006" i="3" s="1"/>
  <c r="K2007" i="3" s="1"/>
  <c r="K2008" i="3" s="1"/>
  <c r="K2009" i="3" s="1"/>
  <c r="K2010" i="3" s="1"/>
  <c r="K2011" i="3" s="1"/>
  <c r="K2012" i="3" s="1"/>
  <c r="K2013" i="3" s="1"/>
  <c r="K2014" i="3" s="1"/>
  <c r="K2015" i="3" s="1"/>
  <c r="K2016" i="3" s="1"/>
  <c r="K2017" i="3" s="1"/>
  <c r="K2018" i="3" s="1"/>
  <c r="K2019" i="3" s="1"/>
  <c r="K2020" i="3" s="1"/>
  <c r="K2021" i="3" s="1"/>
  <c r="K2022" i="3" s="1"/>
  <c r="K2023" i="3" s="1"/>
  <c r="K2024" i="3" s="1"/>
  <c r="K2025" i="3" s="1"/>
  <c r="K2026" i="3" s="1"/>
  <c r="K2027" i="3" s="1"/>
  <c r="K2028" i="3" s="1"/>
  <c r="K2029" i="3" s="1"/>
  <c r="K2030" i="3" s="1"/>
  <c r="K2031" i="3" s="1"/>
  <c r="K2032" i="3" s="1"/>
  <c r="K2033" i="3" s="1"/>
  <c r="K2034" i="3" s="1"/>
  <c r="K2035" i="3" s="1"/>
  <c r="K2036" i="3" s="1"/>
  <c r="K2037" i="3" s="1"/>
  <c r="K2038" i="3" s="1"/>
  <c r="K2039" i="3" s="1"/>
  <c r="K2040" i="3" s="1"/>
  <c r="K2041" i="3" s="1"/>
  <c r="K2042" i="3" s="1"/>
  <c r="K2043" i="3" s="1"/>
  <c r="K2044" i="3" s="1"/>
  <c r="K2045" i="3" s="1"/>
  <c r="K2046" i="3" s="1"/>
  <c r="K2047" i="3" s="1"/>
  <c r="K2048" i="3" s="1"/>
  <c r="K2049" i="3" s="1"/>
  <c r="K2050" i="3" s="1"/>
  <c r="K2051" i="3" s="1"/>
  <c r="K2052" i="3" s="1"/>
  <c r="K2053" i="3" s="1"/>
  <c r="K2054" i="3" s="1"/>
  <c r="K2055" i="3" s="1"/>
  <c r="K2056" i="3" s="1"/>
  <c r="K2057" i="3" s="1"/>
  <c r="K2058" i="3" s="1"/>
  <c r="K2059" i="3" s="1"/>
  <c r="K2060" i="3" s="1"/>
  <c r="K2061" i="3" s="1"/>
  <c r="K2062" i="3" s="1"/>
  <c r="K2063" i="3" s="1"/>
  <c r="K2064" i="3" s="1"/>
  <c r="K2065" i="3" s="1"/>
  <c r="K2066" i="3" s="1"/>
  <c r="K2067" i="3" s="1"/>
  <c r="K2068" i="3" s="1"/>
  <c r="K2069" i="3" s="1"/>
  <c r="K2070" i="3" s="1"/>
  <c r="K2071" i="3" s="1"/>
  <c r="K2072" i="3" s="1"/>
  <c r="K2073" i="3" s="1"/>
  <c r="K2074" i="3" s="1"/>
  <c r="K2075" i="3" s="1"/>
  <c r="K2076" i="3" s="1"/>
  <c r="K2077" i="3" s="1"/>
  <c r="K2078" i="3" s="1"/>
  <c r="K2079" i="3" s="1"/>
  <c r="K2080" i="3" s="1"/>
  <c r="K2081" i="3" s="1"/>
  <c r="K2082" i="3" s="1"/>
  <c r="K2083" i="3" s="1"/>
  <c r="K2084" i="3" s="1"/>
  <c r="K2085" i="3" s="1"/>
  <c r="K2086" i="3" s="1"/>
  <c r="K2087" i="3" s="1"/>
  <c r="K2088" i="3" s="1"/>
  <c r="K2089" i="3" s="1"/>
  <c r="K2090" i="3" s="1"/>
  <c r="K2091" i="3" s="1"/>
  <c r="K2092" i="3" s="1"/>
  <c r="K2093" i="3" s="1"/>
  <c r="K2094" i="3" s="1"/>
  <c r="K2095" i="3" s="1"/>
  <c r="K2096" i="3" s="1"/>
  <c r="K2097" i="3" s="1"/>
  <c r="K2098" i="3" s="1"/>
  <c r="K2099" i="3" s="1"/>
  <c r="K2100" i="3" s="1"/>
  <c r="K2101" i="3" s="1"/>
  <c r="K2102" i="3" s="1"/>
  <c r="K2103" i="3" s="1"/>
  <c r="K2104" i="3" s="1"/>
  <c r="K2105" i="3" s="1"/>
  <c r="K2106" i="3" s="1"/>
  <c r="K2107" i="3" s="1"/>
  <c r="K2108" i="3" s="1"/>
  <c r="K2109" i="3" s="1"/>
  <c r="K2110" i="3" s="1"/>
  <c r="K2111" i="3" s="1"/>
  <c r="K2112" i="3" s="1"/>
  <c r="K2113" i="3" s="1"/>
  <c r="K2114" i="3" s="1"/>
  <c r="K2115" i="3" s="1"/>
  <c r="K2116" i="3" s="1"/>
  <c r="K2117" i="3" s="1"/>
  <c r="K2118" i="3" s="1"/>
  <c r="K2119" i="3" s="1"/>
  <c r="K2120" i="3" s="1"/>
  <c r="K2121" i="3" s="1"/>
  <c r="K2122" i="3" s="1"/>
  <c r="K2123" i="3" s="1"/>
  <c r="K2124" i="3" s="1"/>
  <c r="K2125" i="3" s="1"/>
  <c r="K2126" i="3" s="1"/>
  <c r="K2127" i="3" s="1"/>
  <c r="K2128" i="3" s="1"/>
  <c r="K2129" i="3" s="1"/>
  <c r="K2130" i="3" s="1"/>
  <c r="K2131" i="3" s="1"/>
  <c r="K2132" i="3" s="1"/>
  <c r="K2133" i="3" s="1"/>
  <c r="K2134" i="3" s="1"/>
  <c r="K2135" i="3" s="1"/>
  <c r="K2136" i="3" s="1"/>
  <c r="K2137" i="3" s="1"/>
  <c r="K2138" i="3" s="1"/>
  <c r="K2139" i="3" s="1"/>
  <c r="K2140" i="3" s="1"/>
  <c r="K2141" i="3" s="1"/>
  <c r="K2142" i="3" s="1"/>
  <c r="K2143" i="3" s="1"/>
  <c r="K2144" i="3" s="1"/>
  <c r="K2145" i="3" s="1"/>
  <c r="K2146" i="3" s="1"/>
  <c r="K2147" i="3" s="1"/>
  <c r="K2148" i="3" s="1"/>
  <c r="K2149" i="3" s="1"/>
  <c r="K2150" i="3" s="1"/>
  <c r="K2151" i="3" s="1"/>
  <c r="K2152" i="3" s="1"/>
  <c r="K2153" i="3" s="1"/>
  <c r="K2154" i="3" s="1"/>
  <c r="K2155" i="3" s="1"/>
  <c r="K2156" i="3" s="1"/>
  <c r="K2157" i="3" s="1"/>
  <c r="K2158" i="3" s="1"/>
  <c r="K2159" i="3" s="1"/>
  <c r="K2160" i="3" s="1"/>
  <c r="K2161" i="3" s="1"/>
  <c r="K2162" i="3" s="1"/>
  <c r="K2163" i="3" s="1"/>
  <c r="K2164" i="3" s="1"/>
  <c r="K2165" i="3" s="1"/>
  <c r="K2166" i="3" s="1"/>
  <c r="K2167" i="3" s="1"/>
  <c r="K2168" i="3" s="1"/>
  <c r="K2169" i="3" s="1"/>
  <c r="K2170" i="3" s="1"/>
  <c r="K2171" i="3" s="1"/>
  <c r="K2172" i="3" s="1"/>
  <c r="K2173" i="3" s="1"/>
  <c r="K2174" i="3" s="1"/>
  <c r="K2175" i="3" s="1"/>
  <c r="K2176" i="3" s="1"/>
  <c r="K2177" i="3" s="1"/>
  <c r="K2178" i="3" s="1"/>
  <c r="K2179" i="3" s="1"/>
  <c r="K2180" i="3" s="1"/>
  <c r="K2181" i="3" s="1"/>
  <c r="K2182" i="3" s="1"/>
  <c r="K2183" i="3" s="1"/>
  <c r="K2184" i="3" s="1"/>
  <c r="K2185" i="3" s="1"/>
  <c r="K2186" i="3" s="1"/>
  <c r="K2187" i="3" s="1"/>
  <c r="K2188" i="3" s="1"/>
  <c r="K2189" i="3" s="1"/>
  <c r="K2190" i="3" s="1"/>
  <c r="K2191" i="3" s="1"/>
  <c r="K2192" i="3" s="1"/>
  <c r="K2193" i="3" s="1"/>
  <c r="K2194" i="3" s="1"/>
  <c r="K2195" i="3" s="1"/>
  <c r="K2196" i="3" s="1"/>
  <c r="K2197" i="3" s="1"/>
  <c r="K2198" i="3" s="1"/>
  <c r="K2199" i="3" s="1"/>
  <c r="K2200" i="3" s="1"/>
  <c r="K2201" i="3" s="1"/>
  <c r="K2202" i="3" s="1"/>
  <c r="K2203" i="3" s="1"/>
  <c r="K2204" i="3" s="1"/>
  <c r="K2205" i="3" s="1"/>
  <c r="K2206" i="3" s="1"/>
  <c r="K2207" i="3" s="1"/>
  <c r="K2208" i="3" s="1"/>
  <c r="K2209" i="3" s="1"/>
  <c r="K2210" i="3" s="1"/>
  <c r="K2211" i="3" s="1"/>
  <c r="K2212" i="3" s="1"/>
  <c r="K2213" i="3" s="1"/>
  <c r="K2214" i="3" s="1"/>
  <c r="K2215" i="3" s="1"/>
  <c r="K2216" i="3" s="1"/>
  <c r="K2217" i="3" s="1"/>
  <c r="K2218" i="3" s="1"/>
  <c r="K2219" i="3" s="1"/>
  <c r="K2220" i="3" s="1"/>
  <c r="K2221" i="3" s="1"/>
  <c r="K2222" i="3" s="1"/>
  <c r="K2223" i="3" s="1"/>
  <c r="K2224" i="3" s="1"/>
  <c r="K2225" i="3" s="1"/>
  <c r="K2226" i="3" s="1"/>
  <c r="K2227" i="3" s="1"/>
  <c r="K2228" i="3" s="1"/>
  <c r="K2229" i="3" s="1"/>
  <c r="K2230" i="3" s="1"/>
  <c r="K2231" i="3" s="1"/>
  <c r="K2232" i="3" s="1"/>
  <c r="K2233" i="3" s="1"/>
  <c r="K2234" i="3" s="1"/>
  <c r="K2235" i="3" s="1"/>
  <c r="K2236" i="3" s="1"/>
  <c r="K2237" i="3" s="1"/>
  <c r="K2238" i="3" s="1"/>
  <c r="K2239" i="3" s="1"/>
  <c r="K2240" i="3" s="1"/>
  <c r="K2241" i="3" s="1"/>
  <c r="K2242" i="3" s="1"/>
  <c r="K2243" i="3" s="1"/>
  <c r="K2244" i="3" s="1"/>
  <c r="K2245" i="3" s="1"/>
  <c r="K2246" i="3" s="1"/>
  <c r="K2247" i="3" s="1"/>
  <c r="K2248" i="3" s="1"/>
  <c r="K2249" i="3" s="1"/>
  <c r="K2250" i="3" s="1"/>
  <c r="K2251" i="3" s="1"/>
  <c r="K2252" i="3" s="1"/>
  <c r="K2253" i="3" s="1"/>
  <c r="K2254" i="3" s="1"/>
  <c r="K2255" i="3" s="1"/>
  <c r="K2256" i="3" s="1"/>
  <c r="K2257" i="3" s="1"/>
  <c r="K2258" i="3" s="1"/>
  <c r="K2259" i="3" s="1"/>
  <c r="K2260" i="3" s="1"/>
  <c r="K2261" i="3" s="1"/>
  <c r="K2262" i="3" s="1"/>
  <c r="K2263" i="3" s="1"/>
  <c r="K2264" i="3" s="1"/>
  <c r="K2265" i="3" s="1"/>
  <c r="K2266" i="3" s="1"/>
  <c r="K2267" i="3" s="1"/>
  <c r="K2268" i="3" s="1"/>
  <c r="K2269" i="3" s="1"/>
  <c r="K2270" i="3" s="1"/>
  <c r="K2271" i="3" s="1"/>
  <c r="K2272" i="3" s="1"/>
  <c r="K2273" i="3" s="1"/>
  <c r="K2274" i="3" s="1"/>
  <c r="K2275" i="3" s="1"/>
  <c r="K2276" i="3" s="1"/>
  <c r="K2277" i="3" s="1"/>
  <c r="K2278" i="3" s="1"/>
  <c r="K2279" i="3" s="1"/>
  <c r="K2280" i="3" s="1"/>
  <c r="K2281" i="3" s="1"/>
  <c r="K2282" i="3" s="1"/>
  <c r="K2283" i="3" s="1"/>
  <c r="K2284" i="3" s="1"/>
  <c r="K2285" i="3" s="1"/>
  <c r="K2286" i="3" s="1"/>
  <c r="K2287" i="3" s="1"/>
  <c r="K2288" i="3" s="1"/>
  <c r="K2289" i="3" s="1"/>
  <c r="K2290" i="3" s="1"/>
  <c r="K2291" i="3" s="1"/>
  <c r="K2292" i="3" s="1"/>
  <c r="K2293" i="3" s="1"/>
  <c r="K2294" i="3" s="1"/>
  <c r="K2295" i="3" s="1"/>
  <c r="K2296" i="3" s="1"/>
  <c r="K2297" i="3" s="1"/>
  <c r="K2298" i="3" s="1"/>
  <c r="K2299" i="3" s="1"/>
  <c r="K2300" i="3" s="1"/>
  <c r="K2301" i="3" s="1"/>
  <c r="K2302" i="3" s="1"/>
  <c r="K2303" i="3" s="1"/>
  <c r="K2304" i="3" s="1"/>
  <c r="K2305" i="3" s="1"/>
  <c r="K2306" i="3" s="1"/>
  <c r="K2307" i="3" s="1"/>
  <c r="K2308" i="3" s="1"/>
  <c r="K2309" i="3" s="1"/>
  <c r="K2310" i="3" s="1"/>
  <c r="K2311" i="3" s="1"/>
  <c r="K2312" i="3" s="1"/>
  <c r="K2313" i="3" s="1"/>
  <c r="K2314" i="3" s="1"/>
  <c r="K2315" i="3" s="1"/>
  <c r="K2316" i="3" s="1"/>
  <c r="K2317" i="3" s="1"/>
  <c r="K2318" i="3" s="1"/>
  <c r="K2319" i="3" s="1"/>
  <c r="K2320" i="3" s="1"/>
  <c r="K2321" i="3" s="1"/>
  <c r="K2322" i="3" s="1"/>
  <c r="K2323" i="3" s="1"/>
  <c r="K2324" i="3" s="1"/>
  <c r="K2325" i="3" s="1"/>
  <c r="K2326" i="3" s="1"/>
  <c r="K2327" i="3" s="1"/>
  <c r="K2328" i="3" s="1"/>
  <c r="K2329" i="3" s="1"/>
  <c r="K2330" i="3" s="1"/>
  <c r="K2331" i="3" s="1"/>
  <c r="K2332" i="3" s="1"/>
  <c r="K2333" i="3" s="1"/>
  <c r="K2334" i="3" s="1"/>
  <c r="K2335" i="3" s="1"/>
  <c r="K2336" i="3" s="1"/>
  <c r="K2337" i="3" s="1"/>
  <c r="K2338" i="3" s="1"/>
  <c r="K2339" i="3" s="1"/>
  <c r="K2340" i="3" s="1"/>
  <c r="K2341" i="3" s="1"/>
  <c r="K2342" i="3" s="1"/>
  <c r="K2343" i="3" s="1"/>
  <c r="K2344" i="3" s="1"/>
  <c r="K2345" i="3" s="1"/>
  <c r="K2346" i="3" s="1"/>
  <c r="K2347" i="3" s="1"/>
  <c r="K2348" i="3" s="1"/>
  <c r="K2349" i="3" s="1"/>
  <c r="K2350" i="3" s="1"/>
  <c r="K2351" i="3" s="1"/>
  <c r="K2352" i="3" s="1"/>
  <c r="K2353" i="3" s="1"/>
  <c r="K2354" i="3" s="1"/>
  <c r="K2355" i="3" s="1"/>
  <c r="K2356" i="3" s="1"/>
  <c r="K2357" i="3" s="1"/>
  <c r="K2358" i="3" s="1"/>
  <c r="K2359" i="3" s="1"/>
  <c r="K2360" i="3" s="1"/>
  <c r="K2361" i="3" s="1"/>
  <c r="K2362" i="3" s="1"/>
  <c r="K2363" i="3" s="1"/>
  <c r="K2364" i="3" s="1"/>
  <c r="K2365" i="3" s="1"/>
  <c r="K2366" i="3" s="1"/>
  <c r="K2367" i="3" s="1"/>
  <c r="K2368" i="3" s="1"/>
  <c r="K2369" i="3" s="1"/>
  <c r="K2370" i="3" s="1"/>
  <c r="K2371" i="3" s="1"/>
  <c r="K2372" i="3" s="1"/>
  <c r="K2373" i="3" s="1"/>
  <c r="K2374" i="3" s="1"/>
  <c r="K2375" i="3" s="1"/>
  <c r="K2376" i="3" s="1"/>
  <c r="K2377" i="3" s="1"/>
  <c r="K2378" i="3" s="1"/>
  <c r="K2379" i="3" s="1"/>
  <c r="K2380" i="3" s="1"/>
  <c r="K2381" i="3" s="1"/>
  <c r="K2382" i="3" s="1"/>
  <c r="K2383" i="3" s="1"/>
  <c r="K2384" i="3" s="1"/>
  <c r="K2385" i="3" s="1"/>
  <c r="K2386" i="3" s="1"/>
  <c r="K2387" i="3" s="1"/>
  <c r="K2388" i="3" s="1"/>
  <c r="K2389" i="3" s="1"/>
  <c r="K2390" i="3" s="1"/>
  <c r="K2391" i="3" s="1"/>
  <c r="K2392" i="3" s="1"/>
  <c r="K2393" i="3" s="1"/>
  <c r="K2394" i="3" s="1"/>
  <c r="K2395" i="3" s="1"/>
  <c r="K2396" i="3" s="1"/>
  <c r="K2397" i="3" s="1"/>
  <c r="K2398" i="3" s="1"/>
  <c r="K2399" i="3" s="1"/>
  <c r="K2400" i="3" s="1"/>
  <c r="K2401" i="3" s="1"/>
  <c r="K2402" i="3" s="1"/>
  <c r="K2403" i="3" s="1"/>
  <c r="K2404" i="3" s="1"/>
  <c r="K2405" i="3" s="1"/>
  <c r="K2406" i="3" s="1"/>
  <c r="K2407" i="3" s="1"/>
  <c r="K2408" i="3" s="1"/>
  <c r="K2409" i="3" s="1"/>
  <c r="K2410" i="3" s="1"/>
  <c r="K2411" i="3" s="1"/>
  <c r="K2412" i="3" s="1"/>
  <c r="K2413" i="3" s="1"/>
  <c r="K2414" i="3" s="1"/>
  <c r="K2415" i="3" s="1"/>
  <c r="K2416" i="3" s="1"/>
  <c r="K2417" i="3" s="1"/>
  <c r="K2418" i="3" s="1"/>
  <c r="K2419" i="3" s="1"/>
  <c r="K2420" i="3" s="1"/>
  <c r="K2421" i="3" s="1"/>
  <c r="K2422" i="3" s="1"/>
  <c r="K2423" i="3" s="1"/>
  <c r="K2424" i="3" s="1"/>
  <c r="K2425" i="3" s="1"/>
  <c r="K2426" i="3" s="1"/>
  <c r="K2427" i="3" s="1"/>
  <c r="K2428" i="3" s="1"/>
  <c r="K2429" i="3" s="1"/>
  <c r="K2430" i="3" s="1"/>
  <c r="K2431" i="3" s="1"/>
  <c r="K2432" i="3" s="1"/>
  <c r="K2433" i="3" s="1"/>
  <c r="K2434" i="3" s="1"/>
  <c r="K2435" i="3" s="1"/>
  <c r="K2436" i="3" s="1"/>
  <c r="K2437" i="3" s="1"/>
  <c r="K2438" i="3" s="1"/>
  <c r="K2439" i="3" s="1"/>
  <c r="K2440" i="3" s="1"/>
  <c r="K2441" i="3" s="1"/>
  <c r="K2442" i="3" s="1"/>
  <c r="K2443" i="3" s="1"/>
  <c r="K2444" i="3" s="1"/>
  <c r="K2445" i="3" s="1"/>
  <c r="K2446" i="3" s="1"/>
  <c r="K2447" i="3" s="1"/>
  <c r="K2448" i="3" s="1"/>
  <c r="K2449" i="3" s="1"/>
  <c r="K2450" i="3" s="1"/>
  <c r="K2451" i="3" s="1"/>
  <c r="K2452" i="3" s="1"/>
  <c r="K2453" i="3" s="1"/>
  <c r="K2454" i="3" s="1"/>
  <c r="K2455" i="3" s="1"/>
  <c r="K2456" i="3" s="1"/>
  <c r="K2457" i="3" s="1"/>
  <c r="K2458" i="3" s="1"/>
  <c r="K2459" i="3" s="1"/>
  <c r="K2460" i="3" s="1"/>
  <c r="K2461" i="3" s="1"/>
  <c r="K2462" i="3" s="1"/>
  <c r="K2463" i="3" s="1"/>
  <c r="K2464" i="3" s="1"/>
  <c r="K2465" i="3" s="1"/>
  <c r="K2466" i="3" s="1"/>
  <c r="K2467" i="3" s="1"/>
  <c r="K2468" i="3" s="1"/>
  <c r="K2469" i="3" s="1"/>
  <c r="K2470" i="3" s="1"/>
  <c r="K2471" i="3" s="1"/>
  <c r="K2472" i="3" s="1"/>
  <c r="K2473" i="3" s="1"/>
  <c r="K2474" i="3" s="1"/>
  <c r="K2475" i="3" s="1"/>
  <c r="K2476" i="3" s="1"/>
  <c r="K2477" i="3" s="1"/>
  <c r="K2478" i="3" s="1"/>
  <c r="K2479" i="3" s="1"/>
  <c r="K2480" i="3" s="1"/>
  <c r="K2481" i="3" s="1"/>
  <c r="K2482" i="3" s="1"/>
  <c r="K2483" i="3" s="1"/>
  <c r="K2484" i="3" s="1"/>
  <c r="K2485" i="3" s="1"/>
  <c r="K2486" i="3" s="1"/>
  <c r="K2487" i="3" s="1"/>
  <c r="K2488" i="3" s="1"/>
  <c r="K2489" i="3" s="1"/>
  <c r="K2490" i="3" s="1"/>
  <c r="K2491" i="3" s="1"/>
  <c r="K2492" i="3" s="1"/>
  <c r="K2493" i="3" s="1"/>
  <c r="K2494" i="3" s="1"/>
  <c r="K2495" i="3" s="1"/>
  <c r="K2496" i="3" s="1"/>
  <c r="K2497" i="3" s="1"/>
  <c r="K2498" i="3" s="1"/>
  <c r="K2499" i="3" s="1"/>
  <c r="K2500" i="3" s="1"/>
  <c r="K2501" i="3" s="1"/>
  <c r="K2502" i="3" s="1"/>
  <c r="K2503" i="3" s="1"/>
  <c r="K2504" i="3" s="1"/>
  <c r="K2505" i="3" s="1"/>
  <c r="K2506" i="3" s="1"/>
  <c r="K2507" i="3" s="1"/>
  <c r="K2508" i="3" s="1"/>
  <c r="K2509" i="3" s="1"/>
  <c r="K2510" i="3" s="1"/>
  <c r="K2511" i="3" s="1"/>
  <c r="K2512" i="3" s="1"/>
  <c r="K2513" i="3" s="1"/>
  <c r="K2514" i="3" s="1"/>
  <c r="K2515" i="3" s="1"/>
  <c r="K2516" i="3" s="1"/>
  <c r="K2517" i="3" s="1"/>
  <c r="K2518" i="3" s="1"/>
  <c r="K2519" i="3" s="1"/>
  <c r="K2520" i="3" s="1"/>
  <c r="K2521" i="3" s="1"/>
  <c r="K2522" i="3" s="1"/>
  <c r="K2523" i="3" s="1"/>
  <c r="K2524" i="3" s="1"/>
  <c r="K2525" i="3" s="1"/>
  <c r="K2526" i="3" s="1"/>
  <c r="K2527" i="3" s="1"/>
  <c r="K2528" i="3" s="1"/>
  <c r="K2529" i="3" s="1"/>
  <c r="K2530" i="3" s="1"/>
  <c r="K2531" i="3" s="1"/>
  <c r="K2532" i="3" s="1"/>
  <c r="K2533" i="3" s="1"/>
  <c r="K2534" i="3" s="1"/>
  <c r="K2535" i="3" s="1"/>
  <c r="K2536" i="3" s="1"/>
  <c r="K2537" i="3" s="1"/>
  <c r="K2538" i="3" s="1"/>
  <c r="K2539" i="3" s="1"/>
  <c r="K2540" i="3" s="1"/>
  <c r="K2541" i="3" s="1"/>
  <c r="K2542" i="3" s="1"/>
  <c r="K2543" i="3" s="1"/>
  <c r="K2544" i="3" s="1"/>
  <c r="K2545" i="3" s="1"/>
  <c r="K2546" i="3" s="1"/>
  <c r="K2547" i="3" s="1"/>
  <c r="K2548" i="3" s="1"/>
  <c r="K2549" i="3" s="1"/>
  <c r="K2550" i="3" s="1"/>
  <c r="K2551" i="3" s="1"/>
  <c r="K2552" i="3" s="1"/>
  <c r="K2553" i="3" s="1"/>
  <c r="K2554" i="3" s="1"/>
  <c r="K2555" i="3" s="1"/>
  <c r="K2556" i="3" s="1"/>
  <c r="K2557" i="3" s="1"/>
  <c r="K2558" i="3" s="1"/>
  <c r="K2559" i="3" s="1"/>
  <c r="K2560" i="3" s="1"/>
  <c r="K2561" i="3" s="1"/>
  <c r="K2562" i="3" s="1"/>
  <c r="K2563" i="3" s="1"/>
  <c r="K2564" i="3" s="1"/>
  <c r="K2565" i="3" s="1"/>
  <c r="K2566" i="3" s="1"/>
  <c r="K2567" i="3" s="1"/>
  <c r="K2568" i="3" s="1"/>
  <c r="K2569" i="3" s="1"/>
  <c r="K2570" i="3" s="1"/>
  <c r="K2571" i="3" s="1"/>
  <c r="K2572" i="3" s="1"/>
  <c r="K2573" i="3" s="1"/>
  <c r="K2574" i="3" s="1"/>
  <c r="K2575" i="3" s="1"/>
  <c r="K2576" i="3" s="1"/>
  <c r="K2577" i="3" s="1"/>
  <c r="K2578" i="3" s="1"/>
  <c r="K2579" i="3" s="1"/>
  <c r="K2580" i="3" s="1"/>
  <c r="K2581" i="3" s="1"/>
  <c r="K2582" i="3" s="1"/>
  <c r="K2583" i="3" s="1"/>
  <c r="K2584" i="3" s="1"/>
  <c r="K2585" i="3" s="1"/>
  <c r="K2586" i="3" s="1"/>
  <c r="K2587" i="3" s="1"/>
  <c r="K2588" i="3" s="1"/>
  <c r="K2589" i="3" s="1"/>
  <c r="K2590" i="3" s="1"/>
  <c r="K2591" i="3" s="1"/>
  <c r="K2592" i="3" s="1"/>
  <c r="K2593" i="3" s="1"/>
  <c r="N12" i="3" l="1"/>
  <c r="Q12" i="3"/>
  <c r="P12" i="3"/>
  <c r="O12" i="3"/>
  <c r="O13" i="3"/>
  <c r="Q13" i="3"/>
  <c r="N13" i="3"/>
  <c r="P13" i="3"/>
  <c r="L14" i="3"/>
  <c r="J15" i="3"/>
  <c r="J16" i="3" l="1"/>
  <c r="L15" i="3"/>
  <c r="P15" i="3" s="1"/>
  <c r="O14" i="3"/>
  <c r="P14" i="3"/>
  <c r="Q14" i="3"/>
  <c r="N14" i="3"/>
  <c r="Q15" i="3" l="1"/>
  <c r="N15" i="3"/>
  <c r="O15" i="3"/>
  <c r="L16" i="3"/>
  <c r="J17" i="3"/>
  <c r="O16" i="3" l="1"/>
  <c r="Q16" i="3"/>
  <c r="N16" i="3"/>
  <c r="P16" i="3"/>
  <c r="L17" i="3"/>
  <c r="J18" i="3"/>
  <c r="J19" i="3" l="1"/>
  <c r="L18" i="3"/>
  <c r="N17" i="3"/>
  <c r="P17" i="3"/>
  <c r="Q17" i="3"/>
  <c r="O17" i="3"/>
  <c r="Q18" i="3" l="1"/>
  <c r="O18" i="3"/>
  <c r="N18" i="3"/>
  <c r="P18" i="3"/>
  <c r="L19" i="3"/>
  <c r="J20" i="3"/>
  <c r="J21" i="3" l="1"/>
  <c r="L20" i="3"/>
  <c r="P19" i="3"/>
  <c r="O19" i="3"/>
  <c r="Q19" i="3"/>
  <c r="N19" i="3"/>
  <c r="N20" i="3" l="1"/>
  <c r="Q20" i="3"/>
  <c r="P20" i="3"/>
  <c r="O20" i="3"/>
  <c r="L21" i="3"/>
  <c r="J22" i="3"/>
  <c r="J23" i="3" l="1"/>
  <c r="L22" i="3"/>
  <c r="O21" i="3"/>
  <c r="P21" i="3"/>
  <c r="Q21" i="3"/>
  <c r="N21" i="3"/>
  <c r="Q22" i="3" l="1"/>
  <c r="O22" i="3"/>
  <c r="N22" i="3"/>
  <c r="P22" i="3"/>
  <c r="L23" i="3"/>
  <c r="J24" i="3"/>
  <c r="J25" i="3" l="1"/>
  <c r="L24" i="3"/>
  <c r="P23" i="3"/>
  <c r="O23" i="3"/>
  <c r="Q23" i="3"/>
  <c r="N23" i="3"/>
  <c r="P24" i="3" l="1"/>
  <c r="O24" i="3"/>
  <c r="N24" i="3"/>
  <c r="Q24" i="3"/>
  <c r="L25" i="3"/>
  <c r="J26" i="3"/>
  <c r="J27" i="3" l="1"/>
  <c r="L26" i="3"/>
  <c r="Q25" i="3"/>
  <c r="P25" i="3"/>
  <c r="O25" i="3"/>
  <c r="N25" i="3"/>
  <c r="Q26" i="3" l="1"/>
  <c r="O26" i="3"/>
  <c r="N26" i="3"/>
  <c r="P26" i="3"/>
  <c r="L27" i="3"/>
  <c r="J28" i="3"/>
  <c r="L28" i="3" l="1"/>
  <c r="J29" i="3"/>
  <c r="N27" i="3"/>
  <c r="P27" i="3"/>
  <c r="Q27" i="3"/>
  <c r="O27" i="3"/>
  <c r="J30" i="3" l="1"/>
  <c r="L29" i="3"/>
  <c r="P28" i="3"/>
  <c r="O28" i="3"/>
  <c r="Q28" i="3"/>
  <c r="N28" i="3"/>
  <c r="P29" i="3" l="1"/>
  <c r="Q29" i="3"/>
  <c r="O29" i="3"/>
  <c r="N29" i="3"/>
  <c r="L30" i="3"/>
  <c r="J31" i="3"/>
  <c r="L31" i="3" l="1"/>
  <c r="J32" i="3"/>
  <c r="P30" i="3"/>
  <c r="Q30" i="3"/>
  <c r="O30" i="3"/>
  <c r="N30" i="3"/>
  <c r="J33" i="3" l="1"/>
  <c r="L32" i="3"/>
  <c r="Q31" i="3"/>
  <c r="N31" i="3"/>
  <c r="O31" i="3"/>
  <c r="P31" i="3"/>
  <c r="O32" i="3" l="1"/>
  <c r="Q32" i="3"/>
  <c r="P32" i="3"/>
  <c r="N32" i="3"/>
  <c r="J34" i="3"/>
  <c r="L33" i="3"/>
  <c r="P33" i="3" l="1"/>
  <c r="Q33" i="3"/>
  <c r="N33" i="3"/>
  <c r="O33" i="3"/>
  <c r="J35" i="3"/>
  <c r="L34" i="3"/>
  <c r="P34" i="3" l="1"/>
  <c r="Q34" i="3"/>
  <c r="N34" i="3"/>
  <c r="O34" i="3"/>
  <c r="J36" i="3"/>
  <c r="L35" i="3"/>
  <c r="P35" i="3" l="1"/>
  <c r="Q35" i="3"/>
  <c r="N35" i="3"/>
  <c r="O35" i="3"/>
  <c r="J37" i="3"/>
  <c r="L36" i="3"/>
  <c r="P36" i="3" l="1"/>
  <c r="Q36" i="3"/>
  <c r="N36" i="3"/>
  <c r="O36" i="3"/>
  <c r="J38" i="3"/>
  <c r="L37" i="3"/>
  <c r="P37" i="3" l="1"/>
  <c r="Q37" i="3"/>
  <c r="N37" i="3"/>
  <c r="O37" i="3"/>
  <c r="J39" i="3"/>
  <c r="L38" i="3"/>
  <c r="P38" i="3" l="1"/>
  <c r="Q38" i="3"/>
  <c r="O38" i="3"/>
  <c r="N38" i="3"/>
  <c r="J40" i="3"/>
  <c r="L39" i="3"/>
  <c r="P39" i="3" l="1"/>
  <c r="Q39" i="3"/>
  <c r="N39" i="3"/>
  <c r="O39" i="3"/>
  <c r="J41" i="3"/>
  <c r="L40" i="3"/>
  <c r="P40" i="3" l="1"/>
  <c r="Q40" i="3"/>
  <c r="N40" i="3"/>
  <c r="O40" i="3"/>
  <c r="J42" i="3"/>
  <c r="L41" i="3"/>
  <c r="P41" i="3" l="1"/>
  <c r="Q41" i="3"/>
  <c r="N41" i="3"/>
  <c r="O41" i="3"/>
  <c r="J43" i="3"/>
  <c r="L42" i="3"/>
  <c r="P42" i="3" l="1"/>
  <c r="Q42" i="3"/>
  <c r="N42" i="3"/>
  <c r="O42" i="3"/>
  <c r="J44" i="3"/>
  <c r="L43" i="3"/>
  <c r="P43" i="3" l="1"/>
  <c r="N43" i="3"/>
  <c r="O43" i="3"/>
  <c r="Q43" i="3"/>
  <c r="J45" i="3"/>
  <c r="L44" i="3"/>
  <c r="P44" i="3" l="1"/>
  <c r="Q44" i="3"/>
  <c r="N44" i="3"/>
  <c r="O44" i="3"/>
  <c r="J46" i="3"/>
  <c r="L45" i="3"/>
  <c r="P45" i="3" l="1"/>
  <c r="Q45" i="3"/>
  <c r="O45" i="3"/>
  <c r="N45" i="3"/>
  <c r="J47" i="3"/>
  <c r="L46" i="3"/>
  <c r="P46" i="3" l="1"/>
  <c r="N46" i="3"/>
  <c r="Q46" i="3"/>
  <c r="O46" i="3"/>
  <c r="L47" i="3"/>
  <c r="J48" i="3"/>
  <c r="J49" i="3" l="1"/>
  <c r="L48" i="3"/>
  <c r="N47" i="3"/>
  <c r="O47" i="3"/>
  <c r="P47" i="3"/>
  <c r="Q47" i="3"/>
  <c r="N48" i="3" l="1"/>
  <c r="O48" i="3"/>
  <c r="P48" i="3"/>
  <c r="Q48" i="3"/>
  <c r="L49" i="3"/>
  <c r="J50" i="3"/>
  <c r="L50" i="3" l="1"/>
  <c r="J51" i="3"/>
  <c r="N49" i="3"/>
  <c r="O49" i="3"/>
  <c r="P49" i="3"/>
  <c r="Q49" i="3"/>
  <c r="J52" i="3" l="1"/>
  <c r="L51" i="3"/>
  <c r="N50" i="3"/>
  <c r="P50" i="3"/>
  <c r="O50" i="3"/>
  <c r="Q50" i="3"/>
  <c r="N51" i="3" l="1"/>
  <c r="Q51" i="3"/>
  <c r="O51" i="3"/>
  <c r="P51" i="3"/>
  <c r="J53" i="3"/>
  <c r="L52" i="3"/>
  <c r="N52" i="3" l="1"/>
  <c r="Q52" i="3"/>
  <c r="O52" i="3"/>
  <c r="P52" i="3"/>
  <c r="L53" i="3"/>
  <c r="J54" i="3"/>
  <c r="J55" i="3" l="1"/>
  <c r="L54" i="3"/>
  <c r="N53" i="3"/>
  <c r="O53" i="3"/>
  <c r="P53" i="3"/>
  <c r="Q53" i="3"/>
  <c r="N54" i="3" l="1"/>
  <c r="O54" i="3"/>
  <c r="P54" i="3"/>
  <c r="Q54" i="3"/>
  <c r="L55" i="3"/>
  <c r="J56" i="3"/>
  <c r="L56" i="3" l="1"/>
  <c r="J57" i="3"/>
  <c r="N55" i="3"/>
  <c r="O55" i="3"/>
  <c r="P55" i="3"/>
  <c r="Q55" i="3"/>
  <c r="J58" i="3" l="1"/>
  <c r="L57" i="3"/>
  <c r="N56" i="3"/>
  <c r="P56" i="3"/>
  <c r="Q56" i="3"/>
  <c r="O56" i="3"/>
  <c r="N57" i="3" l="1"/>
  <c r="O57" i="3"/>
  <c r="P57" i="3"/>
  <c r="Q57" i="3"/>
  <c r="J59" i="3"/>
  <c r="L58" i="3"/>
  <c r="P58" i="3" l="1"/>
  <c r="Q58" i="3"/>
  <c r="O58" i="3"/>
  <c r="N58" i="3"/>
  <c r="L59" i="3"/>
  <c r="J60" i="3"/>
  <c r="L60" i="3" l="1"/>
  <c r="J61" i="3"/>
  <c r="N59" i="3"/>
  <c r="Q59" i="3"/>
  <c r="O59" i="3"/>
  <c r="P59" i="3"/>
  <c r="L61" i="3" l="1"/>
  <c r="J62" i="3"/>
  <c r="N60" i="3"/>
  <c r="O60" i="3"/>
  <c r="P60" i="3"/>
  <c r="Q60" i="3"/>
  <c r="L62" i="3" l="1"/>
  <c r="J63" i="3"/>
  <c r="N61" i="3"/>
  <c r="O61" i="3"/>
  <c r="Q61" i="3"/>
  <c r="P61" i="3"/>
  <c r="L63" i="3" l="1"/>
  <c r="J64" i="3"/>
  <c r="N62" i="3"/>
  <c r="O62" i="3"/>
  <c r="P62" i="3"/>
  <c r="Q62" i="3"/>
  <c r="L64" i="3" l="1"/>
  <c r="J65" i="3"/>
  <c r="P63" i="3"/>
  <c r="Q63" i="3"/>
  <c r="N63" i="3"/>
  <c r="O63" i="3"/>
  <c r="J66" i="3" l="1"/>
  <c r="L65" i="3"/>
  <c r="N64" i="3"/>
  <c r="Q64" i="3"/>
  <c r="O64" i="3"/>
  <c r="P64" i="3"/>
  <c r="O65" i="3" l="1"/>
  <c r="P65" i="3"/>
  <c r="N65" i="3"/>
  <c r="Q65" i="3"/>
  <c r="J67" i="3"/>
  <c r="L66" i="3"/>
  <c r="O66" i="3" l="1"/>
  <c r="N66" i="3"/>
  <c r="Q66" i="3"/>
  <c r="P66" i="3"/>
  <c r="L67" i="3"/>
  <c r="J68" i="3"/>
  <c r="L68" i="3" l="1"/>
  <c r="J69" i="3"/>
  <c r="N67" i="3"/>
  <c r="P67" i="3"/>
  <c r="Q67" i="3"/>
  <c r="O67" i="3"/>
  <c r="L69" i="3" l="1"/>
  <c r="J70" i="3"/>
  <c r="N68" i="3"/>
  <c r="O68" i="3"/>
  <c r="P68" i="3"/>
  <c r="Q68" i="3"/>
  <c r="L70" i="3" l="1"/>
  <c r="J71" i="3"/>
  <c r="N69" i="3"/>
  <c r="Q69" i="3"/>
  <c r="O69" i="3"/>
  <c r="P69" i="3"/>
  <c r="J72" i="3" l="1"/>
  <c r="L71" i="3"/>
  <c r="P70" i="3"/>
  <c r="Q70" i="3"/>
  <c r="N70" i="3"/>
  <c r="O70" i="3"/>
  <c r="O71" i="3" l="1"/>
  <c r="N71" i="3"/>
  <c r="Q71" i="3"/>
  <c r="P71" i="3"/>
  <c r="J73" i="3"/>
  <c r="L72" i="3"/>
  <c r="P72" i="3" l="1"/>
  <c r="Q72" i="3"/>
  <c r="O72" i="3"/>
  <c r="N72" i="3"/>
  <c r="L73" i="3"/>
  <c r="J74" i="3"/>
  <c r="L74" i="3" l="1"/>
  <c r="J75" i="3"/>
  <c r="N73" i="3"/>
  <c r="O73" i="3"/>
  <c r="P73" i="3"/>
  <c r="Q73" i="3"/>
  <c r="L75" i="3" l="1"/>
  <c r="J76" i="3"/>
  <c r="N74" i="3"/>
  <c r="P74" i="3"/>
  <c r="Q74" i="3"/>
  <c r="O74" i="3"/>
  <c r="J77" i="3" l="1"/>
  <c r="L76" i="3"/>
  <c r="N75" i="3"/>
  <c r="O75" i="3"/>
  <c r="P75" i="3"/>
  <c r="Q75" i="3"/>
  <c r="N76" i="3" l="1"/>
  <c r="O76" i="3"/>
  <c r="P76" i="3"/>
  <c r="Q76" i="3"/>
  <c r="J78" i="3"/>
  <c r="L77" i="3"/>
  <c r="N77" i="3" l="1"/>
  <c r="O77" i="3"/>
  <c r="P77" i="3"/>
  <c r="Q77" i="3"/>
  <c r="L78" i="3"/>
  <c r="J79" i="3"/>
  <c r="L79" i="3" l="1"/>
  <c r="J80" i="3"/>
  <c r="N78" i="3"/>
  <c r="O78" i="3"/>
  <c r="Q78" i="3"/>
  <c r="P78" i="3"/>
  <c r="L80" i="3" l="1"/>
  <c r="J81" i="3"/>
  <c r="N79" i="3"/>
  <c r="O79" i="3"/>
  <c r="P79" i="3"/>
  <c r="Q79" i="3"/>
  <c r="L81" i="3" l="1"/>
  <c r="J82" i="3"/>
  <c r="P80" i="3"/>
  <c r="Q80" i="3"/>
  <c r="N80" i="3"/>
  <c r="O80" i="3"/>
  <c r="J83" i="3" l="1"/>
  <c r="L82" i="3"/>
  <c r="N81" i="3"/>
  <c r="O81" i="3"/>
  <c r="Q81" i="3"/>
  <c r="P81" i="3"/>
  <c r="N82" i="3" l="1"/>
  <c r="Q82" i="3"/>
  <c r="O82" i="3"/>
  <c r="P82" i="3"/>
  <c r="L83" i="3"/>
  <c r="J84" i="3"/>
  <c r="L84" i="3" l="1"/>
  <c r="J85" i="3"/>
  <c r="N83" i="3"/>
  <c r="O83" i="3"/>
  <c r="P83" i="3"/>
  <c r="Q83" i="3"/>
  <c r="L85" i="3" l="1"/>
  <c r="J86" i="3"/>
  <c r="N84" i="3"/>
  <c r="P84" i="3"/>
  <c r="O84" i="3"/>
  <c r="Q84" i="3"/>
  <c r="L86" i="3" l="1"/>
  <c r="J87" i="3"/>
  <c r="N85" i="3"/>
  <c r="O85" i="3"/>
  <c r="P85" i="3"/>
  <c r="Q85" i="3"/>
  <c r="J88" i="3" l="1"/>
  <c r="L87" i="3"/>
  <c r="N86" i="3"/>
  <c r="Q86" i="3"/>
  <c r="O86" i="3"/>
  <c r="P86" i="3"/>
  <c r="O87" i="3" l="1"/>
  <c r="P87" i="3"/>
  <c r="Q87" i="3"/>
  <c r="N87" i="3"/>
  <c r="J89" i="3"/>
  <c r="L88" i="3"/>
  <c r="P88" i="3" l="1"/>
  <c r="Q88" i="3"/>
  <c r="N88" i="3"/>
  <c r="O88" i="3"/>
  <c r="L89" i="3"/>
  <c r="J90" i="3"/>
  <c r="L90" i="3" l="1"/>
  <c r="J91" i="3"/>
  <c r="O89" i="3"/>
  <c r="N89" i="3"/>
  <c r="P89" i="3"/>
  <c r="Q89" i="3"/>
  <c r="L91" i="3" l="1"/>
  <c r="J92" i="3"/>
  <c r="N90" i="3"/>
  <c r="P90" i="3"/>
  <c r="O90" i="3"/>
  <c r="Q90" i="3"/>
  <c r="L92" i="3" l="1"/>
  <c r="J93" i="3"/>
  <c r="O91" i="3"/>
  <c r="Q91" i="3"/>
  <c r="N91" i="3"/>
  <c r="P91" i="3"/>
  <c r="L93" i="3" l="1"/>
  <c r="J94" i="3"/>
  <c r="N92" i="3"/>
  <c r="O92" i="3"/>
  <c r="P92" i="3"/>
  <c r="Q92" i="3"/>
  <c r="L94" i="3" l="1"/>
  <c r="J95" i="3"/>
  <c r="N93" i="3"/>
  <c r="O93" i="3"/>
  <c r="P93" i="3"/>
  <c r="Q93" i="3"/>
  <c r="J96" i="3" l="1"/>
  <c r="L95" i="3"/>
  <c r="N94" i="3"/>
  <c r="O94" i="3"/>
  <c r="P94" i="3"/>
  <c r="Q94" i="3"/>
  <c r="N95" i="3" l="1"/>
  <c r="Q95" i="3"/>
  <c r="O95" i="3"/>
  <c r="P95" i="3"/>
  <c r="L96" i="3"/>
  <c r="J97" i="3"/>
  <c r="L97" i="3" l="1"/>
  <c r="J98" i="3"/>
  <c r="N96" i="3"/>
  <c r="O96" i="3"/>
  <c r="P96" i="3"/>
  <c r="Q96" i="3"/>
  <c r="J99" i="3" l="1"/>
  <c r="L98" i="3"/>
  <c r="Q97" i="3"/>
  <c r="O97" i="3"/>
  <c r="P97" i="3"/>
  <c r="N97" i="3"/>
  <c r="P98" i="3" l="1"/>
  <c r="Q98" i="3"/>
  <c r="N98" i="3"/>
  <c r="O98" i="3"/>
  <c r="L99" i="3"/>
  <c r="J100" i="3"/>
  <c r="J101" i="3" l="1"/>
  <c r="L100" i="3"/>
  <c r="N99" i="3"/>
  <c r="Q99" i="3"/>
  <c r="O99" i="3"/>
  <c r="P99" i="3"/>
  <c r="P100" i="3" l="1"/>
  <c r="Q100" i="3"/>
  <c r="O100" i="3"/>
  <c r="N100" i="3"/>
  <c r="L101" i="3"/>
  <c r="J102" i="3"/>
  <c r="L102" i="3" l="1"/>
  <c r="J103" i="3"/>
  <c r="O101" i="3"/>
  <c r="P101" i="3"/>
  <c r="Q101" i="3"/>
  <c r="N101" i="3"/>
  <c r="J104" i="3" l="1"/>
  <c r="L103" i="3"/>
  <c r="N102" i="3"/>
  <c r="Q102" i="3"/>
  <c r="O102" i="3"/>
  <c r="P102" i="3"/>
  <c r="N103" i="3" l="1"/>
  <c r="O103" i="3"/>
  <c r="P103" i="3"/>
  <c r="Q103" i="3"/>
  <c r="J105" i="3"/>
  <c r="L104" i="3"/>
  <c r="N104" i="3" l="1"/>
  <c r="O104" i="3"/>
  <c r="P104" i="3"/>
  <c r="Q104" i="3"/>
  <c r="L105" i="3"/>
  <c r="J106" i="3"/>
  <c r="L106" i="3" l="1"/>
  <c r="J107" i="3"/>
  <c r="N105" i="3"/>
  <c r="O105" i="3"/>
  <c r="P105" i="3"/>
  <c r="Q105" i="3"/>
  <c r="L107" i="3" l="1"/>
  <c r="J108" i="3"/>
  <c r="N106" i="3"/>
  <c r="O106" i="3"/>
  <c r="Q106" i="3"/>
  <c r="P106" i="3"/>
  <c r="L108" i="3" l="1"/>
  <c r="J109" i="3"/>
  <c r="N107" i="3"/>
  <c r="O107" i="3"/>
  <c r="P107" i="3"/>
  <c r="Q107" i="3"/>
  <c r="L109" i="3" l="1"/>
  <c r="J110" i="3"/>
  <c r="N108" i="3"/>
  <c r="P108" i="3"/>
  <c r="O108" i="3"/>
  <c r="Q108" i="3"/>
  <c r="L110" i="3" l="1"/>
  <c r="J111" i="3"/>
  <c r="N109" i="3"/>
  <c r="O109" i="3"/>
  <c r="P109" i="3"/>
  <c r="Q109" i="3"/>
  <c r="L111" i="3" l="1"/>
  <c r="J112" i="3"/>
  <c r="N110" i="3"/>
  <c r="O110" i="3"/>
  <c r="P110" i="3"/>
  <c r="Q110" i="3"/>
  <c r="J113" i="3" l="1"/>
  <c r="L112" i="3"/>
  <c r="N111" i="3"/>
  <c r="O111" i="3"/>
  <c r="P111" i="3"/>
  <c r="Q111" i="3"/>
  <c r="P112" i="3" l="1"/>
  <c r="Q112" i="3"/>
  <c r="N112" i="3"/>
  <c r="O112" i="3"/>
  <c r="L113" i="3"/>
  <c r="J114" i="3"/>
  <c r="L114" i="3" l="1"/>
  <c r="J115" i="3"/>
  <c r="N113" i="3"/>
  <c r="O113" i="3"/>
  <c r="P113" i="3"/>
  <c r="Q113" i="3"/>
  <c r="L115" i="3" l="1"/>
  <c r="J116" i="3"/>
  <c r="N114" i="3"/>
  <c r="O114" i="3"/>
  <c r="P114" i="3"/>
  <c r="Q114" i="3"/>
  <c r="L116" i="3" l="1"/>
  <c r="J117" i="3"/>
  <c r="N115" i="3"/>
  <c r="Q115" i="3"/>
  <c r="O115" i="3"/>
  <c r="P115" i="3"/>
  <c r="J118" i="3" l="1"/>
  <c r="L117" i="3"/>
  <c r="N116" i="3"/>
  <c r="O116" i="3"/>
  <c r="P116" i="3"/>
  <c r="Q116" i="3"/>
  <c r="P117" i="3" l="1"/>
  <c r="Q117" i="3"/>
  <c r="N117" i="3"/>
  <c r="O117" i="3"/>
  <c r="L118" i="3"/>
  <c r="J119" i="3"/>
  <c r="L119" i="3" l="1"/>
  <c r="J120" i="3"/>
  <c r="N118" i="3"/>
  <c r="O118" i="3"/>
  <c r="P118" i="3"/>
  <c r="Q118" i="3"/>
  <c r="L120" i="3" l="1"/>
  <c r="J121" i="3"/>
  <c r="N119" i="3"/>
  <c r="O119" i="3"/>
  <c r="Q119" i="3"/>
  <c r="P119" i="3"/>
  <c r="L121" i="3" l="1"/>
  <c r="J122" i="3"/>
  <c r="N120" i="3"/>
  <c r="O120" i="3"/>
  <c r="P120" i="3"/>
  <c r="Q120" i="3"/>
  <c r="L122" i="3" l="1"/>
  <c r="J123" i="3"/>
  <c r="N121" i="3"/>
  <c r="O121" i="3"/>
  <c r="P121" i="3"/>
  <c r="Q121" i="3"/>
  <c r="L123" i="3" l="1"/>
  <c r="J124" i="3"/>
  <c r="N122" i="3"/>
  <c r="O122" i="3"/>
  <c r="Q122" i="3"/>
  <c r="P122" i="3"/>
  <c r="L124" i="3" l="1"/>
  <c r="J125" i="3"/>
  <c r="N123" i="3"/>
  <c r="O123" i="3"/>
  <c r="P123" i="3"/>
  <c r="Q123" i="3"/>
  <c r="J126" i="3" l="1"/>
  <c r="L125" i="3"/>
  <c r="N124" i="3"/>
  <c r="O124" i="3"/>
  <c r="Q124" i="3"/>
  <c r="P124" i="3"/>
  <c r="P125" i="3" l="1"/>
  <c r="Q125" i="3"/>
  <c r="N125" i="3"/>
  <c r="O125" i="3"/>
  <c r="L126" i="3"/>
  <c r="J127" i="3"/>
  <c r="L127" i="3" l="1"/>
  <c r="J128" i="3"/>
  <c r="N126" i="3"/>
  <c r="O126" i="3"/>
  <c r="P126" i="3"/>
  <c r="Q126" i="3"/>
  <c r="L128" i="3" l="1"/>
  <c r="J129" i="3"/>
  <c r="N127" i="3"/>
  <c r="O127" i="3"/>
  <c r="P127" i="3"/>
  <c r="Q127" i="3"/>
  <c r="L129" i="3" l="1"/>
  <c r="J130" i="3"/>
  <c r="N128" i="3"/>
  <c r="O128" i="3"/>
  <c r="Q128" i="3"/>
  <c r="P128" i="3"/>
  <c r="L130" i="3" l="1"/>
  <c r="J131" i="3"/>
  <c r="N129" i="3"/>
  <c r="O129" i="3"/>
  <c r="P129" i="3"/>
  <c r="Q129" i="3"/>
  <c r="L131" i="3" l="1"/>
  <c r="J132" i="3"/>
  <c r="N130" i="3"/>
  <c r="O130" i="3"/>
  <c r="P130" i="3"/>
  <c r="Q130" i="3"/>
  <c r="J133" i="3" l="1"/>
  <c r="L132" i="3"/>
  <c r="N131" i="3"/>
  <c r="O131" i="3"/>
  <c r="P131" i="3"/>
  <c r="Q131" i="3"/>
  <c r="Q132" i="3" l="1"/>
  <c r="N132" i="3"/>
  <c r="O132" i="3"/>
  <c r="P132" i="3"/>
  <c r="L133" i="3"/>
  <c r="J134" i="3"/>
  <c r="L134" i="3" l="1"/>
  <c r="J135" i="3"/>
  <c r="N133" i="3"/>
  <c r="O133" i="3"/>
  <c r="Q133" i="3"/>
  <c r="P133" i="3"/>
  <c r="L135" i="3" l="1"/>
  <c r="J136" i="3"/>
  <c r="N134" i="3"/>
  <c r="P134" i="3"/>
  <c r="Q134" i="3"/>
  <c r="O134" i="3"/>
  <c r="L136" i="3" l="1"/>
  <c r="J137" i="3"/>
  <c r="N135" i="3"/>
  <c r="O135" i="3"/>
  <c r="P135" i="3"/>
  <c r="Q135" i="3"/>
  <c r="L137" i="3" l="1"/>
  <c r="J138" i="3"/>
  <c r="N136" i="3"/>
  <c r="O136" i="3"/>
  <c r="P136" i="3"/>
  <c r="Q136" i="3"/>
  <c r="J139" i="3" l="1"/>
  <c r="L138" i="3"/>
  <c r="N137" i="3"/>
  <c r="O137" i="3"/>
  <c r="P137" i="3"/>
  <c r="Q137" i="3"/>
  <c r="P138" i="3" l="1"/>
  <c r="Q138" i="3"/>
  <c r="N138" i="3"/>
  <c r="O138" i="3"/>
  <c r="L139" i="3"/>
  <c r="J140" i="3"/>
  <c r="L140" i="3" l="1"/>
  <c r="J141" i="3"/>
  <c r="N139" i="3"/>
  <c r="O139" i="3"/>
  <c r="P139" i="3"/>
  <c r="Q139" i="3"/>
  <c r="L141" i="3" l="1"/>
  <c r="J142" i="3"/>
  <c r="N140" i="3"/>
  <c r="O140" i="3"/>
  <c r="Q140" i="3"/>
  <c r="P140" i="3"/>
  <c r="L142" i="3" l="1"/>
  <c r="J143" i="3"/>
  <c r="N141" i="3"/>
  <c r="O141" i="3"/>
  <c r="Q141" i="3"/>
  <c r="P141" i="3"/>
  <c r="L143" i="3" l="1"/>
  <c r="J144" i="3"/>
  <c r="N142" i="3"/>
  <c r="O142" i="3"/>
  <c r="P142" i="3"/>
  <c r="Q142" i="3"/>
  <c r="J145" i="3" l="1"/>
  <c r="L144" i="3"/>
  <c r="N143" i="3"/>
  <c r="O143" i="3"/>
  <c r="Q143" i="3"/>
  <c r="P143" i="3"/>
  <c r="P144" i="3" l="1"/>
  <c r="Q144" i="3"/>
  <c r="N144" i="3"/>
  <c r="O144" i="3"/>
  <c r="L145" i="3"/>
  <c r="J146" i="3"/>
  <c r="L146" i="3" l="1"/>
  <c r="J147" i="3"/>
  <c r="N145" i="3"/>
  <c r="O145" i="3"/>
  <c r="P145" i="3"/>
  <c r="Q145" i="3"/>
  <c r="L147" i="3" l="1"/>
  <c r="J148" i="3"/>
  <c r="N146" i="3"/>
  <c r="O146" i="3"/>
  <c r="P146" i="3"/>
  <c r="Q146" i="3"/>
  <c r="L148" i="3" l="1"/>
  <c r="J149" i="3"/>
  <c r="N147" i="3"/>
  <c r="O147" i="3"/>
  <c r="P147" i="3"/>
  <c r="Q147" i="3"/>
  <c r="J150" i="3" l="1"/>
  <c r="L149" i="3"/>
  <c r="N148" i="3"/>
  <c r="O148" i="3"/>
  <c r="P148" i="3"/>
  <c r="Q148" i="3"/>
  <c r="Q149" i="3" l="1"/>
  <c r="N149" i="3"/>
  <c r="O149" i="3"/>
  <c r="P149" i="3"/>
  <c r="L150" i="3"/>
  <c r="J151" i="3"/>
  <c r="J152" i="3" l="1"/>
  <c r="L151" i="3"/>
  <c r="N150" i="3"/>
  <c r="O150" i="3"/>
  <c r="Q150" i="3"/>
  <c r="P150" i="3"/>
  <c r="P151" i="3" l="1"/>
  <c r="Q151" i="3"/>
  <c r="N151" i="3"/>
  <c r="O151" i="3"/>
  <c r="L152" i="3"/>
  <c r="J153" i="3"/>
  <c r="L153" i="3" l="1"/>
  <c r="J154" i="3"/>
  <c r="N152" i="3"/>
  <c r="Q152" i="3"/>
  <c r="O152" i="3"/>
  <c r="P152" i="3"/>
  <c r="L154" i="3" l="1"/>
  <c r="J155" i="3"/>
  <c r="N153" i="3"/>
  <c r="O153" i="3"/>
  <c r="P153" i="3"/>
  <c r="Q153" i="3"/>
  <c r="L155" i="3" l="1"/>
  <c r="J156" i="3"/>
  <c r="N154" i="3"/>
  <c r="O154" i="3"/>
  <c r="P154" i="3"/>
  <c r="Q154" i="3"/>
  <c r="L156" i="3" l="1"/>
  <c r="J157" i="3"/>
  <c r="N155" i="3"/>
  <c r="P155" i="3"/>
  <c r="O155" i="3"/>
  <c r="Q155" i="3"/>
  <c r="L157" i="3" l="1"/>
  <c r="J158" i="3"/>
  <c r="N156" i="3"/>
  <c r="O156" i="3"/>
  <c r="P156" i="3"/>
  <c r="Q156" i="3"/>
  <c r="L158" i="3" l="1"/>
  <c r="J159" i="3"/>
  <c r="O157" i="3"/>
  <c r="Q157" i="3"/>
  <c r="P157" i="3"/>
  <c r="N157" i="3"/>
  <c r="L159" i="3" l="1"/>
  <c r="J160" i="3"/>
  <c r="N158" i="3"/>
  <c r="P158" i="3"/>
  <c r="Q158" i="3"/>
  <c r="O158" i="3"/>
  <c r="L160" i="3" l="1"/>
  <c r="J161" i="3"/>
  <c r="N159" i="3"/>
  <c r="O159" i="3"/>
  <c r="P159" i="3"/>
  <c r="Q159" i="3"/>
  <c r="J162" i="3" l="1"/>
  <c r="L161" i="3"/>
  <c r="N160" i="3"/>
  <c r="Q160" i="3"/>
  <c r="O160" i="3"/>
  <c r="P160" i="3"/>
  <c r="N161" i="3" l="1"/>
  <c r="O161" i="3"/>
  <c r="P161" i="3"/>
  <c r="Q161" i="3"/>
  <c r="L162" i="3"/>
  <c r="J163" i="3"/>
  <c r="L163" i="3" l="1"/>
  <c r="J164" i="3"/>
  <c r="O162" i="3"/>
  <c r="P162" i="3"/>
  <c r="Q162" i="3"/>
  <c r="N162" i="3"/>
  <c r="L164" i="3" l="1"/>
  <c r="J165" i="3"/>
  <c r="N163" i="3"/>
  <c r="O163" i="3"/>
  <c r="Q163" i="3"/>
  <c r="P163" i="3"/>
  <c r="L165" i="3" l="1"/>
  <c r="J166" i="3"/>
  <c r="N164" i="3"/>
  <c r="O164" i="3"/>
  <c r="P164" i="3"/>
  <c r="Q164" i="3"/>
  <c r="N165" i="3" l="1"/>
  <c r="O165" i="3"/>
  <c r="P165" i="3"/>
  <c r="Q165" i="3"/>
  <c r="J167" i="3"/>
  <c r="L166" i="3"/>
  <c r="P166" i="3" l="1"/>
  <c r="N166" i="3"/>
  <c r="O166" i="3"/>
  <c r="Q166" i="3"/>
  <c r="L167" i="3"/>
  <c r="J168" i="3"/>
  <c r="J169" i="3" l="1"/>
  <c r="L168" i="3"/>
  <c r="N167" i="3"/>
  <c r="O167" i="3"/>
  <c r="Q167" i="3"/>
  <c r="P167" i="3"/>
  <c r="N168" i="3" l="1"/>
  <c r="Q168" i="3"/>
  <c r="O168" i="3"/>
  <c r="P168" i="3"/>
  <c r="J170" i="3"/>
  <c r="L169" i="3"/>
  <c r="O169" i="3" l="1"/>
  <c r="Q169" i="3"/>
  <c r="P169" i="3"/>
  <c r="N169" i="3"/>
  <c r="L170" i="3"/>
  <c r="J171" i="3"/>
  <c r="L171" i="3" l="1"/>
  <c r="J172" i="3"/>
  <c r="N170" i="3"/>
  <c r="P170" i="3"/>
  <c r="O170" i="3"/>
  <c r="Q170" i="3"/>
  <c r="J173" i="3" l="1"/>
  <c r="L172" i="3"/>
  <c r="N171" i="3"/>
  <c r="Q171" i="3"/>
  <c r="O171" i="3"/>
  <c r="P171" i="3"/>
  <c r="P172" i="3" l="1"/>
  <c r="Q172" i="3"/>
  <c r="N172" i="3"/>
  <c r="O172" i="3"/>
  <c r="L173" i="3"/>
  <c r="J174" i="3"/>
  <c r="L174" i="3" l="1"/>
  <c r="J175" i="3"/>
  <c r="N173" i="3"/>
  <c r="Q173" i="3"/>
  <c r="P173" i="3"/>
  <c r="O173" i="3"/>
  <c r="N174" i="3" l="1"/>
  <c r="O174" i="3"/>
  <c r="Q174" i="3"/>
  <c r="P174" i="3"/>
  <c r="J176" i="3"/>
  <c r="L175" i="3"/>
  <c r="L176" i="3" l="1"/>
  <c r="J177" i="3"/>
  <c r="O175" i="3"/>
  <c r="P175" i="3"/>
  <c r="N175" i="3"/>
  <c r="Q175" i="3"/>
  <c r="L177" i="3" l="1"/>
  <c r="J178" i="3"/>
  <c r="O176" i="3"/>
  <c r="P176" i="3"/>
  <c r="Q176" i="3"/>
  <c r="N176" i="3"/>
  <c r="L178" i="3" l="1"/>
  <c r="J179" i="3"/>
  <c r="N177" i="3"/>
  <c r="O177" i="3"/>
  <c r="Q177" i="3"/>
  <c r="P177" i="3"/>
  <c r="P178" i="3" l="1"/>
  <c r="N178" i="3"/>
  <c r="Q178" i="3"/>
  <c r="O178" i="3"/>
  <c r="L179" i="3"/>
  <c r="J180" i="3"/>
  <c r="L180" i="3" l="1"/>
  <c r="J181" i="3"/>
  <c r="P179" i="3"/>
  <c r="Q179" i="3"/>
  <c r="N179" i="3"/>
  <c r="O179" i="3"/>
  <c r="L181" i="3" l="1"/>
  <c r="J182" i="3"/>
  <c r="N180" i="3"/>
  <c r="Q180" i="3"/>
  <c r="P180" i="3"/>
  <c r="O180" i="3"/>
  <c r="N181" i="3" l="1"/>
  <c r="Q181" i="3"/>
  <c r="O181" i="3"/>
  <c r="P181" i="3"/>
  <c r="L182" i="3"/>
  <c r="J183" i="3"/>
  <c r="N182" i="3" l="1"/>
  <c r="Q182" i="3"/>
  <c r="P182" i="3"/>
  <c r="O182" i="3"/>
  <c r="L183" i="3"/>
  <c r="J184" i="3"/>
  <c r="L184" i="3" l="1"/>
  <c r="J185" i="3"/>
  <c r="N183" i="3"/>
  <c r="Q183" i="3"/>
  <c r="P183" i="3"/>
  <c r="O183" i="3"/>
  <c r="P184" i="3" l="1"/>
  <c r="O184" i="3"/>
  <c r="Q184" i="3"/>
  <c r="N184" i="3"/>
  <c r="L185" i="3"/>
  <c r="J186" i="3"/>
  <c r="O185" i="3" l="1"/>
  <c r="P185" i="3"/>
  <c r="Q185" i="3"/>
  <c r="N185" i="3"/>
  <c r="J187" i="3"/>
  <c r="L186" i="3"/>
  <c r="O186" i="3" l="1"/>
  <c r="P186" i="3"/>
  <c r="Q186" i="3"/>
  <c r="N186" i="3"/>
  <c r="J188" i="3"/>
  <c r="L187" i="3"/>
  <c r="O187" i="3" l="1"/>
  <c r="P187" i="3"/>
  <c r="Q187" i="3"/>
  <c r="N187" i="3"/>
  <c r="L188" i="3"/>
  <c r="J189" i="3"/>
  <c r="L189" i="3" l="1"/>
  <c r="J190" i="3"/>
  <c r="O188" i="3"/>
  <c r="N188" i="3"/>
  <c r="P188" i="3"/>
  <c r="Q188" i="3"/>
  <c r="L190" i="3" l="1"/>
  <c r="J191" i="3"/>
  <c r="P189" i="3"/>
  <c r="O189" i="3"/>
  <c r="N189" i="3"/>
  <c r="Q189" i="3"/>
  <c r="L191" i="3" l="1"/>
  <c r="J192" i="3"/>
  <c r="O190" i="3"/>
  <c r="P190" i="3"/>
  <c r="Q190" i="3"/>
  <c r="N190" i="3"/>
  <c r="L192" i="3" l="1"/>
  <c r="J193" i="3"/>
  <c r="N191" i="3"/>
  <c r="O191" i="3"/>
  <c r="P191" i="3"/>
  <c r="Q191" i="3"/>
  <c r="L193" i="3" l="1"/>
  <c r="J194" i="3"/>
  <c r="P192" i="3"/>
  <c r="Q192" i="3"/>
  <c r="N192" i="3"/>
  <c r="O192" i="3"/>
  <c r="L194" i="3" l="1"/>
  <c r="J195" i="3"/>
  <c r="O193" i="3"/>
  <c r="N193" i="3"/>
  <c r="P193" i="3"/>
  <c r="Q193" i="3"/>
  <c r="L195" i="3" l="1"/>
  <c r="J196" i="3"/>
  <c r="N194" i="3"/>
  <c r="P194" i="3"/>
  <c r="Q194" i="3"/>
  <c r="O194" i="3"/>
  <c r="L196" i="3" l="1"/>
  <c r="J197" i="3"/>
  <c r="O195" i="3"/>
  <c r="P195" i="3"/>
  <c r="Q195" i="3"/>
  <c r="N195" i="3"/>
  <c r="N3" i="4"/>
  <c r="M3" i="4"/>
  <c r="M4" i="4"/>
  <c r="C3" i="4"/>
  <c r="J198" i="3" l="1"/>
  <c r="L197" i="3"/>
  <c r="O196" i="3"/>
  <c r="P196" i="3"/>
  <c r="Q196" i="3"/>
  <c r="N196" i="3"/>
  <c r="P3" i="4"/>
  <c r="R3" i="4"/>
  <c r="U3" i="4"/>
  <c r="O3" i="4"/>
  <c r="Q3" i="4"/>
  <c r="O4" i="4"/>
  <c r="F3" i="4"/>
  <c r="O197" i="3" l="1"/>
  <c r="P197" i="3"/>
  <c r="N197" i="3"/>
  <c r="Q197" i="3"/>
  <c r="J199" i="3"/>
  <c r="L198" i="3"/>
  <c r="S3" i="4"/>
  <c r="T3" i="4" s="1"/>
  <c r="O198" i="3" l="1"/>
  <c r="Q198" i="3"/>
  <c r="N198" i="3"/>
  <c r="P198" i="3"/>
  <c r="L199" i="3"/>
  <c r="J200" i="3"/>
  <c r="L200" i="3" l="1"/>
  <c r="J201" i="3"/>
  <c r="N199" i="3"/>
  <c r="O199" i="3"/>
  <c r="P199" i="3"/>
  <c r="Q199" i="3"/>
  <c r="L201" i="3" l="1"/>
  <c r="J202" i="3"/>
  <c r="N200" i="3"/>
  <c r="O200" i="3"/>
  <c r="Q200" i="3"/>
  <c r="P200" i="3"/>
  <c r="L202" i="3" l="1"/>
  <c r="J203" i="3"/>
  <c r="O201" i="3"/>
  <c r="P201" i="3"/>
  <c r="Q201" i="3"/>
  <c r="N201" i="3"/>
  <c r="L203" i="3" l="1"/>
  <c r="J204" i="3"/>
  <c r="N202" i="3"/>
  <c r="O202" i="3"/>
  <c r="P202" i="3"/>
  <c r="Q202" i="3"/>
  <c r="L204" i="3" l="1"/>
  <c r="J205" i="3"/>
  <c r="N203" i="3"/>
  <c r="Q203" i="3"/>
  <c r="O203" i="3"/>
  <c r="P203" i="3"/>
  <c r="J206" i="3" l="1"/>
  <c r="L205" i="3"/>
  <c r="N204" i="3"/>
  <c r="Q204" i="3"/>
  <c r="P204" i="3"/>
  <c r="O204" i="3"/>
  <c r="N205" i="3" l="1"/>
  <c r="O205" i="3"/>
  <c r="P205" i="3"/>
  <c r="Q205" i="3"/>
  <c r="L206" i="3"/>
  <c r="J207" i="3"/>
  <c r="J208" i="3" l="1"/>
  <c r="L207" i="3"/>
  <c r="N206" i="3"/>
  <c r="Q206" i="3"/>
  <c r="O206" i="3"/>
  <c r="P206" i="3"/>
  <c r="N207" i="3" l="1"/>
  <c r="O207" i="3"/>
  <c r="P207" i="3"/>
  <c r="Q207" i="3"/>
  <c r="L208" i="3"/>
  <c r="J209" i="3"/>
  <c r="L209" i="3" l="1"/>
  <c r="J210" i="3"/>
  <c r="P208" i="3"/>
  <c r="Q208" i="3"/>
  <c r="N208" i="3"/>
  <c r="O208" i="3"/>
  <c r="J211" i="3" l="1"/>
  <c r="L210" i="3"/>
  <c r="Q209" i="3"/>
  <c r="N209" i="3"/>
  <c r="P209" i="3"/>
  <c r="O209" i="3"/>
  <c r="N210" i="3" l="1"/>
  <c r="O210" i="3"/>
  <c r="P210" i="3"/>
  <c r="Q210" i="3"/>
  <c r="L211" i="3"/>
  <c r="J212" i="3"/>
  <c r="L212" i="3" l="1"/>
  <c r="J213" i="3"/>
  <c r="N211" i="3"/>
  <c r="O211" i="3"/>
  <c r="P211" i="3"/>
  <c r="Q211" i="3"/>
  <c r="L213" i="3" l="1"/>
  <c r="J214" i="3"/>
  <c r="P212" i="3"/>
  <c r="Q212" i="3"/>
  <c r="O212" i="3"/>
  <c r="N212" i="3"/>
  <c r="L214" i="3" l="1"/>
  <c r="J215" i="3"/>
  <c r="Q213" i="3"/>
  <c r="O213" i="3"/>
  <c r="N213" i="3"/>
  <c r="P213" i="3"/>
  <c r="L215" i="3" l="1"/>
  <c r="J216" i="3"/>
  <c r="Q214" i="3"/>
  <c r="P214" i="3"/>
  <c r="N214" i="3"/>
  <c r="O214" i="3"/>
  <c r="J217" i="3" l="1"/>
  <c r="L216" i="3"/>
  <c r="N215" i="3"/>
  <c r="O215" i="3"/>
  <c r="Q215" i="3"/>
  <c r="P215" i="3"/>
  <c r="P216" i="3" l="1"/>
  <c r="Q216" i="3"/>
  <c r="O216" i="3"/>
  <c r="N216" i="3"/>
  <c r="L217" i="3"/>
  <c r="J218" i="3"/>
  <c r="L218" i="3" l="1"/>
  <c r="J219" i="3"/>
  <c r="P217" i="3"/>
  <c r="N217" i="3"/>
  <c r="Q217" i="3"/>
  <c r="O217" i="3"/>
  <c r="L219" i="3" l="1"/>
  <c r="J220" i="3"/>
  <c r="P218" i="3"/>
  <c r="N218" i="3"/>
  <c r="Q218" i="3"/>
  <c r="O218" i="3"/>
  <c r="J221" i="3" l="1"/>
  <c r="L220" i="3"/>
  <c r="P219" i="3"/>
  <c r="O219" i="3"/>
  <c r="N219" i="3"/>
  <c r="Q219" i="3"/>
  <c r="O220" i="3" l="1"/>
  <c r="N220" i="3"/>
  <c r="Q220" i="3"/>
  <c r="P220" i="3"/>
  <c r="L221" i="3"/>
  <c r="J222" i="3"/>
  <c r="L222" i="3" l="1"/>
  <c r="J223" i="3"/>
  <c r="N221" i="3"/>
  <c r="P221" i="3"/>
  <c r="O221" i="3"/>
  <c r="Q221" i="3"/>
  <c r="L223" i="3" l="1"/>
  <c r="J224" i="3"/>
  <c r="P222" i="3"/>
  <c r="Q222" i="3"/>
  <c r="O222" i="3"/>
  <c r="N222" i="3"/>
  <c r="J225" i="3" l="1"/>
  <c r="L224" i="3"/>
  <c r="O223" i="3"/>
  <c r="N223" i="3"/>
  <c r="Q223" i="3"/>
  <c r="P223" i="3"/>
  <c r="N224" i="3" l="1"/>
  <c r="Q224" i="3"/>
  <c r="O224" i="3"/>
  <c r="P224" i="3"/>
  <c r="L225" i="3"/>
  <c r="J226" i="3"/>
  <c r="L226" i="3" l="1"/>
  <c r="J227" i="3"/>
  <c r="O225" i="3"/>
  <c r="N225" i="3"/>
  <c r="P225" i="3"/>
  <c r="Q225" i="3"/>
  <c r="L227" i="3" l="1"/>
  <c r="J228" i="3"/>
  <c r="Q226" i="3"/>
  <c r="O226" i="3"/>
  <c r="P226" i="3"/>
  <c r="N226" i="3"/>
  <c r="J229" i="3" l="1"/>
  <c r="L228" i="3"/>
  <c r="Q227" i="3"/>
  <c r="O227" i="3"/>
  <c r="P227" i="3"/>
  <c r="N227" i="3"/>
  <c r="N228" i="3" l="1"/>
  <c r="P228" i="3"/>
  <c r="O228" i="3"/>
  <c r="Q228" i="3"/>
  <c r="J230" i="3"/>
  <c r="L229" i="3"/>
  <c r="Q229" i="3" l="1"/>
  <c r="P229" i="3"/>
  <c r="N229" i="3"/>
  <c r="O229" i="3"/>
  <c r="J231" i="3"/>
  <c r="L230" i="3"/>
  <c r="O230" i="3" l="1"/>
  <c r="N230" i="3"/>
  <c r="Q230" i="3"/>
  <c r="P230" i="3"/>
  <c r="L231" i="3"/>
  <c r="J232" i="3"/>
  <c r="J233" i="3" l="1"/>
  <c r="L232" i="3"/>
  <c r="P231" i="3"/>
  <c r="O231" i="3"/>
  <c r="N231" i="3"/>
  <c r="Q231" i="3"/>
  <c r="O232" i="3" l="1"/>
  <c r="N232" i="3"/>
  <c r="P232" i="3"/>
  <c r="Q232" i="3"/>
  <c r="L233" i="3"/>
  <c r="J234" i="3"/>
  <c r="J235" i="3" l="1"/>
  <c r="L234" i="3"/>
  <c r="P233" i="3"/>
  <c r="N233" i="3"/>
  <c r="O233" i="3"/>
  <c r="Q233" i="3"/>
  <c r="Q234" i="3" l="1"/>
  <c r="P234" i="3"/>
  <c r="N234" i="3"/>
  <c r="O234" i="3"/>
  <c r="J236" i="3"/>
  <c r="L235" i="3"/>
  <c r="O235" i="3" l="1"/>
  <c r="Q235" i="3"/>
  <c r="P235" i="3"/>
  <c r="N235" i="3"/>
  <c r="J237" i="3"/>
  <c r="L236" i="3"/>
  <c r="N236" i="3" l="1"/>
  <c r="P236" i="3"/>
  <c r="O236" i="3"/>
  <c r="Q236" i="3"/>
  <c r="J238" i="3"/>
  <c r="L237" i="3"/>
  <c r="O237" i="3" l="1"/>
  <c r="P237" i="3"/>
  <c r="N237" i="3"/>
  <c r="Q237" i="3"/>
  <c r="J239" i="3"/>
  <c r="L238" i="3"/>
  <c r="O238" i="3" l="1"/>
  <c r="N238" i="3"/>
  <c r="P238" i="3"/>
  <c r="Q238" i="3"/>
  <c r="J240" i="3"/>
  <c r="L239" i="3"/>
  <c r="Q239" i="3" l="1"/>
  <c r="P239" i="3"/>
  <c r="O239" i="3"/>
  <c r="N239" i="3"/>
  <c r="L240" i="3"/>
  <c r="J241" i="3"/>
  <c r="Q240" i="3" l="1"/>
  <c r="P240" i="3"/>
  <c r="O240" i="3"/>
  <c r="N240" i="3"/>
  <c r="J242" i="3"/>
  <c r="L241" i="3"/>
  <c r="P241" i="3" l="1"/>
  <c r="Q241" i="3"/>
  <c r="O241" i="3"/>
  <c r="N241" i="3"/>
  <c r="L242" i="3"/>
  <c r="J243" i="3"/>
  <c r="L243" i="3" l="1"/>
  <c r="J244" i="3"/>
  <c r="Q242" i="3"/>
  <c r="P242" i="3"/>
  <c r="O242" i="3"/>
  <c r="N242" i="3"/>
  <c r="J245" i="3" l="1"/>
  <c r="L244" i="3"/>
  <c r="Q243" i="3"/>
  <c r="P243" i="3"/>
  <c r="N243" i="3"/>
  <c r="O243" i="3"/>
  <c r="N244" i="3" l="1"/>
  <c r="O244" i="3"/>
  <c r="Q244" i="3"/>
  <c r="P244" i="3"/>
  <c r="L245" i="3"/>
  <c r="J246" i="3"/>
  <c r="L246" i="3" l="1"/>
  <c r="J247" i="3"/>
  <c r="P245" i="3"/>
  <c r="N245" i="3"/>
  <c r="O245" i="3"/>
  <c r="Q245" i="3"/>
  <c r="L247" i="3" l="1"/>
  <c r="J248" i="3"/>
  <c r="Q246" i="3"/>
  <c r="P246" i="3"/>
  <c r="N246" i="3"/>
  <c r="O246" i="3"/>
  <c r="J249" i="3" l="1"/>
  <c r="L248" i="3"/>
  <c r="Q247" i="3"/>
  <c r="P247" i="3"/>
  <c r="O247" i="3"/>
  <c r="N247" i="3"/>
  <c r="Q248" i="3" l="1"/>
  <c r="O248" i="3"/>
  <c r="P248" i="3"/>
  <c r="N248" i="3"/>
  <c r="L249" i="3"/>
  <c r="J250" i="3"/>
  <c r="L250" i="3" l="1"/>
  <c r="J251" i="3"/>
  <c r="Q249" i="3"/>
  <c r="O249" i="3"/>
  <c r="P249" i="3"/>
  <c r="N249" i="3"/>
  <c r="L251" i="3" l="1"/>
  <c r="J252" i="3"/>
  <c r="Q250" i="3"/>
  <c r="O250" i="3"/>
  <c r="P250" i="3"/>
  <c r="N250" i="3"/>
  <c r="J253" i="3" l="1"/>
  <c r="L252" i="3"/>
  <c r="P251" i="3"/>
  <c r="O251" i="3"/>
  <c r="Q251" i="3"/>
  <c r="N251" i="3"/>
  <c r="P252" i="3" l="1"/>
  <c r="O252" i="3"/>
  <c r="N252" i="3"/>
  <c r="Q252" i="3"/>
  <c r="L253" i="3"/>
  <c r="J254" i="3"/>
  <c r="J255" i="3" l="1"/>
  <c r="L254" i="3"/>
  <c r="N253" i="3"/>
  <c r="P253" i="3"/>
  <c r="O253" i="3"/>
  <c r="Q253" i="3"/>
  <c r="Q254" i="3" l="1"/>
  <c r="O254" i="3"/>
  <c r="P254" i="3"/>
  <c r="N254" i="3"/>
  <c r="J256" i="3"/>
  <c r="L255" i="3"/>
  <c r="P255" i="3" l="1"/>
  <c r="O255" i="3"/>
  <c r="N255" i="3"/>
  <c r="Q255" i="3"/>
  <c r="J257" i="3"/>
  <c r="L256" i="3"/>
  <c r="Q256" i="3" l="1"/>
  <c r="P256" i="3"/>
  <c r="N256" i="3"/>
  <c r="O256" i="3"/>
  <c r="J258" i="3"/>
  <c r="L257" i="3"/>
  <c r="J259" i="3" l="1"/>
  <c r="L258" i="3"/>
  <c r="Q257" i="3"/>
  <c r="O257" i="3"/>
  <c r="N257" i="3"/>
  <c r="P257" i="3"/>
  <c r="O258" i="3" l="1"/>
  <c r="N258" i="3"/>
  <c r="Q258" i="3"/>
  <c r="P258" i="3"/>
  <c r="J260" i="3"/>
  <c r="L259" i="3"/>
  <c r="L260" i="3" l="1"/>
  <c r="J261" i="3"/>
  <c r="Q259" i="3"/>
  <c r="P259" i="3"/>
  <c r="O259" i="3"/>
  <c r="N259" i="3"/>
  <c r="L261" i="3" l="1"/>
  <c r="J262" i="3"/>
  <c r="Q260" i="3"/>
  <c r="P260" i="3"/>
  <c r="O260" i="3"/>
  <c r="N260" i="3"/>
  <c r="J263" i="3" l="1"/>
  <c r="L262" i="3"/>
  <c r="Q261" i="3"/>
  <c r="P261" i="3"/>
  <c r="N261" i="3"/>
  <c r="O261" i="3"/>
  <c r="Q262" i="3" l="1"/>
  <c r="P262" i="3"/>
  <c r="N262" i="3"/>
  <c r="O262" i="3"/>
  <c r="J264" i="3"/>
  <c r="L263" i="3"/>
  <c r="O263" i="3" l="1"/>
  <c r="P263" i="3"/>
  <c r="Q263" i="3"/>
  <c r="N263" i="3"/>
  <c r="L264" i="3"/>
  <c r="J265" i="3"/>
  <c r="L265" i="3" l="1"/>
  <c r="J266" i="3"/>
  <c r="Q264" i="3"/>
  <c r="N264" i="3"/>
  <c r="P264" i="3"/>
  <c r="O264" i="3"/>
  <c r="J267" i="3" l="1"/>
  <c r="L266" i="3"/>
  <c r="P265" i="3"/>
  <c r="Q265" i="3"/>
  <c r="N265" i="3"/>
  <c r="O265" i="3"/>
  <c r="Q266" i="3" l="1"/>
  <c r="O266" i="3"/>
  <c r="P266" i="3"/>
  <c r="N266" i="3"/>
  <c r="J268" i="3"/>
  <c r="L267" i="3"/>
  <c r="Q267" i="3" l="1"/>
  <c r="P267" i="3"/>
  <c r="O267" i="3"/>
  <c r="N267" i="3"/>
  <c r="L268" i="3"/>
  <c r="J269" i="3"/>
  <c r="L269" i="3" l="1"/>
  <c r="J270" i="3"/>
  <c r="O268" i="3"/>
  <c r="P268" i="3"/>
  <c r="N268" i="3"/>
  <c r="Q268" i="3"/>
  <c r="L270" i="3" l="1"/>
  <c r="J271" i="3"/>
  <c r="P269" i="3"/>
  <c r="N269" i="3"/>
  <c r="O269" i="3"/>
  <c r="Q269" i="3"/>
  <c r="J272" i="3" l="1"/>
  <c r="L271" i="3"/>
  <c r="Q270" i="3"/>
  <c r="O270" i="3"/>
  <c r="P270" i="3"/>
  <c r="N270" i="3"/>
  <c r="Q271" i="3" l="1"/>
  <c r="P271" i="3"/>
  <c r="N271" i="3"/>
  <c r="O271" i="3"/>
  <c r="L272" i="3"/>
  <c r="J273" i="3"/>
  <c r="J274" i="3" l="1"/>
  <c r="L273" i="3"/>
  <c r="Q272" i="3"/>
  <c r="P272" i="3"/>
  <c r="O272" i="3"/>
  <c r="N272" i="3"/>
  <c r="P273" i="3" l="1"/>
  <c r="Q273" i="3"/>
  <c r="O273" i="3"/>
  <c r="N273" i="3"/>
  <c r="L274" i="3"/>
  <c r="J275" i="3"/>
  <c r="J276" i="3" l="1"/>
  <c r="L275" i="3"/>
  <c r="Q274" i="3"/>
  <c r="O274" i="3"/>
  <c r="P274" i="3"/>
  <c r="N274" i="3"/>
  <c r="Q275" i="3" l="1"/>
  <c r="N275" i="3"/>
  <c r="O275" i="3"/>
  <c r="P275" i="3"/>
  <c r="L276" i="3"/>
  <c r="J277" i="3"/>
  <c r="J278" i="3" l="1"/>
  <c r="L277" i="3"/>
  <c r="Q276" i="3"/>
  <c r="P276" i="3"/>
  <c r="O276" i="3"/>
  <c r="N276" i="3"/>
  <c r="Q277" i="3" l="1"/>
  <c r="N277" i="3"/>
  <c r="P277" i="3"/>
  <c r="O277" i="3"/>
  <c r="L278" i="3"/>
  <c r="J279" i="3"/>
  <c r="J280" i="3" l="1"/>
  <c r="L279" i="3"/>
  <c r="O278" i="3"/>
  <c r="N278" i="3"/>
  <c r="Q278" i="3"/>
  <c r="P278" i="3"/>
  <c r="Q279" i="3" l="1"/>
  <c r="O279" i="3"/>
  <c r="P279" i="3"/>
  <c r="N279" i="3"/>
  <c r="J281" i="3"/>
  <c r="L280" i="3"/>
  <c r="P280" i="3" l="1"/>
  <c r="O280" i="3"/>
  <c r="Q280" i="3"/>
  <c r="N280" i="3"/>
  <c r="J282" i="3"/>
  <c r="L281" i="3"/>
  <c r="P281" i="3" l="1"/>
  <c r="N281" i="3"/>
  <c r="Q281" i="3"/>
  <c r="O281" i="3"/>
  <c r="L282" i="3"/>
  <c r="J283" i="3"/>
  <c r="J284" i="3" l="1"/>
  <c r="L283" i="3"/>
  <c r="Q282" i="3"/>
  <c r="O282" i="3"/>
  <c r="N282" i="3"/>
  <c r="P282" i="3"/>
  <c r="P283" i="3" l="1"/>
  <c r="N283" i="3"/>
  <c r="Q283" i="3"/>
  <c r="O283" i="3"/>
  <c r="L284" i="3"/>
  <c r="J285" i="3"/>
  <c r="L285" i="3" l="1"/>
  <c r="J286" i="3"/>
  <c r="Q284" i="3"/>
  <c r="P284" i="3"/>
  <c r="O284" i="3"/>
  <c r="N284" i="3"/>
  <c r="J287" i="3" l="1"/>
  <c r="L286" i="3"/>
  <c r="P285" i="3"/>
  <c r="N285" i="3"/>
  <c r="Q285" i="3"/>
  <c r="O285" i="3"/>
  <c r="Q286" i="3" l="1"/>
  <c r="O286" i="3"/>
  <c r="P286" i="3"/>
  <c r="N286" i="3"/>
  <c r="J288" i="3"/>
  <c r="L287" i="3"/>
  <c r="P287" i="3" l="1"/>
  <c r="Q287" i="3"/>
  <c r="O287" i="3"/>
  <c r="N287" i="3"/>
  <c r="L288" i="3"/>
  <c r="J289" i="3"/>
  <c r="J290" i="3" l="1"/>
  <c r="L289" i="3"/>
  <c r="P288" i="3"/>
  <c r="N288" i="3"/>
  <c r="Q288" i="3"/>
  <c r="O288" i="3"/>
  <c r="P289" i="3" l="1"/>
  <c r="N289" i="3"/>
  <c r="Q289" i="3"/>
  <c r="O289" i="3"/>
  <c r="L290" i="3"/>
  <c r="J291" i="3"/>
  <c r="J292" i="3" l="1"/>
  <c r="L291" i="3"/>
  <c r="Q290" i="3"/>
  <c r="O290" i="3"/>
  <c r="P290" i="3"/>
  <c r="N290" i="3"/>
  <c r="J293" i="3" l="1"/>
  <c r="L292" i="3"/>
  <c r="Q291" i="3"/>
  <c r="P291" i="3"/>
  <c r="N291" i="3"/>
  <c r="O291" i="3"/>
  <c r="P292" i="3" l="1"/>
  <c r="N292" i="3"/>
  <c r="Q292" i="3"/>
  <c r="O292" i="3"/>
  <c r="L293" i="3"/>
  <c r="J294" i="3"/>
  <c r="Q293" i="3" l="1"/>
  <c r="P293" i="3"/>
  <c r="O293" i="3"/>
  <c r="N293" i="3"/>
  <c r="L294" i="3"/>
  <c r="J295" i="3"/>
  <c r="L295" i="3" l="1"/>
  <c r="J296" i="3"/>
  <c r="Q294" i="3"/>
  <c r="N294" i="3"/>
  <c r="P294" i="3"/>
  <c r="O294" i="3"/>
  <c r="J297" i="3" l="1"/>
  <c r="L296" i="3"/>
  <c r="O295" i="3"/>
  <c r="P295" i="3"/>
  <c r="Q295" i="3"/>
  <c r="N295" i="3"/>
  <c r="J298" i="3" l="1"/>
  <c r="L297" i="3"/>
  <c r="O296" i="3"/>
  <c r="Q296" i="3"/>
  <c r="N296" i="3"/>
  <c r="P296" i="3"/>
  <c r="P297" i="3" l="1"/>
  <c r="O297" i="3"/>
  <c r="N297" i="3"/>
  <c r="Q297" i="3"/>
  <c r="L298" i="3"/>
  <c r="J299" i="3"/>
  <c r="Q298" i="3" l="1"/>
  <c r="O298" i="3"/>
  <c r="P298" i="3"/>
  <c r="N298" i="3"/>
  <c r="J300" i="3"/>
  <c r="L299" i="3"/>
  <c r="L300" i="3" l="1"/>
  <c r="J301" i="3"/>
  <c r="Q299" i="3"/>
  <c r="P299" i="3"/>
  <c r="N299" i="3"/>
  <c r="O299" i="3"/>
  <c r="L301" i="3" l="1"/>
  <c r="J302" i="3"/>
  <c r="O300" i="3"/>
  <c r="P300" i="3"/>
  <c r="N300" i="3"/>
  <c r="Q300" i="3"/>
  <c r="L302" i="3" l="1"/>
  <c r="J303" i="3"/>
  <c r="P301" i="3"/>
  <c r="Q301" i="3"/>
  <c r="N301" i="3"/>
  <c r="O301" i="3"/>
  <c r="J304" i="3" l="1"/>
  <c r="L303" i="3"/>
  <c r="P302" i="3"/>
  <c r="N302" i="3"/>
  <c r="Q302" i="3"/>
  <c r="O302" i="3"/>
  <c r="N303" i="3" l="1"/>
  <c r="P303" i="3"/>
  <c r="Q303" i="3"/>
  <c r="O303" i="3"/>
  <c r="L304" i="3"/>
  <c r="J305" i="3"/>
  <c r="J306" i="3" l="1"/>
  <c r="L305" i="3"/>
  <c r="N304" i="3"/>
  <c r="P304" i="3"/>
  <c r="O304" i="3"/>
  <c r="Q304" i="3"/>
  <c r="O305" i="3" l="1"/>
  <c r="Q305" i="3"/>
  <c r="P305" i="3"/>
  <c r="N305" i="3"/>
  <c r="L306" i="3"/>
  <c r="J307" i="3"/>
  <c r="L307" i="3" l="1"/>
  <c r="J308" i="3"/>
  <c r="Q306" i="3"/>
  <c r="O306" i="3"/>
  <c r="P306" i="3"/>
  <c r="N306" i="3"/>
  <c r="O307" i="3" l="1"/>
  <c r="Q307" i="3"/>
  <c r="P307" i="3"/>
  <c r="N307" i="3"/>
  <c r="L308" i="3"/>
  <c r="J309" i="3"/>
  <c r="J310" i="3" l="1"/>
  <c r="L309" i="3"/>
  <c r="P308" i="3"/>
  <c r="O308" i="3"/>
  <c r="N308" i="3"/>
  <c r="Q308" i="3"/>
  <c r="L310" i="3" l="1"/>
  <c r="J311" i="3"/>
  <c r="O309" i="3"/>
  <c r="Q309" i="3"/>
  <c r="P309" i="3"/>
  <c r="N309" i="3"/>
  <c r="J312" i="3" l="1"/>
  <c r="L311" i="3"/>
  <c r="Q310" i="3"/>
  <c r="P310" i="3"/>
  <c r="O310" i="3"/>
  <c r="N310" i="3"/>
  <c r="L312" i="3" l="1"/>
  <c r="J313" i="3"/>
  <c r="N311" i="3"/>
  <c r="P311" i="3"/>
  <c r="Q311" i="3"/>
  <c r="O311" i="3"/>
  <c r="L313" i="3" l="1"/>
  <c r="J314" i="3"/>
  <c r="P312" i="3"/>
  <c r="N312" i="3"/>
  <c r="O312" i="3"/>
  <c r="Q312" i="3"/>
  <c r="L314" i="3" l="1"/>
  <c r="J315" i="3"/>
  <c r="P313" i="3"/>
  <c r="N313" i="3"/>
  <c r="Q313" i="3"/>
  <c r="O313" i="3"/>
  <c r="J316" i="3" l="1"/>
  <c r="L315" i="3"/>
  <c r="O314" i="3"/>
  <c r="P314" i="3"/>
  <c r="N314" i="3"/>
  <c r="Q314" i="3"/>
  <c r="Q315" i="3" l="1"/>
  <c r="P315" i="3"/>
  <c r="O315" i="3"/>
  <c r="N315" i="3"/>
  <c r="J317" i="3"/>
  <c r="L316" i="3"/>
  <c r="P316" i="3" l="1"/>
  <c r="O316" i="3"/>
  <c r="N316" i="3"/>
  <c r="Q316" i="3"/>
  <c r="J318" i="3"/>
  <c r="L317" i="3"/>
  <c r="N317" i="3" l="1"/>
  <c r="Q317" i="3"/>
  <c r="O317" i="3"/>
  <c r="P317" i="3"/>
  <c r="J319" i="3"/>
  <c r="L318" i="3"/>
  <c r="Q318" i="3" l="1"/>
  <c r="O318" i="3"/>
  <c r="P318" i="3"/>
  <c r="N318" i="3"/>
  <c r="J320" i="3"/>
  <c r="L319" i="3"/>
  <c r="N319" i="3" l="1"/>
  <c r="P319" i="3"/>
  <c r="O319" i="3"/>
  <c r="Q319" i="3"/>
  <c r="J321" i="3"/>
  <c r="L320" i="3"/>
  <c r="Q320" i="3" l="1"/>
  <c r="N320" i="3"/>
  <c r="P320" i="3"/>
  <c r="O320" i="3"/>
  <c r="J322" i="3"/>
  <c r="L321" i="3"/>
  <c r="N321" i="3" l="1"/>
  <c r="Q321" i="3"/>
  <c r="P321" i="3"/>
  <c r="O321" i="3"/>
  <c r="L322" i="3"/>
  <c r="J323" i="3"/>
  <c r="J324" i="3" l="1"/>
  <c r="L323" i="3"/>
  <c r="O322" i="3"/>
  <c r="P322" i="3"/>
  <c r="N322" i="3"/>
  <c r="Q322" i="3"/>
  <c r="Q323" i="3" l="1"/>
  <c r="P323" i="3"/>
  <c r="O323" i="3"/>
  <c r="N323" i="3"/>
  <c r="L324" i="3"/>
  <c r="J325" i="3"/>
  <c r="J326" i="3" l="1"/>
  <c r="L325" i="3"/>
  <c r="Q324" i="3"/>
  <c r="P324" i="3"/>
  <c r="N324" i="3"/>
  <c r="O324" i="3"/>
  <c r="Q325" i="3" l="1"/>
  <c r="P325" i="3"/>
  <c r="N325" i="3"/>
  <c r="O325" i="3"/>
  <c r="J327" i="3"/>
  <c r="L326" i="3"/>
  <c r="Q326" i="3" l="1"/>
  <c r="P326" i="3"/>
  <c r="O326" i="3"/>
  <c r="N326" i="3"/>
  <c r="L327" i="3"/>
  <c r="J328" i="3"/>
  <c r="L328" i="3" l="1"/>
  <c r="J329" i="3"/>
  <c r="Q327" i="3"/>
  <c r="O327" i="3"/>
  <c r="P327" i="3"/>
  <c r="N327" i="3"/>
  <c r="J330" i="3" l="1"/>
  <c r="L329" i="3"/>
  <c r="Q328" i="3"/>
  <c r="P328" i="3"/>
  <c r="N328" i="3"/>
  <c r="O328" i="3"/>
  <c r="P329" i="3" l="1"/>
  <c r="N329" i="3"/>
  <c r="Q329" i="3"/>
  <c r="O329" i="3"/>
  <c r="L330" i="3"/>
  <c r="J331" i="3"/>
  <c r="J332" i="3" l="1"/>
  <c r="L331" i="3"/>
  <c r="Q330" i="3"/>
  <c r="O330" i="3"/>
  <c r="P330" i="3"/>
  <c r="N330" i="3"/>
  <c r="Q331" i="3" l="1"/>
  <c r="P331" i="3"/>
  <c r="O331" i="3"/>
  <c r="N331" i="3"/>
  <c r="L332" i="3"/>
  <c r="J333" i="3"/>
  <c r="L333" i="3" l="1"/>
  <c r="J334" i="3"/>
  <c r="O332" i="3"/>
  <c r="Q332" i="3"/>
  <c r="P332" i="3"/>
  <c r="N332" i="3"/>
  <c r="L334" i="3" l="1"/>
  <c r="J335" i="3"/>
  <c r="Q333" i="3"/>
  <c r="P333" i="3"/>
  <c r="N333" i="3"/>
  <c r="O333" i="3"/>
  <c r="L335" i="3" l="1"/>
  <c r="J336" i="3"/>
  <c r="Q334" i="3"/>
  <c r="O334" i="3"/>
  <c r="P334" i="3"/>
  <c r="N334" i="3"/>
  <c r="J337" i="3" l="1"/>
  <c r="L336" i="3"/>
  <c r="Q335" i="3"/>
  <c r="P335" i="3"/>
  <c r="N335" i="3"/>
  <c r="O335" i="3"/>
  <c r="Q336" i="3" l="1"/>
  <c r="P336" i="3"/>
  <c r="O336" i="3"/>
  <c r="N336" i="3"/>
  <c r="J338" i="3"/>
  <c r="L337" i="3"/>
  <c r="P337" i="3" l="1"/>
  <c r="Q337" i="3"/>
  <c r="O337" i="3"/>
  <c r="N337" i="3"/>
  <c r="L338" i="3"/>
  <c r="J339" i="3"/>
  <c r="J340" i="3" l="1"/>
  <c r="L339" i="3"/>
  <c r="P338" i="3"/>
  <c r="N338" i="3"/>
  <c r="Q338" i="3"/>
  <c r="O338" i="3"/>
  <c r="Q339" i="3" l="1"/>
  <c r="N339" i="3"/>
  <c r="P339" i="3"/>
  <c r="O339" i="3"/>
  <c r="L340" i="3"/>
  <c r="J341" i="3"/>
  <c r="J342" i="3" l="1"/>
  <c r="L341" i="3"/>
  <c r="Q340" i="3"/>
  <c r="N340" i="3"/>
  <c r="P340" i="3"/>
  <c r="O340" i="3"/>
  <c r="Q341" i="3" l="1"/>
  <c r="P341" i="3"/>
  <c r="N341" i="3"/>
  <c r="O341" i="3"/>
  <c r="L342" i="3"/>
  <c r="J343" i="3"/>
  <c r="J344" i="3" l="1"/>
  <c r="L343" i="3"/>
  <c r="P342" i="3"/>
  <c r="O342" i="3"/>
  <c r="N342" i="3"/>
  <c r="Q342" i="3"/>
  <c r="Q343" i="3" l="1"/>
  <c r="O343" i="3"/>
  <c r="P343" i="3"/>
  <c r="N343" i="3"/>
  <c r="L344" i="3"/>
  <c r="J345" i="3"/>
  <c r="L345" i="3" l="1"/>
  <c r="J346" i="3"/>
  <c r="Q344" i="3"/>
  <c r="P344" i="3"/>
  <c r="O344" i="3"/>
  <c r="N344" i="3"/>
  <c r="L346" i="3" l="1"/>
  <c r="J347" i="3"/>
  <c r="P345" i="3"/>
  <c r="Q345" i="3"/>
  <c r="O345" i="3"/>
  <c r="N345" i="3"/>
  <c r="L347" i="3" l="1"/>
  <c r="J348" i="3"/>
  <c r="P346" i="3"/>
  <c r="N346" i="3"/>
  <c r="Q346" i="3"/>
  <c r="O346" i="3"/>
  <c r="L348" i="3" l="1"/>
  <c r="J349" i="3"/>
  <c r="P347" i="3"/>
  <c r="O347" i="3"/>
  <c r="N347" i="3"/>
  <c r="Q347" i="3"/>
  <c r="L349" i="3" l="1"/>
  <c r="J350" i="3"/>
  <c r="Q348" i="3"/>
  <c r="N348" i="3"/>
  <c r="O348" i="3"/>
  <c r="P348" i="3"/>
  <c r="L350" i="3" l="1"/>
  <c r="J351" i="3"/>
  <c r="O349" i="3"/>
  <c r="Q349" i="3"/>
  <c r="P349" i="3"/>
  <c r="N349" i="3"/>
  <c r="L351" i="3" l="1"/>
  <c r="J352" i="3"/>
  <c r="Q350" i="3"/>
  <c r="P350" i="3"/>
  <c r="O350" i="3"/>
  <c r="N350" i="3"/>
  <c r="L352" i="3" l="1"/>
  <c r="J353" i="3"/>
  <c r="P351" i="3"/>
  <c r="O351" i="3"/>
  <c r="Q351" i="3"/>
  <c r="N351" i="3"/>
  <c r="L353" i="3" l="1"/>
  <c r="J354" i="3"/>
  <c r="P352" i="3"/>
  <c r="Q352" i="3"/>
  <c r="O352" i="3"/>
  <c r="N352" i="3"/>
  <c r="J355" i="3" l="1"/>
  <c r="L354" i="3"/>
  <c r="Q353" i="3"/>
  <c r="P353" i="3"/>
  <c r="O353" i="3"/>
  <c r="N353" i="3"/>
  <c r="O354" i="3" l="1"/>
  <c r="Q354" i="3"/>
  <c r="N354" i="3"/>
  <c r="P354" i="3"/>
  <c r="J356" i="3"/>
  <c r="L355" i="3"/>
  <c r="P355" i="3" l="1"/>
  <c r="Q355" i="3"/>
  <c r="N355" i="3"/>
  <c r="O355" i="3"/>
  <c r="L356" i="3"/>
  <c r="J357" i="3"/>
  <c r="J358" i="3" l="1"/>
  <c r="L357" i="3"/>
  <c r="Q356" i="3"/>
  <c r="N356" i="3"/>
  <c r="O356" i="3"/>
  <c r="P356" i="3"/>
  <c r="N357" i="3" l="1"/>
  <c r="O357" i="3"/>
  <c r="Q357" i="3"/>
  <c r="P357" i="3"/>
  <c r="L358" i="3"/>
  <c r="J359" i="3"/>
  <c r="L359" i="3" l="1"/>
  <c r="J360" i="3"/>
  <c r="Q358" i="3"/>
  <c r="O358" i="3"/>
  <c r="N358" i="3"/>
  <c r="P358" i="3"/>
  <c r="L360" i="3" l="1"/>
  <c r="J361" i="3"/>
  <c r="O359" i="3"/>
  <c r="Q359" i="3"/>
  <c r="N359" i="3"/>
  <c r="P359" i="3"/>
  <c r="L361" i="3" l="1"/>
  <c r="J362" i="3"/>
  <c r="Q360" i="3"/>
  <c r="P360" i="3"/>
  <c r="N360" i="3"/>
  <c r="O360" i="3"/>
  <c r="L362" i="3" l="1"/>
  <c r="J363" i="3"/>
  <c r="N361" i="3"/>
  <c r="O361" i="3"/>
  <c r="Q361" i="3"/>
  <c r="P361" i="3"/>
  <c r="L363" i="3" l="1"/>
  <c r="J364" i="3"/>
  <c r="Q362" i="3"/>
  <c r="O362" i="3"/>
  <c r="P362" i="3"/>
  <c r="N362" i="3"/>
  <c r="J365" i="3" l="1"/>
  <c r="L364" i="3"/>
  <c r="Q363" i="3"/>
  <c r="P363" i="3"/>
  <c r="N363" i="3"/>
  <c r="O363" i="3"/>
  <c r="Q364" i="3" l="1"/>
  <c r="O364" i="3"/>
  <c r="P364" i="3"/>
  <c r="N364" i="3"/>
  <c r="L365" i="3"/>
  <c r="J366" i="3"/>
  <c r="P365" i="3" l="1"/>
  <c r="N365" i="3"/>
  <c r="Q365" i="3"/>
  <c r="O365" i="3"/>
  <c r="L366" i="3"/>
  <c r="J367" i="3"/>
  <c r="L367" i="3" l="1"/>
  <c r="J368" i="3"/>
  <c r="Q366" i="3"/>
  <c r="N366" i="3"/>
  <c r="O366" i="3"/>
  <c r="P366" i="3"/>
  <c r="J369" i="3" l="1"/>
  <c r="L368" i="3"/>
  <c r="O367" i="3"/>
  <c r="N367" i="3"/>
  <c r="P367" i="3"/>
  <c r="Q367" i="3"/>
  <c r="Q368" i="3" l="1"/>
  <c r="P368" i="3"/>
  <c r="O368" i="3"/>
  <c r="N368" i="3"/>
  <c r="L369" i="3"/>
  <c r="J370" i="3"/>
  <c r="J371" i="3" l="1"/>
  <c r="L370" i="3"/>
  <c r="Q369" i="3"/>
  <c r="P369" i="3"/>
  <c r="O369" i="3"/>
  <c r="N369" i="3"/>
  <c r="Q370" i="3" l="1"/>
  <c r="O370" i="3"/>
  <c r="N370" i="3"/>
  <c r="P370" i="3"/>
  <c r="L371" i="3"/>
  <c r="J372" i="3"/>
  <c r="L372" i="3" l="1"/>
  <c r="J373" i="3"/>
  <c r="O371" i="3"/>
  <c r="P371" i="3"/>
  <c r="Q371" i="3"/>
  <c r="N371" i="3"/>
  <c r="J374" i="3" l="1"/>
  <c r="L373" i="3"/>
  <c r="Q372" i="3"/>
  <c r="O372" i="3"/>
  <c r="P372" i="3"/>
  <c r="N372" i="3"/>
  <c r="P373" i="3" l="1"/>
  <c r="Q373" i="3"/>
  <c r="N373" i="3"/>
  <c r="O373" i="3"/>
  <c r="L374" i="3"/>
  <c r="J375" i="3"/>
  <c r="J376" i="3" l="1"/>
  <c r="L375" i="3"/>
  <c r="Q374" i="3"/>
  <c r="P374" i="3"/>
  <c r="O374" i="3"/>
  <c r="N374" i="3"/>
  <c r="P375" i="3" l="1"/>
  <c r="N375" i="3"/>
  <c r="Q375" i="3"/>
  <c r="O375" i="3"/>
  <c r="L376" i="3"/>
  <c r="J377" i="3"/>
  <c r="J378" i="3" l="1"/>
  <c r="L377" i="3"/>
  <c r="N376" i="3"/>
  <c r="Q376" i="3"/>
  <c r="O376" i="3"/>
  <c r="P376" i="3"/>
  <c r="O377" i="3" l="1"/>
  <c r="N377" i="3"/>
  <c r="Q377" i="3"/>
  <c r="P377" i="3"/>
  <c r="J379" i="3"/>
  <c r="L378" i="3"/>
  <c r="N378" i="3" l="1"/>
  <c r="P378" i="3"/>
  <c r="Q378" i="3"/>
  <c r="O378" i="3"/>
  <c r="J380" i="3"/>
  <c r="L379" i="3"/>
  <c r="O379" i="3" l="1"/>
  <c r="Q379" i="3"/>
  <c r="N379" i="3"/>
  <c r="P379" i="3"/>
  <c r="J381" i="3"/>
  <c r="L380" i="3"/>
  <c r="P380" i="3" l="1"/>
  <c r="O380" i="3"/>
  <c r="Q380" i="3"/>
  <c r="N380" i="3"/>
  <c r="L381" i="3"/>
  <c r="J382" i="3"/>
  <c r="L382" i="3" l="1"/>
  <c r="J383" i="3"/>
  <c r="N381" i="3"/>
  <c r="P381" i="3"/>
  <c r="O381" i="3"/>
  <c r="Q381" i="3"/>
  <c r="J384" i="3" l="1"/>
  <c r="L383" i="3"/>
  <c r="Q382" i="3"/>
  <c r="O382" i="3"/>
  <c r="N382" i="3"/>
  <c r="P382" i="3"/>
  <c r="P383" i="3" l="1"/>
  <c r="Q383" i="3"/>
  <c r="N383" i="3"/>
  <c r="O383" i="3"/>
  <c r="J385" i="3"/>
  <c r="L384" i="3"/>
  <c r="Q384" i="3" l="1"/>
  <c r="P384" i="3"/>
  <c r="O384" i="3"/>
  <c r="N384" i="3"/>
  <c r="J386" i="3"/>
  <c r="L385" i="3"/>
  <c r="J387" i="3" l="1"/>
  <c r="L386" i="3"/>
  <c r="P385" i="3"/>
  <c r="O385" i="3"/>
  <c r="N385" i="3"/>
  <c r="Q385" i="3"/>
  <c r="Q386" i="3" l="1"/>
  <c r="O386" i="3"/>
  <c r="N386" i="3"/>
  <c r="P386" i="3"/>
  <c r="L387" i="3"/>
  <c r="J388" i="3"/>
  <c r="J389" i="3" l="1"/>
  <c r="L388" i="3"/>
  <c r="Q387" i="3"/>
  <c r="P387" i="3"/>
  <c r="O387" i="3"/>
  <c r="N387" i="3"/>
  <c r="P388" i="3" l="1"/>
  <c r="O388" i="3"/>
  <c r="N388" i="3"/>
  <c r="Q388" i="3"/>
  <c r="J390" i="3"/>
  <c r="L389" i="3"/>
  <c r="J391" i="3" l="1"/>
  <c r="L390" i="3"/>
  <c r="P389" i="3"/>
  <c r="Q389" i="3"/>
  <c r="N389" i="3"/>
  <c r="O389" i="3"/>
  <c r="P390" i="3" l="1"/>
  <c r="N390" i="3"/>
  <c r="O390" i="3"/>
  <c r="Q390" i="3"/>
  <c r="J392" i="3"/>
  <c r="L391" i="3"/>
  <c r="Q391" i="3" l="1"/>
  <c r="O391" i="3"/>
  <c r="N391" i="3"/>
  <c r="P391" i="3"/>
  <c r="J393" i="3"/>
  <c r="L392" i="3"/>
  <c r="Q392" i="3" l="1"/>
  <c r="N392" i="3"/>
  <c r="P392" i="3"/>
  <c r="O392" i="3"/>
  <c r="L393" i="3"/>
  <c r="J394" i="3"/>
  <c r="J395" i="3" l="1"/>
  <c r="L394" i="3"/>
  <c r="P393" i="3"/>
  <c r="N393" i="3"/>
  <c r="Q393" i="3"/>
  <c r="O393" i="3"/>
  <c r="O394" i="3" l="1"/>
  <c r="P394" i="3"/>
  <c r="Q394" i="3"/>
  <c r="N394" i="3"/>
  <c r="L395" i="3"/>
  <c r="J396" i="3"/>
  <c r="L396" i="3" l="1"/>
  <c r="J397" i="3"/>
  <c r="O395" i="3"/>
  <c r="Q395" i="3"/>
  <c r="P395" i="3"/>
  <c r="N395" i="3"/>
  <c r="L397" i="3" l="1"/>
  <c r="J398" i="3"/>
  <c r="O396" i="3"/>
  <c r="N396" i="3"/>
  <c r="Q396" i="3"/>
  <c r="P396" i="3"/>
  <c r="L398" i="3" l="1"/>
  <c r="J399" i="3"/>
  <c r="Q397" i="3"/>
  <c r="P397" i="3"/>
  <c r="N397" i="3"/>
  <c r="O397" i="3"/>
  <c r="J400" i="3" l="1"/>
  <c r="L399" i="3"/>
  <c r="Q398" i="3"/>
  <c r="O398" i="3"/>
  <c r="P398" i="3"/>
  <c r="N398" i="3"/>
  <c r="O399" i="3" l="1"/>
  <c r="Q399" i="3"/>
  <c r="N399" i="3"/>
  <c r="P399" i="3"/>
  <c r="L400" i="3"/>
  <c r="J401" i="3"/>
  <c r="L401" i="3" l="1"/>
  <c r="J402" i="3"/>
  <c r="N400" i="3"/>
  <c r="Q400" i="3"/>
  <c r="P400" i="3"/>
  <c r="O400" i="3"/>
  <c r="J403" i="3" l="1"/>
  <c r="L402" i="3"/>
  <c r="Q401" i="3"/>
  <c r="O401" i="3"/>
  <c r="N401" i="3"/>
  <c r="P401" i="3"/>
  <c r="O402" i="3" l="1"/>
  <c r="N402" i="3"/>
  <c r="Q402" i="3"/>
  <c r="P402" i="3"/>
  <c r="L403" i="3"/>
  <c r="J404" i="3"/>
  <c r="L404" i="3" l="1"/>
  <c r="J405" i="3"/>
  <c r="N403" i="3"/>
  <c r="O403" i="3"/>
  <c r="Q403" i="3"/>
  <c r="P403" i="3"/>
  <c r="J406" i="3" l="1"/>
  <c r="L405" i="3"/>
  <c r="N404" i="3"/>
  <c r="Q404" i="3"/>
  <c r="P404" i="3"/>
  <c r="O404" i="3"/>
  <c r="N405" i="3" l="1"/>
  <c r="O405" i="3"/>
  <c r="Q405" i="3"/>
  <c r="P405" i="3"/>
  <c r="J407" i="3"/>
  <c r="L406" i="3"/>
  <c r="Q406" i="3" l="1"/>
  <c r="O406" i="3"/>
  <c r="P406" i="3"/>
  <c r="N406" i="3"/>
  <c r="J408" i="3"/>
  <c r="L407" i="3"/>
  <c r="Q407" i="3" l="1"/>
  <c r="N407" i="3"/>
  <c r="O407" i="3"/>
  <c r="P407" i="3"/>
  <c r="J409" i="3"/>
  <c r="L408" i="3"/>
  <c r="P408" i="3" l="1"/>
  <c r="N408" i="3"/>
  <c r="Q408" i="3"/>
  <c r="O408" i="3"/>
  <c r="L409" i="3"/>
  <c r="J410" i="3"/>
  <c r="N409" i="3" l="1"/>
  <c r="O409" i="3"/>
  <c r="Q409" i="3"/>
  <c r="P409" i="3"/>
  <c r="J411" i="3"/>
  <c r="L410" i="3"/>
  <c r="Q410" i="3" l="1"/>
  <c r="O410" i="3"/>
  <c r="P410" i="3"/>
  <c r="N410" i="3"/>
  <c r="L411" i="3"/>
  <c r="J412" i="3"/>
  <c r="J413" i="3" l="1"/>
  <c r="L412" i="3"/>
  <c r="Q411" i="3"/>
  <c r="P411" i="3"/>
  <c r="O411" i="3"/>
  <c r="N411" i="3"/>
  <c r="O412" i="3" l="1"/>
  <c r="N412" i="3"/>
  <c r="Q412" i="3"/>
  <c r="P412" i="3"/>
  <c r="L413" i="3"/>
  <c r="J414" i="3"/>
  <c r="L414" i="3" l="1"/>
  <c r="J415" i="3"/>
  <c r="N413" i="3"/>
  <c r="Q413" i="3"/>
  <c r="O413" i="3"/>
  <c r="P413" i="3"/>
  <c r="J416" i="3" l="1"/>
  <c r="L415" i="3"/>
  <c r="N414" i="3"/>
  <c r="P414" i="3"/>
  <c r="Q414" i="3"/>
  <c r="O414" i="3"/>
  <c r="P415" i="3" l="1"/>
  <c r="Q415" i="3"/>
  <c r="O415" i="3"/>
  <c r="N415" i="3"/>
  <c r="J417" i="3"/>
  <c r="L416" i="3"/>
  <c r="Q416" i="3" l="1"/>
  <c r="P416" i="3"/>
  <c r="O416" i="3"/>
  <c r="N416" i="3"/>
  <c r="J418" i="3"/>
  <c r="L417" i="3"/>
  <c r="P417" i="3" l="1"/>
  <c r="N417" i="3"/>
  <c r="Q417" i="3"/>
  <c r="O417" i="3"/>
  <c r="L418" i="3"/>
  <c r="J419" i="3"/>
  <c r="J420" i="3" l="1"/>
  <c r="L419" i="3"/>
  <c r="Q418" i="3"/>
  <c r="O418" i="3"/>
  <c r="P418" i="3"/>
  <c r="N418" i="3"/>
  <c r="Q419" i="3" l="1"/>
  <c r="P419" i="3"/>
  <c r="O419" i="3"/>
  <c r="N419" i="3"/>
  <c r="J421" i="3"/>
  <c r="L420" i="3"/>
  <c r="P420" i="3" l="1"/>
  <c r="N420" i="3"/>
  <c r="O420" i="3"/>
  <c r="Q420" i="3"/>
  <c r="J422" i="3"/>
  <c r="L421" i="3"/>
  <c r="Q421" i="3" l="1"/>
  <c r="P421" i="3"/>
  <c r="O421" i="3"/>
  <c r="N421" i="3"/>
  <c r="L422" i="3"/>
  <c r="J423" i="3"/>
  <c r="J424" i="3" l="1"/>
  <c r="L423" i="3"/>
  <c r="Q422" i="3"/>
  <c r="N422" i="3"/>
  <c r="P422" i="3"/>
  <c r="O422" i="3"/>
  <c r="P423" i="3" l="1"/>
  <c r="Q423" i="3"/>
  <c r="O423" i="3"/>
  <c r="N423" i="3"/>
  <c r="L424" i="3"/>
  <c r="J425" i="3"/>
  <c r="J426" i="3" l="1"/>
  <c r="L425" i="3"/>
  <c r="Q424" i="3"/>
  <c r="P424" i="3"/>
  <c r="N424" i="3"/>
  <c r="O424" i="3"/>
  <c r="Q425" i="3" l="1"/>
  <c r="P425" i="3"/>
  <c r="N425" i="3"/>
  <c r="O425" i="3"/>
  <c r="L426" i="3"/>
  <c r="J427" i="3"/>
  <c r="J428" i="3" l="1"/>
  <c r="L427" i="3"/>
  <c r="Q426" i="3"/>
  <c r="O426" i="3"/>
  <c r="P426" i="3"/>
  <c r="N426" i="3"/>
  <c r="P427" i="3" l="1"/>
  <c r="N427" i="3"/>
  <c r="O427" i="3"/>
  <c r="Q427" i="3"/>
  <c r="L428" i="3"/>
  <c r="J429" i="3"/>
  <c r="J430" i="3" l="1"/>
  <c r="L429" i="3"/>
  <c r="Q428" i="3"/>
  <c r="O428" i="3"/>
  <c r="P428" i="3"/>
  <c r="N428" i="3"/>
  <c r="Q429" i="3" l="1"/>
  <c r="P429" i="3"/>
  <c r="N429" i="3"/>
  <c r="O429" i="3"/>
  <c r="L430" i="3"/>
  <c r="J431" i="3"/>
  <c r="L431" i="3" l="1"/>
  <c r="J432" i="3"/>
  <c r="Q430" i="3"/>
  <c r="O430" i="3"/>
  <c r="P430" i="3"/>
  <c r="N430" i="3"/>
  <c r="L432" i="3" l="1"/>
  <c r="J433" i="3"/>
  <c r="Q431" i="3"/>
  <c r="P431" i="3"/>
  <c r="O431" i="3"/>
  <c r="N431" i="3"/>
  <c r="J434" i="3" l="1"/>
  <c r="L433" i="3"/>
  <c r="Q432" i="3"/>
  <c r="P432" i="3"/>
  <c r="O432" i="3"/>
  <c r="N432" i="3"/>
  <c r="Q433" i="3" l="1"/>
  <c r="P433" i="3"/>
  <c r="O433" i="3"/>
  <c r="N433" i="3"/>
  <c r="J435" i="3"/>
  <c r="L434" i="3"/>
  <c r="Q434" i="3" l="1"/>
  <c r="O434" i="3"/>
  <c r="N434" i="3"/>
  <c r="P434" i="3"/>
  <c r="J436" i="3"/>
  <c r="L435" i="3"/>
  <c r="P435" i="3" l="1"/>
  <c r="N435" i="3"/>
  <c r="O435" i="3"/>
  <c r="Q435" i="3"/>
  <c r="L436" i="3"/>
  <c r="J437" i="3"/>
  <c r="L437" i="3" l="1"/>
  <c r="J438" i="3"/>
  <c r="Q436" i="3"/>
  <c r="O436" i="3"/>
  <c r="N436" i="3"/>
  <c r="P436" i="3"/>
  <c r="L438" i="3" l="1"/>
  <c r="J439" i="3"/>
  <c r="Q437" i="3"/>
  <c r="P437" i="3"/>
  <c r="O437" i="3"/>
  <c r="N437" i="3"/>
  <c r="J440" i="3" l="1"/>
  <c r="L439" i="3"/>
  <c r="Q438" i="3"/>
  <c r="O438" i="3"/>
  <c r="P438" i="3"/>
  <c r="N438" i="3"/>
  <c r="Q439" i="3" l="1"/>
  <c r="O439" i="3"/>
  <c r="P439" i="3"/>
  <c r="N439" i="3"/>
  <c r="L440" i="3"/>
  <c r="J441" i="3"/>
  <c r="J442" i="3" l="1"/>
  <c r="L441" i="3"/>
  <c r="Q440" i="3"/>
  <c r="N440" i="3"/>
  <c r="O440" i="3"/>
  <c r="P440" i="3"/>
  <c r="P441" i="3" l="1"/>
  <c r="N441" i="3"/>
  <c r="O441" i="3"/>
  <c r="Q441" i="3"/>
  <c r="J443" i="3"/>
  <c r="L442" i="3"/>
  <c r="Q442" i="3" l="1"/>
  <c r="O442" i="3"/>
  <c r="P442" i="3"/>
  <c r="N442" i="3"/>
  <c r="L443" i="3"/>
  <c r="J444" i="3"/>
  <c r="L444" i="3" l="1"/>
  <c r="J445" i="3"/>
  <c r="Q443" i="3"/>
  <c r="P443" i="3"/>
  <c r="O443" i="3"/>
  <c r="N443" i="3"/>
  <c r="L445" i="3" l="1"/>
  <c r="J446" i="3"/>
  <c r="Q444" i="3"/>
  <c r="P444" i="3"/>
  <c r="O444" i="3"/>
  <c r="N444" i="3"/>
  <c r="J447" i="3" l="1"/>
  <c r="L446" i="3"/>
  <c r="P445" i="3"/>
  <c r="O445" i="3"/>
  <c r="N445" i="3"/>
  <c r="Q445" i="3"/>
  <c r="Q446" i="3" l="1"/>
  <c r="P446" i="3"/>
  <c r="N446" i="3"/>
  <c r="O446" i="3"/>
  <c r="L447" i="3"/>
  <c r="J448" i="3"/>
  <c r="L448" i="3" l="1"/>
  <c r="J449" i="3"/>
  <c r="Q447" i="3"/>
  <c r="P447" i="3"/>
  <c r="N447" i="3"/>
  <c r="O447" i="3"/>
  <c r="J450" i="3" l="1"/>
  <c r="L449" i="3"/>
  <c r="Q448" i="3"/>
  <c r="N448" i="3"/>
  <c r="O448" i="3"/>
  <c r="P448" i="3"/>
  <c r="Q449" i="3" l="1"/>
  <c r="N449" i="3"/>
  <c r="P449" i="3"/>
  <c r="O449" i="3"/>
  <c r="J451" i="3"/>
  <c r="L450" i="3"/>
  <c r="Q450" i="3" l="1"/>
  <c r="O450" i="3"/>
  <c r="P450" i="3"/>
  <c r="N450" i="3"/>
  <c r="J452" i="3"/>
  <c r="L451" i="3"/>
  <c r="Q451" i="3" l="1"/>
  <c r="P451" i="3"/>
  <c r="O451" i="3"/>
  <c r="N451" i="3"/>
  <c r="J453" i="3"/>
  <c r="L452" i="3"/>
  <c r="Q452" i="3" l="1"/>
  <c r="N452" i="3"/>
  <c r="P452" i="3"/>
  <c r="O452" i="3"/>
  <c r="L453" i="3"/>
  <c r="J454" i="3"/>
  <c r="L454" i="3" l="1"/>
  <c r="J455" i="3"/>
  <c r="Q453" i="3"/>
  <c r="P453" i="3"/>
  <c r="N453" i="3"/>
  <c r="O453" i="3"/>
  <c r="J456" i="3" l="1"/>
  <c r="L455" i="3"/>
  <c r="Q454" i="3"/>
  <c r="P454" i="3"/>
  <c r="O454" i="3"/>
  <c r="N454" i="3"/>
  <c r="Q455" i="3" l="1"/>
  <c r="O455" i="3"/>
  <c r="P455" i="3"/>
  <c r="N455" i="3"/>
  <c r="L456" i="3"/>
  <c r="J457" i="3"/>
  <c r="P456" i="3" l="1"/>
  <c r="Q456" i="3"/>
  <c r="N456" i="3"/>
  <c r="O456" i="3"/>
  <c r="J458" i="3"/>
  <c r="L457" i="3"/>
  <c r="Q457" i="3" l="1"/>
  <c r="O457" i="3"/>
  <c r="P457" i="3"/>
  <c r="N457" i="3"/>
  <c r="L458" i="3"/>
  <c r="J459" i="3"/>
  <c r="J460" i="3" l="1"/>
  <c r="L459" i="3"/>
  <c r="Q458" i="3"/>
  <c r="O458" i="3"/>
  <c r="P458" i="3"/>
  <c r="N458" i="3"/>
  <c r="Q459" i="3" l="1"/>
  <c r="P459" i="3"/>
  <c r="O459" i="3"/>
  <c r="N459" i="3"/>
  <c r="J461" i="3"/>
  <c r="L460" i="3"/>
  <c r="N460" i="3" l="1"/>
  <c r="O460" i="3"/>
  <c r="P460" i="3"/>
  <c r="Q460" i="3"/>
  <c r="J462" i="3"/>
  <c r="L461" i="3"/>
  <c r="O461" i="3" l="1"/>
  <c r="Q461" i="3"/>
  <c r="N461" i="3"/>
  <c r="P461" i="3"/>
  <c r="J463" i="3"/>
  <c r="L462" i="3"/>
  <c r="N462" i="3" l="1"/>
  <c r="P462" i="3"/>
  <c r="Q462" i="3"/>
  <c r="O462" i="3"/>
  <c r="L463" i="3"/>
  <c r="J464" i="3"/>
  <c r="L464" i="3" l="1"/>
  <c r="J465" i="3"/>
  <c r="Q463" i="3"/>
  <c r="P463" i="3"/>
  <c r="N463" i="3"/>
  <c r="O463" i="3"/>
  <c r="J466" i="3" l="1"/>
  <c r="L465" i="3"/>
  <c r="Q464" i="3"/>
  <c r="N464" i="3"/>
  <c r="P464" i="3"/>
  <c r="O464" i="3"/>
  <c r="P465" i="3" l="1"/>
  <c r="N465" i="3"/>
  <c r="Q465" i="3"/>
  <c r="O465" i="3"/>
  <c r="J467" i="3"/>
  <c r="L466" i="3"/>
  <c r="P466" i="3" l="1"/>
  <c r="N466" i="3"/>
  <c r="Q466" i="3"/>
  <c r="O466" i="3"/>
  <c r="L467" i="3"/>
  <c r="J468" i="3"/>
  <c r="L468" i="3" l="1"/>
  <c r="J469" i="3"/>
  <c r="P467" i="3"/>
  <c r="O467" i="3"/>
  <c r="Q467" i="3"/>
  <c r="N467" i="3"/>
  <c r="J470" i="3" l="1"/>
  <c r="L469" i="3"/>
  <c r="N468" i="3"/>
  <c r="O468" i="3"/>
  <c r="Q468" i="3"/>
  <c r="P468" i="3"/>
  <c r="P469" i="3" l="1"/>
  <c r="Q469" i="3"/>
  <c r="N469" i="3"/>
  <c r="O469" i="3"/>
  <c r="L470" i="3"/>
  <c r="J471" i="3"/>
  <c r="J472" i="3" l="1"/>
  <c r="L471" i="3"/>
  <c r="Q470" i="3"/>
  <c r="P470" i="3"/>
  <c r="O470" i="3"/>
  <c r="N470" i="3"/>
  <c r="O471" i="3" l="1"/>
  <c r="Q471" i="3"/>
  <c r="N471" i="3"/>
  <c r="P471" i="3"/>
  <c r="L472" i="3"/>
  <c r="J473" i="3"/>
  <c r="L473" i="3" l="1"/>
  <c r="J474" i="3"/>
  <c r="P472" i="3"/>
  <c r="O472" i="3"/>
  <c r="Q472" i="3"/>
  <c r="N472" i="3"/>
  <c r="J475" i="3" l="1"/>
  <c r="L474" i="3"/>
  <c r="N473" i="3"/>
  <c r="O473" i="3"/>
  <c r="P473" i="3"/>
  <c r="Q473" i="3"/>
  <c r="O474" i="3" l="1"/>
  <c r="P474" i="3"/>
  <c r="N474" i="3"/>
  <c r="Q474" i="3"/>
  <c r="L475" i="3"/>
  <c r="J476" i="3"/>
  <c r="J477" i="3" l="1"/>
  <c r="L476" i="3"/>
  <c r="N475" i="3"/>
  <c r="Q475" i="3"/>
  <c r="O475" i="3"/>
  <c r="P475" i="3"/>
  <c r="Q476" i="3" l="1"/>
  <c r="P476" i="3"/>
  <c r="N476" i="3"/>
  <c r="O476" i="3"/>
  <c r="L477" i="3"/>
  <c r="J478" i="3"/>
  <c r="L478" i="3" l="1"/>
  <c r="J479" i="3"/>
  <c r="Q477" i="3"/>
  <c r="P477" i="3"/>
  <c r="O477" i="3"/>
  <c r="N477" i="3"/>
  <c r="J480" i="3" l="1"/>
  <c r="L479" i="3"/>
  <c r="Q478" i="3"/>
  <c r="O478" i="3"/>
  <c r="P478" i="3"/>
  <c r="N478" i="3"/>
  <c r="Q479" i="3" l="1"/>
  <c r="P479" i="3"/>
  <c r="O479" i="3"/>
  <c r="N479" i="3"/>
  <c r="L480" i="3"/>
  <c r="J481" i="3"/>
  <c r="J482" i="3" l="1"/>
  <c r="L481" i="3"/>
  <c r="P480" i="3"/>
  <c r="O480" i="3"/>
  <c r="N480" i="3"/>
  <c r="Q480" i="3"/>
  <c r="P481" i="3" l="1"/>
  <c r="O481" i="3"/>
  <c r="N481" i="3"/>
  <c r="Q481" i="3"/>
  <c r="L482" i="3"/>
  <c r="J483" i="3"/>
  <c r="J484" i="3" l="1"/>
  <c r="L483" i="3"/>
  <c r="Q482" i="3"/>
  <c r="N482" i="3"/>
  <c r="O482" i="3"/>
  <c r="P482" i="3"/>
  <c r="Q483" i="3" l="1"/>
  <c r="P483" i="3"/>
  <c r="N483" i="3"/>
  <c r="O483" i="3"/>
  <c r="L484" i="3"/>
  <c r="J485" i="3"/>
  <c r="J486" i="3" l="1"/>
  <c r="L485" i="3"/>
  <c r="Q484" i="3"/>
  <c r="O484" i="3"/>
  <c r="P484" i="3"/>
  <c r="N484" i="3"/>
  <c r="N485" i="3" l="1"/>
  <c r="O485" i="3"/>
  <c r="Q485" i="3"/>
  <c r="P485" i="3"/>
  <c r="L486" i="3"/>
  <c r="J487" i="3"/>
  <c r="J488" i="3" l="1"/>
  <c r="L487" i="3"/>
  <c r="Q486" i="3"/>
  <c r="P486" i="3"/>
  <c r="O486" i="3"/>
  <c r="N486" i="3"/>
  <c r="Q487" i="3" l="1"/>
  <c r="P487" i="3"/>
  <c r="O487" i="3"/>
  <c r="N487" i="3"/>
  <c r="L488" i="3"/>
  <c r="J489" i="3"/>
  <c r="L489" i="3" l="1"/>
  <c r="J490" i="3"/>
  <c r="Q488" i="3"/>
  <c r="O488" i="3"/>
  <c r="P488" i="3"/>
  <c r="N488" i="3"/>
  <c r="L490" i="3" l="1"/>
  <c r="J491" i="3"/>
  <c r="Q489" i="3"/>
  <c r="P489" i="3"/>
  <c r="N489" i="3"/>
  <c r="O489" i="3"/>
  <c r="J492" i="3" l="1"/>
  <c r="L491" i="3"/>
  <c r="Q490" i="3"/>
  <c r="P490" i="3"/>
  <c r="N490" i="3"/>
  <c r="O490" i="3"/>
  <c r="Q491" i="3" l="1"/>
  <c r="N491" i="3"/>
  <c r="P491" i="3"/>
  <c r="O491" i="3"/>
  <c r="L492" i="3"/>
  <c r="J493" i="3"/>
  <c r="J494" i="3" l="1"/>
  <c r="L493" i="3"/>
  <c r="O492" i="3"/>
  <c r="Q492" i="3"/>
  <c r="P492" i="3"/>
  <c r="N492" i="3"/>
  <c r="P493" i="3" l="1"/>
  <c r="Q493" i="3"/>
  <c r="N493" i="3"/>
  <c r="O493" i="3"/>
  <c r="L494" i="3"/>
  <c r="J495" i="3"/>
  <c r="J496" i="3" l="1"/>
  <c r="L495" i="3"/>
  <c r="Q494" i="3"/>
  <c r="P494" i="3"/>
  <c r="O494" i="3"/>
  <c r="N494" i="3"/>
  <c r="Q495" i="3" l="1"/>
  <c r="P495" i="3"/>
  <c r="O495" i="3"/>
  <c r="N495" i="3"/>
  <c r="L496" i="3"/>
  <c r="J497" i="3"/>
  <c r="J498" i="3" l="1"/>
  <c r="L497" i="3"/>
  <c r="Q496" i="3"/>
  <c r="P496" i="3"/>
  <c r="O496" i="3"/>
  <c r="N496" i="3"/>
  <c r="Q497" i="3" l="1"/>
  <c r="P497" i="3"/>
  <c r="O497" i="3"/>
  <c r="N497" i="3"/>
  <c r="L498" i="3"/>
  <c r="J499" i="3"/>
  <c r="J500" i="3" l="1"/>
  <c r="L499" i="3"/>
  <c r="Q498" i="3"/>
  <c r="O498" i="3"/>
  <c r="P498" i="3"/>
  <c r="N498" i="3"/>
  <c r="Q499" i="3" l="1"/>
  <c r="N499" i="3"/>
  <c r="P499" i="3"/>
  <c r="O499" i="3"/>
  <c r="J501" i="3"/>
  <c r="L500" i="3"/>
  <c r="Q500" i="3" l="1"/>
  <c r="P500" i="3"/>
  <c r="O500" i="3"/>
  <c r="N500" i="3"/>
  <c r="L501" i="3"/>
  <c r="J502" i="3"/>
  <c r="L502" i="3" l="1"/>
  <c r="J503" i="3"/>
  <c r="N501" i="3"/>
  <c r="O501" i="3"/>
  <c r="Q501" i="3"/>
  <c r="P501" i="3"/>
  <c r="L503" i="3" l="1"/>
  <c r="J504" i="3"/>
  <c r="O502" i="3"/>
  <c r="N502" i="3"/>
  <c r="P502" i="3"/>
  <c r="Q502" i="3"/>
  <c r="L504" i="3" l="1"/>
  <c r="J505" i="3"/>
  <c r="Q503" i="3"/>
  <c r="O503" i="3"/>
  <c r="P503" i="3"/>
  <c r="N503" i="3"/>
  <c r="L505" i="3" l="1"/>
  <c r="J506" i="3"/>
  <c r="N504" i="3"/>
  <c r="O504" i="3"/>
  <c r="Q504" i="3"/>
  <c r="P504" i="3"/>
  <c r="J507" i="3" l="1"/>
  <c r="L506" i="3"/>
  <c r="Q505" i="3"/>
  <c r="P505" i="3"/>
  <c r="N505" i="3"/>
  <c r="O505" i="3"/>
  <c r="Q506" i="3" l="1"/>
  <c r="O506" i="3"/>
  <c r="N506" i="3"/>
  <c r="P506" i="3"/>
  <c r="L507" i="3"/>
  <c r="J508" i="3"/>
  <c r="L508" i="3" l="1"/>
  <c r="J509" i="3"/>
  <c r="Q507" i="3"/>
  <c r="P507" i="3"/>
  <c r="O507" i="3"/>
  <c r="N507" i="3"/>
  <c r="L509" i="3" l="1"/>
  <c r="J510" i="3"/>
  <c r="P508" i="3"/>
  <c r="O508" i="3"/>
  <c r="Q508" i="3"/>
  <c r="N508" i="3"/>
  <c r="L510" i="3" l="1"/>
  <c r="J511" i="3"/>
  <c r="P509" i="3"/>
  <c r="Q509" i="3"/>
  <c r="N509" i="3"/>
  <c r="O509" i="3"/>
  <c r="J512" i="3" l="1"/>
  <c r="L511" i="3"/>
  <c r="P510" i="3"/>
  <c r="Q510" i="3"/>
  <c r="N510" i="3"/>
  <c r="O510" i="3"/>
  <c r="P511" i="3" l="1"/>
  <c r="N511" i="3"/>
  <c r="O511" i="3"/>
  <c r="Q511" i="3"/>
  <c r="L512" i="3"/>
  <c r="J513" i="3"/>
  <c r="L513" i="3" l="1"/>
  <c r="J514" i="3"/>
  <c r="Q512" i="3"/>
  <c r="P512" i="3"/>
  <c r="O512" i="3"/>
  <c r="N512" i="3"/>
  <c r="L514" i="3" l="1"/>
  <c r="J515" i="3"/>
  <c r="O513" i="3"/>
  <c r="N513" i="3"/>
  <c r="P513" i="3"/>
  <c r="Q513" i="3"/>
  <c r="L515" i="3" l="1"/>
  <c r="J516" i="3"/>
  <c r="Q514" i="3"/>
  <c r="O514" i="3"/>
  <c r="N514" i="3"/>
  <c r="P514" i="3"/>
  <c r="L516" i="3" l="1"/>
  <c r="J517" i="3"/>
  <c r="Q515" i="3"/>
  <c r="P515" i="3"/>
  <c r="O515" i="3"/>
  <c r="N515" i="3"/>
  <c r="J518" i="3" l="1"/>
  <c r="L517" i="3"/>
  <c r="O516" i="3"/>
  <c r="P516" i="3"/>
  <c r="N516" i="3"/>
  <c r="Q516" i="3"/>
  <c r="N517" i="3" l="1"/>
  <c r="O517" i="3"/>
  <c r="Q517" i="3"/>
  <c r="P517" i="3"/>
  <c r="L518" i="3"/>
  <c r="J519" i="3"/>
  <c r="J520" i="3" l="1"/>
  <c r="L519" i="3"/>
  <c r="Q518" i="3"/>
  <c r="P518" i="3"/>
  <c r="N518" i="3"/>
  <c r="O518" i="3"/>
  <c r="Q519" i="3" l="1"/>
  <c r="O519" i="3"/>
  <c r="P519" i="3"/>
  <c r="N519" i="3"/>
  <c r="L520" i="3"/>
  <c r="J521" i="3"/>
  <c r="N520" i="3" l="1"/>
  <c r="O520" i="3"/>
  <c r="Q520" i="3"/>
  <c r="P520" i="3"/>
  <c r="J522" i="3"/>
  <c r="L521" i="3"/>
  <c r="O521" i="3" l="1"/>
  <c r="Q521" i="3"/>
  <c r="P521" i="3"/>
  <c r="N521" i="3"/>
  <c r="J523" i="3"/>
  <c r="L522" i="3"/>
  <c r="P522" i="3" l="1"/>
  <c r="N522" i="3"/>
  <c r="Q522" i="3"/>
  <c r="O522" i="3"/>
  <c r="L523" i="3"/>
  <c r="J524" i="3"/>
  <c r="L524" i="3" l="1"/>
  <c r="J525" i="3"/>
  <c r="O523" i="3"/>
  <c r="N523" i="3"/>
  <c r="P523" i="3"/>
  <c r="Q523" i="3"/>
  <c r="L525" i="3" l="1"/>
  <c r="J526" i="3"/>
  <c r="Q524" i="3"/>
  <c r="P524" i="3"/>
  <c r="O524" i="3"/>
  <c r="N524" i="3"/>
  <c r="L526" i="3" l="1"/>
  <c r="J527" i="3"/>
  <c r="N525" i="3"/>
  <c r="Q525" i="3"/>
  <c r="P525" i="3"/>
  <c r="O525" i="3"/>
  <c r="J528" i="3" l="1"/>
  <c r="L527" i="3"/>
  <c r="Q526" i="3"/>
  <c r="O526" i="3"/>
  <c r="P526" i="3"/>
  <c r="N526" i="3"/>
  <c r="Q527" i="3" l="1"/>
  <c r="N527" i="3"/>
  <c r="O527" i="3"/>
  <c r="P527" i="3"/>
  <c r="J529" i="3"/>
  <c r="L528" i="3"/>
  <c r="O528" i="3" l="1"/>
  <c r="N528" i="3"/>
  <c r="Q528" i="3"/>
  <c r="P528" i="3"/>
  <c r="L529" i="3"/>
  <c r="J530" i="3"/>
  <c r="L530" i="3" l="1"/>
  <c r="J531" i="3"/>
  <c r="O529" i="3"/>
  <c r="N529" i="3"/>
  <c r="Q529" i="3"/>
  <c r="P529" i="3"/>
  <c r="J532" i="3" l="1"/>
  <c r="L531" i="3"/>
  <c r="Q530" i="3"/>
  <c r="O530" i="3"/>
  <c r="P530" i="3"/>
  <c r="N530" i="3"/>
  <c r="P531" i="3" l="1"/>
  <c r="O531" i="3"/>
  <c r="Q531" i="3"/>
  <c r="N531" i="3"/>
  <c r="J533" i="3"/>
  <c r="L532" i="3"/>
  <c r="P532" i="3" l="1"/>
  <c r="N532" i="3"/>
  <c r="O532" i="3"/>
  <c r="Q532" i="3"/>
  <c r="J534" i="3"/>
  <c r="L533" i="3"/>
  <c r="Q533" i="3" l="1"/>
  <c r="P533" i="3"/>
  <c r="O533" i="3"/>
  <c r="N533" i="3"/>
  <c r="L534" i="3"/>
  <c r="J535" i="3"/>
  <c r="J536" i="3" l="1"/>
  <c r="L535" i="3"/>
  <c r="Q534" i="3"/>
  <c r="N534" i="3"/>
  <c r="P534" i="3"/>
  <c r="O534" i="3"/>
  <c r="Q535" i="3" l="1"/>
  <c r="N535" i="3"/>
  <c r="O535" i="3"/>
  <c r="P535" i="3"/>
  <c r="L536" i="3"/>
  <c r="J537" i="3"/>
  <c r="J538" i="3" l="1"/>
  <c r="L537" i="3"/>
  <c r="O536" i="3"/>
  <c r="Q536" i="3"/>
  <c r="N536" i="3"/>
  <c r="P536" i="3"/>
  <c r="P537" i="3" l="1"/>
  <c r="N537" i="3"/>
  <c r="Q537" i="3"/>
  <c r="O537" i="3"/>
  <c r="L538" i="3"/>
  <c r="J539" i="3"/>
  <c r="Q538" i="3" l="1"/>
  <c r="P538" i="3"/>
  <c r="O538" i="3"/>
  <c r="N538" i="3"/>
  <c r="L539" i="3"/>
  <c r="J540" i="3"/>
  <c r="L540" i="3" l="1"/>
  <c r="J541" i="3"/>
  <c r="Q539" i="3"/>
  <c r="N539" i="3"/>
  <c r="P539" i="3"/>
  <c r="O539" i="3"/>
  <c r="L541" i="3" l="1"/>
  <c r="J542" i="3"/>
  <c r="Q540" i="3"/>
  <c r="O540" i="3"/>
  <c r="P540" i="3"/>
  <c r="N540" i="3"/>
  <c r="L542" i="3" l="1"/>
  <c r="J543" i="3"/>
  <c r="O541" i="3"/>
  <c r="Q541" i="3"/>
  <c r="P541" i="3"/>
  <c r="N541" i="3"/>
  <c r="J544" i="3" l="1"/>
  <c r="L543" i="3"/>
  <c r="P542" i="3"/>
  <c r="N542" i="3"/>
  <c r="Q542" i="3"/>
  <c r="O542" i="3"/>
  <c r="P543" i="3" l="1"/>
  <c r="Q543" i="3"/>
  <c r="O543" i="3"/>
  <c r="N543" i="3"/>
  <c r="L544" i="3"/>
  <c r="J545" i="3"/>
  <c r="J546" i="3" l="1"/>
  <c r="L545" i="3"/>
  <c r="Q544" i="3"/>
  <c r="N544" i="3"/>
  <c r="O544" i="3"/>
  <c r="P544" i="3"/>
  <c r="P545" i="3" l="1"/>
  <c r="Q545" i="3"/>
  <c r="O545" i="3"/>
  <c r="N545" i="3"/>
  <c r="L546" i="3"/>
  <c r="J547" i="3"/>
  <c r="Q546" i="3" l="1"/>
  <c r="P546" i="3"/>
  <c r="N546" i="3"/>
  <c r="O546" i="3"/>
  <c r="J548" i="3"/>
  <c r="L547" i="3"/>
  <c r="Q547" i="3" l="1"/>
  <c r="P547" i="3"/>
  <c r="N547" i="3"/>
  <c r="O547" i="3"/>
  <c r="L548" i="3"/>
  <c r="J549" i="3"/>
  <c r="J550" i="3" l="1"/>
  <c r="L549" i="3"/>
  <c r="Q548" i="3"/>
  <c r="P548" i="3"/>
  <c r="N548" i="3"/>
  <c r="O548" i="3"/>
  <c r="Q549" i="3" l="1"/>
  <c r="N549" i="3"/>
  <c r="O549" i="3"/>
  <c r="P549" i="3"/>
  <c r="L550" i="3"/>
  <c r="J551" i="3"/>
  <c r="Q550" i="3" l="1"/>
  <c r="N550" i="3"/>
  <c r="P550" i="3"/>
  <c r="O550" i="3"/>
  <c r="J552" i="3"/>
  <c r="L551" i="3"/>
  <c r="Q551" i="3" l="1"/>
  <c r="P551" i="3"/>
  <c r="O551" i="3"/>
  <c r="N551" i="3"/>
  <c r="L552" i="3"/>
  <c r="J553" i="3"/>
  <c r="L553" i="3" l="1"/>
  <c r="J554" i="3"/>
  <c r="Q552" i="3"/>
  <c r="N552" i="3"/>
  <c r="O552" i="3"/>
  <c r="P552" i="3"/>
  <c r="N553" i="3" l="1"/>
  <c r="O553" i="3"/>
  <c r="Q553" i="3"/>
  <c r="P553" i="3"/>
  <c r="L554" i="3"/>
  <c r="J555" i="3"/>
  <c r="N554" i="3" l="1"/>
  <c r="P554" i="3"/>
  <c r="Q554" i="3"/>
  <c r="O554" i="3"/>
  <c r="L555" i="3"/>
  <c r="J556" i="3"/>
  <c r="P555" i="3" l="1"/>
  <c r="N555" i="3"/>
  <c r="O555" i="3"/>
  <c r="Q555" i="3"/>
  <c r="L556" i="3"/>
  <c r="J557" i="3"/>
  <c r="O556" i="3" l="1"/>
  <c r="P556" i="3"/>
  <c r="Q556" i="3"/>
  <c r="N556" i="3"/>
  <c r="L557" i="3"/>
  <c r="J558" i="3"/>
  <c r="N557" i="3" l="1"/>
  <c r="Q557" i="3"/>
  <c r="O557" i="3"/>
  <c r="P557" i="3"/>
  <c r="L558" i="3"/>
  <c r="J559" i="3"/>
  <c r="Q558" i="3" l="1"/>
  <c r="O558" i="3"/>
  <c r="N558" i="3"/>
  <c r="P558" i="3"/>
  <c r="J560" i="3"/>
  <c r="L559" i="3"/>
  <c r="J561" i="3" l="1"/>
  <c r="L560" i="3"/>
  <c r="Q559" i="3"/>
  <c r="P559" i="3"/>
  <c r="O559" i="3"/>
  <c r="N559" i="3"/>
  <c r="J562" i="3" l="1"/>
  <c r="L561" i="3"/>
  <c r="Q560" i="3"/>
  <c r="P560" i="3"/>
  <c r="O560" i="3"/>
  <c r="N560" i="3"/>
  <c r="P561" i="3" l="1"/>
  <c r="O561" i="3"/>
  <c r="N561" i="3"/>
  <c r="Q561" i="3"/>
  <c r="J563" i="3"/>
  <c r="L562" i="3"/>
  <c r="Q562" i="3" l="1"/>
  <c r="P562" i="3"/>
  <c r="O562" i="3"/>
  <c r="N562" i="3"/>
  <c r="L563" i="3"/>
  <c r="J564" i="3"/>
  <c r="J565" i="3" l="1"/>
  <c r="L564" i="3"/>
  <c r="Q563" i="3"/>
  <c r="P563" i="3"/>
  <c r="O563" i="3"/>
  <c r="N563" i="3"/>
  <c r="Q564" i="3" l="1"/>
  <c r="N564" i="3"/>
  <c r="P564" i="3"/>
  <c r="O564" i="3"/>
  <c r="L565" i="3"/>
  <c r="J566" i="3"/>
  <c r="L566" i="3" l="1"/>
  <c r="J567" i="3"/>
  <c r="O565" i="3"/>
  <c r="Q565" i="3"/>
  <c r="P565" i="3"/>
  <c r="N565" i="3"/>
  <c r="J568" i="3" l="1"/>
  <c r="L567" i="3"/>
  <c r="O566" i="3"/>
  <c r="N566" i="3"/>
  <c r="P566" i="3"/>
  <c r="Q566" i="3"/>
  <c r="O567" i="3" l="1"/>
  <c r="P567" i="3"/>
  <c r="Q567" i="3"/>
  <c r="N567" i="3"/>
  <c r="L568" i="3"/>
  <c r="J569" i="3"/>
  <c r="L569" i="3" l="1"/>
  <c r="J570" i="3"/>
  <c r="O568" i="3"/>
  <c r="P568" i="3"/>
  <c r="Q568" i="3"/>
  <c r="N568" i="3"/>
  <c r="J571" i="3" l="1"/>
  <c r="L570" i="3"/>
  <c r="P569" i="3"/>
  <c r="Q569" i="3"/>
  <c r="O569" i="3"/>
  <c r="N569" i="3"/>
  <c r="O570" i="3" l="1"/>
  <c r="N570" i="3"/>
  <c r="P570" i="3"/>
  <c r="Q570" i="3"/>
  <c r="J572" i="3"/>
  <c r="L571" i="3"/>
  <c r="O571" i="3" l="1"/>
  <c r="Q571" i="3"/>
  <c r="N571" i="3"/>
  <c r="P571" i="3"/>
  <c r="L572" i="3"/>
  <c r="J573" i="3"/>
  <c r="J574" i="3" l="1"/>
  <c r="L573" i="3"/>
  <c r="Q572" i="3"/>
  <c r="O572" i="3"/>
  <c r="N572" i="3"/>
  <c r="P572" i="3"/>
  <c r="O573" i="3" l="1"/>
  <c r="P573" i="3"/>
  <c r="Q573" i="3"/>
  <c r="N573" i="3"/>
  <c r="L574" i="3"/>
  <c r="J575" i="3"/>
  <c r="J576" i="3" l="1"/>
  <c r="L575" i="3"/>
  <c r="Q574" i="3"/>
  <c r="P574" i="3"/>
  <c r="O574" i="3"/>
  <c r="N574" i="3"/>
  <c r="O575" i="3" l="1"/>
  <c r="P575" i="3"/>
  <c r="N575" i="3"/>
  <c r="Q575" i="3"/>
  <c r="L576" i="3"/>
  <c r="J577" i="3"/>
  <c r="L577" i="3" l="1"/>
  <c r="J578" i="3"/>
  <c r="N576" i="3"/>
  <c r="O576" i="3"/>
  <c r="Q576" i="3"/>
  <c r="P576" i="3"/>
  <c r="J579" i="3" l="1"/>
  <c r="L578" i="3"/>
  <c r="P577" i="3"/>
  <c r="O577" i="3"/>
  <c r="N577" i="3"/>
  <c r="Q577" i="3"/>
  <c r="P578" i="3" l="1"/>
  <c r="N578" i="3"/>
  <c r="O578" i="3"/>
  <c r="Q578" i="3"/>
  <c r="J580" i="3"/>
  <c r="L579" i="3"/>
  <c r="N579" i="3" l="1"/>
  <c r="Q579" i="3"/>
  <c r="O579" i="3"/>
  <c r="P579" i="3"/>
  <c r="L580" i="3"/>
  <c r="J581" i="3"/>
  <c r="J582" i="3" l="1"/>
  <c r="L581" i="3"/>
  <c r="Q580" i="3"/>
  <c r="P580" i="3"/>
  <c r="O580" i="3"/>
  <c r="N580" i="3"/>
  <c r="L582" i="3" l="1"/>
  <c r="J583" i="3"/>
  <c r="P581" i="3"/>
  <c r="N581" i="3"/>
  <c r="O581" i="3"/>
  <c r="Q581" i="3"/>
  <c r="J584" i="3" l="1"/>
  <c r="L583" i="3"/>
  <c r="P582" i="3"/>
  <c r="O582" i="3"/>
  <c r="N582" i="3"/>
  <c r="Q582" i="3"/>
  <c r="O583" i="3" l="1"/>
  <c r="P583" i="3"/>
  <c r="N583" i="3"/>
  <c r="Q583" i="3"/>
  <c r="J585" i="3"/>
  <c r="L584" i="3"/>
  <c r="Q584" i="3" l="1"/>
  <c r="O584" i="3"/>
  <c r="P584" i="3"/>
  <c r="N584" i="3"/>
  <c r="L585" i="3"/>
  <c r="J586" i="3"/>
  <c r="L586" i="3" l="1"/>
  <c r="J587" i="3"/>
  <c r="Q585" i="3"/>
  <c r="P585" i="3"/>
  <c r="N585" i="3"/>
  <c r="O585" i="3"/>
  <c r="J588" i="3" l="1"/>
  <c r="L587" i="3"/>
  <c r="O586" i="3"/>
  <c r="Q586" i="3"/>
  <c r="P586" i="3"/>
  <c r="N586" i="3"/>
  <c r="Q587" i="3" l="1"/>
  <c r="O587" i="3"/>
  <c r="P587" i="3"/>
  <c r="N587" i="3"/>
  <c r="J589" i="3"/>
  <c r="L588" i="3"/>
  <c r="P588" i="3" l="1"/>
  <c r="N588" i="3"/>
  <c r="O588" i="3"/>
  <c r="Q588" i="3"/>
  <c r="L589" i="3"/>
  <c r="J590" i="3"/>
  <c r="L590" i="3" l="1"/>
  <c r="J591" i="3"/>
  <c r="Q589" i="3"/>
  <c r="P589" i="3"/>
  <c r="N589" i="3"/>
  <c r="O589" i="3"/>
  <c r="J592" i="3" l="1"/>
  <c r="L591" i="3"/>
  <c r="Q590" i="3"/>
  <c r="N590" i="3"/>
  <c r="P590" i="3"/>
  <c r="O590" i="3"/>
  <c r="P591" i="3" l="1"/>
  <c r="N591" i="3"/>
  <c r="Q591" i="3"/>
  <c r="O591" i="3"/>
  <c r="J593" i="3"/>
  <c r="L592" i="3"/>
  <c r="O592" i="3" l="1"/>
  <c r="N592" i="3"/>
  <c r="Q592" i="3"/>
  <c r="P592" i="3"/>
  <c r="J594" i="3"/>
  <c r="L593" i="3"/>
  <c r="L594" i="3" l="1"/>
  <c r="J595" i="3"/>
  <c r="O593" i="3"/>
  <c r="N593" i="3"/>
  <c r="P593" i="3"/>
  <c r="Q593" i="3"/>
  <c r="J596" i="3" l="1"/>
  <c r="L595" i="3"/>
  <c r="P594" i="3"/>
  <c r="Q594" i="3"/>
  <c r="N594" i="3"/>
  <c r="O594" i="3"/>
  <c r="Q595" i="3" l="1"/>
  <c r="O595" i="3"/>
  <c r="P595" i="3"/>
  <c r="N595" i="3"/>
  <c r="L596" i="3"/>
  <c r="J597" i="3"/>
  <c r="J598" i="3" l="1"/>
  <c r="L597" i="3"/>
  <c r="Q596" i="3"/>
  <c r="N596" i="3"/>
  <c r="P596" i="3"/>
  <c r="O596" i="3"/>
  <c r="N597" i="3" l="1"/>
  <c r="O597" i="3"/>
  <c r="P597" i="3"/>
  <c r="Q597" i="3"/>
  <c r="L598" i="3"/>
  <c r="J599" i="3"/>
  <c r="J600" i="3" l="1"/>
  <c r="L599" i="3"/>
  <c r="P598" i="3"/>
  <c r="O598" i="3"/>
  <c r="Q598" i="3"/>
  <c r="N598" i="3"/>
  <c r="Q599" i="3" l="1"/>
  <c r="O599" i="3"/>
  <c r="P599" i="3"/>
  <c r="N599" i="3"/>
  <c r="J601" i="3"/>
  <c r="L600" i="3"/>
  <c r="Q600" i="3" l="1"/>
  <c r="P600" i="3"/>
  <c r="O600" i="3"/>
  <c r="N600" i="3"/>
  <c r="L601" i="3"/>
  <c r="J602" i="3"/>
  <c r="J603" i="3" l="1"/>
  <c r="L602" i="3"/>
  <c r="N601" i="3"/>
  <c r="Q601" i="3"/>
  <c r="O601" i="3"/>
  <c r="P601" i="3"/>
  <c r="O602" i="3" l="1"/>
  <c r="Q602" i="3"/>
  <c r="P602" i="3"/>
  <c r="N602" i="3"/>
  <c r="J604" i="3"/>
  <c r="L603" i="3"/>
  <c r="P603" i="3" l="1"/>
  <c r="O603" i="3"/>
  <c r="Q603" i="3"/>
  <c r="N603" i="3"/>
  <c r="L604" i="3"/>
  <c r="J605" i="3"/>
  <c r="L605" i="3" l="1"/>
  <c r="J606" i="3"/>
  <c r="O604" i="3"/>
  <c r="N604" i="3"/>
  <c r="Q604" i="3"/>
  <c r="P604" i="3"/>
  <c r="J607" i="3" l="1"/>
  <c r="L606" i="3"/>
  <c r="P605" i="3"/>
  <c r="N605" i="3"/>
  <c r="Q605" i="3"/>
  <c r="O605" i="3"/>
  <c r="O606" i="3" l="1"/>
  <c r="P606" i="3"/>
  <c r="Q606" i="3"/>
  <c r="N606" i="3"/>
  <c r="L607" i="3"/>
  <c r="J608" i="3"/>
  <c r="J609" i="3" l="1"/>
  <c r="L608" i="3"/>
  <c r="Q607" i="3"/>
  <c r="P607" i="3"/>
  <c r="N607" i="3"/>
  <c r="O607" i="3"/>
  <c r="Q608" i="3" l="1"/>
  <c r="O608" i="3"/>
  <c r="N608" i="3"/>
  <c r="P608" i="3"/>
  <c r="L609" i="3"/>
  <c r="J610" i="3"/>
  <c r="L610" i="3" l="1"/>
  <c r="J611" i="3"/>
  <c r="P609" i="3"/>
  <c r="Q609" i="3"/>
  <c r="O609" i="3"/>
  <c r="N609" i="3"/>
  <c r="L611" i="3" l="1"/>
  <c r="J612" i="3"/>
  <c r="Q610" i="3"/>
  <c r="O610" i="3"/>
  <c r="P610" i="3"/>
  <c r="N610" i="3"/>
  <c r="L612" i="3" l="1"/>
  <c r="J613" i="3"/>
  <c r="Q611" i="3"/>
  <c r="O611" i="3"/>
  <c r="P611" i="3"/>
  <c r="N611" i="3"/>
  <c r="J614" i="3" l="1"/>
  <c r="L613" i="3"/>
  <c r="Q612" i="3"/>
  <c r="N612" i="3"/>
  <c r="O612" i="3"/>
  <c r="P612" i="3"/>
  <c r="Q613" i="3" l="1"/>
  <c r="N613" i="3"/>
  <c r="P613" i="3"/>
  <c r="O613" i="3"/>
  <c r="J615" i="3"/>
  <c r="L614" i="3"/>
  <c r="P614" i="3" l="1"/>
  <c r="N614" i="3"/>
  <c r="Q614" i="3"/>
  <c r="O614" i="3"/>
  <c r="L615" i="3"/>
  <c r="J616" i="3"/>
  <c r="O615" i="3" l="1"/>
  <c r="N615" i="3"/>
  <c r="Q615" i="3"/>
  <c r="P615" i="3"/>
  <c r="L616" i="3"/>
  <c r="J617" i="3"/>
  <c r="L617" i="3" l="1"/>
  <c r="J618" i="3"/>
  <c r="O616" i="3"/>
  <c r="N616" i="3"/>
  <c r="Q616" i="3"/>
  <c r="P616" i="3"/>
  <c r="L618" i="3" l="1"/>
  <c r="J619" i="3"/>
  <c r="Q617" i="3"/>
  <c r="O617" i="3"/>
  <c r="P617" i="3"/>
  <c r="N617" i="3"/>
  <c r="J620" i="3" l="1"/>
  <c r="L619" i="3"/>
  <c r="Q618" i="3"/>
  <c r="P618" i="3"/>
  <c r="N618" i="3"/>
  <c r="O618" i="3"/>
  <c r="O619" i="3" l="1"/>
  <c r="Q619" i="3"/>
  <c r="P619" i="3"/>
  <c r="N619" i="3"/>
  <c r="L620" i="3"/>
  <c r="J621" i="3"/>
  <c r="J622" i="3" l="1"/>
  <c r="L621" i="3"/>
  <c r="Q620" i="3"/>
  <c r="P620" i="3"/>
  <c r="O620" i="3"/>
  <c r="N620" i="3"/>
  <c r="P621" i="3" l="1"/>
  <c r="N621" i="3"/>
  <c r="Q621" i="3"/>
  <c r="O621" i="3"/>
  <c r="L622" i="3"/>
  <c r="J623" i="3"/>
  <c r="L623" i="3" l="1"/>
  <c r="J624" i="3"/>
  <c r="O622" i="3"/>
  <c r="Q622" i="3"/>
  <c r="P622" i="3"/>
  <c r="N622" i="3"/>
  <c r="J625" i="3" l="1"/>
  <c r="L624" i="3"/>
  <c r="Q623" i="3"/>
  <c r="P623" i="3"/>
  <c r="O623" i="3"/>
  <c r="N623" i="3"/>
  <c r="Q624" i="3" l="1"/>
  <c r="P624" i="3"/>
  <c r="O624" i="3"/>
  <c r="N624" i="3"/>
  <c r="L625" i="3"/>
  <c r="J626" i="3"/>
  <c r="L626" i="3" l="1"/>
  <c r="J627" i="3"/>
  <c r="Q625" i="3"/>
  <c r="O625" i="3"/>
  <c r="P625" i="3"/>
  <c r="N625" i="3"/>
  <c r="L627" i="3" l="1"/>
  <c r="J628" i="3"/>
  <c r="Q626" i="3"/>
  <c r="N626" i="3"/>
  <c r="O626" i="3"/>
  <c r="P626" i="3"/>
  <c r="J629" i="3" l="1"/>
  <c r="L628" i="3"/>
  <c r="Q627" i="3"/>
  <c r="N627" i="3"/>
  <c r="P627" i="3"/>
  <c r="O627" i="3"/>
  <c r="Q628" i="3" l="1"/>
  <c r="P628" i="3"/>
  <c r="O628" i="3"/>
  <c r="N628" i="3"/>
  <c r="L629" i="3"/>
  <c r="J630" i="3"/>
  <c r="N629" i="3" l="1"/>
  <c r="O629" i="3"/>
  <c r="Q629" i="3"/>
  <c r="P629" i="3"/>
  <c r="J631" i="3"/>
  <c r="L630" i="3"/>
  <c r="P630" i="3" l="1"/>
  <c r="O630" i="3"/>
  <c r="N630" i="3"/>
  <c r="Q630" i="3"/>
  <c r="J632" i="3"/>
  <c r="L631" i="3"/>
  <c r="Q631" i="3" l="1"/>
  <c r="O631" i="3"/>
  <c r="P631" i="3"/>
  <c r="N631" i="3"/>
  <c r="J633" i="3"/>
  <c r="L632" i="3"/>
  <c r="O632" i="3" l="1"/>
  <c r="Q632" i="3"/>
  <c r="P632" i="3"/>
  <c r="N632" i="3"/>
  <c r="L633" i="3"/>
  <c r="J634" i="3"/>
  <c r="J635" i="3" l="1"/>
  <c r="L634" i="3"/>
  <c r="P633" i="3"/>
  <c r="Q633" i="3"/>
  <c r="N633" i="3"/>
  <c r="O633" i="3"/>
  <c r="P634" i="3" l="1"/>
  <c r="Q634" i="3"/>
  <c r="N634" i="3"/>
  <c r="O634" i="3"/>
  <c r="L635" i="3"/>
  <c r="J636" i="3"/>
  <c r="J637" i="3" l="1"/>
  <c r="L636" i="3"/>
  <c r="Q635" i="3"/>
  <c r="O635" i="3"/>
  <c r="P635" i="3"/>
  <c r="N635" i="3"/>
  <c r="Q636" i="3" l="1"/>
  <c r="O636" i="3"/>
  <c r="N636" i="3"/>
  <c r="P636" i="3"/>
  <c r="J638" i="3"/>
  <c r="L637" i="3"/>
  <c r="Q637" i="3" l="1"/>
  <c r="P637" i="3"/>
  <c r="O637" i="3"/>
  <c r="N637" i="3"/>
  <c r="J639" i="3"/>
  <c r="L638" i="3"/>
  <c r="N638" i="3" l="1"/>
  <c r="O638" i="3"/>
  <c r="P638" i="3"/>
  <c r="Q638" i="3"/>
  <c r="J640" i="3"/>
  <c r="L639" i="3"/>
  <c r="O639" i="3" l="1"/>
  <c r="P639" i="3"/>
  <c r="Q639" i="3"/>
  <c r="N639" i="3"/>
  <c r="J641" i="3"/>
  <c r="L640" i="3"/>
  <c r="O640" i="3" l="1"/>
  <c r="Q640" i="3"/>
  <c r="P640" i="3"/>
  <c r="N640" i="3"/>
  <c r="L641" i="3"/>
  <c r="J642" i="3"/>
  <c r="L642" i="3" l="1"/>
  <c r="J643" i="3"/>
  <c r="P641" i="3"/>
  <c r="Q641" i="3"/>
  <c r="O641" i="3"/>
  <c r="N641" i="3"/>
  <c r="L643" i="3" l="1"/>
  <c r="J644" i="3"/>
  <c r="P642" i="3"/>
  <c r="Q642" i="3"/>
  <c r="N642" i="3"/>
  <c r="O642" i="3"/>
  <c r="J645" i="3" l="1"/>
  <c r="L644" i="3"/>
  <c r="Q643" i="3"/>
  <c r="P643" i="3"/>
  <c r="O643" i="3"/>
  <c r="N643" i="3"/>
  <c r="O644" i="3" l="1"/>
  <c r="N644" i="3"/>
  <c r="P644" i="3"/>
  <c r="Q644" i="3"/>
  <c r="L645" i="3"/>
  <c r="J646" i="3"/>
  <c r="L646" i="3" l="1"/>
  <c r="J647" i="3"/>
  <c r="Q645" i="3"/>
  <c r="N645" i="3"/>
  <c r="O645" i="3"/>
  <c r="P645" i="3"/>
  <c r="J648" i="3" l="1"/>
  <c r="L647" i="3"/>
  <c r="P646" i="3"/>
  <c r="O646" i="3"/>
  <c r="N646" i="3"/>
  <c r="Q646" i="3"/>
  <c r="N647" i="3" l="1"/>
  <c r="O647" i="3"/>
  <c r="P647" i="3"/>
  <c r="Q647" i="3"/>
  <c r="J649" i="3"/>
  <c r="L648" i="3"/>
  <c r="Q648" i="3" l="1"/>
  <c r="N648" i="3"/>
  <c r="O648" i="3"/>
  <c r="P648" i="3"/>
  <c r="J650" i="3"/>
  <c r="L649" i="3"/>
  <c r="Q649" i="3" l="1"/>
  <c r="P649" i="3"/>
  <c r="N649" i="3"/>
  <c r="O649" i="3"/>
  <c r="J651" i="3"/>
  <c r="L650" i="3"/>
  <c r="L651" i="3" l="1"/>
  <c r="J652" i="3"/>
  <c r="Q650" i="3"/>
  <c r="O650" i="3"/>
  <c r="P650" i="3"/>
  <c r="N650" i="3"/>
  <c r="L652" i="3" l="1"/>
  <c r="J653" i="3"/>
  <c r="N651" i="3"/>
  <c r="P651" i="3"/>
  <c r="O651" i="3"/>
  <c r="Q651" i="3"/>
  <c r="J654" i="3" l="1"/>
  <c r="L653" i="3"/>
  <c r="N652" i="3"/>
  <c r="O652" i="3"/>
  <c r="Q652" i="3"/>
  <c r="P652" i="3"/>
  <c r="P653" i="3" l="1"/>
  <c r="N653" i="3"/>
  <c r="O653" i="3"/>
  <c r="Q653" i="3"/>
  <c r="J655" i="3"/>
  <c r="L654" i="3"/>
  <c r="Q654" i="3" l="1"/>
  <c r="P654" i="3"/>
  <c r="O654" i="3"/>
  <c r="N654" i="3"/>
  <c r="L655" i="3"/>
  <c r="J656" i="3"/>
  <c r="L656" i="3" l="1"/>
  <c r="J657" i="3"/>
  <c r="Q655" i="3"/>
  <c r="N655" i="3"/>
  <c r="P655" i="3"/>
  <c r="O655" i="3"/>
  <c r="J658" i="3" l="1"/>
  <c r="L657" i="3"/>
  <c r="O656" i="3"/>
  <c r="N656" i="3"/>
  <c r="P656" i="3"/>
  <c r="Q656" i="3"/>
  <c r="N657" i="3" l="1"/>
  <c r="P657" i="3"/>
  <c r="O657" i="3"/>
  <c r="Q657" i="3"/>
  <c r="L658" i="3"/>
  <c r="J659" i="3"/>
  <c r="Q658" i="3" l="1"/>
  <c r="O658" i="3"/>
  <c r="N658" i="3"/>
  <c r="P658" i="3"/>
  <c r="L659" i="3"/>
  <c r="J660" i="3"/>
  <c r="Q659" i="3" l="1"/>
  <c r="P659" i="3"/>
  <c r="N659" i="3"/>
  <c r="O659" i="3"/>
  <c r="L660" i="3"/>
  <c r="J661" i="3"/>
  <c r="Q660" i="3" l="1"/>
  <c r="O660" i="3"/>
  <c r="P660" i="3"/>
  <c r="N660" i="3"/>
  <c r="L661" i="3"/>
  <c r="J662" i="3"/>
  <c r="O661" i="3" l="1"/>
  <c r="P661" i="3"/>
  <c r="N661" i="3"/>
  <c r="Q661" i="3"/>
  <c r="J663" i="3"/>
  <c r="L662" i="3"/>
  <c r="P662" i="3" l="1"/>
  <c r="Q662" i="3"/>
  <c r="O662" i="3"/>
  <c r="N662" i="3"/>
  <c r="L663" i="3"/>
  <c r="J664" i="3"/>
  <c r="J665" i="3" l="1"/>
  <c r="L664" i="3"/>
  <c r="Q663" i="3"/>
  <c r="O663" i="3"/>
  <c r="P663" i="3"/>
  <c r="N663" i="3"/>
  <c r="P664" i="3" l="1"/>
  <c r="Q664" i="3"/>
  <c r="N664" i="3"/>
  <c r="O664" i="3"/>
  <c r="L665" i="3"/>
  <c r="J666" i="3"/>
  <c r="P665" i="3" l="1"/>
  <c r="Q665" i="3"/>
  <c r="N665" i="3"/>
  <c r="O665" i="3"/>
  <c r="J667" i="3"/>
  <c r="L666" i="3"/>
  <c r="L667" i="3" l="1"/>
  <c r="J668" i="3"/>
  <c r="Q666" i="3"/>
  <c r="O666" i="3"/>
  <c r="P666" i="3"/>
  <c r="N666" i="3"/>
  <c r="L668" i="3" l="1"/>
  <c r="J669" i="3"/>
  <c r="P667" i="3"/>
  <c r="O667" i="3"/>
  <c r="N667" i="3"/>
  <c r="Q667" i="3"/>
  <c r="J670" i="3" l="1"/>
  <c r="L669" i="3"/>
  <c r="O668" i="3"/>
  <c r="P668" i="3"/>
  <c r="N668" i="3"/>
  <c r="Q668" i="3"/>
  <c r="N669" i="3" l="1"/>
  <c r="Q669" i="3"/>
  <c r="O669" i="3"/>
  <c r="P669" i="3"/>
  <c r="J671" i="3"/>
  <c r="L670" i="3"/>
  <c r="Q670" i="3" l="1"/>
  <c r="P670" i="3"/>
  <c r="N670" i="3"/>
  <c r="O670" i="3"/>
  <c r="L671" i="3"/>
  <c r="J672" i="3"/>
  <c r="J673" i="3" l="1"/>
  <c r="L672" i="3"/>
  <c r="P671" i="3"/>
  <c r="O671" i="3"/>
  <c r="N671" i="3"/>
  <c r="Q671" i="3"/>
  <c r="Q672" i="3" l="1"/>
  <c r="O672" i="3"/>
  <c r="N672" i="3"/>
  <c r="P672" i="3"/>
  <c r="J674" i="3"/>
  <c r="L673" i="3"/>
  <c r="N673" i="3" l="1"/>
  <c r="Q673" i="3"/>
  <c r="O673" i="3"/>
  <c r="P673" i="3"/>
  <c r="L674" i="3"/>
  <c r="J675" i="3"/>
  <c r="L675" i="3" l="1"/>
  <c r="J676" i="3"/>
  <c r="Q674" i="3"/>
  <c r="P674" i="3"/>
  <c r="N674" i="3"/>
  <c r="O674" i="3"/>
  <c r="J677" i="3" l="1"/>
  <c r="L676" i="3"/>
  <c r="O675" i="3"/>
  <c r="N675" i="3"/>
  <c r="P675" i="3"/>
  <c r="Q675" i="3"/>
  <c r="P676" i="3" l="1"/>
  <c r="N676" i="3"/>
  <c r="O676" i="3"/>
  <c r="Q676" i="3"/>
  <c r="L677" i="3"/>
  <c r="J678" i="3"/>
  <c r="J679" i="3" l="1"/>
  <c r="L678" i="3"/>
  <c r="O677" i="3"/>
  <c r="Q677" i="3"/>
  <c r="P677" i="3"/>
  <c r="N677" i="3"/>
  <c r="P678" i="3" l="1"/>
  <c r="O678" i="3"/>
  <c r="Q678" i="3"/>
  <c r="N678" i="3"/>
  <c r="J680" i="3"/>
  <c r="L679" i="3"/>
  <c r="Q679" i="3" l="1"/>
  <c r="P679" i="3"/>
  <c r="O679" i="3"/>
  <c r="N679" i="3"/>
  <c r="L680" i="3"/>
  <c r="J681" i="3"/>
  <c r="L681" i="3" l="1"/>
  <c r="J682" i="3"/>
  <c r="P680" i="3"/>
  <c r="N680" i="3"/>
  <c r="O680" i="3"/>
  <c r="Q680" i="3"/>
  <c r="L682" i="3" l="1"/>
  <c r="J683" i="3"/>
  <c r="P681" i="3"/>
  <c r="N681" i="3"/>
  <c r="O681" i="3"/>
  <c r="Q681" i="3"/>
  <c r="J684" i="3" l="1"/>
  <c r="L683" i="3"/>
  <c r="Q682" i="3"/>
  <c r="O682" i="3"/>
  <c r="P682" i="3"/>
  <c r="N682" i="3"/>
  <c r="N683" i="3" l="1"/>
  <c r="O683" i="3"/>
  <c r="P683" i="3"/>
  <c r="Q683" i="3"/>
  <c r="J685" i="3"/>
  <c r="L684" i="3"/>
  <c r="Q684" i="3" l="1"/>
  <c r="N684" i="3"/>
  <c r="P684" i="3"/>
  <c r="O684" i="3"/>
  <c r="J686" i="3"/>
  <c r="L685" i="3"/>
  <c r="P685" i="3" l="1"/>
  <c r="O685" i="3"/>
  <c r="Q685" i="3"/>
  <c r="N685" i="3"/>
  <c r="L686" i="3"/>
  <c r="J687" i="3"/>
  <c r="J688" i="3" l="1"/>
  <c r="L687" i="3"/>
  <c r="O686" i="3"/>
  <c r="Q686" i="3"/>
  <c r="P686" i="3"/>
  <c r="N686" i="3"/>
  <c r="O687" i="3" l="1"/>
  <c r="N687" i="3"/>
  <c r="P687" i="3"/>
  <c r="Q687" i="3"/>
  <c r="L688" i="3"/>
  <c r="J689" i="3"/>
  <c r="J690" i="3" l="1"/>
  <c r="L689" i="3"/>
  <c r="P688" i="3"/>
  <c r="O688" i="3"/>
  <c r="N688" i="3"/>
  <c r="Q688" i="3"/>
  <c r="P689" i="3" l="1"/>
  <c r="O689" i="3"/>
  <c r="N689" i="3"/>
  <c r="Q689" i="3"/>
  <c r="J691" i="3"/>
  <c r="L690" i="3"/>
  <c r="O690" i="3" l="1"/>
  <c r="N690" i="3"/>
  <c r="Q690" i="3"/>
  <c r="P690" i="3"/>
  <c r="L691" i="3"/>
  <c r="J692" i="3"/>
  <c r="L692" i="3" l="1"/>
  <c r="J693" i="3"/>
  <c r="Q691" i="3"/>
  <c r="P691" i="3"/>
  <c r="N691" i="3"/>
  <c r="O691" i="3"/>
  <c r="L693" i="3" l="1"/>
  <c r="J694" i="3"/>
  <c r="P692" i="3"/>
  <c r="Q692" i="3"/>
  <c r="O692" i="3"/>
  <c r="N692" i="3"/>
  <c r="L694" i="3" l="1"/>
  <c r="J695" i="3"/>
  <c r="Q693" i="3"/>
  <c r="P693" i="3"/>
  <c r="N693" i="3"/>
  <c r="O693" i="3"/>
  <c r="J696" i="3" l="1"/>
  <c r="L695" i="3"/>
  <c r="Q694" i="3"/>
  <c r="P694" i="3"/>
  <c r="O694" i="3"/>
  <c r="N694" i="3"/>
  <c r="Q695" i="3" l="1"/>
  <c r="O695" i="3"/>
  <c r="N695" i="3"/>
  <c r="P695" i="3"/>
  <c r="L696" i="3"/>
  <c r="J697" i="3"/>
  <c r="J698" i="3" l="1"/>
  <c r="L697" i="3"/>
  <c r="Q696" i="3"/>
  <c r="P696" i="3"/>
  <c r="N696" i="3"/>
  <c r="O696" i="3"/>
  <c r="Q697" i="3" l="1"/>
  <c r="O697" i="3"/>
  <c r="P697" i="3"/>
  <c r="N697" i="3"/>
  <c r="L698" i="3"/>
  <c r="J699" i="3"/>
  <c r="L699" i="3" l="1"/>
  <c r="J700" i="3"/>
  <c r="O698" i="3"/>
  <c r="P698" i="3"/>
  <c r="N698" i="3"/>
  <c r="Q698" i="3"/>
  <c r="J701" i="3" l="1"/>
  <c r="L700" i="3"/>
  <c r="Q699" i="3"/>
  <c r="P699" i="3"/>
  <c r="N699" i="3"/>
  <c r="O699" i="3"/>
  <c r="Q700" i="3" l="1"/>
  <c r="O700" i="3"/>
  <c r="P700" i="3"/>
  <c r="N700" i="3"/>
  <c r="L701" i="3"/>
  <c r="J702" i="3"/>
  <c r="P701" i="3" l="1"/>
  <c r="N701" i="3"/>
  <c r="O701" i="3"/>
  <c r="Q701" i="3"/>
  <c r="J703" i="3"/>
  <c r="L702" i="3"/>
  <c r="N702" i="3" l="1"/>
  <c r="Q702" i="3"/>
  <c r="P702" i="3"/>
  <c r="O702" i="3"/>
  <c r="L703" i="3"/>
  <c r="J704" i="3"/>
  <c r="J705" i="3" l="1"/>
  <c r="L704" i="3"/>
  <c r="O703" i="3"/>
  <c r="P703" i="3"/>
  <c r="Q703" i="3"/>
  <c r="N703" i="3"/>
  <c r="N704" i="3" l="1"/>
  <c r="O704" i="3"/>
  <c r="Q704" i="3"/>
  <c r="P704" i="3"/>
  <c r="J706" i="3"/>
  <c r="L705" i="3"/>
  <c r="Q705" i="3" l="1"/>
  <c r="P705" i="3"/>
  <c r="O705" i="3"/>
  <c r="N705" i="3"/>
  <c r="L706" i="3"/>
  <c r="J707" i="3"/>
  <c r="J708" i="3" l="1"/>
  <c r="L707" i="3"/>
  <c r="N706" i="3"/>
  <c r="P706" i="3"/>
  <c r="O706" i="3"/>
  <c r="Q706" i="3"/>
  <c r="N707" i="3" l="1"/>
  <c r="Q707" i="3"/>
  <c r="O707" i="3"/>
  <c r="P707" i="3"/>
  <c r="L708" i="3"/>
  <c r="J709" i="3"/>
  <c r="L709" i="3" l="1"/>
  <c r="J710" i="3"/>
  <c r="P708" i="3"/>
  <c r="N708" i="3"/>
  <c r="Q708" i="3"/>
  <c r="O708" i="3"/>
  <c r="J711" i="3" l="1"/>
  <c r="L710" i="3"/>
  <c r="N709" i="3"/>
  <c r="O709" i="3"/>
  <c r="P709" i="3"/>
  <c r="Q709" i="3"/>
  <c r="Q710" i="3" l="1"/>
  <c r="P710" i="3"/>
  <c r="N710" i="3"/>
  <c r="O710" i="3"/>
  <c r="J712" i="3"/>
  <c r="L711" i="3"/>
  <c r="Q711" i="3" l="1"/>
  <c r="O711" i="3"/>
  <c r="P711" i="3"/>
  <c r="N711" i="3"/>
  <c r="J713" i="3"/>
  <c r="L712" i="3"/>
  <c r="Q712" i="3" l="1"/>
  <c r="P712" i="3"/>
  <c r="O712" i="3"/>
  <c r="N712" i="3"/>
  <c r="J714" i="3"/>
  <c r="L713" i="3"/>
  <c r="J715" i="3" l="1"/>
  <c r="L714" i="3"/>
  <c r="P713" i="3"/>
  <c r="O713" i="3"/>
  <c r="Q713" i="3"/>
  <c r="N713" i="3"/>
  <c r="O714" i="3" l="1"/>
  <c r="N714" i="3"/>
  <c r="P714" i="3"/>
  <c r="Q714" i="3"/>
  <c r="J716" i="3"/>
  <c r="L715" i="3"/>
  <c r="Q715" i="3" l="1"/>
  <c r="P715" i="3"/>
  <c r="O715" i="3"/>
  <c r="N715" i="3"/>
  <c r="J717" i="3"/>
  <c r="L716" i="3"/>
  <c r="N716" i="3" l="1"/>
  <c r="O716" i="3"/>
  <c r="P716" i="3"/>
  <c r="Q716" i="3"/>
  <c r="J718" i="3"/>
  <c r="L717" i="3"/>
  <c r="O717" i="3" l="1"/>
  <c r="P717" i="3"/>
  <c r="N717" i="3"/>
  <c r="Q717" i="3"/>
  <c r="J719" i="3"/>
  <c r="L718" i="3"/>
  <c r="N718" i="3" l="1"/>
  <c r="Q718" i="3"/>
  <c r="O718" i="3"/>
  <c r="P718" i="3"/>
  <c r="J720" i="3"/>
  <c r="L719" i="3"/>
  <c r="P719" i="3" l="1"/>
  <c r="N719" i="3"/>
  <c r="Q719" i="3"/>
  <c r="O719" i="3"/>
  <c r="L720" i="3"/>
  <c r="J721" i="3"/>
  <c r="L721" i="3" l="1"/>
  <c r="J722" i="3"/>
  <c r="O720" i="3"/>
  <c r="N720" i="3"/>
  <c r="P720" i="3"/>
  <c r="Q720" i="3"/>
  <c r="L722" i="3" l="1"/>
  <c r="J723" i="3"/>
  <c r="N721" i="3"/>
  <c r="Q721" i="3"/>
  <c r="P721" i="3"/>
  <c r="O721" i="3"/>
  <c r="L723" i="3" l="1"/>
  <c r="J724" i="3"/>
  <c r="Q722" i="3"/>
  <c r="P722" i="3"/>
  <c r="N722" i="3"/>
  <c r="O722" i="3"/>
  <c r="J725" i="3" l="1"/>
  <c r="L724" i="3"/>
  <c r="Q723" i="3"/>
  <c r="P723" i="3"/>
  <c r="O723" i="3"/>
  <c r="N723" i="3"/>
  <c r="N724" i="3" l="1"/>
  <c r="O724" i="3"/>
  <c r="Q724" i="3"/>
  <c r="P724" i="3"/>
  <c r="J726" i="3"/>
  <c r="L725" i="3"/>
  <c r="Q725" i="3" l="1"/>
  <c r="P725" i="3"/>
  <c r="O725" i="3"/>
  <c r="N725" i="3"/>
  <c r="J727" i="3"/>
  <c r="L726" i="3"/>
  <c r="Q726" i="3" l="1"/>
  <c r="O726" i="3"/>
  <c r="N726" i="3"/>
  <c r="P726" i="3"/>
  <c r="J728" i="3"/>
  <c r="L727" i="3"/>
  <c r="P727" i="3" l="1"/>
  <c r="N727" i="3"/>
  <c r="Q727" i="3"/>
  <c r="O727" i="3"/>
  <c r="J729" i="3"/>
  <c r="L728" i="3"/>
  <c r="O728" i="3" l="1"/>
  <c r="Q728" i="3"/>
  <c r="P728" i="3"/>
  <c r="N728" i="3"/>
  <c r="L729" i="3"/>
  <c r="J730" i="3"/>
  <c r="L730" i="3" l="1"/>
  <c r="J731" i="3"/>
  <c r="O729" i="3"/>
  <c r="N729" i="3"/>
  <c r="P729" i="3"/>
  <c r="Q729" i="3"/>
  <c r="L731" i="3" l="1"/>
  <c r="J732" i="3"/>
  <c r="P730" i="3"/>
  <c r="O730" i="3"/>
  <c r="N730" i="3"/>
  <c r="Q730" i="3"/>
  <c r="J733" i="3" l="1"/>
  <c r="L732" i="3"/>
  <c r="Q731" i="3"/>
  <c r="P731" i="3"/>
  <c r="O731" i="3"/>
  <c r="N731" i="3"/>
  <c r="Q732" i="3" l="1"/>
  <c r="O732" i="3"/>
  <c r="P732" i="3"/>
  <c r="N732" i="3"/>
  <c r="J734" i="3"/>
  <c r="L733" i="3"/>
  <c r="P733" i="3" l="1"/>
  <c r="Q733" i="3"/>
  <c r="N733" i="3"/>
  <c r="O733" i="3"/>
  <c r="L734" i="3"/>
  <c r="J735" i="3"/>
  <c r="P734" i="3" l="1"/>
  <c r="N734" i="3"/>
  <c r="Q734" i="3"/>
  <c r="O734" i="3"/>
  <c r="L735" i="3"/>
  <c r="J736" i="3"/>
  <c r="J737" i="3" l="1"/>
  <c r="L736" i="3"/>
  <c r="Q735" i="3"/>
  <c r="P735" i="3"/>
  <c r="O735" i="3"/>
  <c r="N735" i="3"/>
  <c r="N736" i="3" l="1"/>
  <c r="P736" i="3"/>
  <c r="Q736" i="3"/>
  <c r="O736" i="3"/>
  <c r="J738" i="3"/>
  <c r="L737" i="3"/>
  <c r="Q737" i="3" l="1"/>
  <c r="P737" i="3"/>
  <c r="O737" i="3"/>
  <c r="N737" i="3"/>
  <c r="L738" i="3"/>
  <c r="J739" i="3"/>
  <c r="Q738" i="3" l="1"/>
  <c r="P738" i="3"/>
  <c r="N738" i="3"/>
  <c r="O738" i="3"/>
  <c r="L739" i="3"/>
  <c r="J740" i="3"/>
  <c r="L740" i="3" l="1"/>
  <c r="J741" i="3"/>
  <c r="N739" i="3"/>
  <c r="O739" i="3"/>
  <c r="Q739" i="3"/>
  <c r="P739" i="3"/>
  <c r="J742" i="3" l="1"/>
  <c r="L741" i="3"/>
  <c r="Q740" i="3"/>
  <c r="N740" i="3"/>
  <c r="O740" i="3"/>
  <c r="P740" i="3"/>
  <c r="Q741" i="3" l="1"/>
  <c r="P741" i="3"/>
  <c r="N741" i="3"/>
  <c r="O741" i="3"/>
  <c r="L742" i="3"/>
  <c r="J743" i="3"/>
  <c r="L743" i="3" l="1"/>
  <c r="J744" i="3"/>
  <c r="O742" i="3"/>
  <c r="Q742" i="3"/>
  <c r="P742" i="3"/>
  <c r="N742" i="3"/>
  <c r="J745" i="3" l="1"/>
  <c r="L744" i="3"/>
  <c r="Q743" i="3"/>
  <c r="O743" i="3"/>
  <c r="P743" i="3"/>
  <c r="N743" i="3"/>
  <c r="N744" i="3" l="1"/>
  <c r="O744" i="3"/>
  <c r="P744" i="3"/>
  <c r="Q744" i="3"/>
  <c r="L745" i="3"/>
  <c r="J746" i="3"/>
  <c r="J747" i="3" l="1"/>
  <c r="L746" i="3"/>
  <c r="O745" i="3"/>
  <c r="Q745" i="3"/>
  <c r="P745" i="3"/>
  <c r="N745" i="3"/>
  <c r="O746" i="3" l="1"/>
  <c r="Q746" i="3"/>
  <c r="P746" i="3"/>
  <c r="N746" i="3"/>
  <c r="J748" i="3"/>
  <c r="L747" i="3"/>
  <c r="N747" i="3" l="1"/>
  <c r="O747" i="3"/>
  <c r="Q747" i="3"/>
  <c r="P747" i="3"/>
  <c r="L748" i="3"/>
  <c r="J749" i="3"/>
  <c r="J750" i="3" l="1"/>
  <c r="L749" i="3"/>
  <c r="O748" i="3"/>
  <c r="P748" i="3"/>
  <c r="Q748" i="3"/>
  <c r="N748" i="3"/>
  <c r="O749" i="3" l="1"/>
  <c r="P749" i="3"/>
  <c r="Q749" i="3"/>
  <c r="N749" i="3"/>
  <c r="L750" i="3"/>
  <c r="J751" i="3"/>
  <c r="J752" i="3" l="1"/>
  <c r="L751" i="3"/>
  <c r="Q750" i="3"/>
  <c r="N750" i="3"/>
  <c r="O750" i="3"/>
  <c r="P750" i="3"/>
  <c r="N751" i="3" l="1"/>
  <c r="P751" i="3"/>
  <c r="Q751" i="3"/>
  <c r="O751" i="3"/>
  <c r="L752" i="3"/>
  <c r="J753" i="3"/>
  <c r="J754" i="3" l="1"/>
  <c r="L753" i="3"/>
  <c r="Q752" i="3"/>
  <c r="P752" i="3"/>
  <c r="N752" i="3"/>
  <c r="O752" i="3"/>
  <c r="P753" i="3" l="1"/>
  <c r="N753" i="3"/>
  <c r="O753" i="3"/>
  <c r="Q753" i="3"/>
  <c r="J755" i="3"/>
  <c r="L754" i="3"/>
  <c r="P754" i="3" l="1"/>
  <c r="O754" i="3"/>
  <c r="N754" i="3"/>
  <c r="Q754" i="3"/>
  <c r="L755" i="3"/>
  <c r="J756" i="3"/>
  <c r="L756" i="3" l="1"/>
  <c r="J757" i="3"/>
  <c r="Q755" i="3"/>
  <c r="P755" i="3"/>
  <c r="N755" i="3"/>
  <c r="O755" i="3"/>
  <c r="J758" i="3" l="1"/>
  <c r="L757" i="3"/>
  <c r="Q756" i="3"/>
  <c r="O756" i="3"/>
  <c r="P756" i="3"/>
  <c r="N756" i="3"/>
  <c r="Q757" i="3" l="1"/>
  <c r="P757" i="3"/>
  <c r="N757" i="3"/>
  <c r="O757" i="3"/>
  <c r="J759" i="3"/>
  <c r="L758" i="3"/>
  <c r="N758" i="3" l="1"/>
  <c r="P758" i="3"/>
  <c r="O758" i="3"/>
  <c r="Q758" i="3"/>
  <c r="J760" i="3"/>
  <c r="L759" i="3"/>
  <c r="P759" i="3" l="1"/>
  <c r="O759" i="3"/>
  <c r="N759" i="3"/>
  <c r="Q759" i="3"/>
  <c r="L760" i="3"/>
  <c r="J761" i="3"/>
  <c r="J762" i="3" l="1"/>
  <c r="L761" i="3"/>
  <c r="Q760" i="3"/>
  <c r="N760" i="3"/>
  <c r="O760" i="3"/>
  <c r="P760" i="3"/>
  <c r="P761" i="3" l="1"/>
  <c r="Q761" i="3"/>
  <c r="N761" i="3"/>
  <c r="O761" i="3"/>
  <c r="J763" i="3"/>
  <c r="L762" i="3"/>
  <c r="Q762" i="3" l="1"/>
  <c r="P762" i="3"/>
  <c r="O762" i="3"/>
  <c r="N762" i="3"/>
  <c r="L763" i="3"/>
  <c r="J764" i="3"/>
  <c r="L764" i="3" l="1"/>
  <c r="J765" i="3"/>
  <c r="Q763" i="3"/>
  <c r="O763" i="3"/>
  <c r="P763" i="3"/>
  <c r="N763" i="3"/>
  <c r="L765" i="3" l="1"/>
  <c r="J766" i="3"/>
  <c r="Q764" i="3"/>
  <c r="P764" i="3"/>
  <c r="O764" i="3"/>
  <c r="N764" i="3"/>
  <c r="J767" i="3" l="1"/>
  <c r="L766" i="3"/>
  <c r="P765" i="3"/>
  <c r="N765" i="3"/>
  <c r="Q765" i="3"/>
  <c r="O765" i="3"/>
  <c r="N766" i="3" l="1"/>
  <c r="O766" i="3"/>
  <c r="P766" i="3"/>
  <c r="Q766" i="3"/>
  <c r="J768" i="3"/>
  <c r="L767" i="3"/>
  <c r="P767" i="3" l="1"/>
  <c r="N767" i="3"/>
  <c r="O767" i="3"/>
  <c r="Q767" i="3"/>
  <c r="J769" i="3"/>
  <c r="L768" i="3"/>
  <c r="J770" i="3" l="1"/>
  <c r="L769" i="3"/>
  <c r="Q768" i="3"/>
  <c r="P768" i="3"/>
  <c r="N768" i="3"/>
  <c r="O768" i="3"/>
  <c r="J771" i="3" l="1"/>
  <c r="L770" i="3"/>
  <c r="P769" i="3"/>
  <c r="O769" i="3"/>
  <c r="Q769" i="3"/>
  <c r="N769" i="3"/>
  <c r="P770" i="3" l="1"/>
  <c r="Q770" i="3"/>
  <c r="O770" i="3"/>
  <c r="N770" i="3"/>
  <c r="L771" i="3"/>
  <c r="J772" i="3"/>
  <c r="O771" i="3" l="1"/>
  <c r="N771" i="3"/>
  <c r="Q771" i="3"/>
  <c r="P771" i="3"/>
  <c r="L772" i="3"/>
  <c r="J773" i="3"/>
  <c r="L773" i="3" l="1"/>
  <c r="J774" i="3"/>
  <c r="Q772" i="3"/>
  <c r="P772" i="3"/>
  <c r="N772" i="3"/>
  <c r="O772" i="3"/>
  <c r="J775" i="3" l="1"/>
  <c r="L774" i="3"/>
  <c r="Q773" i="3"/>
  <c r="P773" i="3"/>
  <c r="N773" i="3"/>
  <c r="O773" i="3"/>
  <c r="Q774" i="3" l="1"/>
  <c r="O774" i="3"/>
  <c r="N774" i="3"/>
  <c r="P774" i="3"/>
  <c r="L775" i="3"/>
  <c r="J776" i="3"/>
  <c r="J777" i="3" l="1"/>
  <c r="L776" i="3"/>
  <c r="Q775" i="3"/>
  <c r="O775" i="3"/>
  <c r="P775" i="3"/>
  <c r="N775" i="3"/>
  <c r="Q776" i="3" l="1"/>
  <c r="P776" i="3"/>
  <c r="N776" i="3"/>
  <c r="O776" i="3"/>
  <c r="J778" i="3"/>
  <c r="L777" i="3"/>
  <c r="O777" i="3" l="1"/>
  <c r="P777" i="3"/>
  <c r="Q777" i="3"/>
  <c r="N777" i="3"/>
  <c r="J779" i="3"/>
  <c r="L778" i="3"/>
  <c r="O778" i="3" l="1"/>
  <c r="N778" i="3"/>
  <c r="Q778" i="3"/>
  <c r="P778" i="3"/>
  <c r="J780" i="3"/>
  <c r="L779" i="3"/>
  <c r="P779" i="3" l="1"/>
  <c r="O779" i="3"/>
  <c r="N779" i="3"/>
  <c r="Q779" i="3"/>
  <c r="J781" i="3"/>
  <c r="L780" i="3"/>
  <c r="J782" i="3" l="1"/>
  <c r="L781" i="3"/>
  <c r="N780" i="3"/>
  <c r="Q780" i="3"/>
  <c r="O780" i="3"/>
  <c r="P780" i="3"/>
  <c r="Q781" i="3" l="1"/>
  <c r="N781" i="3"/>
  <c r="O781" i="3"/>
  <c r="P781" i="3"/>
  <c r="L782" i="3"/>
  <c r="J783" i="3"/>
  <c r="J784" i="3" l="1"/>
  <c r="L783" i="3"/>
  <c r="Q782" i="3"/>
  <c r="N782" i="3"/>
  <c r="P782" i="3"/>
  <c r="O782" i="3"/>
  <c r="Q783" i="3" l="1"/>
  <c r="N783" i="3"/>
  <c r="O783" i="3"/>
  <c r="P783" i="3"/>
  <c r="L784" i="3"/>
  <c r="J785" i="3"/>
  <c r="L785" i="3" l="1"/>
  <c r="J786" i="3"/>
  <c r="O784" i="3"/>
  <c r="N784" i="3"/>
  <c r="P784" i="3"/>
  <c r="Q784" i="3"/>
  <c r="L786" i="3" l="1"/>
  <c r="J787" i="3"/>
  <c r="N785" i="3"/>
  <c r="Q785" i="3"/>
  <c r="P785" i="3"/>
  <c r="O785" i="3"/>
  <c r="J788" i="3" l="1"/>
  <c r="L787" i="3"/>
  <c r="O786" i="3"/>
  <c r="Q786" i="3"/>
  <c r="P786" i="3"/>
  <c r="N786" i="3"/>
  <c r="N787" i="3" l="1"/>
  <c r="O787" i="3"/>
  <c r="Q787" i="3"/>
  <c r="P787" i="3"/>
  <c r="J789" i="3"/>
  <c r="L788" i="3"/>
  <c r="N788" i="3" l="1"/>
  <c r="P788" i="3"/>
  <c r="Q788" i="3"/>
  <c r="O788" i="3"/>
  <c r="L789" i="3"/>
  <c r="J790" i="3"/>
  <c r="J791" i="3" l="1"/>
  <c r="L790" i="3"/>
  <c r="P789" i="3"/>
  <c r="O789" i="3"/>
  <c r="N789" i="3"/>
  <c r="Q789" i="3"/>
  <c r="Q790" i="3" l="1"/>
  <c r="P790" i="3"/>
  <c r="O790" i="3"/>
  <c r="N790" i="3"/>
  <c r="L791" i="3"/>
  <c r="J792" i="3"/>
  <c r="O791" i="3" l="1"/>
  <c r="P791" i="3"/>
  <c r="N791" i="3"/>
  <c r="Q791" i="3"/>
  <c r="L792" i="3"/>
  <c r="J793" i="3"/>
  <c r="J794" i="3" l="1"/>
  <c r="L793" i="3"/>
  <c r="Q792" i="3"/>
  <c r="O792" i="3"/>
  <c r="N792" i="3"/>
  <c r="P792" i="3"/>
  <c r="P793" i="3" l="1"/>
  <c r="N793" i="3"/>
  <c r="Q793" i="3"/>
  <c r="O793" i="3"/>
  <c r="J795" i="3"/>
  <c r="L794" i="3"/>
  <c r="Q794" i="3" l="1"/>
  <c r="O794" i="3"/>
  <c r="P794" i="3"/>
  <c r="N794" i="3"/>
  <c r="L795" i="3"/>
  <c r="J796" i="3"/>
  <c r="J797" i="3" l="1"/>
  <c r="L796" i="3"/>
  <c r="Q795" i="3"/>
  <c r="P795" i="3"/>
  <c r="O795" i="3"/>
  <c r="N795" i="3"/>
  <c r="Q796" i="3" l="1"/>
  <c r="O796" i="3"/>
  <c r="P796" i="3"/>
  <c r="N796" i="3"/>
  <c r="J798" i="3"/>
  <c r="L797" i="3"/>
  <c r="L798" i="3" l="1"/>
  <c r="J799" i="3"/>
  <c r="P797" i="3"/>
  <c r="N797" i="3"/>
  <c r="Q797" i="3"/>
  <c r="O797" i="3"/>
  <c r="L799" i="3" l="1"/>
  <c r="J800" i="3"/>
  <c r="Q798" i="3"/>
  <c r="O798" i="3"/>
  <c r="N798" i="3"/>
  <c r="P798" i="3"/>
  <c r="L800" i="3" l="1"/>
  <c r="J801" i="3"/>
  <c r="O799" i="3"/>
  <c r="N799" i="3"/>
  <c r="Q799" i="3"/>
  <c r="P799" i="3"/>
  <c r="L801" i="3" l="1"/>
  <c r="J802" i="3"/>
  <c r="Q800" i="3"/>
  <c r="N800" i="3"/>
  <c r="P800" i="3"/>
  <c r="O800" i="3"/>
  <c r="L802" i="3" l="1"/>
  <c r="J803" i="3"/>
  <c r="P801" i="3"/>
  <c r="N801" i="3"/>
  <c r="Q801" i="3"/>
  <c r="O801" i="3"/>
  <c r="L803" i="3" l="1"/>
  <c r="J804" i="3"/>
  <c r="Q802" i="3"/>
  <c r="O802" i="3"/>
  <c r="N802" i="3"/>
  <c r="P802" i="3"/>
  <c r="J805" i="3" l="1"/>
  <c r="L804" i="3"/>
  <c r="O803" i="3"/>
  <c r="P803" i="3"/>
  <c r="N803" i="3"/>
  <c r="Q803" i="3"/>
  <c r="P804" i="3" l="1"/>
  <c r="N804" i="3"/>
  <c r="O804" i="3"/>
  <c r="Q804" i="3"/>
  <c r="J806" i="3"/>
  <c r="L805" i="3"/>
  <c r="Q805" i="3" l="1"/>
  <c r="P805" i="3"/>
  <c r="N805" i="3"/>
  <c r="O805" i="3"/>
  <c r="J807" i="3"/>
  <c r="L806" i="3"/>
  <c r="P806" i="3" l="1"/>
  <c r="O806" i="3"/>
  <c r="Q806" i="3"/>
  <c r="N806" i="3"/>
  <c r="L807" i="3"/>
  <c r="J808" i="3"/>
  <c r="L808" i="3" l="1"/>
  <c r="J809" i="3"/>
  <c r="Q807" i="3"/>
  <c r="O807" i="3"/>
  <c r="N807" i="3"/>
  <c r="P807" i="3"/>
  <c r="L809" i="3" l="1"/>
  <c r="J810" i="3"/>
  <c r="N808" i="3"/>
  <c r="O808" i="3"/>
  <c r="P808" i="3"/>
  <c r="Q808" i="3"/>
  <c r="L810" i="3" l="1"/>
  <c r="J811" i="3"/>
  <c r="O809" i="3"/>
  <c r="P809" i="3"/>
  <c r="Q809" i="3"/>
  <c r="N809" i="3"/>
  <c r="J812" i="3" l="1"/>
  <c r="L811" i="3"/>
  <c r="P810" i="3"/>
  <c r="N810" i="3"/>
  <c r="O810" i="3"/>
  <c r="Q810" i="3"/>
  <c r="P811" i="3" l="1"/>
  <c r="N811" i="3"/>
  <c r="O811" i="3"/>
  <c r="Q811" i="3"/>
  <c r="L812" i="3"/>
  <c r="J813" i="3"/>
  <c r="N812" i="3" l="1"/>
  <c r="O812" i="3"/>
  <c r="P812" i="3"/>
  <c r="Q812" i="3"/>
  <c r="J814" i="3"/>
  <c r="L813" i="3"/>
  <c r="P813" i="3" l="1"/>
  <c r="O813" i="3"/>
  <c r="Q813" i="3"/>
  <c r="N813" i="3"/>
  <c r="J815" i="3"/>
  <c r="L814" i="3"/>
  <c r="O814" i="3" l="1"/>
  <c r="P814" i="3"/>
  <c r="N814" i="3"/>
  <c r="Q814" i="3"/>
  <c r="J816" i="3"/>
  <c r="L815" i="3"/>
  <c r="N815" i="3" l="1"/>
  <c r="O815" i="3"/>
  <c r="Q815" i="3"/>
  <c r="P815" i="3"/>
  <c r="L816" i="3"/>
  <c r="J817" i="3"/>
  <c r="J818" i="3" l="1"/>
  <c r="L817" i="3"/>
  <c r="O816" i="3"/>
  <c r="Q816" i="3"/>
  <c r="P816" i="3"/>
  <c r="N816" i="3"/>
  <c r="Q817" i="3" l="1"/>
  <c r="P817" i="3"/>
  <c r="O817" i="3"/>
  <c r="N817" i="3"/>
  <c r="L818" i="3"/>
  <c r="J819" i="3"/>
  <c r="J820" i="3" l="1"/>
  <c r="L819" i="3"/>
  <c r="Q818" i="3"/>
  <c r="O818" i="3"/>
  <c r="N818" i="3"/>
  <c r="P818" i="3"/>
  <c r="Q819" i="3" l="1"/>
  <c r="P819" i="3"/>
  <c r="O819" i="3"/>
  <c r="N819" i="3"/>
  <c r="L820" i="3"/>
  <c r="J821" i="3"/>
  <c r="L821" i="3" l="1"/>
  <c r="J822" i="3"/>
  <c r="Q820" i="3"/>
  <c r="N820" i="3"/>
  <c r="P820" i="3"/>
  <c r="O820" i="3"/>
  <c r="L822" i="3" l="1"/>
  <c r="J823" i="3"/>
  <c r="Q821" i="3"/>
  <c r="P821" i="3"/>
  <c r="N821" i="3"/>
  <c r="O821" i="3"/>
  <c r="L823" i="3" l="1"/>
  <c r="J824" i="3"/>
  <c r="Q822" i="3"/>
  <c r="N822" i="3"/>
  <c r="P822" i="3"/>
  <c r="O822" i="3"/>
  <c r="J825" i="3" l="1"/>
  <c r="L824" i="3"/>
  <c r="P823" i="3"/>
  <c r="O823" i="3"/>
  <c r="N823" i="3"/>
  <c r="Q823" i="3"/>
  <c r="Q824" i="3" l="1"/>
  <c r="P824" i="3"/>
  <c r="N824" i="3"/>
  <c r="O824" i="3"/>
  <c r="L825" i="3"/>
  <c r="J826" i="3"/>
  <c r="J827" i="3" l="1"/>
  <c r="L826" i="3"/>
  <c r="P825" i="3"/>
  <c r="Q825" i="3"/>
  <c r="N825" i="3"/>
  <c r="O825" i="3"/>
  <c r="Q826" i="3" l="1"/>
  <c r="O826" i="3"/>
  <c r="N826" i="3"/>
  <c r="P826" i="3"/>
  <c r="L827" i="3"/>
  <c r="J828" i="3"/>
  <c r="L828" i="3" l="1"/>
  <c r="J829" i="3"/>
  <c r="O827" i="3"/>
  <c r="N827" i="3"/>
  <c r="Q827" i="3"/>
  <c r="P827" i="3"/>
  <c r="L829" i="3" l="1"/>
  <c r="J830" i="3"/>
  <c r="Q828" i="3"/>
  <c r="O828" i="3"/>
  <c r="P828" i="3"/>
  <c r="N828" i="3"/>
  <c r="L830" i="3" l="1"/>
  <c r="J831" i="3"/>
  <c r="P829" i="3"/>
  <c r="N829" i="3"/>
  <c r="Q829" i="3"/>
  <c r="O829" i="3"/>
  <c r="J832" i="3" l="1"/>
  <c r="L831" i="3"/>
  <c r="Q830" i="3"/>
  <c r="O830" i="3"/>
  <c r="P830" i="3"/>
  <c r="N830" i="3"/>
  <c r="Q831" i="3" l="1"/>
  <c r="P831" i="3"/>
  <c r="O831" i="3"/>
  <c r="N831" i="3"/>
  <c r="L832" i="3"/>
  <c r="J833" i="3"/>
  <c r="J834" i="3" l="1"/>
  <c r="L833" i="3"/>
  <c r="Q832" i="3"/>
  <c r="O832" i="3"/>
  <c r="N832" i="3"/>
  <c r="P832" i="3"/>
  <c r="P833" i="3" l="1"/>
  <c r="O833" i="3"/>
  <c r="N833" i="3"/>
  <c r="Q833" i="3"/>
  <c r="L834" i="3"/>
  <c r="J835" i="3"/>
  <c r="L835" i="3" l="1"/>
  <c r="J836" i="3"/>
  <c r="Q834" i="3"/>
  <c r="P834" i="3"/>
  <c r="O834" i="3"/>
  <c r="N834" i="3"/>
  <c r="L836" i="3" l="1"/>
  <c r="J837" i="3"/>
  <c r="O835" i="3"/>
  <c r="P835" i="3"/>
  <c r="N835" i="3"/>
  <c r="Q835" i="3"/>
  <c r="J838" i="3" l="1"/>
  <c r="L837" i="3"/>
  <c r="P836" i="3"/>
  <c r="Q836" i="3"/>
  <c r="O836" i="3"/>
  <c r="N836" i="3"/>
  <c r="O837" i="3" l="1"/>
  <c r="Q837" i="3"/>
  <c r="P837" i="3"/>
  <c r="N837" i="3"/>
  <c r="J839" i="3"/>
  <c r="L838" i="3"/>
  <c r="N838" i="3" l="1"/>
  <c r="O838" i="3"/>
  <c r="Q838" i="3"/>
  <c r="P838" i="3"/>
  <c r="L839" i="3"/>
  <c r="J840" i="3"/>
  <c r="L840" i="3" l="1"/>
  <c r="J841" i="3"/>
  <c r="O839" i="3"/>
  <c r="P839" i="3"/>
  <c r="N839" i="3"/>
  <c r="Q839" i="3"/>
  <c r="L841" i="3" l="1"/>
  <c r="J842" i="3"/>
  <c r="Q840" i="3"/>
  <c r="P840" i="3"/>
  <c r="O840" i="3"/>
  <c r="N840" i="3"/>
  <c r="J843" i="3" l="1"/>
  <c r="L842" i="3"/>
  <c r="P841" i="3"/>
  <c r="N841" i="3"/>
  <c r="O841" i="3"/>
  <c r="Q841" i="3"/>
  <c r="Q842" i="3" l="1"/>
  <c r="P842" i="3"/>
  <c r="O842" i="3"/>
  <c r="N842" i="3"/>
  <c r="L843" i="3"/>
  <c r="J844" i="3"/>
  <c r="L844" i="3" l="1"/>
  <c r="J845" i="3"/>
  <c r="Q843" i="3"/>
  <c r="O843" i="3"/>
  <c r="N843" i="3"/>
  <c r="P843" i="3"/>
  <c r="J846" i="3" l="1"/>
  <c r="L845" i="3"/>
  <c r="O844" i="3"/>
  <c r="Q844" i="3"/>
  <c r="P844" i="3"/>
  <c r="N844" i="3"/>
  <c r="Q845" i="3" l="1"/>
  <c r="P845" i="3"/>
  <c r="N845" i="3"/>
  <c r="O845" i="3"/>
  <c r="L846" i="3"/>
  <c r="J847" i="3"/>
  <c r="J848" i="3" l="1"/>
  <c r="L847" i="3"/>
  <c r="O846" i="3"/>
  <c r="N846" i="3"/>
  <c r="P846" i="3"/>
  <c r="Q846" i="3"/>
  <c r="Q847" i="3" l="1"/>
  <c r="P847" i="3"/>
  <c r="O847" i="3"/>
  <c r="N847" i="3"/>
  <c r="L848" i="3"/>
  <c r="J849" i="3"/>
  <c r="J850" i="3" l="1"/>
  <c r="L849" i="3"/>
  <c r="Q848" i="3"/>
  <c r="P848" i="3"/>
  <c r="N848" i="3"/>
  <c r="O848" i="3"/>
  <c r="O849" i="3" l="1"/>
  <c r="N849" i="3"/>
  <c r="Q849" i="3"/>
  <c r="P849" i="3"/>
  <c r="J851" i="3"/>
  <c r="L850" i="3"/>
  <c r="P850" i="3" l="1"/>
  <c r="N850" i="3"/>
  <c r="O850" i="3"/>
  <c r="Q850" i="3"/>
  <c r="L851" i="3"/>
  <c r="J852" i="3"/>
  <c r="L852" i="3" l="1"/>
  <c r="J853" i="3"/>
  <c r="Q851" i="3"/>
  <c r="P851" i="3"/>
  <c r="N851" i="3"/>
  <c r="O851" i="3"/>
  <c r="Q852" i="3" l="1"/>
  <c r="P852" i="3"/>
  <c r="O852" i="3"/>
  <c r="N852" i="3"/>
  <c r="L853" i="3"/>
  <c r="J854" i="3"/>
  <c r="J855" i="3" l="1"/>
  <c r="L854" i="3"/>
  <c r="Q853" i="3"/>
  <c r="P853" i="3"/>
  <c r="N853" i="3"/>
  <c r="O853" i="3"/>
  <c r="Q854" i="3" l="1"/>
  <c r="N854" i="3"/>
  <c r="P854" i="3"/>
  <c r="O854" i="3"/>
  <c r="L855" i="3"/>
  <c r="J856" i="3"/>
  <c r="Q855" i="3" l="1"/>
  <c r="O855" i="3"/>
  <c r="P855" i="3"/>
  <c r="N855" i="3"/>
  <c r="J857" i="3"/>
  <c r="L856" i="3"/>
  <c r="Q856" i="3" l="1"/>
  <c r="P856" i="3"/>
  <c r="O856" i="3"/>
  <c r="N856" i="3"/>
  <c r="J858" i="3"/>
  <c r="L857" i="3"/>
  <c r="Q857" i="3" l="1"/>
  <c r="N857" i="3"/>
  <c r="O857" i="3"/>
  <c r="P857" i="3"/>
  <c r="J859" i="3"/>
  <c r="L858" i="3"/>
  <c r="Q858" i="3" l="1"/>
  <c r="O858" i="3"/>
  <c r="N858" i="3"/>
  <c r="P858" i="3"/>
  <c r="L859" i="3"/>
  <c r="J860" i="3"/>
  <c r="L860" i="3" l="1"/>
  <c r="J861" i="3"/>
  <c r="Q859" i="3"/>
  <c r="O859" i="3"/>
  <c r="P859" i="3"/>
  <c r="N859" i="3"/>
  <c r="L861" i="3" l="1"/>
  <c r="J862" i="3"/>
  <c r="Q860" i="3"/>
  <c r="O860" i="3"/>
  <c r="P860" i="3"/>
  <c r="N860" i="3"/>
  <c r="L862" i="3" l="1"/>
  <c r="J863" i="3"/>
  <c r="P861" i="3"/>
  <c r="O861" i="3"/>
  <c r="N861" i="3"/>
  <c r="Q861" i="3"/>
  <c r="L863" i="3" l="1"/>
  <c r="J864" i="3"/>
  <c r="Q862" i="3"/>
  <c r="N862" i="3"/>
  <c r="O862" i="3"/>
  <c r="P862" i="3"/>
  <c r="L864" i="3" l="1"/>
  <c r="J865" i="3"/>
  <c r="P863" i="3"/>
  <c r="O863" i="3"/>
  <c r="N863" i="3"/>
  <c r="Q863" i="3"/>
  <c r="L865" i="3" l="1"/>
  <c r="J866" i="3"/>
  <c r="Q864" i="3"/>
  <c r="O864" i="3"/>
  <c r="P864" i="3"/>
  <c r="N864" i="3"/>
  <c r="J867" i="3" l="1"/>
  <c r="L866" i="3"/>
  <c r="O865" i="3"/>
  <c r="P865" i="3"/>
  <c r="Q865" i="3"/>
  <c r="N865" i="3"/>
  <c r="N866" i="3" l="1"/>
  <c r="Q866" i="3"/>
  <c r="O866" i="3"/>
  <c r="P866" i="3"/>
  <c r="J868" i="3"/>
  <c r="L867" i="3"/>
  <c r="N867" i="3" l="1"/>
  <c r="O867" i="3"/>
  <c r="Q867" i="3"/>
  <c r="P867" i="3"/>
  <c r="L868" i="3"/>
  <c r="J869" i="3"/>
  <c r="J870" i="3" l="1"/>
  <c r="L869" i="3"/>
  <c r="Q868" i="3"/>
  <c r="N868" i="3"/>
  <c r="O868" i="3"/>
  <c r="P868" i="3"/>
  <c r="Q869" i="3" l="1"/>
  <c r="O869" i="3"/>
  <c r="P869" i="3"/>
  <c r="N869" i="3"/>
  <c r="J871" i="3"/>
  <c r="L870" i="3"/>
  <c r="Q870" i="3" l="1"/>
  <c r="P870" i="3"/>
  <c r="O870" i="3"/>
  <c r="N870" i="3"/>
  <c r="J872" i="3"/>
  <c r="L871" i="3"/>
  <c r="P871" i="3" l="1"/>
  <c r="O871" i="3"/>
  <c r="N871" i="3"/>
  <c r="Q871" i="3"/>
  <c r="J873" i="3"/>
  <c r="L872" i="3"/>
  <c r="J874" i="3" l="1"/>
  <c r="L873" i="3"/>
  <c r="P872" i="3"/>
  <c r="N872" i="3"/>
  <c r="O872" i="3"/>
  <c r="Q872" i="3"/>
  <c r="P873" i="3" l="1"/>
  <c r="O873" i="3"/>
  <c r="Q873" i="3"/>
  <c r="N873" i="3"/>
  <c r="L874" i="3"/>
  <c r="J875" i="3"/>
  <c r="J876" i="3" l="1"/>
  <c r="L875" i="3"/>
  <c r="Q874" i="3"/>
  <c r="O874" i="3"/>
  <c r="P874" i="3"/>
  <c r="N874" i="3"/>
  <c r="P875" i="3" l="1"/>
  <c r="N875" i="3"/>
  <c r="O875" i="3"/>
  <c r="Q875" i="3"/>
  <c r="L876" i="3"/>
  <c r="J877" i="3"/>
  <c r="J878" i="3" l="1"/>
  <c r="L877" i="3"/>
  <c r="O876" i="3"/>
  <c r="P876" i="3"/>
  <c r="Q876" i="3"/>
  <c r="N876" i="3"/>
  <c r="N877" i="3" l="1"/>
  <c r="P877" i="3"/>
  <c r="Q877" i="3"/>
  <c r="O877" i="3"/>
  <c r="L878" i="3"/>
  <c r="J879" i="3"/>
  <c r="J880" i="3" l="1"/>
  <c r="L879" i="3"/>
  <c r="O878" i="3"/>
  <c r="P878" i="3"/>
  <c r="N878" i="3"/>
  <c r="Q878" i="3"/>
  <c r="O879" i="3" l="1"/>
  <c r="N879" i="3"/>
  <c r="Q879" i="3"/>
  <c r="P879" i="3"/>
  <c r="J881" i="3"/>
  <c r="L880" i="3"/>
  <c r="Q880" i="3" l="1"/>
  <c r="P880" i="3"/>
  <c r="O880" i="3"/>
  <c r="N880" i="3"/>
  <c r="L881" i="3"/>
  <c r="J882" i="3"/>
  <c r="L882" i="3" l="1"/>
  <c r="J883" i="3"/>
  <c r="Q881" i="3"/>
  <c r="P881" i="3"/>
  <c r="O881" i="3"/>
  <c r="N881" i="3"/>
  <c r="L883" i="3" l="1"/>
  <c r="J884" i="3"/>
  <c r="Q882" i="3"/>
  <c r="P882" i="3"/>
  <c r="N882" i="3"/>
  <c r="O882" i="3"/>
  <c r="L884" i="3" l="1"/>
  <c r="J885" i="3"/>
  <c r="P883" i="3"/>
  <c r="Q883" i="3"/>
  <c r="N883" i="3"/>
  <c r="O883" i="3"/>
  <c r="J886" i="3" l="1"/>
  <c r="L885" i="3"/>
  <c r="Q884" i="3"/>
  <c r="P884" i="3"/>
  <c r="N884" i="3"/>
  <c r="O884" i="3"/>
  <c r="N885" i="3" l="1"/>
  <c r="O885" i="3"/>
  <c r="P885" i="3"/>
  <c r="Q885" i="3"/>
  <c r="L886" i="3"/>
  <c r="J887" i="3"/>
  <c r="J888" i="3" l="1"/>
  <c r="L887" i="3"/>
  <c r="Q886" i="3"/>
  <c r="N886" i="3"/>
  <c r="P886" i="3"/>
  <c r="O886" i="3"/>
  <c r="O887" i="3" l="1"/>
  <c r="P887" i="3"/>
  <c r="N887" i="3"/>
  <c r="Q887" i="3"/>
  <c r="J889" i="3"/>
  <c r="L888" i="3"/>
  <c r="Q888" i="3" l="1"/>
  <c r="N888" i="3"/>
  <c r="O888" i="3"/>
  <c r="P888" i="3"/>
  <c r="J890" i="3"/>
  <c r="L889" i="3"/>
  <c r="N889" i="3" l="1"/>
  <c r="O889" i="3"/>
  <c r="P889" i="3"/>
  <c r="Q889" i="3"/>
  <c r="J891" i="3"/>
  <c r="L890" i="3"/>
  <c r="P890" i="3" l="1"/>
  <c r="N890" i="3"/>
  <c r="Q890" i="3"/>
  <c r="O890" i="3"/>
  <c r="L891" i="3"/>
  <c r="J892" i="3"/>
  <c r="L892" i="3" l="1"/>
  <c r="J893" i="3"/>
  <c r="Q891" i="3"/>
  <c r="P891" i="3"/>
  <c r="O891" i="3"/>
  <c r="N891" i="3"/>
  <c r="J894" i="3" l="1"/>
  <c r="L893" i="3"/>
  <c r="P892" i="3"/>
  <c r="O892" i="3"/>
  <c r="Q892" i="3"/>
  <c r="N892" i="3"/>
  <c r="P893" i="3" l="1"/>
  <c r="N893" i="3"/>
  <c r="Q893" i="3"/>
  <c r="O893" i="3"/>
  <c r="J895" i="3"/>
  <c r="L894" i="3"/>
  <c r="Q894" i="3" l="1"/>
  <c r="O894" i="3"/>
  <c r="N894" i="3"/>
  <c r="P894" i="3"/>
  <c r="L895" i="3"/>
  <c r="J896" i="3"/>
  <c r="L896" i="3" l="1"/>
  <c r="J897" i="3"/>
  <c r="O895" i="3"/>
  <c r="Q895" i="3"/>
  <c r="N895" i="3"/>
  <c r="P895" i="3"/>
  <c r="J898" i="3" l="1"/>
  <c r="L897" i="3"/>
  <c r="Q896" i="3"/>
  <c r="P896" i="3"/>
  <c r="N896" i="3"/>
  <c r="O896" i="3"/>
  <c r="P897" i="3" l="1"/>
  <c r="O897" i="3"/>
  <c r="N897" i="3"/>
  <c r="Q897" i="3"/>
  <c r="J899" i="3"/>
  <c r="L898" i="3"/>
  <c r="O898" i="3" l="1"/>
  <c r="Q898" i="3"/>
  <c r="P898" i="3"/>
  <c r="N898" i="3"/>
  <c r="L899" i="3"/>
  <c r="J900" i="3"/>
  <c r="J901" i="3" l="1"/>
  <c r="L900" i="3"/>
  <c r="P899" i="3"/>
  <c r="N899" i="3"/>
  <c r="O899" i="3"/>
  <c r="Q899" i="3"/>
  <c r="N900" i="3" l="1"/>
  <c r="P900" i="3"/>
  <c r="Q900" i="3"/>
  <c r="O900" i="3"/>
  <c r="J902" i="3"/>
  <c r="L901" i="3"/>
  <c r="O901" i="3" l="1"/>
  <c r="Q901" i="3"/>
  <c r="N901" i="3"/>
  <c r="P901" i="3"/>
  <c r="L902" i="3"/>
  <c r="J903" i="3"/>
  <c r="L903" i="3" l="1"/>
  <c r="J904" i="3"/>
  <c r="Q902" i="3"/>
  <c r="P902" i="3"/>
  <c r="O902" i="3"/>
  <c r="N902" i="3"/>
  <c r="L904" i="3" l="1"/>
  <c r="J905" i="3"/>
  <c r="O903" i="3"/>
  <c r="Q903" i="3"/>
  <c r="P903" i="3"/>
  <c r="N903" i="3"/>
  <c r="J906" i="3" l="1"/>
  <c r="L905" i="3"/>
  <c r="Q904" i="3"/>
  <c r="P904" i="3"/>
  <c r="O904" i="3"/>
  <c r="N904" i="3"/>
  <c r="P905" i="3" l="1"/>
  <c r="N905" i="3"/>
  <c r="Q905" i="3"/>
  <c r="O905" i="3"/>
  <c r="J907" i="3"/>
  <c r="L906" i="3"/>
  <c r="N906" i="3" l="1"/>
  <c r="O906" i="3"/>
  <c r="Q906" i="3"/>
  <c r="P906" i="3"/>
  <c r="L907" i="3"/>
  <c r="J908" i="3"/>
  <c r="J909" i="3" l="1"/>
  <c r="L908" i="3"/>
  <c r="Q907" i="3"/>
  <c r="O907" i="3"/>
  <c r="N907" i="3"/>
  <c r="P907" i="3"/>
  <c r="N908" i="3" l="1"/>
  <c r="O908" i="3"/>
  <c r="Q908" i="3"/>
  <c r="P908" i="3"/>
  <c r="J910" i="3"/>
  <c r="L909" i="3"/>
  <c r="O909" i="3" l="1"/>
  <c r="P909" i="3"/>
  <c r="N909" i="3"/>
  <c r="Q909" i="3"/>
  <c r="L910" i="3"/>
  <c r="J911" i="3"/>
  <c r="J912" i="3" l="1"/>
  <c r="L911" i="3"/>
  <c r="O910" i="3"/>
  <c r="P910" i="3"/>
  <c r="Q910" i="3"/>
  <c r="N910" i="3"/>
  <c r="Q911" i="3" l="1"/>
  <c r="N911" i="3"/>
  <c r="O911" i="3"/>
  <c r="P911" i="3"/>
  <c r="L912" i="3"/>
  <c r="J913" i="3"/>
  <c r="L913" i="3" l="1"/>
  <c r="J914" i="3"/>
  <c r="Q912" i="3"/>
  <c r="N912" i="3"/>
  <c r="O912" i="3"/>
  <c r="P912" i="3"/>
  <c r="L914" i="3" l="1"/>
  <c r="J915" i="3"/>
  <c r="N913" i="3"/>
  <c r="O913" i="3"/>
  <c r="P913" i="3"/>
  <c r="Q913" i="3"/>
  <c r="L915" i="3" l="1"/>
  <c r="J916" i="3"/>
  <c r="O914" i="3"/>
  <c r="Q914" i="3"/>
  <c r="P914" i="3"/>
  <c r="N914" i="3"/>
  <c r="L916" i="3" l="1"/>
  <c r="J917" i="3"/>
  <c r="Q915" i="3"/>
  <c r="O915" i="3"/>
  <c r="P915" i="3"/>
  <c r="N915" i="3"/>
  <c r="J918" i="3" l="1"/>
  <c r="L917" i="3"/>
  <c r="N916" i="3"/>
  <c r="O916" i="3"/>
  <c r="P916" i="3"/>
  <c r="Q916" i="3"/>
  <c r="N917" i="3" l="1"/>
  <c r="P917" i="3"/>
  <c r="O917" i="3"/>
  <c r="Q917" i="3"/>
  <c r="L918" i="3"/>
  <c r="J919" i="3"/>
  <c r="L919" i="3" l="1"/>
  <c r="J920" i="3"/>
  <c r="N918" i="3"/>
  <c r="Q918" i="3"/>
  <c r="P918" i="3"/>
  <c r="O918" i="3"/>
  <c r="L920" i="3" l="1"/>
  <c r="J921" i="3"/>
  <c r="Q919" i="3"/>
  <c r="P919" i="3"/>
  <c r="N919" i="3"/>
  <c r="O919" i="3"/>
  <c r="J922" i="3" l="1"/>
  <c r="L921" i="3"/>
  <c r="P920" i="3"/>
  <c r="Q920" i="3"/>
  <c r="O920" i="3"/>
  <c r="N920" i="3"/>
  <c r="N921" i="3" l="1"/>
  <c r="Q921" i="3"/>
  <c r="O921" i="3"/>
  <c r="P921" i="3"/>
  <c r="J923" i="3"/>
  <c r="L922" i="3"/>
  <c r="O922" i="3" l="1"/>
  <c r="Q922" i="3"/>
  <c r="N922" i="3"/>
  <c r="P922" i="3"/>
  <c r="L923" i="3"/>
  <c r="J924" i="3"/>
  <c r="J925" i="3" l="1"/>
  <c r="L924" i="3"/>
  <c r="Q923" i="3"/>
  <c r="O923" i="3"/>
  <c r="N923" i="3"/>
  <c r="P923" i="3"/>
  <c r="Q924" i="3" l="1"/>
  <c r="O924" i="3"/>
  <c r="N924" i="3"/>
  <c r="P924" i="3"/>
  <c r="J926" i="3"/>
  <c r="L925" i="3"/>
  <c r="P925" i="3" l="1"/>
  <c r="N925" i="3"/>
  <c r="Q925" i="3"/>
  <c r="O925" i="3"/>
  <c r="L926" i="3"/>
  <c r="J927" i="3"/>
  <c r="J928" i="3" l="1"/>
  <c r="L927" i="3"/>
  <c r="O926" i="3"/>
  <c r="P926" i="3"/>
  <c r="N926" i="3"/>
  <c r="Q926" i="3"/>
  <c r="P927" i="3" l="1"/>
  <c r="O927" i="3"/>
  <c r="N927" i="3"/>
  <c r="Q927" i="3"/>
  <c r="L928" i="3"/>
  <c r="J929" i="3"/>
  <c r="L929" i="3" l="1"/>
  <c r="J930" i="3"/>
  <c r="P928" i="3"/>
  <c r="O928" i="3"/>
  <c r="Q928" i="3"/>
  <c r="N928" i="3"/>
  <c r="J931" i="3" l="1"/>
  <c r="L930" i="3"/>
  <c r="P929" i="3"/>
  <c r="O929" i="3"/>
  <c r="N929" i="3"/>
  <c r="Q929" i="3"/>
  <c r="P930" i="3" l="1"/>
  <c r="N930" i="3"/>
  <c r="O930" i="3"/>
  <c r="Q930" i="3"/>
  <c r="L931" i="3"/>
  <c r="J932" i="3"/>
  <c r="L932" i="3" l="1"/>
  <c r="J933" i="3"/>
  <c r="P931" i="3"/>
  <c r="O931" i="3"/>
  <c r="N931" i="3"/>
  <c r="Q931" i="3"/>
  <c r="L933" i="3" l="1"/>
  <c r="J934" i="3"/>
  <c r="P932" i="3"/>
  <c r="O932" i="3"/>
  <c r="N932" i="3"/>
  <c r="Q932" i="3"/>
  <c r="L934" i="3" l="1"/>
  <c r="J935" i="3"/>
  <c r="N933" i="3"/>
  <c r="P933" i="3"/>
  <c r="O933" i="3"/>
  <c r="Q933" i="3"/>
  <c r="L935" i="3" l="1"/>
  <c r="J936" i="3"/>
  <c r="P934" i="3"/>
  <c r="O934" i="3"/>
  <c r="Q934" i="3"/>
  <c r="N934" i="3"/>
  <c r="J937" i="3" l="1"/>
  <c r="L936" i="3"/>
  <c r="Q935" i="3"/>
  <c r="P935" i="3"/>
  <c r="O935" i="3"/>
  <c r="N935" i="3"/>
  <c r="P936" i="3" l="1"/>
  <c r="O936" i="3"/>
  <c r="Q936" i="3"/>
  <c r="N936" i="3"/>
  <c r="L937" i="3"/>
  <c r="J938" i="3"/>
  <c r="L938" i="3" l="1"/>
  <c r="J939" i="3"/>
  <c r="N937" i="3"/>
  <c r="O937" i="3"/>
  <c r="Q937" i="3"/>
  <c r="P937" i="3"/>
  <c r="L939" i="3" l="1"/>
  <c r="J940" i="3"/>
  <c r="Q938" i="3"/>
  <c r="P938" i="3"/>
  <c r="O938" i="3"/>
  <c r="N938" i="3"/>
  <c r="L940" i="3" l="1"/>
  <c r="J941" i="3"/>
  <c r="N939" i="3"/>
  <c r="Q939" i="3"/>
  <c r="O939" i="3"/>
  <c r="P939" i="3"/>
  <c r="J942" i="3" l="1"/>
  <c r="L941" i="3"/>
  <c r="P940" i="3"/>
  <c r="N940" i="3"/>
  <c r="O940" i="3"/>
  <c r="Q940" i="3"/>
  <c r="Q941" i="3" l="1"/>
  <c r="O941" i="3"/>
  <c r="P941" i="3"/>
  <c r="N941" i="3"/>
  <c r="L942" i="3"/>
  <c r="J943" i="3"/>
  <c r="J944" i="3" l="1"/>
  <c r="L943" i="3"/>
  <c r="O942" i="3"/>
  <c r="P942" i="3"/>
  <c r="Q942" i="3"/>
  <c r="N942" i="3"/>
  <c r="Q943" i="3" l="1"/>
  <c r="N943" i="3"/>
  <c r="P943" i="3"/>
  <c r="O943" i="3"/>
  <c r="J945" i="3"/>
  <c r="L944" i="3"/>
  <c r="L945" i="3" l="1"/>
  <c r="J946" i="3"/>
  <c r="O944" i="3"/>
  <c r="P944" i="3"/>
  <c r="N944" i="3"/>
  <c r="Q944" i="3"/>
  <c r="L946" i="3" l="1"/>
  <c r="J947" i="3"/>
  <c r="N945" i="3"/>
  <c r="P945" i="3"/>
  <c r="O945" i="3"/>
  <c r="Q945" i="3"/>
  <c r="L947" i="3" l="1"/>
  <c r="J948" i="3"/>
  <c r="P946" i="3"/>
  <c r="N946" i="3"/>
  <c r="O946" i="3"/>
  <c r="Q946" i="3"/>
  <c r="J949" i="3" l="1"/>
  <c r="L948" i="3"/>
  <c r="P947" i="3"/>
  <c r="N947" i="3"/>
  <c r="O947" i="3"/>
  <c r="Q947" i="3"/>
  <c r="P948" i="3" l="1"/>
  <c r="N948" i="3"/>
  <c r="Q948" i="3"/>
  <c r="O948" i="3"/>
  <c r="J950" i="3"/>
  <c r="L949" i="3"/>
  <c r="N949" i="3" l="1"/>
  <c r="O949" i="3"/>
  <c r="P949" i="3"/>
  <c r="Q949" i="3"/>
  <c r="J951" i="3"/>
  <c r="L950" i="3"/>
  <c r="Q950" i="3" l="1"/>
  <c r="P950" i="3"/>
  <c r="O950" i="3"/>
  <c r="N950" i="3"/>
  <c r="L951" i="3"/>
  <c r="J952" i="3"/>
  <c r="L952" i="3" l="1"/>
  <c r="J953" i="3"/>
  <c r="O951" i="3"/>
  <c r="P951" i="3"/>
  <c r="N951" i="3"/>
  <c r="Q951" i="3"/>
  <c r="J954" i="3" l="1"/>
  <c r="L953" i="3"/>
  <c r="O952" i="3"/>
  <c r="P952" i="3"/>
  <c r="Q952" i="3"/>
  <c r="N952" i="3"/>
  <c r="N953" i="3" l="1"/>
  <c r="P953" i="3"/>
  <c r="Q953" i="3"/>
  <c r="O953" i="3"/>
  <c r="L954" i="3"/>
  <c r="J955" i="3"/>
  <c r="L955" i="3" l="1"/>
  <c r="J956" i="3"/>
  <c r="O954" i="3"/>
  <c r="P954" i="3"/>
  <c r="Q954" i="3"/>
  <c r="N954" i="3"/>
  <c r="L956" i="3" l="1"/>
  <c r="J957" i="3"/>
  <c r="O955" i="3"/>
  <c r="Q955" i="3"/>
  <c r="N955" i="3"/>
  <c r="P955" i="3"/>
  <c r="J958" i="3" l="1"/>
  <c r="L957" i="3"/>
  <c r="O956" i="3"/>
  <c r="Q956" i="3"/>
  <c r="N956" i="3"/>
  <c r="P956" i="3"/>
  <c r="Q957" i="3" l="1"/>
  <c r="N957" i="3"/>
  <c r="O957" i="3"/>
  <c r="P957" i="3"/>
  <c r="L958" i="3"/>
  <c r="J959" i="3"/>
  <c r="L959" i="3" l="1"/>
  <c r="J960" i="3"/>
  <c r="O958" i="3"/>
  <c r="N958" i="3"/>
  <c r="Q958" i="3"/>
  <c r="P958" i="3"/>
  <c r="J961" i="3" l="1"/>
  <c r="L960" i="3"/>
  <c r="N959" i="3"/>
  <c r="Q959" i="3"/>
  <c r="O959" i="3"/>
  <c r="P959" i="3"/>
  <c r="P960" i="3" l="1"/>
  <c r="O960" i="3"/>
  <c r="N960" i="3"/>
  <c r="Q960" i="3"/>
  <c r="L961" i="3"/>
  <c r="J962" i="3"/>
  <c r="L962" i="3" l="1"/>
  <c r="J963" i="3"/>
  <c r="P961" i="3"/>
  <c r="N961" i="3"/>
  <c r="Q961" i="3"/>
  <c r="O961" i="3"/>
  <c r="L963" i="3" l="1"/>
  <c r="J964" i="3"/>
  <c r="O962" i="3"/>
  <c r="P962" i="3"/>
  <c r="N962" i="3"/>
  <c r="Q962" i="3"/>
  <c r="L964" i="3" l="1"/>
  <c r="J965" i="3"/>
  <c r="Q963" i="3"/>
  <c r="P963" i="3"/>
  <c r="O963" i="3"/>
  <c r="N963" i="3"/>
  <c r="J966" i="3" l="1"/>
  <c r="L965" i="3"/>
  <c r="P964" i="3"/>
  <c r="O964" i="3"/>
  <c r="N964" i="3"/>
  <c r="Q964" i="3"/>
  <c r="Q965" i="3" l="1"/>
  <c r="P965" i="3"/>
  <c r="N965" i="3"/>
  <c r="O965" i="3"/>
  <c r="J967" i="3"/>
  <c r="L966" i="3"/>
  <c r="Q966" i="3" l="1"/>
  <c r="P966" i="3"/>
  <c r="O966" i="3"/>
  <c r="N966" i="3"/>
  <c r="J968" i="3"/>
  <c r="L967" i="3"/>
  <c r="O967" i="3" l="1"/>
  <c r="P967" i="3"/>
  <c r="N967" i="3"/>
  <c r="Q967" i="3"/>
  <c r="J969" i="3"/>
  <c r="L968" i="3"/>
  <c r="P968" i="3" l="1"/>
  <c r="Q968" i="3"/>
  <c r="O968" i="3"/>
  <c r="N968" i="3"/>
  <c r="J970" i="3"/>
  <c r="L969" i="3"/>
  <c r="P969" i="3" l="1"/>
  <c r="Q969" i="3"/>
  <c r="O969" i="3"/>
  <c r="N969" i="3"/>
  <c r="J971" i="3"/>
  <c r="L970" i="3"/>
  <c r="Q970" i="3" l="1"/>
  <c r="O970" i="3"/>
  <c r="N970" i="3"/>
  <c r="P970" i="3"/>
  <c r="J972" i="3"/>
  <c r="L971" i="3"/>
  <c r="P971" i="3" l="1"/>
  <c r="Q971" i="3"/>
  <c r="O971" i="3"/>
  <c r="N971" i="3"/>
  <c r="L972" i="3"/>
  <c r="J973" i="3"/>
  <c r="J974" i="3" l="1"/>
  <c r="L973" i="3"/>
  <c r="O972" i="3"/>
  <c r="N972" i="3"/>
  <c r="P972" i="3"/>
  <c r="Q972" i="3"/>
  <c r="Q973" i="3" l="1"/>
  <c r="P973" i="3"/>
  <c r="N973" i="3"/>
  <c r="O973" i="3"/>
  <c r="L974" i="3"/>
  <c r="J975" i="3"/>
  <c r="J976" i="3" l="1"/>
  <c r="L975" i="3"/>
  <c r="Q974" i="3"/>
  <c r="N974" i="3"/>
  <c r="P974" i="3"/>
  <c r="O974" i="3"/>
  <c r="Q975" i="3" l="1"/>
  <c r="P975" i="3"/>
  <c r="N975" i="3"/>
  <c r="O975" i="3"/>
  <c r="L976" i="3"/>
  <c r="J977" i="3"/>
  <c r="J978" i="3" l="1"/>
  <c r="L977" i="3"/>
  <c r="Q976" i="3"/>
  <c r="P976" i="3"/>
  <c r="N976" i="3"/>
  <c r="O976" i="3"/>
  <c r="Q977" i="3" l="1"/>
  <c r="N977" i="3"/>
  <c r="P977" i="3"/>
  <c r="O977" i="3"/>
  <c r="L978" i="3"/>
  <c r="J979" i="3"/>
  <c r="L979" i="3" l="1"/>
  <c r="J980" i="3"/>
  <c r="Q978" i="3"/>
  <c r="O978" i="3"/>
  <c r="P978" i="3"/>
  <c r="N978" i="3"/>
  <c r="J981" i="3" l="1"/>
  <c r="L980" i="3"/>
  <c r="Q979" i="3"/>
  <c r="N979" i="3"/>
  <c r="O979" i="3"/>
  <c r="P979" i="3"/>
  <c r="P980" i="3" l="1"/>
  <c r="Q980" i="3"/>
  <c r="O980" i="3"/>
  <c r="N980" i="3"/>
  <c r="J982" i="3"/>
  <c r="L981" i="3"/>
  <c r="Q981" i="3" l="1"/>
  <c r="P981" i="3"/>
  <c r="N981" i="3"/>
  <c r="O981" i="3"/>
  <c r="L982" i="3"/>
  <c r="J983" i="3"/>
  <c r="J984" i="3" l="1"/>
  <c r="L983" i="3"/>
  <c r="P982" i="3"/>
  <c r="O982" i="3"/>
  <c r="Q982" i="3"/>
  <c r="N982" i="3"/>
  <c r="Q983" i="3" l="1"/>
  <c r="N983" i="3"/>
  <c r="O983" i="3"/>
  <c r="P983" i="3"/>
  <c r="J985" i="3"/>
  <c r="L984" i="3"/>
  <c r="P984" i="3" l="1"/>
  <c r="Q984" i="3"/>
  <c r="O984" i="3"/>
  <c r="N984" i="3"/>
  <c r="J986" i="3"/>
  <c r="L985" i="3"/>
  <c r="Q985" i="3" l="1"/>
  <c r="P985" i="3"/>
  <c r="N985" i="3"/>
  <c r="O985" i="3"/>
  <c r="J987" i="3"/>
  <c r="L986" i="3"/>
  <c r="Q986" i="3" l="1"/>
  <c r="N986" i="3"/>
  <c r="O986" i="3"/>
  <c r="P986" i="3"/>
  <c r="J988" i="3"/>
  <c r="L987" i="3"/>
  <c r="O987" i="3" l="1"/>
  <c r="Q987" i="3"/>
  <c r="P987" i="3"/>
  <c r="N987" i="3"/>
  <c r="L988" i="3"/>
  <c r="J989" i="3"/>
  <c r="L989" i="3" l="1"/>
  <c r="J990" i="3"/>
  <c r="N988" i="3"/>
  <c r="Q988" i="3"/>
  <c r="O988" i="3"/>
  <c r="P988" i="3"/>
  <c r="J991" i="3" l="1"/>
  <c r="L990" i="3"/>
  <c r="Q989" i="3"/>
  <c r="N989" i="3"/>
  <c r="P989" i="3"/>
  <c r="O989" i="3"/>
  <c r="O990" i="3" l="1"/>
  <c r="N990" i="3"/>
  <c r="Q990" i="3"/>
  <c r="P990" i="3"/>
  <c r="J992" i="3"/>
  <c r="L991" i="3"/>
  <c r="N991" i="3" l="1"/>
  <c r="P991" i="3"/>
  <c r="Q991" i="3"/>
  <c r="O991" i="3"/>
  <c r="J993" i="3"/>
  <c r="L992" i="3"/>
  <c r="J994" i="3" l="1"/>
  <c r="L993" i="3"/>
  <c r="P992" i="3"/>
  <c r="Q992" i="3"/>
  <c r="O992" i="3"/>
  <c r="N992" i="3"/>
  <c r="O993" i="3" l="1"/>
  <c r="N993" i="3"/>
  <c r="P993" i="3"/>
  <c r="Q993" i="3"/>
  <c r="L994" i="3"/>
  <c r="J995" i="3"/>
  <c r="P994" i="3" l="1"/>
  <c r="O994" i="3"/>
  <c r="N994" i="3"/>
  <c r="Q994" i="3"/>
  <c r="J996" i="3"/>
  <c r="L995" i="3"/>
  <c r="Q995" i="3" l="1"/>
  <c r="P995" i="3"/>
  <c r="O995" i="3"/>
  <c r="N995" i="3"/>
  <c r="L996" i="3"/>
  <c r="J997" i="3"/>
  <c r="J998" i="3" l="1"/>
  <c r="L997" i="3"/>
  <c r="Q996" i="3"/>
  <c r="N996" i="3"/>
  <c r="O996" i="3"/>
  <c r="P996" i="3"/>
  <c r="Q997" i="3" l="1"/>
  <c r="P997" i="3"/>
  <c r="N997" i="3"/>
  <c r="O997" i="3"/>
  <c r="J999" i="3"/>
  <c r="L998" i="3"/>
  <c r="L999" i="3" l="1"/>
  <c r="J1000" i="3"/>
  <c r="O998" i="3"/>
  <c r="P998" i="3"/>
  <c r="Q998" i="3"/>
  <c r="N998" i="3"/>
  <c r="J1001" i="3" l="1"/>
  <c r="L1000" i="3"/>
  <c r="P999" i="3"/>
  <c r="O999" i="3"/>
  <c r="Q999" i="3"/>
  <c r="N999" i="3"/>
  <c r="Q1000" i="3" l="1"/>
  <c r="P1000" i="3"/>
  <c r="N1000" i="3"/>
  <c r="O1000" i="3"/>
  <c r="J1002" i="3"/>
  <c r="L1001" i="3"/>
  <c r="P1001" i="3" l="1"/>
  <c r="Q1001" i="3"/>
  <c r="N1001" i="3"/>
  <c r="O1001" i="3"/>
  <c r="L1002" i="3"/>
  <c r="J1003" i="3"/>
  <c r="L1003" i="3" l="1"/>
  <c r="J1004" i="3"/>
  <c r="Q1002" i="3"/>
  <c r="O1002" i="3"/>
  <c r="N1002" i="3"/>
  <c r="P1002" i="3"/>
  <c r="J1005" i="3" l="1"/>
  <c r="L1004" i="3"/>
  <c r="Q1003" i="3"/>
  <c r="O1003" i="3"/>
  <c r="N1003" i="3"/>
  <c r="P1003" i="3"/>
  <c r="O1004" i="3" l="1"/>
  <c r="Q1004" i="3"/>
  <c r="P1004" i="3"/>
  <c r="N1004" i="3"/>
  <c r="L1005" i="3"/>
  <c r="J1006" i="3"/>
  <c r="J1007" i="3" l="1"/>
  <c r="L1006" i="3"/>
  <c r="P1005" i="3"/>
  <c r="O1005" i="3"/>
  <c r="N1005" i="3"/>
  <c r="Q1005" i="3"/>
  <c r="O1006" i="3" l="1"/>
  <c r="N1006" i="3"/>
  <c r="Q1006" i="3"/>
  <c r="P1006" i="3"/>
  <c r="J1008" i="3"/>
  <c r="L1007" i="3"/>
  <c r="Q1007" i="3" l="1"/>
  <c r="P1007" i="3"/>
  <c r="O1007" i="3"/>
  <c r="N1007" i="3"/>
  <c r="J1009" i="3"/>
  <c r="L1008" i="3"/>
  <c r="P1008" i="3" l="1"/>
  <c r="Q1008" i="3"/>
  <c r="O1008" i="3"/>
  <c r="N1008" i="3"/>
  <c r="J1010" i="3"/>
  <c r="L1009" i="3"/>
  <c r="O1009" i="3" l="1"/>
  <c r="N1009" i="3"/>
  <c r="Q1009" i="3"/>
  <c r="P1009" i="3"/>
  <c r="J1011" i="3"/>
  <c r="L1010" i="3"/>
  <c r="O1010" i="3" l="1"/>
  <c r="Q1010" i="3"/>
  <c r="P1010" i="3"/>
  <c r="N1010" i="3"/>
  <c r="L1011" i="3"/>
  <c r="J1012" i="3"/>
  <c r="P1011" i="3" l="1"/>
  <c r="O1011" i="3"/>
  <c r="N1011" i="3"/>
  <c r="Q1011" i="3"/>
  <c r="L1012" i="3"/>
  <c r="J1013" i="3"/>
  <c r="J1014" i="3" l="1"/>
  <c r="L1013" i="3"/>
  <c r="O1012" i="3"/>
  <c r="N1012" i="3"/>
  <c r="P1012" i="3"/>
  <c r="Q1012" i="3"/>
  <c r="P1013" i="3" l="1"/>
  <c r="Q1013" i="3"/>
  <c r="N1013" i="3"/>
  <c r="O1013" i="3"/>
  <c r="L1014" i="3"/>
  <c r="J1015" i="3"/>
  <c r="Q1014" i="3" l="1"/>
  <c r="N1014" i="3"/>
  <c r="P1014" i="3"/>
  <c r="O1014" i="3"/>
  <c r="J1016" i="3"/>
  <c r="L1015" i="3"/>
  <c r="J1017" i="3" l="1"/>
  <c r="L1016" i="3"/>
  <c r="O1015" i="3"/>
  <c r="Q1015" i="3"/>
  <c r="P1015" i="3"/>
  <c r="N1015" i="3"/>
  <c r="J1018" i="3" l="1"/>
  <c r="L1017" i="3"/>
  <c r="P1016" i="3"/>
  <c r="N1016" i="3"/>
  <c r="O1016" i="3"/>
  <c r="Q1016" i="3"/>
  <c r="Q1017" i="3" l="1"/>
  <c r="P1017" i="3"/>
  <c r="O1017" i="3"/>
  <c r="N1017" i="3"/>
  <c r="L1018" i="3"/>
  <c r="J1019" i="3"/>
  <c r="L1019" i="3" l="1"/>
  <c r="J1020" i="3"/>
  <c r="Q1018" i="3"/>
  <c r="O1018" i="3"/>
  <c r="N1018" i="3"/>
  <c r="P1018" i="3"/>
  <c r="P1019" i="3" l="1"/>
  <c r="O1019" i="3"/>
  <c r="Q1019" i="3"/>
  <c r="N1019" i="3"/>
  <c r="J1021" i="3"/>
  <c r="L1020" i="3"/>
  <c r="O1020" i="3" l="1"/>
  <c r="P1020" i="3"/>
  <c r="N1020" i="3"/>
  <c r="Q1020" i="3"/>
  <c r="J1022" i="3"/>
  <c r="L1021" i="3"/>
  <c r="Q1021" i="3" l="1"/>
  <c r="P1021" i="3"/>
  <c r="N1021" i="3"/>
  <c r="O1021" i="3"/>
  <c r="L1022" i="3"/>
  <c r="J1023" i="3"/>
  <c r="J1024" i="3" l="1"/>
  <c r="L1023" i="3"/>
  <c r="N1022" i="3"/>
  <c r="O1022" i="3"/>
  <c r="Q1022" i="3"/>
  <c r="P1022" i="3"/>
  <c r="Q1023" i="3" l="1"/>
  <c r="N1023" i="3"/>
  <c r="O1023" i="3"/>
  <c r="P1023" i="3"/>
  <c r="J1025" i="3"/>
  <c r="L1024" i="3"/>
  <c r="O1024" i="3" l="1"/>
  <c r="Q1024" i="3"/>
  <c r="N1024" i="3"/>
  <c r="P1024" i="3"/>
  <c r="L1025" i="3"/>
  <c r="J1026" i="3"/>
  <c r="N1025" i="3" l="1"/>
  <c r="Q1025" i="3"/>
  <c r="P1025" i="3"/>
  <c r="O1025" i="3"/>
  <c r="J1027" i="3"/>
  <c r="L1026" i="3"/>
  <c r="Q1026" i="3" l="1"/>
  <c r="P1026" i="3"/>
  <c r="N1026" i="3"/>
  <c r="O1026" i="3"/>
  <c r="L1027" i="3"/>
  <c r="J1028" i="3"/>
  <c r="J1029" i="3" l="1"/>
  <c r="L1028" i="3"/>
  <c r="Q1027" i="3"/>
  <c r="O1027" i="3"/>
  <c r="N1027" i="3"/>
  <c r="P1027" i="3"/>
  <c r="O1028" i="3" l="1"/>
  <c r="N1028" i="3"/>
  <c r="P1028" i="3"/>
  <c r="Q1028" i="3"/>
  <c r="L1029" i="3"/>
  <c r="J1030" i="3"/>
  <c r="L1030" i="3" l="1"/>
  <c r="J1031" i="3"/>
  <c r="P1029" i="3"/>
  <c r="O1029" i="3"/>
  <c r="N1029" i="3"/>
  <c r="Q1029" i="3"/>
  <c r="J1032" i="3" l="1"/>
  <c r="L1031" i="3"/>
  <c r="P1030" i="3"/>
  <c r="O1030" i="3"/>
  <c r="N1030" i="3"/>
  <c r="Q1030" i="3"/>
  <c r="O1031" i="3" l="1"/>
  <c r="P1031" i="3"/>
  <c r="N1031" i="3"/>
  <c r="Q1031" i="3"/>
  <c r="J1033" i="3"/>
  <c r="L1032" i="3"/>
  <c r="Q1032" i="3" l="1"/>
  <c r="P1032" i="3"/>
  <c r="N1032" i="3"/>
  <c r="O1032" i="3"/>
  <c r="J1034" i="3"/>
  <c r="L1033" i="3"/>
  <c r="L1034" i="3" l="1"/>
  <c r="J1035" i="3"/>
  <c r="Q1033" i="3"/>
  <c r="P1033" i="3"/>
  <c r="N1033" i="3"/>
  <c r="O1033" i="3"/>
  <c r="L1035" i="3" l="1"/>
  <c r="J1036" i="3"/>
  <c r="Q1034" i="3"/>
  <c r="P1034" i="3"/>
  <c r="N1034" i="3"/>
  <c r="O1034" i="3"/>
  <c r="J1037" i="3" l="1"/>
  <c r="L1036" i="3"/>
  <c r="O1035" i="3"/>
  <c r="N1035" i="3"/>
  <c r="P1035" i="3"/>
  <c r="Q1035" i="3"/>
  <c r="P1036" i="3" l="1"/>
  <c r="Q1036" i="3"/>
  <c r="O1036" i="3"/>
  <c r="N1036" i="3"/>
  <c r="J1038" i="3"/>
  <c r="L1037" i="3"/>
  <c r="N1037" i="3" l="1"/>
  <c r="O1037" i="3"/>
  <c r="Q1037" i="3"/>
  <c r="P1037" i="3"/>
  <c r="J1039" i="3"/>
  <c r="L1038" i="3"/>
  <c r="O1038" i="3" l="1"/>
  <c r="P1038" i="3"/>
  <c r="Q1038" i="3"/>
  <c r="N1038" i="3"/>
  <c r="J1040" i="3"/>
  <c r="L1039" i="3"/>
  <c r="Q1039" i="3" l="1"/>
  <c r="O1039" i="3"/>
  <c r="P1039" i="3"/>
  <c r="N1039" i="3"/>
  <c r="J1041" i="3"/>
  <c r="L1040" i="3"/>
  <c r="P1040" i="3" l="1"/>
  <c r="O1040" i="3"/>
  <c r="N1040" i="3"/>
  <c r="Q1040" i="3"/>
  <c r="J1042" i="3"/>
  <c r="L1041" i="3"/>
  <c r="N1041" i="3" l="1"/>
  <c r="P1041" i="3"/>
  <c r="O1041" i="3"/>
  <c r="Q1041" i="3"/>
  <c r="J1043" i="3"/>
  <c r="L1042" i="3"/>
  <c r="N1042" i="3" l="1"/>
  <c r="P1042" i="3"/>
  <c r="Q1042" i="3"/>
  <c r="O1042" i="3"/>
  <c r="L1043" i="3"/>
  <c r="J1044" i="3"/>
  <c r="J1045" i="3" l="1"/>
  <c r="L1044" i="3"/>
  <c r="Q1043" i="3"/>
  <c r="O1043" i="3"/>
  <c r="P1043" i="3"/>
  <c r="N1043" i="3"/>
  <c r="N1044" i="3" l="1"/>
  <c r="Q1044" i="3"/>
  <c r="O1044" i="3"/>
  <c r="P1044" i="3"/>
  <c r="J1046" i="3"/>
  <c r="L1045" i="3"/>
  <c r="O1045" i="3" l="1"/>
  <c r="Q1045" i="3"/>
  <c r="N1045" i="3"/>
  <c r="P1045" i="3"/>
  <c r="L1046" i="3"/>
  <c r="J1047" i="3"/>
  <c r="L1047" i="3" l="1"/>
  <c r="J1048" i="3"/>
  <c r="Q1046" i="3"/>
  <c r="N1046" i="3"/>
  <c r="P1046" i="3"/>
  <c r="O1046" i="3"/>
  <c r="J1049" i="3" l="1"/>
  <c r="L1048" i="3"/>
  <c r="O1047" i="3"/>
  <c r="Q1047" i="3"/>
  <c r="P1047" i="3"/>
  <c r="N1047" i="3"/>
  <c r="Q1048" i="3" l="1"/>
  <c r="O1048" i="3"/>
  <c r="P1048" i="3"/>
  <c r="N1048" i="3"/>
  <c r="L1049" i="3"/>
  <c r="J1050" i="3"/>
  <c r="L1050" i="3" l="1"/>
  <c r="J1051" i="3"/>
  <c r="Q1049" i="3"/>
  <c r="P1049" i="3"/>
  <c r="O1049" i="3"/>
  <c r="N1049" i="3"/>
  <c r="J1052" i="3" l="1"/>
  <c r="L1051" i="3"/>
  <c r="Q1050" i="3"/>
  <c r="N1050" i="3"/>
  <c r="O1050" i="3"/>
  <c r="P1050" i="3"/>
  <c r="N1051" i="3" l="1"/>
  <c r="P1051" i="3"/>
  <c r="Q1051" i="3"/>
  <c r="O1051" i="3"/>
  <c r="L1052" i="3"/>
  <c r="J1053" i="3"/>
  <c r="L1053" i="3" l="1"/>
  <c r="J1054" i="3"/>
  <c r="N1052" i="3"/>
  <c r="O1052" i="3"/>
  <c r="Q1052" i="3"/>
  <c r="P1052" i="3"/>
  <c r="J1055" i="3" l="1"/>
  <c r="L1054" i="3"/>
  <c r="Q1053" i="3"/>
  <c r="P1053" i="3"/>
  <c r="N1053" i="3"/>
  <c r="O1053" i="3"/>
  <c r="O1054" i="3" l="1"/>
  <c r="N1054" i="3"/>
  <c r="Q1054" i="3"/>
  <c r="P1054" i="3"/>
  <c r="L1055" i="3"/>
  <c r="J1056" i="3"/>
  <c r="J1057" i="3" l="1"/>
  <c r="L1056" i="3"/>
  <c r="Q1055" i="3"/>
  <c r="N1055" i="3"/>
  <c r="P1055" i="3"/>
  <c r="O1055" i="3"/>
  <c r="P1056" i="3" l="1"/>
  <c r="Q1056" i="3"/>
  <c r="O1056" i="3"/>
  <c r="N1056" i="3"/>
  <c r="J1058" i="3"/>
  <c r="L1057" i="3"/>
  <c r="Q1057" i="3" l="1"/>
  <c r="P1057" i="3"/>
  <c r="N1057" i="3"/>
  <c r="O1057" i="3"/>
  <c r="J1059" i="3"/>
  <c r="L1058" i="3"/>
  <c r="O1058" i="3" l="1"/>
  <c r="N1058" i="3"/>
  <c r="P1058" i="3"/>
  <c r="Q1058" i="3"/>
  <c r="L1059" i="3"/>
  <c r="J1060" i="3"/>
  <c r="L1060" i="3" l="1"/>
  <c r="J1061" i="3"/>
  <c r="Q1059" i="3"/>
  <c r="N1059" i="3"/>
  <c r="O1059" i="3"/>
  <c r="P1059" i="3"/>
  <c r="L1061" i="3" l="1"/>
  <c r="J1062" i="3"/>
  <c r="O1060" i="3"/>
  <c r="N1060" i="3"/>
  <c r="Q1060" i="3"/>
  <c r="P1060" i="3"/>
  <c r="L1062" i="3" l="1"/>
  <c r="J1063" i="3"/>
  <c r="Q1061" i="3"/>
  <c r="P1061" i="3"/>
  <c r="N1061" i="3"/>
  <c r="O1061" i="3"/>
  <c r="J1064" i="3" l="1"/>
  <c r="L1063" i="3"/>
  <c r="P1062" i="3"/>
  <c r="Q1062" i="3"/>
  <c r="O1062" i="3"/>
  <c r="N1062" i="3"/>
  <c r="Q1063" i="3" l="1"/>
  <c r="N1063" i="3"/>
  <c r="P1063" i="3"/>
  <c r="O1063" i="3"/>
  <c r="J1065" i="3"/>
  <c r="L1064" i="3"/>
  <c r="Q1064" i="3" l="1"/>
  <c r="N1064" i="3"/>
  <c r="P1064" i="3"/>
  <c r="O1064" i="3"/>
  <c r="L1065" i="3"/>
  <c r="J1066" i="3"/>
  <c r="L1066" i="3" l="1"/>
  <c r="J1067" i="3"/>
  <c r="N1065" i="3"/>
  <c r="P1065" i="3"/>
  <c r="O1065" i="3"/>
  <c r="Q1065" i="3"/>
  <c r="L1067" i="3" l="1"/>
  <c r="J1068" i="3"/>
  <c r="Q1066" i="3"/>
  <c r="O1066" i="3"/>
  <c r="N1066" i="3"/>
  <c r="P1066" i="3"/>
  <c r="J1069" i="3" l="1"/>
  <c r="L1068" i="3"/>
  <c r="P1067" i="3"/>
  <c r="N1067" i="3"/>
  <c r="O1067" i="3"/>
  <c r="Q1067" i="3"/>
  <c r="Q1068" i="3" l="1"/>
  <c r="O1068" i="3"/>
  <c r="P1068" i="3"/>
  <c r="N1068" i="3"/>
  <c r="L1069" i="3"/>
  <c r="J1070" i="3"/>
  <c r="J1071" i="3" l="1"/>
  <c r="L1070" i="3"/>
  <c r="Q1069" i="3"/>
  <c r="N1069" i="3"/>
  <c r="O1069" i="3"/>
  <c r="P1069" i="3"/>
  <c r="Q1070" i="3" l="1"/>
  <c r="N1070" i="3"/>
  <c r="P1070" i="3"/>
  <c r="O1070" i="3"/>
  <c r="J1072" i="3"/>
  <c r="L1071" i="3"/>
  <c r="P1071" i="3" l="1"/>
  <c r="Q1071" i="3"/>
  <c r="O1071" i="3"/>
  <c r="N1071" i="3"/>
  <c r="L1072" i="3"/>
  <c r="J1073" i="3"/>
  <c r="J1074" i="3" l="1"/>
  <c r="L1073" i="3"/>
  <c r="O1072" i="3"/>
  <c r="N1072" i="3"/>
  <c r="Q1072" i="3"/>
  <c r="P1072" i="3"/>
  <c r="O1073" i="3" l="1"/>
  <c r="N1073" i="3"/>
  <c r="Q1073" i="3"/>
  <c r="P1073" i="3"/>
  <c r="J1075" i="3"/>
  <c r="L1074" i="3"/>
  <c r="O1074" i="3" l="1"/>
  <c r="Q1074" i="3"/>
  <c r="N1074" i="3"/>
  <c r="P1074" i="3"/>
  <c r="L1075" i="3"/>
  <c r="J1076" i="3"/>
  <c r="N1075" i="3" l="1"/>
  <c r="O1075" i="3"/>
  <c r="Q1075" i="3"/>
  <c r="P1075" i="3"/>
  <c r="L1076" i="3"/>
  <c r="J1077" i="3"/>
  <c r="L1077" i="3" l="1"/>
  <c r="J1078" i="3"/>
  <c r="O1076" i="3"/>
  <c r="P1076" i="3"/>
  <c r="N1076" i="3"/>
  <c r="Q1076" i="3"/>
  <c r="J1079" i="3" l="1"/>
  <c r="L1078" i="3"/>
  <c r="O1077" i="3"/>
  <c r="Q1077" i="3"/>
  <c r="P1077" i="3"/>
  <c r="N1077" i="3"/>
  <c r="O1078" i="3" l="1"/>
  <c r="Q1078" i="3"/>
  <c r="N1078" i="3"/>
  <c r="P1078" i="3"/>
  <c r="J1080" i="3"/>
  <c r="L1079" i="3"/>
  <c r="Q1079" i="3" l="1"/>
  <c r="N1079" i="3"/>
  <c r="O1079" i="3"/>
  <c r="P1079" i="3"/>
  <c r="L1080" i="3"/>
  <c r="J1081" i="3"/>
  <c r="L1081" i="3" l="1"/>
  <c r="J1082" i="3"/>
  <c r="P1080" i="3"/>
  <c r="Q1080" i="3"/>
  <c r="N1080" i="3"/>
  <c r="O1080" i="3"/>
  <c r="L1082" i="3" l="1"/>
  <c r="J1083" i="3"/>
  <c r="N1081" i="3"/>
  <c r="Q1081" i="3"/>
  <c r="O1081" i="3"/>
  <c r="P1081" i="3"/>
  <c r="J1084" i="3" l="1"/>
  <c r="L1083" i="3"/>
  <c r="N1082" i="3"/>
  <c r="Q1082" i="3"/>
  <c r="O1082" i="3"/>
  <c r="P1082" i="3"/>
  <c r="Q1083" i="3" l="1"/>
  <c r="O1083" i="3"/>
  <c r="P1083" i="3"/>
  <c r="N1083" i="3"/>
  <c r="J1085" i="3"/>
  <c r="L1084" i="3"/>
  <c r="L1085" i="3" l="1"/>
  <c r="J1086" i="3"/>
  <c r="P1084" i="3"/>
  <c r="O1084" i="3"/>
  <c r="Q1084" i="3"/>
  <c r="N1084" i="3"/>
  <c r="J1087" i="3" l="1"/>
  <c r="L1086" i="3"/>
  <c r="Q1085" i="3"/>
  <c r="P1085" i="3"/>
  <c r="N1085" i="3"/>
  <c r="O1085" i="3"/>
  <c r="O1086" i="3" l="1"/>
  <c r="N1086" i="3"/>
  <c r="P1086" i="3"/>
  <c r="Q1086" i="3"/>
  <c r="J1088" i="3"/>
  <c r="L1087" i="3"/>
  <c r="Q1087" i="3" l="1"/>
  <c r="P1087" i="3"/>
  <c r="O1087" i="3"/>
  <c r="N1087" i="3"/>
  <c r="J1089" i="3"/>
  <c r="L1088" i="3"/>
  <c r="P1088" i="3" l="1"/>
  <c r="Q1088" i="3"/>
  <c r="N1088" i="3"/>
  <c r="O1088" i="3"/>
  <c r="J1090" i="3"/>
  <c r="L1089" i="3"/>
  <c r="Q1089" i="3" l="1"/>
  <c r="O1089" i="3"/>
  <c r="N1089" i="3"/>
  <c r="P1089" i="3"/>
  <c r="L1090" i="3"/>
  <c r="J1091" i="3"/>
  <c r="L1091" i="3" l="1"/>
  <c r="J1092" i="3"/>
  <c r="P1090" i="3"/>
  <c r="N1090" i="3"/>
  <c r="O1090" i="3"/>
  <c r="Q1090" i="3"/>
  <c r="J1093" i="3" l="1"/>
  <c r="L1092" i="3"/>
  <c r="O1091" i="3"/>
  <c r="N1091" i="3"/>
  <c r="Q1091" i="3"/>
  <c r="P1091" i="3"/>
  <c r="N1092" i="3" l="1"/>
  <c r="P1092" i="3"/>
  <c r="Q1092" i="3"/>
  <c r="O1092" i="3"/>
  <c r="J1094" i="3"/>
  <c r="L1093" i="3"/>
  <c r="N1093" i="3" l="1"/>
  <c r="O1093" i="3"/>
  <c r="Q1093" i="3"/>
  <c r="P1093" i="3"/>
  <c r="L1094" i="3"/>
  <c r="J1095" i="3"/>
  <c r="J1096" i="3" l="1"/>
  <c r="L1095" i="3"/>
  <c r="O1094" i="3"/>
  <c r="Q1094" i="3"/>
  <c r="N1094" i="3"/>
  <c r="P1094" i="3"/>
  <c r="Q1095" i="3" l="1"/>
  <c r="N1095" i="3"/>
  <c r="P1095" i="3"/>
  <c r="O1095" i="3"/>
  <c r="L1096" i="3"/>
  <c r="J1097" i="3"/>
  <c r="J1098" i="3" l="1"/>
  <c r="L1097" i="3"/>
  <c r="Q1096" i="3"/>
  <c r="P1096" i="3"/>
  <c r="N1096" i="3"/>
  <c r="O1096" i="3"/>
  <c r="Q1097" i="3" l="1"/>
  <c r="O1097" i="3"/>
  <c r="P1097" i="3"/>
  <c r="N1097" i="3"/>
  <c r="L1098" i="3"/>
  <c r="J1099" i="3"/>
  <c r="J1100" i="3" l="1"/>
  <c r="L1099" i="3"/>
  <c r="P1098" i="3"/>
  <c r="N1098" i="3"/>
  <c r="Q1098" i="3"/>
  <c r="O1098" i="3"/>
  <c r="P1099" i="3" l="1"/>
  <c r="Q1099" i="3"/>
  <c r="O1099" i="3"/>
  <c r="N1099" i="3"/>
  <c r="L1100" i="3"/>
  <c r="J1101" i="3"/>
  <c r="O1100" i="3" l="1"/>
  <c r="Q1100" i="3"/>
  <c r="P1100" i="3"/>
  <c r="N1100" i="3"/>
  <c r="L1101" i="3"/>
  <c r="J1102" i="3"/>
  <c r="L1102" i="3" l="1"/>
  <c r="J1103" i="3"/>
  <c r="Q1101" i="3"/>
  <c r="P1101" i="3"/>
  <c r="N1101" i="3"/>
  <c r="O1101" i="3"/>
  <c r="J1104" i="3" l="1"/>
  <c r="L1103" i="3"/>
  <c r="N1102" i="3"/>
  <c r="O1102" i="3"/>
  <c r="Q1102" i="3"/>
  <c r="P1102" i="3"/>
  <c r="Q1103" i="3" l="1"/>
  <c r="N1103" i="3"/>
  <c r="O1103" i="3"/>
  <c r="P1103" i="3"/>
  <c r="J1105" i="3"/>
  <c r="L1104" i="3"/>
  <c r="P1104" i="3" l="1"/>
  <c r="O1104" i="3"/>
  <c r="N1104" i="3"/>
  <c r="Q1104" i="3"/>
  <c r="L1105" i="3"/>
  <c r="J1106" i="3"/>
  <c r="J1107" i="3" l="1"/>
  <c r="L1106" i="3"/>
  <c r="Q1105" i="3"/>
  <c r="P1105" i="3"/>
  <c r="O1105" i="3"/>
  <c r="N1105" i="3"/>
  <c r="N1106" i="3" l="1"/>
  <c r="Q1106" i="3"/>
  <c r="P1106" i="3"/>
  <c r="O1106" i="3"/>
  <c r="L1107" i="3"/>
  <c r="J1108" i="3"/>
  <c r="J1109" i="3" l="1"/>
  <c r="L1108" i="3"/>
  <c r="Q1107" i="3"/>
  <c r="P1107" i="3"/>
  <c r="N1107" i="3"/>
  <c r="O1107" i="3"/>
  <c r="Q1108" i="3" l="1"/>
  <c r="P1108" i="3"/>
  <c r="O1108" i="3"/>
  <c r="N1108" i="3"/>
  <c r="J1110" i="3"/>
  <c r="L1109" i="3"/>
  <c r="Q1109" i="3" l="1"/>
  <c r="P1109" i="3"/>
  <c r="N1109" i="3"/>
  <c r="O1109" i="3"/>
  <c r="L1110" i="3"/>
  <c r="J1111" i="3"/>
  <c r="L1111" i="3" l="1"/>
  <c r="J1112" i="3"/>
  <c r="P1110" i="3"/>
  <c r="Q1110" i="3"/>
  <c r="N1110" i="3"/>
  <c r="O1110" i="3"/>
  <c r="J1113" i="3" l="1"/>
  <c r="L1112" i="3"/>
  <c r="O1111" i="3"/>
  <c r="P1111" i="3"/>
  <c r="N1111" i="3"/>
  <c r="Q1111" i="3"/>
  <c r="P1112" i="3" l="1"/>
  <c r="Q1112" i="3"/>
  <c r="N1112" i="3"/>
  <c r="O1112" i="3"/>
  <c r="L1113" i="3"/>
  <c r="J1114" i="3"/>
  <c r="J1115" i="3" l="1"/>
  <c r="L1114" i="3"/>
  <c r="N1113" i="3"/>
  <c r="O1113" i="3"/>
  <c r="Q1113" i="3"/>
  <c r="P1113" i="3"/>
  <c r="Q1114" i="3" l="1"/>
  <c r="P1114" i="3"/>
  <c r="N1114" i="3"/>
  <c r="O1114" i="3"/>
  <c r="L1115" i="3"/>
  <c r="J1116" i="3"/>
  <c r="J1117" i="3" l="1"/>
  <c r="L1116" i="3"/>
  <c r="O1115" i="3"/>
  <c r="N1115" i="3"/>
  <c r="Q1115" i="3"/>
  <c r="P1115" i="3"/>
  <c r="P1116" i="3" l="1"/>
  <c r="N1116" i="3"/>
  <c r="O1116" i="3"/>
  <c r="Q1116" i="3"/>
  <c r="J1118" i="3"/>
  <c r="L1117" i="3"/>
  <c r="Q1117" i="3" l="1"/>
  <c r="O1117" i="3"/>
  <c r="P1117" i="3"/>
  <c r="N1117" i="3"/>
  <c r="L1118" i="3"/>
  <c r="J1119" i="3"/>
  <c r="O1118" i="3" l="1"/>
  <c r="Q1118" i="3"/>
  <c r="P1118" i="3"/>
  <c r="N1118" i="3"/>
  <c r="J1120" i="3"/>
  <c r="L1119" i="3"/>
  <c r="O1119" i="3" l="1"/>
  <c r="N1119" i="3"/>
  <c r="Q1119" i="3"/>
  <c r="P1119" i="3"/>
  <c r="L1120" i="3"/>
  <c r="J1121" i="3"/>
  <c r="J1122" i="3" l="1"/>
  <c r="L1121" i="3"/>
  <c r="P1120" i="3"/>
  <c r="Q1120" i="3"/>
  <c r="O1120" i="3"/>
  <c r="N1120" i="3"/>
  <c r="Q1121" i="3" l="1"/>
  <c r="P1121" i="3"/>
  <c r="O1121" i="3"/>
  <c r="N1121" i="3"/>
  <c r="J1123" i="3"/>
  <c r="L1122" i="3"/>
  <c r="Q1122" i="3" l="1"/>
  <c r="O1122" i="3"/>
  <c r="P1122" i="3"/>
  <c r="N1122" i="3"/>
  <c r="L1123" i="3"/>
  <c r="J1124" i="3"/>
  <c r="J1125" i="3" l="1"/>
  <c r="L1124" i="3"/>
  <c r="P1123" i="3"/>
  <c r="N1123" i="3"/>
  <c r="Q1123" i="3"/>
  <c r="O1123" i="3"/>
  <c r="Q1124" i="3" l="1"/>
  <c r="P1124" i="3"/>
  <c r="N1124" i="3"/>
  <c r="O1124" i="3"/>
  <c r="J1126" i="3"/>
  <c r="L1125" i="3"/>
  <c r="N1125" i="3" l="1"/>
  <c r="P1125" i="3"/>
  <c r="O1125" i="3"/>
  <c r="Q1125" i="3"/>
  <c r="L1126" i="3"/>
  <c r="J1127" i="3"/>
  <c r="J1128" i="3" l="1"/>
  <c r="L1127" i="3"/>
  <c r="P1126" i="3"/>
  <c r="O1126" i="3"/>
  <c r="N1126" i="3"/>
  <c r="Q1126" i="3"/>
  <c r="Q1127" i="3" l="1"/>
  <c r="P1127" i="3"/>
  <c r="N1127" i="3"/>
  <c r="O1127" i="3"/>
  <c r="L1128" i="3"/>
  <c r="J1129" i="3"/>
  <c r="J1130" i="3" l="1"/>
  <c r="L1129" i="3"/>
  <c r="N1128" i="3"/>
  <c r="O1128" i="3"/>
  <c r="Q1128" i="3"/>
  <c r="P1128" i="3"/>
  <c r="P1129" i="3" l="1"/>
  <c r="O1129" i="3"/>
  <c r="Q1129" i="3"/>
  <c r="N1129" i="3"/>
  <c r="J1131" i="3"/>
  <c r="L1130" i="3"/>
  <c r="Q1130" i="3" l="1"/>
  <c r="O1130" i="3"/>
  <c r="P1130" i="3"/>
  <c r="N1130" i="3"/>
  <c r="L1131" i="3"/>
  <c r="J1132" i="3"/>
  <c r="L1132" i="3" l="1"/>
  <c r="J1133" i="3"/>
  <c r="O1131" i="3"/>
  <c r="N1131" i="3"/>
  <c r="P1131" i="3"/>
  <c r="Q1131" i="3"/>
  <c r="J1134" i="3" l="1"/>
  <c r="L1133" i="3"/>
  <c r="Q1132" i="3"/>
  <c r="P1132" i="3"/>
  <c r="N1132" i="3"/>
  <c r="O1132" i="3"/>
  <c r="N1133" i="3" l="1"/>
  <c r="O1133" i="3"/>
  <c r="Q1133" i="3"/>
  <c r="P1133" i="3"/>
  <c r="J1135" i="3"/>
  <c r="L1134" i="3"/>
  <c r="O1134" i="3" l="1"/>
  <c r="P1134" i="3"/>
  <c r="Q1134" i="3"/>
  <c r="N1134" i="3"/>
  <c r="L1135" i="3"/>
  <c r="J1136" i="3"/>
  <c r="L1136" i="3" l="1"/>
  <c r="J1137" i="3"/>
  <c r="O1135" i="3"/>
  <c r="N1135" i="3"/>
  <c r="Q1135" i="3"/>
  <c r="P1135" i="3"/>
  <c r="L1137" i="3" l="1"/>
  <c r="J1138" i="3"/>
  <c r="Q1136" i="3"/>
  <c r="P1136" i="3"/>
  <c r="O1136" i="3"/>
  <c r="N1136" i="3"/>
  <c r="L1138" i="3" l="1"/>
  <c r="J1139" i="3"/>
  <c r="Q1137" i="3"/>
  <c r="O1137" i="3"/>
  <c r="N1137" i="3"/>
  <c r="P1137" i="3"/>
  <c r="L1139" i="3" l="1"/>
  <c r="J1140" i="3"/>
  <c r="Q1138" i="3"/>
  <c r="O1138" i="3"/>
  <c r="P1138" i="3"/>
  <c r="N1138" i="3"/>
  <c r="L1140" i="3" l="1"/>
  <c r="J1141" i="3"/>
  <c r="Q1139" i="3"/>
  <c r="N1139" i="3"/>
  <c r="P1139" i="3"/>
  <c r="O1139" i="3"/>
  <c r="J1142" i="3" l="1"/>
  <c r="L1141" i="3"/>
  <c r="Q1140" i="3"/>
  <c r="P1140" i="3"/>
  <c r="O1140" i="3"/>
  <c r="N1140" i="3"/>
  <c r="P1141" i="3" l="1"/>
  <c r="N1141" i="3"/>
  <c r="O1141" i="3"/>
  <c r="Q1141" i="3"/>
  <c r="J1143" i="3"/>
  <c r="L1142" i="3"/>
  <c r="P1142" i="3" l="1"/>
  <c r="O1142" i="3"/>
  <c r="Q1142" i="3"/>
  <c r="N1142" i="3"/>
  <c r="J1144" i="3"/>
  <c r="L1143" i="3"/>
  <c r="Q1143" i="3" l="1"/>
  <c r="O1143" i="3"/>
  <c r="P1143" i="3"/>
  <c r="N1143" i="3"/>
  <c r="J1145" i="3"/>
  <c r="L1144" i="3"/>
  <c r="O1144" i="3" l="1"/>
  <c r="N1144" i="3"/>
  <c r="P1144" i="3"/>
  <c r="Q1144" i="3"/>
  <c r="J1146" i="3"/>
  <c r="L1145" i="3"/>
  <c r="Q1145" i="3" l="1"/>
  <c r="P1145" i="3"/>
  <c r="O1145" i="3"/>
  <c r="N1145" i="3"/>
  <c r="L1146" i="3"/>
  <c r="J1147" i="3"/>
  <c r="L1147" i="3" l="1"/>
  <c r="J1148" i="3"/>
  <c r="P1146" i="3"/>
  <c r="N1146" i="3"/>
  <c r="Q1146" i="3"/>
  <c r="O1146" i="3"/>
  <c r="L1148" i="3" l="1"/>
  <c r="J1149" i="3"/>
  <c r="O1147" i="3"/>
  <c r="N1147" i="3"/>
  <c r="P1147" i="3"/>
  <c r="Q1147" i="3"/>
  <c r="J1150" i="3" l="1"/>
  <c r="L1149" i="3"/>
  <c r="O1148" i="3"/>
  <c r="P1148" i="3"/>
  <c r="N1148" i="3"/>
  <c r="Q1148" i="3"/>
  <c r="Q1149" i="3" l="1"/>
  <c r="P1149" i="3"/>
  <c r="O1149" i="3"/>
  <c r="N1149" i="3"/>
  <c r="J1151" i="3"/>
  <c r="L1150" i="3"/>
  <c r="P1150" i="3" l="1"/>
  <c r="O1150" i="3"/>
  <c r="N1150" i="3"/>
  <c r="Q1150" i="3"/>
  <c r="J1152" i="3"/>
  <c r="L1151" i="3"/>
  <c r="P1151" i="3" l="1"/>
  <c r="Q1151" i="3"/>
  <c r="N1151" i="3"/>
  <c r="O1151" i="3"/>
  <c r="J1153" i="3"/>
  <c r="L1152" i="3"/>
  <c r="J1154" i="3" l="1"/>
  <c r="L1153" i="3"/>
  <c r="N1152" i="3"/>
  <c r="P1152" i="3"/>
  <c r="Q1152" i="3"/>
  <c r="O1152" i="3"/>
  <c r="Q1153" i="3" l="1"/>
  <c r="P1153" i="3"/>
  <c r="O1153" i="3"/>
  <c r="N1153" i="3"/>
  <c r="J1155" i="3"/>
  <c r="L1154" i="3"/>
  <c r="O1154" i="3" l="1"/>
  <c r="Q1154" i="3"/>
  <c r="P1154" i="3"/>
  <c r="N1154" i="3"/>
  <c r="J1156" i="3"/>
  <c r="L1155" i="3"/>
  <c r="P1155" i="3" l="1"/>
  <c r="O1155" i="3"/>
  <c r="Q1155" i="3"/>
  <c r="N1155" i="3"/>
  <c r="J1157" i="3"/>
  <c r="L1156" i="3"/>
  <c r="N1156" i="3" l="1"/>
  <c r="P1156" i="3"/>
  <c r="Q1156" i="3"/>
  <c r="O1156" i="3"/>
  <c r="J1158" i="3"/>
  <c r="L1157" i="3"/>
  <c r="N1157" i="3" l="1"/>
  <c r="O1157" i="3"/>
  <c r="Q1157" i="3"/>
  <c r="P1157" i="3"/>
  <c r="J1159" i="3"/>
  <c r="L1158" i="3"/>
  <c r="J1160" i="3" l="1"/>
  <c r="L1159" i="3"/>
  <c r="Q1158" i="3"/>
  <c r="O1158" i="3"/>
  <c r="N1158" i="3"/>
  <c r="P1158" i="3"/>
  <c r="N1159" i="3" l="1"/>
  <c r="P1159" i="3"/>
  <c r="Q1159" i="3"/>
  <c r="O1159" i="3"/>
  <c r="L1160" i="3"/>
  <c r="J1161" i="3"/>
  <c r="L1161" i="3" l="1"/>
  <c r="J1162" i="3"/>
  <c r="Q1160" i="3"/>
  <c r="N1160" i="3"/>
  <c r="P1160" i="3"/>
  <c r="O1160" i="3"/>
  <c r="L1162" i="3" l="1"/>
  <c r="J1163" i="3"/>
  <c r="N1161" i="3"/>
  <c r="O1161" i="3"/>
  <c r="Q1161" i="3"/>
  <c r="P1161" i="3"/>
  <c r="J1164" i="3" l="1"/>
  <c r="L1163" i="3"/>
  <c r="N1162" i="3"/>
  <c r="P1162" i="3"/>
  <c r="O1162" i="3"/>
  <c r="Q1162" i="3"/>
  <c r="Q1163" i="3" l="1"/>
  <c r="P1163" i="3"/>
  <c r="O1163" i="3"/>
  <c r="N1163" i="3"/>
  <c r="J1165" i="3"/>
  <c r="L1164" i="3"/>
  <c r="Q1164" i="3" l="1"/>
  <c r="O1164" i="3"/>
  <c r="N1164" i="3"/>
  <c r="P1164" i="3"/>
  <c r="L1165" i="3"/>
  <c r="J1166" i="3"/>
  <c r="J1167" i="3" l="1"/>
  <c r="L1166" i="3"/>
  <c r="Q1165" i="3"/>
  <c r="P1165" i="3"/>
  <c r="O1165" i="3"/>
  <c r="N1165" i="3"/>
  <c r="Q1166" i="3" l="1"/>
  <c r="P1166" i="3"/>
  <c r="O1166" i="3"/>
  <c r="N1166" i="3"/>
  <c r="L1167" i="3"/>
  <c r="J1168" i="3"/>
  <c r="J1169" i="3" l="1"/>
  <c r="L1168" i="3"/>
  <c r="Q1167" i="3"/>
  <c r="P1167" i="3"/>
  <c r="N1167" i="3"/>
  <c r="O1167" i="3"/>
  <c r="N1168" i="3" l="1"/>
  <c r="P1168" i="3"/>
  <c r="O1168" i="3"/>
  <c r="Q1168" i="3"/>
  <c r="J1170" i="3"/>
  <c r="L1169" i="3"/>
  <c r="O1169" i="3" l="1"/>
  <c r="N1169" i="3"/>
  <c r="Q1169" i="3"/>
  <c r="P1169" i="3"/>
  <c r="L1170" i="3"/>
  <c r="J1171" i="3"/>
  <c r="L1171" i="3" l="1"/>
  <c r="J1172" i="3"/>
  <c r="Q1170" i="3"/>
  <c r="P1170" i="3"/>
  <c r="N1170" i="3"/>
  <c r="O1170" i="3"/>
  <c r="J1173" i="3" l="1"/>
  <c r="L1172" i="3"/>
  <c r="O1171" i="3"/>
  <c r="P1171" i="3"/>
  <c r="N1171" i="3"/>
  <c r="Q1171" i="3"/>
  <c r="O1172" i="3" l="1"/>
  <c r="N1172" i="3"/>
  <c r="Q1172" i="3"/>
  <c r="P1172" i="3"/>
  <c r="J1174" i="3"/>
  <c r="L1173" i="3"/>
  <c r="O1173" i="3" l="1"/>
  <c r="Q1173" i="3"/>
  <c r="P1173" i="3"/>
  <c r="N1173" i="3"/>
  <c r="J1175" i="3"/>
  <c r="L1174" i="3"/>
  <c r="O1174" i="3" l="1"/>
  <c r="Q1174" i="3"/>
  <c r="P1174" i="3"/>
  <c r="N1174" i="3"/>
  <c r="J1176" i="3"/>
  <c r="L1175" i="3"/>
  <c r="P1175" i="3" l="1"/>
  <c r="O1175" i="3"/>
  <c r="N1175" i="3"/>
  <c r="Q1175" i="3"/>
  <c r="L1176" i="3"/>
  <c r="J1177" i="3"/>
  <c r="J1178" i="3" l="1"/>
  <c r="L1177" i="3"/>
  <c r="O1176" i="3"/>
  <c r="N1176" i="3"/>
  <c r="P1176" i="3"/>
  <c r="Q1176" i="3"/>
  <c r="P1177" i="3" l="1"/>
  <c r="O1177" i="3"/>
  <c r="Q1177" i="3"/>
  <c r="N1177" i="3"/>
  <c r="L1178" i="3"/>
  <c r="J1179" i="3"/>
  <c r="L1179" i="3" l="1"/>
  <c r="J1180" i="3"/>
  <c r="O1178" i="3"/>
  <c r="P1178" i="3"/>
  <c r="N1178" i="3"/>
  <c r="Q1178" i="3"/>
  <c r="J1181" i="3" l="1"/>
  <c r="L1180" i="3"/>
  <c r="N1179" i="3"/>
  <c r="P1179" i="3"/>
  <c r="O1179" i="3"/>
  <c r="Q1179" i="3"/>
  <c r="Q1180" i="3" l="1"/>
  <c r="O1180" i="3"/>
  <c r="P1180" i="3"/>
  <c r="N1180" i="3"/>
  <c r="L1181" i="3"/>
  <c r="J1182" i="3"/>
  <c r="J1183" i="3" l="1"/>
  <c r="L1182" i="3"/>
  <c r="Q1181" i="3"/>
  <c r="N1181" i="3"/>
  <c r="O1181" i="3"/>
  <c r="P1181" i="3"/>
  <c r="Q1182" i="3" l="1"/>
  <c r="P1182" i="3"/>
  <c r="N1182" i="3"/>
  <c r="O1182" i="3"/>
  <c r="L1183" i="3"/>
  <c r="J1184" i="3"/>
  <c r="J1185" i="3" l="1"/>
  <c r="L1184" i="3"/>
  <c r="Q1183" i="3"/>
  <c r="P1183" i="3"/>
  <c r="N1183" i="3"/>
  <c r="O1183" i="3"/>
  <c r="P1184" i="3" l="1"/>
  <c r="N1184" i="3"/>
  <c r="Q1184" i="3"/>
  <c r="O1184" i="3"/>
  <c r="J1186" i="3"/>
  <c r="L1185" i="3"/>
  <c r="P1185" i="3" l="1"/>
  <c r="O1185" i="3"/>
  <c r="Q1185" i="3"/>
  <c r="N1185" i="3"/>
  <c r="L1186" i="3"/>
  <c r="J1187" i="3"/>
  <c r="J1188" i="3" l="1"/>
  <c r="L1187" i="3"/>
  <c r="P1186" i="3"/>
  <c r="N1186" i="3"/>
  <c r="O1186" i="3"/>
  <c r="Q1186" i="3"/>
  <c r="O1187" i="3" l="1"/>
  <c r="P1187" i="3"/>
  <c r="Q1187" i="3"/>
  <c r="N1187" i="3"/>
  <c r="L1188" i="3"/>
  <c r="J1189" i="3"/>
  <c r="L1189" i="3" l="1"/>
  <c r="J1190" i="3"/>
  <c r="Q1188" i="3"/>
  <c r="P1188" i="3"/>
  <c r="N1188" i="3"/>
  <c r="O1188" i="3"/>
  <c r="L1190" i="3" l="1"/>
  <c r="J1191" i="3"/>
  <c r="O1189" i="3"/>
  <c r="Q1189" i="3"/>
  <c r="N1189" i="3"/>
  <c r="P1189" i="3"/>
  <c r="L1191" i="3" l="1"/>
  <c r="J1192" i="3"/>
  <c r="O1190" i="3"/>
  <c r="N1190" i="3"/>
  <c r="Q1190" i="3"/>
  <c r="P1190" i="3"/>
  <c r="L1192" i="3" l="1"/>
  <c r="J1193" i="3"/>
  <c r="P1191" i="3"/>
  <c r="O1191" i="3"/>
  <c r="Q1191" i="3"/>
  <c r="N1191" i="3"/>
  <c r="J1194" i="3" l="1"/>
  <c r="L1193" i="3"/>
  <c r="N1192" i="3"/>
  <c r="O1192" i="3"/>
  <c r="P1192" i="3"/>
  <c r="Q1192" i="3"/>
  <c r="N1193" i="3" l="1"/>
  <c r="Q1193" i="3"/>
  <c r="P1193" i="3"/>
  <c r="O1193" i="3"/>
  <c r="J1195" i="3"/>
  <c r="L1194" i="3"/>
  <c r="P1194" i="3" l="1"/>
  <c r="N1194" i="3"/>
  <c r="Q1194" i="3"/>
  <c r="O1194" i="3"/>
  <c r="L1195" i="3"/>
  <c r="J1196" i="3"/>
  <c r="J1197" i="3" l="1"/>
  <c r="L1196" i="3"/>
  <c r="O1195" i="3"/>
  <c r="Q1195" i="3"/>
  <c r="P1195" i="3"/>
  <c r="N1195" i="3"/>
  <c r="O1196" i="3" l="1"/>
  <c r="P1196" i="3"/>
  <c r="N1196" i="3"/>
  <c r="Q1196" i="3"/>
  <c r="J1198" i="3"/>
  <c r="L1197" i="3"/>
  <c r="Q1197" i="3" l="1"/>
  <c r="N1197" i="3"/>
  <c r="P1197" i="3"/>
  <c r="O1197" i="3"/>
  <c r="J1199" i="3"/>
  <c r="L1198" i="3"/>
  <c r="J1200" i="3" l="1"/>
  <c r="L1199" i="3"/>
  <c r="Q1198" i="3"/>
  <c r="N1198" i="3"/>
  <c r="O1198" i="3"/>
  <c r="P1198" i="3"/>
  <c r="Q1199" i="3" l="1"/>
  <c r="P1199" i="3"/>
  <c r="O1199" i="3"/>
  <c r="N1199" i="3"/>
  <c r="L1200" i="3"/>
  <c r="J1201" i="3"/>
  <c r="J1202" i="3" l="1"/>
  <c r="L1201" i="3"/>
  <c r="P1200" i="3"/>
  <c r="O1200" i="3"/>
  <c r="Q1200" i="3"/>
  <c r="N1200" i="3"/>
  <c r="P1201" i="3" l="1"/>
  <c r="Q1201" i="3"/>
  <c r="O1201" i="3"/>
  <c r="N1201" i="3"/>
  <c r="L1202" i="3"/>
  <c r="J1203" i="3"/>
  <c r="J1204" i="3" l="1"/>
  <c r="L1203" i="3"/>
  <c r="O1202" i="3"/>
  <c r="P1202" i="3"/>
  <c r="Q1202" i="3"/>
  <c r="N1202" i="3"/>
  <c r="O1203" i="3" l="1"/>
  <c r="N1203" i="3"/>
  <c r="P1203" i="3"/>
  <c r="Q1203" i="3"/>
  <c r="L1204" i="3"/>
  <c r="J1205" i="3"/>
  <c r="Q1204" i="3" l="1"/>
  <c r="O1204" i="3"/>
  <c r="N1204" i="3"/>
  <c r="P1204" i="3"/>
  <c r="J1206" i="3"/>
  <c r="L1205" i="3"/>
  <c r="N1205" i="3" l="1"/>
  <c r="P1205" i="3"/>
  <c r="O1205" i="3"/>
  <c r="Q1205" i="3"/>
  <c r="L1206" i="3"/>
  <c r="J1207" i="3"/>
  <c r="J1208" i="3" l="1"/>
  <c r="L1207" i="3"/>
  <c r="P1206" i="3"/>
  <c r="N1206" i="3"/>
  <c r="O1206" i="3"/>
  <c r="Q1206" i="3"/>
  <c r="Q1207" i="3" l="1"/>
  <c r="O1207" i="3"/>
  <c r="N1207" i="3"/>
  <c r="P1207" i="3"/>
  <c r="L1208" i="3"/>
  <c r="J1209" i="3"/>
  <c r="L1209" i="3" l="1"/>
  <c r="J1210" i="3"/>
  <c r="Q1208" i="3"/>
  <c r="N1208" i="3"/>
  <c r="P1208" i="3"/>
  <c r="O1208" i="3"/>
  <c r="J1211" i="3" l="1"/>
  <c r="L1210" i="3"/>
  <c r="N1209" i="3"/>
  <c r="O1209" i="3"/>
  <c r="P1209" i="3"/>
  <c r="Q1209" i="3"/>
  <c r="Q1210" i="3" l="1"/>
  <c r="O1210" i="3"/>
  <c r="P1210" i="3"/>
  <c r="N1210" i="3"/>
  <c r="J1212" i="3"/>
  <c r="L1211" i="3"/>
  <c r="J1213" i="3" l="1"/>
  <c r="L1212" i="3"/>
  <c r="N1211" i="3"/>
  <c r="O1211" i="3"/>
  <c r="P1211" i="3"/>
  <c r="Q1211" i="3"/>
  <c r="O1212" i="3" l="1"/>
  <c r="Q1212" i="3"/>
  <c r="P1212" i="3"/>
  <c r="N1212" i="3"/>
  <c r="L1213" i="3"/>
  <c r="J1214" i="3"/>
  <c r="L1214" i="3" l="1"/>
  <c r="J1215" i="3"/>
  <c r="Q1213" i="3"/>
  <c r="N1213" i="3"/>
  <c r="P1213" i="3"/>
  <c r="O1213" i="3"/>
  <c r="L1215" i="3" l="1"/>
  <c r="J1216" i="3"/>
  <c r="Q1214" i="3"/>
  <c r="O1214" i="3"/>
  <c r="P1214" i="3"/>
  <c r="N1214" i="3"/>
  <c r="L1216" i="3" l="1"/>
  <c r="J1217" i="3"/>
  <c r="O1215" i="3"/>
  <c r="N1215" i="3"/>
  <c r="Q1215" i="3"/>
  <c r="P1215" i="3"/>
  <c r="L1217" i="3" l="1"/>
  <c r="J1218" i="3"/>
  <c r="Q1216" i="3"/>
  <c r="P1216" i="3"/>
  <c r="N1216" i="3"/>
  <c r="O1216" i="3"/>
  <c r="L1218" i="3" l="1"/>
  <c r="J1219" i="3"/>
  <c r="Q1217" i="3"/>
  <c r="O1217" i="3"/>
  <c r="P1217" i="3"/>
  <c r="N1217" i="3"/>
  <c r="J1220" i="3" l="1"/>
  <c r="L1219" i="3"/>
  <c r="O1218" i="3"/>
  <c r="Q1218" i="3"/>
  <c r="P1218" i="3"/>
  <c r="N1218" i="3"/>
  <c r="Q1219" i="3" l="1"/>
  <c r="N1219" i="3"/>
  <c r="P1219" i="3"/>
  <c r="O1219" i="3"/>
  <c r="L1220" i="3"/>
  <c r="J1221" i="3"/>
  <c r="Q1220" i="3" l="1"/>
  <c r="P1220" i="3"/>
  <c r="N1220" i="3"/>
  <c r="O1220" i="3"/>
  <c r="J1222" i="3"/>
  <c r="L1221" i="3"/>
  <c r="O1221" i="3" l="1"/>
  <c r="Q1221" i="3"/>
  <c r="P1221" i="3"/>
  <c r="N1221" i="3"/>
  <c r="L1222" i="3"/>
  <c r="J1223" i="3"/>
  <c r="J1224" i="3" l="1"/>
  <c r="L1223" i="3"/>
  <c r="O1222" i="3"/>
  <c r="N1222" i="3"/>
  <c r="P1222" i="3"/>
  <c r="Q1222" i="3"/>
  <c r="N1223" i="3" l="1"/>
  <c r="Q1223" i="3"/>
  <c r="P1223" i="3"/>
  <c r="O1223" i="3"/>
  <c r="L1224" i="3"/>
  <c r="J1225" i="3"/>
  <c r="L1225" i="3" l="1"/>
  <c r="J1226" i="3"/>
  <c r="P1224" i="3"/>
  <c r="Q1224" i="3"/>
  <c r="O1224" i="3"/>
  <c r="N1224" i="3"/>
  <c r="L1226" i="3" l="1"/>
  <c r="J1227" i="3"/>
  <c r="Q1225" i="3"/>
  <c r="N1225" i="3"/>
  <c r="P1225" i="3"/>
  <c r="O1225" i="3"/>
  <c r="L1227" i="3" l="1"/>
  <c r="J1228" i="3"/>
  <c r="P1226" i="3"/>
  <c r="N1226" i="3"/>
  <c r="Q1226" i="3"/>
  <c r="O1226" i="3"/>
  <c r="L1228" i="3" l="1"/>
  <c r="J1229" i="3"/>
  <c r="P1227" i="3"/>
  <c r="N1227" i="3"/>
  <c r="Q1227" i="3"/>
  <c r="O1227" i="3"/>
  <c r="J1230" i="3" l="1"/>
  <c r="L1229" i="3"/>
  <c r="P1228" i="3"/>
  <c r="N1228" i="3"/>
  <c r="O1228" i="3"/>
  <c r="Q1228" i="3"/>
  <c r="Q1229" i="3" l="1"/>
  <c r="N1229" i="3"/>
  <c r="O1229" i="3"/>
  <c r="P1229" i="3"/>
  <c r="L1230" i="3"/>
  <c r="J1231" i="3"/>
  <c r="L1231" i="3" l="1"/>
  <c r="J1232" i="3"/>
  <c r="N1230" i="3"/>
  <c r="P1230" i="3"/>
  <c r="O1230" i="3"/>
  <c r="Q1230" i="3"/>
  <c r="L1232" i="3" l="1"/>
  <c r="J1233" i="3"/>
  <c r="P1231" i="3"/>
  <c r="N1231" i="3"/>
  <c r="Q1231" i="3"/>
  <c r="O1231" i="3"/>
  <c r="J1234" i="3" l="1"/>
  <c r="L1233" i="3"/>
  <c r="P1232" i="3"/>
  <c r="O1232" i="3"/>
  <c r="N1232" i="3"/>
  <c r="Q1232" i="3"/>
  <c r="Q1233" i="3" l="1"/>
  <c r="O1233" i="3"/>
  <c r="N1233" i="3"/>
  <c r="P1233" i="3"/>
  <c r="L1234" i="3"/>
  <c r="J1235" i="3"/>
  <c r="J1236" i="3" l="1"/>
  <c r="L1235" i="3"/>
  <c r="O1234" i="3"/>
  <c r="Q1234" i="3"/>
  <c r="P1234" i="3"/>
  <c r="N1234" i="3"/>
  <c r="O1235" i="3" l="1"/>
  <c r="P1235" i="3"/>
  <c r="N1235" i="3"/>
  <c r="Q1235" i="3"/>
  <c r="L1236" i="3"/>
  <c r="J1237" i="3"/>
  <c r="L1237" i="3" l="1"/>
  <c r="J1238" i="3"/>
  <c r="O1236" i="3"/>
  <c r="Q1236" i="3"/>
  <c r="N1236" i="3"/>
  <c r="P1236" i="3"/>
  <c r="L1238" i="3" l="1"/>
  <c r="J1239" i="3"/>
  <c r="Q1237" i="3"/>
  <c r="P1237" i="3"/>
  <c r="N1237" i="3"/>
  <c r="O1237" i="3"/>
  <c r="J1240" i="3" l="1"/>
  <c r="L1239" i="3"/>
  <c r="O1238" i="3"/>
  <c r="Q1238" i="3"/>
  <c r="N1238" i="3"/>
  <c r="P1238" i="3"/>
  <c r="Q1239" i="3" l="1"/>
  <c r="N1239" i="3"/>
  <c r="P1239" i="3"/>
  <c r="O1239" i="3"/>
  <c r="L1240" i="3"/>
  <c r="J1241" i="3"/>
  <c r="L1241" i="3" l="1"/>
  <c r="J1242" i="3"/>
  <c r="Q1240" i="3"/>
  <c r="P1240" i="3"/>
  <c r="O1240" i="3"/>
  <c r="N1240" i="3"/>
  <c r="J1243" i="3" l="1"/>
  <c r="L1242" i="3"/>
  <c r="Q1241" i="3"/>
  <c r="P1241" i="3"/>
  <c r="N1241" i="3"/>
  <c r="O1241" i="3"/>
  <c r="Q1242" i="3" l="1"/>
  <c r="O1242" i="3"/>
  <c r="P1242" i="3"/>
  <c r="N1242" i="3"/>
  <c r="L1243" i="3"/>
  <c r="J1244" i="3"/>
  <c r="L1244" i="3" l="1"/>
  <c r="J1245" i="3"/>
  <c r="O1243" i="3"/>
  <c r="N1243" i="3"/>
  <c r="Q1243" i="3"/>
  <c r="P1243" i="3"/>
  <c r="L1245" i="3" l="1"/>
  <c r="J1246" i="3"/>
  <c r="P1244" i="3"/>
  <c r="N1244" i="3"/>
  <c r="O1244" i="3"/>
  <c r="Q1244" i="3"/>
  <c r="J1247" i="3" l="1"/>
  <c r="L1246" i="3"/>
  <c r="Q1245" i="3"/>
  <c r="N1245" i="3"/>
  <c r="P1245" i="3"/>
  <c r="O1245" i="3"/>
  <c r="P1246" i="3" l="1"/>
  <c r="Q1246" i="3"/>
  <c r="N1246" i="3"/>
  <c r="O1246" i="3"/>
  <c r="L1247" i="3"/>
  <c r="J1248" i="3"/>
  <c r="L1248" i="3" l="1"/>
  <c r="J1249" i="3"/>
  <c r="O1247" i="3"/>
  <c r="N1247" i="3"/>
  <c r="Q1247" i="3"/>
  <c r="P1247" i="3"/>
  <c r="J1250" i="3" l="1"/>
  <c r="L1249" i="3"/>
  <c r="O1248" i="3"/>
  <c r="N1248" i="3"/>
  <c r="P1248" i="3"/>
  <c r="Q1248" i="3"/>
  <c r="Q1249" i="3" l="1"/>
  <c r="N1249" i="3"/>
  <c r="O1249" i="3"/>
  <c r="P1249" i="3"/>
  <c r="L1250" i="3"/>
  <c r="J1251" i="3"/>
  <c r="J1252" i="3" l="1"/>
  <c r="L1251" i="3"/>
  <c r="Q1250" i="3"/>
  <c r="O1250" i="3"/>
  <c r="P1250" i="3"/>
  <c r="N1250" i="3"/>
  <c r="Q1251" i="3" l="1"/>
  <c r="P1251" i="3"/>
  <c r="O1251" i="3"/>
  <c r="N1251" i="3"/>
  <c r="L1252" i="3"/>
  <c r="J1253" i="3"/>
  <c r="J1254" i="3" l="1"/>
  <c r="L1253" i="3"/>
  <c r="Q1252" i="3"/>
  <c r="O1252" i="3"/>
  <c r="N1252" i="3"/>
  <c r="P1252" i="3"/>
  <c r="Q1253" i="3" l="1"/>
  <c r="P1253" i="3"/>
  <c r="N1253" i="3"/>
  <c r="O1253" i="3"/>
  <c r="J1255" i="3"/>
  <c r="L1254" i="3"/>
  <c r="P1254" i="3" l="1"/>
  <c r="O1254" i="3"/>
  <c r="N1254" i="3"/>
  <c r="Q1254" i="3"/>
  <c r="J1256" i="3"/>
  <c r="L1255" i="3"/>
  <c r="O1255" i="3" l="1"/>
  <c r="N1255" i="3"/>
  <c r="Q1255" i="3"/>
  <c r="P1255" i="3"/>
  <c r="L1256" i="3"/>
  <c r="J1257" i="3"/>
  <c r="L1257" i="3" l="1"/>
  <c r="J1258" i="3"/>
  <c r="Q1256" i="3"/>
  <c r="N1256" i="3"/>
  <c r="P1256" i="3"/>
  <c r="O1256" i="3"/>
  <c r="J1259" i="3" l="1"/>
  <c r="L1258" i="3"/>
  <c r="P1257" i="3"/>
  <c r="O1257" i="3"/>
  <c r="N1257" i="3"/>
  <c r="Q1257" i="3"/>
  <c r="N1258" i="3" l="1"/>
  <c r="P1258" i="3"/>
  <c r="O1258" i="3"/>
  <c r="Q1258" i="3"/>
  <c r="J1260" i="3"/>
  <c r="L1259" i="3"/>
  <c r="Q1259" i="3" l="1"/>
  <c r="N1259" i="3"/>
  <c r="O1259" i="3"/>
  <c r="P1259" i="3"/>
  <c r="L1260" i="3"/>
  <c r="J1261" i="3"/>
  <c r="L1261" i="3" l="1"/>
  <c r="J1262" i="3"/>
  <c r="P1260" i="3"/>
  <c r="N1260" i="3"/>
  <c r="O1260" i="3"/>
  <c r="Q1260" i="3"/>
  <c r="L1262" i="3" l="1"/>
  <c r="J1263" i="3"/>
  <c r="O1261" i="3"/>
  <c r="P1261" i="3"/>
  <c r="N1261" i="3"/>
  <c r="Q1261" i="3"/>
  <c r="J1264" i="3" l="1"/>
  <c r="L1263" i="3"/>
  <c r="O1262" i="3"/>
  <c r="Q1262" i="3"/>
  <c r="P1262" i="3"/>
  <c r="N1262" i="3"/>
  <c r="Q1263" i="3" l="1"/>
  <c r="N1263" i="3"/>
  <c r="P1263" i="3"/>
  <c r="O1263" i="3"/>
  <c r="J1265" i="3"/>
  <c r="L1264" i="3"/>
  <c r="N1264" i="3" l="1"/>
  <c r="O1264" i="3"/>
  <c r="Q1264" i="3"/>
  <c r="P1264" i="3"/>
  <c r="J1266" i="3"/>
  <c r="L1265" i="3"/>
  <c r="Q1265" i="3" l="1"/>
  <c r="O1265" i="3"/>
  <c r="N1265" i="3"/>
  <c r="P1265" i="3"/>
  <c r="L1266" i="3"/>
  <c r="J1267" i="3"/>
  <c r="J1268" i="3" l="1"/>
  <c r="L1267" i="3"/>
  <c r="P1266" i="3"/>
  <c r="O1266" i="3"/>
  <c r="N1266" i="3"/>
  <c r="Q1266" i="3"/>
  <c r="O1267" i="3" l="1"/>
  <c r="P1267" i="3"/>
  <c r="Q1267" i="3"/>
  <c r="N1267" i="3"/>
  <c r="J1269" i="3"/>
  <c r="L1268" i="3"/>
  <c r="O1268" i="3" l="1"/>
  <c r="N1268" i="3"/>
  <c r="Q1268" i="3"/>
  <c r="P1268" i="3"/>
  <c r="J1270" i="3"/>
  <c r="L1269" i="3"/>
  <c r="N1269" i="3" l="1"/>
  <c r="Q1269" i="3"/>
  <c r="P1269" i="3"/>
  <c r="O1269" i="3"/>
  <c r="J1271" i="3"/>
  <c r="L1270" i="3"/>
  <c r="O1270" i="3" l="1"/>
  <c r="P1270" i="3"/>
  <c r="Q1270" i="3"/>
  <c r="N1270" i="3"/>
  <c r="J1272" i="3"/>
  <c r="L1271" i="3"/>
  <c r="L1272" i="3" l="1"/>
  <c r="J1273" i="3"/>
  <c r="O1271" i="3"/>
  <c r="Q1271" i="3"/>
  <c r="N1271" i="3"/>
  <c r="P1271" i="3"/>
  <c r="L1273" i="3" l="1"/>
  <c r="J1274" i="3"/>
  <c r="Q1272" i="3"/>
  <c r="N1272" i="3"/>
  <c r="O1272" i="3"/>
  <c r="P1272" i="3"/>
  <c r="J1275" i="3" l="1"/>
  <c r="L1274" i="3"/>
  <c r="N1273" i="3"/>
  <c r="O1273" i="3"/>
  <c r="P1273" i="3"/>
  <c r="Q1273" i="3"/>
  <c r="Q1274" i="3" l="1"/>
  <c r="O1274" i="3"/>
  <c r="N1274" i="3"/>
  <c r="P1274" i="3"/>
  <c r="L1275" i="3"/>
  <c r="J1276" i="3"/>
  <c r="L1276" i="3" l="1"/>
  <c r="J1277" i="3"/>
  <c r="P1275" i="3"/>
  <c r="N1275" i="3"/>
  <c r="Q1275" i="3"/>
  <c r="O1275" i="3"/>
  <c r="L1277" i="3" l="1"/>
  <c r="J1278" i="3"/>
  <c r="O1276" i="3"/>
  <c r="P1276" i="3"/>
  <c r="Q1276" i="3"/>
  <c r="N1276" i="3"/>
  <c r="L1278" i="3" l="1"/>
  <c r="J1279" i="3"/>
  <c r="O1277" i="3"/>
  <c r="Q1277" i="3"/>
  <c r="P1277" i="3"/>
  <c r="N1277" i="3"/>
  <c r="J1280" i="3" l="1"/>
  <c r="L1279" i="3"/>
  <c r="Q1278" i="3"/>
  <c r="P1278" i="3"/>
  <c r="O1278" i="3"/>
  <c r="N1278" i="3"/>
  <c r="P1279" i="3" l="1"/>
  <c r="O1279" i="3"/>
  <c r="Q1279" i="3"/>
  <c r="N1279" i="3"/>
  <c r="J1281" i="3"/>
  <c r="L1280" i="3"/>
  <c r="Q1280" i="3" l="1"/>
  <c r="N1280" i="3"/>
  <c r="O1280" i="3"/>
  <c r="P1280" i="3"/>
  <c r="L1281" i="3"/>
  <c r="J1282" i="3"/>
  <c r="L1282" i="3" l="1"/>
  <c r="J1283" i="3"/>
  <c r="Q1281" i="3"/>
  <c r="O1281" i="3"/>
  <c r="P1281" i="3"/>
  <c r="N1281" i="3"/>
  <c r="J1284" i="3" l="1"/>
  <c r="L1283" i="3"/>
  <c r="Q1282" i="3"/>
  <c r="P1282" i="3"/>
  <c r="N1282" i="3"/>
  <c r="O1282" i="3"/>
  <c r="O1283" i="3" l="1"/>
  <c r="P1283" i="3"/>
  <c r="N1283" i="3"/>
  <c r="Q1283" i="3"/>
  <c r="J1285" i="3"/>
  <c r="L1284" i="3"/>
  <c r="Q1284" i="3" l="1"/>
  <c r="P1284" i="3"/>
  <c r="O1284" i="3"/>
  <c r="N1284" i="3"/>
  <c r="L1285" i="3"/>
  <c r="J1286" i="3"/>
  <c r="J1287" i="3" l="1"/>
  <c r="L1286" i="3"/>
  <c r="Q1285" i="3"/>
  <c r="P1285" i="3"/>
  <c r="N1285" i="3"/>
  <c r="O1285" i="3"/>
  <c r="Q1286" i="3" l="1"/>
  <c r="O1286" i="3"/>
  <c r="P1286" i="3"/>
  <c r="N1286" i="3"/>
  <c r="J1288" i="3"/>
  <c r="L1287" i="3"/>
  <c r="P1287" i="3" l="1"/>
  <c r="O1287" i="3"/>
  <c r="Q1287" i="3"/>
  <c r="N1287" i="3"/>
  <c r="J1289" i="3"/>
  <c r="L1288" i="3"/>
  <c r="Q1288" i="3" l="1"/>
  <c r="N1288" i="3"/>
  <c r="P1288" i="3"/>
  <c r="O1288" i="3"/>
  <c r="L1289" i="3"/>
  <c r="J1290" i="3"/>
  <c r="L1290" i="3" l="1"/>
  <c r="J1291" i="3"/>
  <c r="Q1289" i="3"/>
  <c r="P1289" i="3"/>
  <c r="N1289" i="3"/>
  <c r="O1289" i="3"/>
  <c r="P1290" i="3" l="1"/>
  <c r="N1290" i="3"/>
  <c r="Q1290" i="3"/>
  <c r="O1290" i="3"/>
  <c r="J1292" i="3"/>
  <c r="L1291" i="3"/>
  <c r="J1293" i="3" l="1"/>
  <c r="L1292" i="3"/>
  <c r="O1291" i="3"/>
  <c r="N1291" i="3"/>
  <c r="Q1291" i="3"/>
  <c r="P1291" i="3"/>
  <c r="J1294" i="3" l="1"/>
  <c r="L1293" i="3"/>
  <c r="Q1292" i="3"/>
  <c r="O1292" i="3"/>
  <c r="P1292" i="3"/>
  <c r="N1292" i="3"/>
  <c r="L1294" i="3" l="1"/>
  <c r="J1295" i="3"/>
  <c r="P1293" i="3"/>
  <c r="O1293" i="3"/>
  <c r="N1293" i="3"/>
  <c r="Q1293" i="3"/>
  <c r="O1294" i="3" l="1"/>
  <c r="Q1294" i="3"/>
  <c r="P1294" i="3"/>
  <c r="N1294" i="3"/>
  <c r="L1295" i="3"/>
  <c r="J1296" i="3"/>
  <c r="N1295" i="3" l="1"/>
  <c r="O1295" i="3"/>
  <c r="Q1295" i="3"/>
  <c r="P1295" i="3"/>
  <c r="J1297" i="3"/>
  <c r="L1296" i="3"/>
  <c r="J1298" i="3" l="1"/>
  <c r="L1297" i="3"/>
  <c r="O1296" i="3"/>
  <c r="N1296" i="3"/>
  <c r="P1296" i="3"/>
  <c r="Q1296" i="3"/>
  <c r="L1298" i="3" l="1"/>
  <c r="J1299" i="3"/>
  <c r="N1297" i="3"/>
  <c r="P1297" i="3"/>
  <c r="Q1297" i="3"/>
  <c r="O1297" i="3"/>
  <c r="P1298" i="3" l="1"/>
  <c r="Q1298" i="3"/>
  <c r="N1298" i="3"/>
  <c r="O1298" i="3"/>
  <c r="L1299" i="3"/>
  <c r="J1300" i="3"/>
  <c r="Q1299" i="3" l="1"/>
  <c r="O1299" i="3"/>
  <c r="P1299" i="3"/>
  <c r="N1299" i="3"/>
  <c r="J1301" i="3"/>
  <c r="L1300" i="3"/>
  <c r="L1301" i="3" l="1"/>
  <c r="J1302" i="3"/>
  <c r="N1300" i="3"/>
  <c r="P1300" i="3"/>
  <c r="O1300" i="3"/>
  <c r="Q1300" i="3"/>
  <c r="O1301" i="3" l="1"/>
  <c r="Q1301" i="3"/>
  <c r="P1301" i="3"/>
  <c r="N1301" i="3"/>
  <c r="L1302" i="3"/>
  <c r="J1303" i="3"/>
  <c r="N1302" i="3" l="1"/>
  <c r="Q1302" i="3"/>
  <c r="P1302" i="3"/>
  <c r="O1302" i="3"/>
  <c r="J1304" i="3"/>
  <c r="L1303" i="3"/>
  <c r="L1304" i="3" l="1"/>
  <c r="J1305" i="3"/>
  <c r="O1303" i="3"/>
  <c r="Q1303" i="3"/>
  <c r="P1303" i="3"/>
  <c r="N1303" i="3"/>
  <c r="O1304" i="3" l="1"/>
  <c r="P1304" i="3"/>
  <c r="N1304" i="3"/>
  <c r="Q1304" i="3"/>
  <c r="L1305" i="3"/>
  <c r="J1306" i="3"/>
  <c r="N1305" i="3" l="1"/>
  <c r="P1305" i="3"/>
  <c r="Q1305" i="3"/>
  <c r="O1305" i="3"/>
  <c r="J1307" i="3"/>
  <c r="L1306" i="3"/>
  <c r="L1307" i="3" l="1"/>
  <c r="J1308" i="3"/>
  <c r="P1306" i="3"/>
  <c r="Q1306" i="3"/>
  <c r="O1306" i="3"/>
  <c r="N1306" i="3"/>
  <c r="P1307" i="3" l="1"/>
  <c r="Q1307" i="3"/>
  <c r="O1307" i="3"/>
  <c r="N1307" i="3"/>
  <c r="J1309" i="3"/>
  <c r="L1308" i="3"/>
  <c r="L1309" i="3" l="1"/>
  <c r="J1310" i="3"/>
  <c r="Q1308" i="3"/>
  <c r="P1308" i="3"/>
  <c r="O1308" i="3"/>
  <c r="N1308" i="3"/>
  <c r="Q1309" i="3" l="1"/>
  <c r="P1309" i="3"/>
  <c r="N1309" i="3"/>
  <c r="O1309" i="3"/>
  <c r="J1311" i="3"/>
  <c r="L1310" i="3"/>
  <c r="J1312" i="3" l="1"/>
  <c r="L1311" i="3"/>
  <c r="P1310" i="3"/>
  <c r="O1310" i="3"/>
  <c r="Q1310" i="3"/>
  <c r="N1310" i="3"/>
  <c r="L1312" i="3" l="1"/>
  <c r="J1313" i="3"/>
  <c r="N1311" i="3"/>
  <c r="Q1311" i="3"/>
  <c r="P1311" i="3"/>
  <c r="O1311" i="3"/>
  <c r="N1312" i="3" l="1"/>
  <c r="P1312" i="3"/>
  <c r="O1312" i="3"/>
  <c r="Q1312" i="3"/>
  <c r="L1313" i="3"/>
  <c r="J1314" i="3"/>
  <c r="P1313" i="3" l="1"/>
  <c r="Q1313" i="3"/>
  <c r="O1313" i="3"/>
  <c r="N1313" i="3"/>
  <c r="L1314" i="3"/>
  <c r="J1315" i="3"/>
  <c r="J1316" i="3" l="1"/>
  <c r="L1315" i="3"/>
  <c r="Q1314" i="3"/>
  <c r="O1314" i="3"/>
  <c r="P1314" i="3"/>
  <c r="N1314" i="3"/>
  <c r="L1316" i="3" l="1"/>
  <c r="J1317" i="3"/>
  <c r="P1315" i="3"/>
  <c r="Q1315" i="3"/>
  <c r="O1315" i="3"/>
  <c r="N1315" i="3"/>
  <c r="P1316" i="3" l="1"/>
  <c r="Q1316" i="3"/>
  <c r="O1316" i="3"/>
  <c r="N1316" i="3"/>
  <c r="L1317" i="3"/>
  <c r="J1318" i="3"/>
  <c r="N1317" i="3" l="1"/>
  <c r="O1317" i="3"/>
  <c r="P1317" i="3"/>
  <c r="Q1317" i="3"/>
  <c r="J1319" i="3"/>
  <c r="L1318" i="3"/>
  <c r="J1320" i="3" l="1"/>
  <c r="L1319" i="3"/>
  <c r="Q1318" i="3"/>
  <c r="P1318" i="3"/>
  <c r="O1318" i="3"/>
  <c r="N1318" i="3"/>
  <c r="L1320" i="3" l="1"/>
  <c r="J1321" i="3"/>
  <c r="N1319" i="3"/>
  <c r="Q1319" i="3"/>
  <c r="P1319" i="3"/>
  <c r="O1319" i="3"/>
  <c r="O1320" i="3" l="1"/>
  <c r="Q1320" i="3"/>
  <c r="P1320" i="3"/>
  <c r="N1320" i="3"/>
  <c r="J1322" i="3"/>
  <c r="L1321" i="3"/>
  <c r="J1323" i="3" l="1"/>
  <c r="L1322" i="3"/>
  <c r="N1321" i="3"/>
  <c r="O1321" i="3"/>
  <c r="P1321" i="3"/>
  <c r="Q1321" i="3"/>
  <c r="J1324" i="3" l="1"/>
  <c r="L1323" i="3"/>
  <c r="O1322" i="3"/>
  <c r="P1322" i="3"/>
  <c r="Q1322" i="3"/>
  <c r="N1322" i="3"/>
  <c r="L1324" i="3" l="1"/>
  <c r="J1325" i="3"/>
  <c r="O1323" i="3"/>
  <c r="P1323" i="3"/>
  <c r="Q1323" i="3"/>
  <c r="N1323" i="3"/>
  <c r="N1324" i="3" l="1"/>
  <c r="O1324" i="3"/>
  <c r="Q1324" i="3"/>
  <c r="P1324" i="3"/>
  <c r="J1326" i="3"/>
  <c r="L1325" i="3"/>
  <c r="J1327" i="3" l="1"/>
  <c r="L1326" i="3"/>
  <c r="P1325" i="3"/>
  <c r="O1325" i="3"/>
  <c r="Q1325" i="3"/>
  <c r="N1325" i="3"/>
  <c r="J1328" i="3" l="1"/>
  <c r="L1327" i="3"/>
  <c r="Q1326" i="3"/>
  <c r="N1326" i="3"/>
  <c r="P1326" i="3"/>
  <c r="O1326" i="3"/>
  <c r="J1329" i="3" l="1"/>
  <c r="L1328" i="3"/>
  <c r="O1327" i="3"/>
  <c r="Q1327" i="3"/>
  <c r="P1327" i="3"/>
  <c r="N1327" i="3"/>
  <c r="L1329" i="3" l="1"/>
  <c r="J1330" i="3"/>
  <c r="O1328" i="3"/>
  <c r="Q1328" i="3"/>
  <c r="N1328" i="3"/>
  <c r="P1328" i="3"/>
  <c r="P1329" i="3" l="1"/>
  <c r="N1329" i="3"/>
  <c r="Q1329" i="3"/>
  <c r="O1329" i="3"/>
  <c r="J1331" i="3"/>
  <c r="L1330" i="3"/>
  <c r="L1331" i="3" l="1"/>
  <c r="J1332" i="3"/>
  <c r="P1330" i="3"/>
  <c r="N1330" i="3"/>
  <c r="Q1330" i="3"/>
  <c r="O1330" i="3"/>
  <c r="Q1331" i="3" l="1"/>
  <c r="O1331" i="3"/>
  <c r="P1331" i="3"/>
  <c r="N1331" i="3"/>
  <c r="J1333" i="3"/>
  <c r="L1332" i="3"/>
  <c r="J1334" i="3" l="1"/>
  <c r="L1333" i="3"/>
  <c r="N1332" i="3"/>
  <c r="Q1332" i="3"/>
  <c r="O1332" i="3"/>
  <c r="P1332" i="3"/>
  <c r="N1333" i="3" l="1"/>
  <c r="O1333" i="3"/>
  <c r="P1333" i="3"/>
  <c r="Q1333" i="3"/>
  <c r="J1335" i="3"/>
  <c r="L1334" i="3"/>
  <c r="N1334" i="3" l="1"/>
  <c r="O1334" i="3"/>
  <c r="P1334" i="3"/>
  <c r="Q1334" i="3"/>
  <c r="J1336" i="3"/>
  <c r="L1335" i="3"/>
  <c r="O1335" i="3" l="1"/>
  <c r="Q1335" i="3"/>
  <c r="P1335" i="3"/>
  <c r="N1335" i="3"/>
  <c r="J1337" i="3"/>
  <c r="L1336" i="3"/>
  <c r="Q1336" i="3" l="1"/>
  <c r="N1336" i="3"/>
  <c r="P1336" i="3"/>
  <c r="O1336" i="3"/>
  <c r="L1337" i="3"/>
  <c r="J1338" i="3"/>
  <c r="J1339" i="3" l="1"/>
  <c r="L1338" i="3"/>
  <c r="N1337" i="3"/>
  <c r="O1337" i="3"/>
  <c r="P1337" i="3"/>
  <c r="Q1337" i="3"/>
  <c r="N1338" i="3" l="1"/>
  <c r="Q1338" i="3"/>
  <c r="O1338" i="3"/>
  <c r="P1338" i="3"/>
  <c r="L1339" i="3"/>
  <c r="J1340" i="3"/>
  <c r="J1341" i="3" l="1"/>
  <c r="L1340" i="3"/>
  <c r="O1339" i="3"/>
  <c r="Q1339" i="3"/>
  <c r="N1339" i="3"/>
  <c r="P1339" i="3"/>
  <c r="Q1340" i="3" l="1"/>
  <c r="P1340" i="3"/>
  <c r="N1340" i="3"/>
  <c r="O1340" i="3"/>
  <c r="L1341" i="3"/>
  <c r="J1342" i="3"/>
  <c r="J1343" i="3" l="1"/>
  <c r="L1342" i="3"/>
  <c r="N1341" i="3"/>
  <c r="P1341" i="3"/>
  <c r="O1341" i="3"/>
  <c r="Q1341" i="3"/>
  <c r="N1342" i="3" l="1"/>
  <c r="P1342" i="3"/>
  <c r="Q1342" i="3"/>
  <c r="O1342" i="3"/>
  <c r="J1344" i="3"/>
  <c r="L1343" i="3"/>
  <c r="Q1343" i="3" l="1"/>
  <c r="P1343" i="3"/>
  <c r="O1343" i="3"/>
  <c r="N1343" i="3"/>
  <c r="J1345" i="3"/>
  <c r="L1344" i="3"/>
  <c r="O1344" i="3" l="1"/>
  <c r="N1344" i="3"/>
  <c r="P1344" i="3"/>
  <c r="Q1344" i="3"/>
  <c r="L1345" i="3"/>
  <c r="J1346" i="3"/>
  <c r="L1346" i="3" l="1"/>
  <c r="J1347" i="3"/>
  <c r="O1345" i="3"/>
  <c r="N1345" i="3"/>
  <c r="Q1345" i="3"/>
  <c r="P1345" i="3"/>
  <c r="J1348" i="3" l="1"/>
  <c r="L1347" i="3"/>
  <c r="P1346" i="3"/>
  <c r="N1346" i="3"/>
  <c r="O1346" i="3"/>
  <c r="Q1346" i="3"/>
  <c r="O1347" i="3" l="1"/>
  <c r="P1347" i="3"/>
  <c r="Q1347" i="3"/>
  <c r="N1347" i="3"/>
  <c r="L1348" i="3"/>
  <c r="J1349" i="3"/>
  <c r="J1350" i="3" l="1"/>
  <c r="L1349" i="3"/>
  <c r="Q1348" i="3"/>
  <c r="O1348" i="3"/>
  <c r="N1348" i="3"/>
  <c r="P1348" i="3"/>
  <c r="P1349" i="3" l="1"/>
  <c r="N1349" i="3"/>
  <c r="O1349" i="3"/>
  <c r="Q1349" i="3"/>
  <c r="L1350" i="3"/>
  <c r="J1351" i="3"/>
  <c r="J1352" i="3" l="1"/>
  <c r="L1351" i="3"/>
  <c r="P1350" i="3"/>
  <c r="Q1350" i="3"/>
  <c r="O1350" i="3"/>
  <c r="N1350" i="3"/>
  <c r="Q1351" i="3" l="1"/>
  <c r="N1351" i="3"/>
  <c r="P1351" i="3"/>
  <c r="O1351" i="3"/>
  <c r="J1353" i="3"/>
  <c r="L1352" i="3"/>
  <c r="Q1352" i="3" l="1"/>
  <c r="P1352" i="3"/>
  <c r="N1352" i="3"/>
  <c r="O1352" i="3"/>
  <c r="J1354" i="3"/>
  <c r="L1353" i="3"/>
  <c r="P1353" i="3" l="1"/>
  <c r="O1353" i="3"/>
  <c r="Q1353" i="3"/>
  <c r="N1353" i="3"/>
  <c r="L1354" i="3"/>
  <c r="J1355" i="3"/>
  <c r="L1355" i="3" l="1"/>
  <c r="J1356" i="3"/>
  <c r="Q1354" i="3"/>
  <c r="P1354" i="3"/>
  <c r="N1354" i="3"/>
  <c r="O1354" i="3"/>
  <c r="L1356" i="3" l="1"/>
  <c r="J1357" i="3"/>
  <c r="P1355" i="3"/>
  <c r="N1355" i="3"/>
  <c r="Q1355" i="3"/>
  <c r="O1355" i="3"/>
  <c r="J1358" i="3" l="1"/>
  <c r="L1357" i="3"/>
  <c r="Q1356" i="3"/>
  <c r="N1356" i="3"/>
  <c r="O1356" i="3"/>
  <c r="P1356" i="3"/>
  <c r="Q1357" i="3" l="1"/>
  <c r="N1357" i="3"/>
  <c r="P1357" i="3"/>
  <c r="O1357" i="3"/>
  <c r="J1359" i="3"/>
  <c r="L1358" i="3"/>
  <c r="O1358" i="3" l="1"/>
  <c r="P1358" i="3"/>
  <c r="Q1358" i="3"/>
  <c r="N1358" i="3"/>
  <c r="J1360" i="3"/>
  <c r="L1359" i="3"/>
  <c r="N1359" i="3" l="1"/>
  <c r="O1359" i="3"/>
  <c r="Q1359" i="3"/>
  <c r="P1359" i="3"/>
  <c r="J1361" i="3"/>
  <c r="L1360" i="3"/>
  <c r="Q1360" i="3" l="1"/>
  <c r="O1360" i="3"/>
  <c r="N1360" i="3"/>
  <c r="P1360" i="3"/>
  <c r="L1361" i="3"/>
  <c r="J1362" i="3"/>
  <c r="J1363" i="3" l="1"/>
  <c r="L1362" i="3"/>
  <c r="Q1361" i="3"/>
  <c r="O1361" i="3"/>
  <c r="N1361" i="3"/>
  <c r="P1361" i="3"/>
  <c r="Q1362" i="3" l="1"/>
  <c r="P1362" i="3"/>
  <c r="N1362" i="3"/>
  <c r="O1362" i="3"/>
  <c r="J1364" i="3"/>
  <c r="L1363" i="3"/>
  <c r="Q1363" i="3" l="1"/>
  <c r="P1363" i="3"/>
  <c r="O1363" i="3"/>
  <c r="N1363" i="3"/>
  <c r="J1365" i="3"/>
  <c r="L1364" i="3"/>
  <c r="N1364" i="3" l="1"/>
  <c r="O1364" i="3"/>
  <c r="Q1364" i="3"/>
  <c r="P1364" i="3"/>
  <c r="J1366" i="3"/>
  <c r="L1365" i="3"/>
  <c r="O1365" i="3" l="1"/>
  <c r="N1365" i="3"/>
  <c r="Q1365" i="3"/>
  <c r="P1365" i="3"/>
  <c r="L1366" i="3"/>
  <c r="J1367" i="3"/>
  <c r="J1368" i="3" l="1"/>
  <c r="L1367" i="3"/>
  <c r="O1366" i="3"/>
  <c r="P1366" i="3"/>
  <c r="N1366" i="3"/>
  <c r="Q1366" i="3"/>
  <c r="P1367" i="3" l="1"/>
  <c r="Q1367" i="3"/>
  <c r="O1367" i="3"/>
  <c r="N1367" i="3"/>
  <c r="L1368" i="3"/>
  <c r="J1369" i="3"/>
  <c r="J1370" i="3" l="1"/>
  <c r="L1369" i="3"/>
  <c r="Q1368" i="3"/>
  <c r="O1368" i="3"/>
  <c r="P1368" i="3"/>
  <c r="N1368" i="3"/>
  <c r="Q1369" i="3" l="1"/>
  <c r="N1369" i="3"/>
  <c r="P1369" i="3"/>
  <c r="O1369" i="3"/>
  <c r="J1371" i="3"/>
  <c r="L1370" i="3"/>
  <c r="P1370" i="3" l="1"/>
  <c r="N1370" i="3"/>
  <c r="O1370" i="3"/>
  <c r="Q1370" i="3"/>
  <c r="J1372" i="3"/>
  <c r="L1371" i="3"/>
  <c r="O1371" i="3" l="1"/>
  <c r="N1371" i="3"/>
  <c r="Q1371" i="3"/>
  <c r="P1371" i="3"/>
  <c r="J1373" i="3"/>
  <c r="L1372" i="3"/>
  <c r="O1372" i="3" l="1"/>
  <c r="Q1372" i="3"/>
  <c r="P1372" i="3"/>
  <c r="N1372" i="3"/>
  <c r="L1373" i="3"/>
  <c r="J1374" i="3"/>
  <c r="J1375" i="3" l="1"/>
  <c r="L1374" i="3"/>
  <c r="Q1373" i="3"/>
  <c r="N1373" i="3"/>
  <c r="P1373" i="3"/>
  <c r="O1373" i="3"/>
  <c r="O1374" i="3" l="1"/>
  <c r="Q1374" i="3"/>
  <c r="N1374" i="3"/>
  <c r="P1374" i="3"/>
  <c r="J1376" i="3"/>
  <c r="L1375" i="3"/>
  <c r="Q1375" i="3" l="1"/>
  <c r="P1375" i="3"/>
  <c r="O1375" i="3"/>
  <c r="N1375" i="3"/>
  <c r="J1377" i="3"/>
  <c r="L1376" i="3"/>
  <c r="Q1376" i="3" l="1"/>
  <c r="P1376" i="3"/>
  <c r="O1376" i="3"/>
  <c r="N1376" i="3"/>
  <c r="L1377" i="3"/>
  <c r="J1378" i="3"/>
  <c r="Q1377" i="3" l="1"/>
  <c r="O1377" i="3"/>
  <c r="N1377" i="3"/>
  <c r="P1377" i="3"/>
  <c r="J1379" i="3"/>
  <c r="L1378" i="3"/>
  <c r="P1378" i="3" l="1"/>
  <c r="N1378" i="3"/>
  <c r="Q1378" i="3"/>
  <c r="O1378" i="3"/>
  <c r="L1379" i="3"/>
  <c r="J1380" i="3"/>
  <c r="J1381" i="3" l="1"/>
  <c r="L1380" i="3"/>
  <c r="P1379" i="3"/>
  <c r="Q1379" i="3"/>
  <c r="N1379" i="3"/>
  <c r="O1379" i="3"/>
  <c r="Q1380" i="3" l="1"/>
  <c r="N1380" i="3"/>
  <c r="P1380" i="3"/>
  <c r="O1380" i="3"/>
  <c r="J1382" i="3"/>
  <c r="L1381" i="3"/>
  <c r="Q1381" i="3" l="1"/>
  <c r="P1381" i="3"/>
  <c r="N1381" i="3"/>
  <c r="O1381" i="3"/>
  <c r="L1382" i="3"/>
  <c r="J1383" i="3"/>
  <c r="Q1382" i="3" l="1"/>
  <c r="P1382" i="3"/>
  <c r="N1382" i="3"/>
  <c r="O1382" i="3"/>
  <c r="J1384" i="3"/>
  <c r="L1383" i="3"/>
  <c r="P1383" i="3" l="1"/>
  <c r="N1383" i="3"/>
  <c r="O1383" i="3"/>
  <c r="Q1383" i="3"/>
  <c r="J1385" i="3"/>
  <c r="L1384" i="3"/>
  <c r="Q1384" i="3" l="1"/>
  <c r="P1384" i="3"/>
  <c r="N1384" i="3"/>
  <c r="O1384" i="3"/>
  <c r="L1385" i="3"/>
  <c r="J1386" i="3"/>
  <c r="J1387" i="3" l="1"/>
  <c r="L1386" i="3"/>
  <c r="P1385" i="3"/>
  <c r="O1385" i="3"/>
  <c r="N1385" i="3"/>
  <c r="Q1385" i="3"/>
  <c r="Q1386" i="3" l="1"/>
  <c r="O1386" i="3"/>
  <c r="P1386" i="3"/>
  <c r="N1386" i="3"/>
  <c r="L1387" i="3"/>
  <c r="J1388" i="3"/>
  <c r="P1387" i="3" l="1"/>
  <c r="N1387" i="3"/>
  <c r="Q1387" i="3"/>
  <c r="O1387" i="3"/>
  <c r="L1388" i="3"/>
  <c r="J1389" i="3"/>
  <c r="J1390" i="3" l="1"/>
  <c r="L1389" i="3"/>
  <c r="Q1388" i="3"/>
  <c r="P1388" i="3"/>
  <c r="O1388" i="3"/>
  <c r="N1388" i="3"/>
  <c r="P1389" i="3" l="1"/>
  <c r="Q1389" i="3"/>
  <c r="N1389" i="3"/>
  <c r="O1389" i="3"/>
  <c r="J1391" i="3"/>
  <c r="L1390" i="3"/>
  <c r="O1390" i="3" l="1"/>
  <c r="P1390" i="3"/>
  <c r="Q1390" i="3"/>
  <c r="N1390" i="3"/>
  <c r="L1391" i="3"/>
  <c r="J1392" i="3"/>
  <c r="J1393" i="3" l="1"/>
  <c r="L1392" i="3"/>
  <c r="Q1391" i="3"/>
  <c r="P1391" i="3"/>
  <c r="N1391" i="3"/>
  <c r="O1391" i="3"/>
  <c r="Q1392" i="3" l="1"/>
  <c r="N1392" i="3"/>
  <c r="O1392" i="3"/>
  <c r="P1392" i="3"/>
  <c r="L1393" i="3"/>
  <c r="J1394" i="3"/>
  <c r="L1394" i="3" l="1"/>
  <c r="J1395" i="3"/>
  <c r="Q1393" i="3"/>
  <c r="O1393" i="3"/>
  <c r="N1393" i="3"/>
  <c r="P1393" i="3"/>
  <c r="L1395" i="3" l="1"/>
  <c r="J1396" i="3"/>
  <c r="N1394" i="3"/>
  <c r="Q1394" i="3"/>
  <c r="P1394" i="3"/>
  <c r="O1394" i="3"/>
  <c r="J1397" i="3" l="1"/>
  <c r="L1396" i="3"/>
  <c r="P1395" i="3"/>
  <c r="N1395" i="3"/>
  <c r="O1395" i="3"/>
  <c r="Q1395" i="3"/>
  <c r="N1396" i="3" l="1"/>
  <c r="P1396" i="3"/>
  <c r="O1396" i="3"/>
  <c r="Q1396" i="3"/>
  <c r="L1397" i="3"/>
  <c r="J1398" i="3"/>
  <c r="L1398" i="3" l="1"/>
  <c r="J1399" i="3"/>
  <c r="Q1397" i="3"/>
  <c r="N1397" i="3"/>
  <c r="O1397" i="3"/>
  <c r="P1397" i="3"/>
  <c r="J1400" i="3" l="1"/>
  <c r="L1399" i="3"/>
  <c r="N1398" i="3"/>
  <c r="O1398" i="3"/>
  <c r="Q1398" i="3"/>
  <c r="P1398" i="3"/>
  <c r="Q1399" i="3" l="1"/>
  <c r="O1399" i="3"/>
  <c r="N1399" i="3"/>
  <c r="P1399" i="3"/>
  <c r="J1401" i="3"/>
  <c r="L1400" i="3"/>
  <c r="P1400" i="3" l="1"/>
  <c r="N1400" i="3"/>
  <c r="Q1400" i="3"/>
  <c r="O1400" i="3"/>
  <c r="L1401" i="3"/>
  <c r="J1402" i="3"/>
  <c r="J1403" i="3" l="1"/>
  <c r="L1402" i="3"/>
  <c r="Q1401" i="3"/>
  <c r="N1401" i="3"/>
  <c r="O1401" i="3"/>
  <c r="P1401" i="3"/>
  <c r="N1402" i="3" l="1"/>
  <c r="O1402" i="3"/>
  <c r="Q1402" i="3"/>
  <c r="P1402" i="3"/>
  <c r="L1403" i="3"/>
  <c r="J1404" i="3"/>
  <c r="J1405" i="3" l="1"/>
  <c r="L1404" i="3"/>
  <c r="P1403" i="3"/>
  <c r="Q1403" i="3"/>
  <c r="O1403" i="3"/>
  <c r="N1403" i="3"/>
  <c r="N1404" i="3" l="1"/>
  <c r="Q1404" i="3"/>
  <c r="O1404" i="3"/>
  <c r="P1404" i="3"/>
  <c r="L1405" i="3"/>
  <c r="J1406" i="3"/>
  <c r="J1407" i="3" l="1"/>
  <c r="L1406" i="3"/>
  <c r="N1405" i="3"/>
  <c r="Q1405" i="3"/>
  <c r="P1405" i="3"/>
  <c r="O1405" i="3"/>
  <c r="N1406" i="3" l="1"/>
  <c r="O1406" i="3"/>
  <c r="P1406" i="3"/>
  <c r="Q1406" i="3"/>
  <c r="J1408" i="3"/>
  <c r="L1407" i="3"/>
  <c r="P1407" i="3" l="1"/>
  <c r="Q1407" i="3"/>
  <c r="N1407" i="3"/>
  <c r="O1407" i="3"/>
  <c r="L1408" i="3"/>
  <c r="J1409" i="3"/>
  <c r="L1409" i="3" l="1"/>
  <c r="J1410" i="3"/>
  <c r="Q1408" i="3"/>
  <c r="P1408" i="3"/>
  <c r="N1408" i="3"/>
  <c r="O1408" i="3"/>
  <c r="J1411" i="3" l="1"/>
  <c r="L1410" i="3"/>
  <c r="Q1409" i="3"/>
  <c r="O1409" i="3"/>
  <c r="P1409" i="3"/>
  <c r="N1409" i="3"/>
  <c r="O1410" i="3" l="1"/>
  <c r="Q1410" i="3"/>
  <c r="P1410" i="3"/>
  <c r="N1410" i="3"/>
  <c r="L1411" i="3"/>
  <c r="J1412" i="3"/>
  <c r="L1412" i="3" l="1"/>
  <c r="J1413" i="3"/>
  <c r="P1411" i="3"/>
  <c r="Q1411" i="3"/>
  <c r="O1411" i="3"/>
  <c r="N1411" i="3"/>
  <c r="J1414" i="3" l="1"/>
  <c r="L1413" i="3"/>
  <c r="P1412" i="3"/>
  <c r="Q1412" i="3"/>
  <c r="O1412" i="3"/>
  <c r="N1412" i="3"/>
  <c r="Q1413" i="3" l="1"/>
  <c r="N1413" i="3"/>
  <c r="O1413" i="3"/>
  <c r="P1413" i="3"/>
  <c r="L1414" i="3"/>
  <c r="J1415" i="3"/>
  <c r="L1415" i="3" l="1"/>
  <c r="J1416" i="3"/>
  <c r="P1414" i="3"/>
  <c r="O1414" i="3"/>
  <c r="Q1414" i="3"/>
  <c r="N1414" i="3"/>
  <c r="J1417" i="3" l="1"/>
  <c r="L1416" i="3"/>
  <c r="P1415" i="3"/>
  <c r="Q1415" i="3"/>
  <c r="O1415" i="3"/>
  <c r="N1415" i="3"/>
  <c r="Q1416" i="3" l="1"/>
  <c r="N1416" i="3"/>
  <c r="P1416" i="3"/>
  <c r="O1416" i="3"/>
  <c r="J1418" i="3"/>
  <c r="L1417" i="3"/>
  <c r="Q1417" i="3" l="1"/>
  <c r="N1417" i="3"/>
  <c r="O1417" i="3"/>
  <c r="P1417" i="3"/>
  <c r="L1418" i="3"/>
  <c r="J1419" i="3"/>
  <c r="J1420" i="3" l="1"/>
  <c r="L1419" i="3"/>
  <c r="O1418" i="3"/>
  <c r="P1418" i="3"/>
  <c r="N1418" i="3"/>
  <c r="Q1418" i="3"/>
  <c r="P1419" i="3" l="1"/>
  <c r="Q1419" i="3"/>
  <c r="O1419" i="3"/>
  <c r="N1419" i="3"/>
  <c r="J1421" i="3"/>
  <c r="L1420" i="3"/>
  <c r="P1420" i="3" l="1"/>
  <c r="N1420" i="3"/>
  <c r="Q1420" i="3"/>
  <c r="O1420" i="3"/>
  <c r="L1421" i="3"/>
  <c r="J1422" i="3"/>
  <c r="J1423" i="3" l="1"/>
  <c r="L1422" i="3"/>
  <c r="Q1421" i="3"/>
  <c r="N1421" i="3"/>
  <c r="P1421" i="3"/>
  <c r="O1421" i="3"/>
  <c r="Q1422" i="3" l="1"/>
  <c r="N1422" i="3"/>
  <c r="P1422" i="3"/>
  <c r="O1422" i="3"/>
  <c r="J1424" i="3"/>
  <c r="L1423" i="3"/>
  <c r="Q1423" i="3" l="1"/>
  <c r="P1423" i="3"/>
  <c r="N1423" i="3"/>
  <c r="O1423" i="3"/>
  <c r="L1424" i="3"/>
  <c r="J1425" i="3"/>
  <c r="L1425" i="3" l="1"/>
  <c r="J1426" i="3"/>
  <c r="O1424" i="3"/>
  <c r="N1424" i="3"/>
  <c r="Q1424" i="3"/>
  <c r="P1424" i="3"/>
  <c r="L1426" i="3" l="1"/>
  <c r="J1427" i="3"/>
  <c r="Q1425" i="3"/>
  <c r="O1425" i="3"/>
  <c r="N1425" i="3"/>
  <c r="P1425" i="3"/>
  <c r="L1427" i="3" l="1"/>
  <c r="J1428" i="3"/>
  <c r="O1426" i="3"/>
  <c r="Q1426" i="3"/>
  <c r="P1426" i="3"/>
  <c r="N1426" i="3"/>
  <c r="J1429" i="3" l="1"/>
  <c r="L1428" i="3"/>
  <c r="Q1427" i="3"/>
  <c r="P1427" i="3"/>
  <c r="O1427" i="3"/>
  <c r="N1427" i="3"/>
  <c r="N1428" i="3" l="1"/>
  <c r="P1428" i="3"/>
  <c r="Q1428" i="3"/>
  <c r="O1428" i="3"/>
  <c r="L1429" i="3"/>
  <c r="J1430" i="3"/>
  <c r="J1431" i="3" l="1"/>
  <c r="L1430" i="3"/>
  <c r="Q1429" i="3"/>
  <c r="N1429" i="3"/>
  <c r="P1429" i="3"/>
  <c r="O1429" i="3"/>
  <c r="P1430" i="3" l="1"/>
  <c r="O1430" i="3"/>
  <c r="Q1430" i="3"/>
  <c r="N1430" i="3"/>
  <c r="J1432" i="3"/>
  <c r="L1431" i="3"/>
  <c r="Q1431" i="3" l="1"/>
  <c r="N1431" i="3"/>
  <c r="P1431" i="3"/>
  <c r="O1431" i="3"/>
  <c r="L1432" i="3"/>
  <c r="J1433" i="3"/>
  <c r="J1434" i="3" l="1"/>
  <c r="L1433" i="3"/>
  <c r="Q1432" i="3"/>
  <c r="N1432" i="3"/>
  <c r="O1432" i="3"/>
  <c r="P1432" i="3"/>
  <c r="Q1433" i="3" l="1"/>
  <c r="N1433" i="3"/>
  <c r="P1433" i="3"/>
  <c r="O1433" i="3"/>
  <c r="L1434" i="3"/>
  <c r="J1435" i="3"/>
  <c r="L1435" i="3" l="1"/>
  <c r="J1436" i="3"/>
  <c r="Q1434" i="3"/>
  <c r="O1434" i="3"/>
  <c r="P1434" i="3"/>
  <c r="N1434" i="3"/>
  <c r="J1437" i="3" l="1"/>
  <c r="L1436" i="3"/>
  <c r="Q1435" i="3"/>
  <c r="P1435" i="3"/>
  <c r="O1435" i="3"/>
  <c r="N1435" i="3"/>
  <c r="P1436" i="3" l="1"/>
  <c r="N1436" i="3"/>
  <c r="O1436" i="3"/>
  <c r="Q1436" i="3"/>
  <c r="L1437" i="3"/>
  <c r="J1438" i="3"/>
  <c r="L1438" i="3" l="1"/>
  <c r="J1439" i="3"/>
  <c r="Q1437" i="3"/>
  <c r="N1437" i="3"/>
  <c r="P1437" i="3"/>
  <c r="O1437" i="3"/>
  <c r="L1439" i="3" l="1"/>
  <c r="J1440" i="3"/>
  <c r="O1438" i="3"/>
  <c r="N1438" i="3"/>
  <c r="Q1438" i="3"/>
  <c r="P1438" i="3"/>
  <c r="L1440" i="3" l="1"/>
  <c r="J1441" i="3"/>
  <c r="O1439" i="3"/>
  <c r="N1439" i="3"/>
  <c r="Q1439" i="3"/>
  <c r="P1439" i="3"/>
  <c r="J1442" i="3" l="1"/>
  <c r="L1441" i="3"/>
  <c r="P1440" i="3"/>
  <c r="O1440" i="3"/>
  <c r="N1440" i="3"/>
  <c r="Q1440" i="3"/>
  <c r="Q1441" i="3" l="1"/>
  <c r="P1441" i="3"/>
  <c r="O1441" i="3"/>
  <c r="N1441" i="3"/>
  <c r="L1442" i="3"/>
  <c r="J1443" i="3"/>
  <c r="J1444" i="3" l="1"/>
  <c r="L1443" i="3"/>
  <c r="P1442" i="3"/>
  <c r="N1442" i="3"/>
  <c r="Q1442" i="3"/>
  <c r="O1442" i="3"/>
  <c r="Q1443" i="3" l="1"/>
  <c r="P1443" i="3"/>
  <c r="N1443" i="3"/>
  <c r="O1443" i="3"/>
  <c r="L1444" i="3"/>
  <c r="J1445" i="3"/>
  <c r="J1446" i="3" l="1"/>
  <c r="L1445" i="3"/>
  <c r="O1444" i="3"/>
  <c r="N1444" i="3"/>
  <c r="Q1444" i="3"/>
  <c r="P1444" i="3"/>
  <c r="N1445" i="3" l="1"/>
  <c r="O1445" i="3"/>
  <c r="Q1445" i="3"/>
  <c r="P1445" i="3"/>
  <c r="J1447" i="3"/>
  <c r="L1446" i="3"/>
  <c r="O1446" i="3" l="1"/>
  <c r="Q1446" i="3"/>
  <c r="P1446" i="3"/>
  <c r="N1446" i="3"/>
  <c r="L1447" i="3"/>
  <c r="J1448" i="3"/>
  <c r="J1449" i="3" l="1"/>
  <c r="L1448" i="3"/>
  <c r="P1447" i="3"/>
  <c r="O1447" i="3"/>
  <c r="Q1447" i="3"/>
  <c r="N1447" i="3"/>
  <c r="Q1448" i="3" l="1"/>
  <c r="P1448" i="3"/>
  <c r="N1448" i="3"/>
  <c r="O1448" i="3"/>
  <c r="J1450" i="3"/>
  <c r="L1449" i="3"/>
  <c r="Q1449" i="3" l="1"/>
  <c r="P1449" i="3"/>
  <c r="N1449" i="3"/>
  <c r="O1449" i="3"/>
  <c r="J1451" i="3"/>
  <c r="L1450" i="3"/>
  <c r="N1450" i="3" l="1"/>
  <c r="Q1450" i="3"/>
  <c r="O1450" i="3"/>
  <c r="P1450" i="3"/>
  <c r="L1451" i="3"/>
  <c r="J1452" i="3"/>
  <c r="J1453" i="3" l="1"/>
  <c r="L1452" i="3"/>
  <c r="P1451" i="3"/>
  <c r="Q1451" i="3"/>
  <c r="N1451" i="3"/>
  <c r="O1451" i="3"/>
  <c r="N1452" i="3" l="1"/>
  <c r="Q1452" i="3"/>
  <c r="P1452" i="3"/>
  <c r="O1452" i="3"/>
  <c r="L1453" i="3"/>
  <c r="J1454" i="3"/>
  <c r="J1455" i="3" l="1"/>
  <c r="L1454" i="3"/>
  <c r="Q1453" i="3"/>
  <c r="P1453" i="3"/>
  <c r="O1453" i="3"/>
  <c r="N1453" i="3"/>
  <c r="N1454" i="3" l="1"/>
  <c r="Q1454" i="3"/>
  <c r="O1454" i="3"/>
  <c r="P1454" i="3"/>
  <c r="L1455" i="3"/>
  <c r="J1456" i="3"/>
  <c r="L1456" i="3" l="1"/>
  <c r="J1457" i="3"/>
  <c r="O1455" i="3"/>
  <c r="N1455" i="3"/>
  <c r="Q1455" i="3"/>
  <c r="P1455" i="3"/>
  <c r="L1457" i="3" l="1"/>
  <c r="J1458" i="3"/>
  <c r="Q1456" i="3"/>
  <c r="P1456" i="3"/>
  <c r="O1456" i="3"/>
  <c r="N1456" i="3"/>
  <c r="J1459" i="3" l="1"/>
  <c r="L1458" i="3"/>
  <c r="Q1457" i="3"/>
  <c r="O1457" i="3"/>
  <c r="N1457" i="3"/>
  <c r="P1457" i="3"/>
  <c r="N1458" i="3" l="1"/>
  <c r="O1458" i="3"/>
  <c r="Q1458" i="3"/>
  <c r="P1458" i="3"/>
  <c r="L1459" i="3"/>
  <c r="J1460" i="3"/>
  <c r="J1461" i="3" l="1"/>
  <c r="L1460" i="3"/>
  <c r="N1459" i="3"/>
  <c r="O1459" i="3"/>
  <c r="P1459" i="3"/>
  <c r="Q1459" i="3"/>
  <c r="Q1460" i="3" l="1"/>
  <c r="O1460" i="3"/>
  <c r="P1460" i="3"/>
  <c r="N1460" i="3"/>
  <c r="J1462" i="3"/>
  <c r="L1461" i="3"/>
  <c r="N1461" i="3" l="1"/>
  <c r="P1461" i="3"/>
  <c r="O1461" i="3"/>
  <c r="Q1461" i="3"/>
  <c r="L1462" i="3"/>
  <c r="J1463" i="3"/>
  <c r="J1464" i="3" l="1"/>
  <c r="L1463" i="3"/>
  <c r="O1462" i="3"/>
  <c r="Q1462" i="3"/>
  <c r="P1462" i="3"/>
  <c r="N1462" i="3"/>
  <c r="N1463" i="3" l="1"/>
  <c r="P1463" i="3"/>
  <c r="Q1463" i="3"/>
  <c r="O1463" i="3"/>
  <c r="L1464" i="3"/>
  <c r="J1465" i="3"/>
  <c r="J1466" i="3" l="1"/>
  <c r="L1465" i="3"/>
  <c r="Q1464" i="3"/>
  <c r="P1464" i="3"/>
  <c r="N1464" i="3"/>
  <c r="O1464" i="3"/>
  <c r="O1465" i="3" l="1"/>
  <c r="N1465" i="3"/>
  <c r="Q1465" i="3"/>
  <c r="P1465" i="3"/>
  <c r="L1466" i="3"/>
  <c r="J1467" i="3"/>
  <c r="L1467" i="3" l="1"/>
  <c r="J1468" i="3"/>
  <c r="Q1466" i="3"/>
  <c r="P1466" i="3"/>
  <c r="N1466" i="3"/>
  <c r="O1466" i="3"/>
  <c r="J1469" i="3" l="1"/>
  <c r="L1468" i="3"/>
  <c r="P1467" i="3"/>
  <c r="O1467" i="3"/>
  <c r="Q1467" i="3"/>
  <c r="N1467" i="3"/>
  <c r="O1468" i="3" l="1"/>
  <c r="N1468" i="3"/>
  <c r="Q1468" i="3"/>
  <c r="P1468" i="3"/>
  <c r="J1470" i="3"/>
  <c r="L1469" i="3"/>
  <c r="Q1469" i="3" l="1"/>
  <c r="N1469" i="3"/>
  <c r="P1469" i="3"/>
  <c r="O1469" i="3"/>
  <c r="J1471" i="3"/>
  <c r="L1470" i="3"/>
  <c r="Q1470" i="3" l="1"/>
  <c r="O1470" i="3"/>
  <c r="P1470" i="3"/>
  <c r="N1470" i="3"/>
  <c r="J1472" i="3"/>
  <c r="L1471" i="3"/>
  <c r="Q1471" i="3" l="1"/>
  <c r="O1471" i="3"/>
  <c r="N1471" i="3"/>
  <c r="P1471" i="3"/>
  <c r="J1473" i="3"/>
  <c r="L1472" i="3"/>
  <c r="Q1472" i="3" l="1"/>
  <c r="O1472" i="3"/>
  <c r="N1472" i="3"/>
  <c r="P1472" i="3"/>
  <c r="J1474" i="3"/>
  <c r="L1473" i="3"/>
  <c r="Q1473" i="3" l="1"/>
  <c r="O1473" i="3"/>
  <c r="P1473" i="3"/>
  <c r="N1473" i="3"/>
  <c r="J1475" i="3"/>
  <c r="L1474" i="3"/>
  <c r="O1474" i="3" l="1"/>
  <c r="Q1474" i="3"/>
  <c r="N1474" i="3"/>
  <c r="P1474" i="3"/>
  <c r="J1476" i="3"/>
  <c r="L1475" i="3"/>
  <c r="P1475" i="3" l="1"/>
  <c r="O1475" i="3"/>
  <c r="N1475" i="3"/>
  <c r="Q1475" i="3"/>
  <c r="L1476" i="3"/>
  <c r="J1477" i="3"/>
  <c r="L1477" i="3" l="1"/>
  <c r="J1478" i="3"/>
  <c r="P1476" i="3"/>
  <c r="O1476" i="3"/>
  <c r="N1476" i="3"/>
  <c r="Q1476" i="3"/>
  <c r="J1479" i="3" l="1"/>
  <c r="L1478" i="3"/>
  <c r="Q1477" i="3"/>
  <c r="N1477" i="3"/>
  <c r="P1477" i="3"/>
  <c r="O1477" i="3"/>
  <c r="Q1478" i="3" l="1"/>
  <c r="O1478" i="3"/>
  <c r="P1478" i="3"/>
  <c r="N1478" i="3"/>
  <c r="J1480" i="3"/>
  <c r="L1479" i="3"/>
  <c r="P1479" i="3" l="1"/>
  <c r="Q1479" i="3"/>
  <c r="O1479" i="3"/>
  <c r="N1479" i="3"/>
  <c r="J1481" i="3"/>
  <c r="L1480" i="3"/>
  <c r="Q1480" i="3" l="1"/>
  <c r="P1480" i="3"/>
  <c r="N1480" i="3"/>
  <c r="O1480" i="3"/>
  <c r="L1481" i="3"/>
  <c r="J1482" i="3"/>
  <c r="J1483" i="3" l="1"/>
  <c r="L1482" i="3"/>
  <c r="P1481" i="3"/>
  <c r="Q1481" i="3"/>
  <c r="O1481" i="3"/>
  <c r="N1481" i="3"/>
  <c r="Q1482" i="3" l="1"/>
  <c r="O1482" i="3"/>
  <c r="P1482" i="3"/>
  <c r="N1482" i="3"/>
  <c r="J1484" i="3"/>
  <c r="L1483" i="3"/>
  <c r="P1483" i="3" l="1"/>
  <c r="N1483" i="3"/>
  <c r="Q1483" i="3"/>
  <c r="O1483" i="3"/>
  <c r="L1484" i="3"/>
  <c r="J1485" i="3"/>
  <c r="L1485" i="3" l="1"/>
  <c r="J1486" i="3"/>
  <c r="Q1484" i="3"/>
  <c r="O1484" i="3"/>
  <c r="P1484" i="3"/>
  <c r="N1484" i="3"/>
  <c r="J1487" i="3" l="1"/>
  <c r="L1486" i="3"/>
  <c r="N1485" i="3"/>
  <c r="P1485" i="3"/>
  <c r="O1485" i="3"/>
  <c r="Q1485" i="3"/>
  <c r="Q1486" i="3" l="1"/>
  <c r="O1486" i="3"/>
  <c r="N1486" i="3"/>
  <c r="P1486" i="3"/>
  <c r="J1488" i="3"/>
  <c r="L1487" i="3"/>
  <c r="Q1487" i="3" l="1"/>
  <c r="P1487" i="3"/>
  <c r="O1487" i="3"/>
  <c r="N1487" i="3"/>
  <c r="L1488" i="3"/>
  <c r="J1489" i="3"/>
  <c r="J1490" i="3" l="1"/>
  <c r="L1489" i="3"/>
  <c r="Q1488" i="3"/>
  <c r="O1488" i="3"/>
  <c r="N1488" i="3"/>
  <c r="P1488" i="3"/>
  <c r="O1489" i="3" l="1"/>
  <c r="N1489" i="3"/>
  <c r="P1489" i="3"/>
  <c r="Q1489" i="3"/>
  <c r="L1490" i="3"/>
  <c r="J1491" i="3"/>
  <c r="L1491" i="3" l="1"/>
  <c r="J1492" i="3"/>
  <c r="O1490" i="3"/>
  <c r="Q1490" i="3"/>
  <c r="P1490" i="3"/>
  <c r="N1490" i="3"/>
  <c r="J1493" i="3" l="1"/>
  <c r="L1492" i="3"/>
  <c r="Q1491" i="3"/>
  <c r="P1491" i="3"/>
  <c r="N1491" i="3"/>
  <c r="O1491" i="3"/>
  <c r="N1492" i="3" l="1"/>
  <c r="O1492" i="3"/>
  <c r="P1492" i="3"/>
  <c r="Q1492" i="3"/>
  <c r="J1494" i="3"/>
  <c r="L1493" i="3"/>
  <c r="Q1493" i="3" l="1"/>
  <c r="P1493" i="3"/>
  <c r="O1493" i="3"/>
  <c r="N1493" i="3"/>
  <c r="L1494" i="3"/>
  <c r="J1495" i="3"/>
  <c r="J1496" i="3" l="1"/>
  <c r="L1495" i="3"/>
  <c r="P1494" i="3"/>
  <c r="O1494" i="3"/>
  <c r="Q1494" i="3"/>
  <c r="N1494" i="3"/>
  <c r="P1495" i="3" l="1"/>
  <c r="O1495" i="3"/>
  <c r="Q1495" i="3"/>
  <c r="N1495" i="3"/>
  <c r="L1496" i="3"/>
  <c r="J1497" i="3"/>
  <c r="J1498" i="3" l="1"/>
  <c r="L1497" i="3"/>
  <c r="Q1496" i="3"/>
  <c r="P1496" i="3"/>
  <c r="O1496" i="3"/>
  <c r="N1496" i="3"/>
  <c r="Q1497" i="3" l="1"/>
  <c r="N1497" i="3"/>
  <c r="P1497" i="3"/>
  <c r="O1497" i="3"/>
  <c r="L1498" i="3"/>
  <c r="J1499" i="3"/>
  <c r="L1499" i="3" l="1"/>
  <c r="J1500" i="3"/>
  <c r="Q1498" i="3"/>
  <c r="O1498" i="3"/>
  <c r="N1498" i="3"/>
  <c r="P1498" i="3"/>
  <c r="L1500" i="3" l="1"/>
  <c r="J1501" i="3"/>
  <c r="O1499" i="3"/>
  <c r="Q1499" i="3"/>
  <c r="N1499" i="3"/>
  <c r="P1499" i="3"/>
  <c r="L1501" i="3" l="1"/>
  <c r="J1502" i="3"/>
  <c r="Q1500" i="3"/>
  <c r="O1500" i="3"/>
  <c r="P1500" i="3"/>
  <c r="N1500" i="3"/>
  <c r="J1503" i="3" l="1"/>
  <c r="L1502" i="3"/>
  <c r="Q1501" i="3"/>
  <c r="N1501" i="3"/>
  <c r="P1501" i="3"/>
  <c r="O1501" i="3"/>
  <c r="O1502" i="3" l="1"/>
  <c r="Q1502" i="3"/>
  <c r="P1502" i="3"/>
  <c r="N1502" i="3"/>
  <c r="L1503" i="3"/>
  <c r="J1504" i="3"/>
  <c r="L1504" i="3" l="1"/>
  <c r="J1505" i="3"/>
  <c r="Q1503" i="3"/>
  <c r="O1503" i="3"/>
  <c r="P1503" i="3"/>
  <c r="N1503" i="3"/>
  <c r="J1506" i="3" l="1"/>
  <c r="L1505" i="3"/>
  <c r="P1504" i="3"/>
  <c r="O1504" i="3"/>
  <c r="Q1504" i="3"/>
  <c r="N1504" i="3"/>
  <c r="Q1505" i="3" l="1"/>
  <c r="O1505" i="3"/>
  <c r="P1505" i="3"/>
  <c r="N1505" i="3"/>
  <c r="J1507" i="3"/>
  <c r="L1506" i="3"/>
  <c r="Q1506" i="3" l="1"/>
  <c r="P1506" i="3"/>
  <c r="O1506" i="3"/>
  <c r="N1506" i="3"/>
  <c r="L1507" i="3"/>
  <c r="J1508" i="3"/>
  <c r="J1509" i="3" l="1"/>
  <c r="L1508" i="3"/>
  <c r="P1507" i="3"/>
  <c r="Q1507" i="3"/>
  <c r="O1507" i="3"/>
  <c r="N1507" i="3"/>
  <c r="P1508" i="3" l="1"/>
  <c r="O1508" i="3"/>
  <c r="Q1508" i="3"/>
  <c r="N1508" i="3"/>
  <c r="J1510" i="3"/>
  <c r="L1509" i="3"/>
  <c r="Q1509" i="3" l="1"/>
  <c r="P1509" i="3"/>
  <c r="N1509" i="3"/>
  <c r="O1509" i="3"/>
  <c r="L1510" i="3"/>
  <c r="J1511" i="3"/>
  <c r="L1511" i="3" l="1"/>
  <c r="J1512" i="3"/>
  <c r="O1510" i="3"/>
  <c r="P1510" i="3"/>
  <c r="N1510" i="3"/>
  <c r="Q1510" i="3"/>
  <c r="J1513" i="3" l="1"/>
  <c r="L1512" i="3"/>
  <c r="N1511" i="3"/>
  <c r="O1511" i="3"/>
  <c r="P1511" i="3"/>
  <c r="Q1511" i="3"/>
  <c r="P1512" i="3" l="1"/>
  <c r="N1512" i="3"/>
  <c r="Q1512" i="3"/>
  <c r="O1512" i="3"/>
  <c r="J1514" i="3"/>
  <c r="L1513" i="3"/>
  <c r="Q1513" i="3" l="1"/>
  <c r="N1513" i="3"/>
  <c r="P1513" i="3"/>
  <c r="O1513" i="3"/>
  <c r="L1514" i="3"/>
  <c r="J1515" i="3"/>
  <c r="L1515" i="3" l="1"/>
  <c r="J1516" i="3"/>
  <c r="Q1514" i="3"/>
  <c r="O1514" i="3"/>
  <c r="P1514" i="3"/>
  <c r="N1514" i="3"/>
  <c r="L1516" i="3" l="1"/>
  <c r="J1517" i="3"/>
  <c r="P1515" i="3"/>
  <c r="Q1515" i="3"/>
  <c r="N1515" i="3"/>
  <c r="O1515" i="3"/>
  <c r="L1517" i="3" l="1"/>
  <c r="J1518" i="3"/>
  <c r="O1516" i="3"/>
  <c r="Q1516" i="3"/>
  <c r="P1516" i="3"/>
  <c r="N1516" i="3"/>
  <c r="L1518" i="3" l="1"/>
  <c r="J1519" i="3"/>
  <c r="Q1517" i="3"/>
  <c r="O1517" i="3"/>
  <c r="N1517" i="3"/>
  <c r="P1517" i="3"/>
  <c r="J1520" i="3" l="1"/>
  <c r="L1519" i="3"/>
  <c r="O1518" i="3"/>
  <c r="Q1518" i="3"/>
  <c r="N1518" i="3"/>
  <c r="P1518" i="3"/>
  <c r="P1519" i="3" l="1"/>
  <c r="Q1519" i="3"/>
  <c r="N1519" i="3"/>
  <c r="O1519" i="3"/>
  <c r="J1521" i="3"/>
  <c r="L1520" i="3"/>
  <c r="Q1520" i="3" l="1"/>
  <c r="N1520" i="3"/>
  <c r="O1520" i="3"/>
  <c r="P1520" i="3"/>
  <c r="L1521" i="3"/>
  <c r="J1522" i="3"/>
  <c r="Q1521" i="3" l="1"/>
  <c r="O1521" i="3"/>
  <c r="N1521" i="3"/>
  <c r="P1521" i="3"/>
  <c r="L1522" i="3"/>
  <c r="J1523" i="3"/>
  <c r="J1524" i="3" l="1"/>
  <c r="L1523" i="3"/>
  <c r="O1522" i="3"/>
  <c r="Q1522" i="3"/>
  <c r="N1522" i="3"/>
  <c r="P1522" i="3"/>
  <c r="P1523" i="3" l="1"/>
  <c r="N1523" i="3"/>
  <c r="Q1523" i="3"/>
  <c r="O1523" i="3"/>
  <c r="J1525" i="3"/>
  <c r="L1524" i="3"/>
  <c r="Q1524" i="3" l="1"/>
  <c r="P1524" i="3"/>
  <c r="N1524" i="3"/>
  <c r="O1524" i="3"/>
  <c r="J1526" i="3"/>
  <c r="L1525" i="3"/>
  <c r="N1525" i="3" l="1"/>
  <c r="O1525" i="3"/>
  <c r="P1525" i="3"/>
  <c r="Q1525" i="3"/>
  <c r="J1527" i="3"/>
  <c r="L1526" i="3"/>
  <c r="J1528" i="3" l="1"/>
  <c r="L1527" i="3"/>
  <c r="O1526" i="3"/>
  <c r="Q1526" i="3"/>
  <c r="P1526" i="3"/>
  <c r="N1526" i="3"/>
  <c r="Q1527" i="3" l="1"/>
  <c r="P1527" i="3"/>
  <c r="O1527" i="3"/>
  <c r="N1527" i="3"/>
  <c r="L1528" i="3"/>
  <c r="J1529" i="3"/>
  <c r="L1529" i="3" l="1"/>
  <c r="J1530" i="3"/>
  <c r="Q1528" i="3"/>
  <c r="P1528" i="3"/>
  <c r="O1528" i="3"/>
  <c r="N1528" i="3"/>
  <c r="J1531" i="3" l="1"/>
  <c r="L1530" i="3"/>
  <c r="Q1529" i="3"/>
  <c r="N1529" i="3"/>
  <c r="P1529" i="3"/>
  <c r="O1529" i="3"/>
  <c r="Q1530" i="3" l="1"/>
  <c r="N1530" i="3"/>
  <c r="O1530" i="3"/>
  <c r="P1530" i="3"/>
  <c r="J1532" i="3"/>
  <c r="L1531" i="3"/>
  <c r="P1531" i="3" l="1"/>
  <c r="Q1531" i="3"/>
  <c r="O1531" i="3"/>
  <c r="N1531" i="3"/>
  <c r="L1532" i="3"/>
  <c r="J1533" i="3"/>
  <c r="L1533" i="3" l="1"/>
  <c r="J1534" i="3"/>
  <c r="Q1532" i="3"/>
  <c r="P1532" i="3"/>
  <c r="N1532" i="3"/>
  <c r="O1532" i="3"/>
  <c r="L1534" i="3" l="1"/>
  <c r="J1535" i="3"/>
  <c r="Q1533" i="3"/>
  <c r="P1533" i="3"/>
  <c r="N1533" i="3"/>
  <c r="O1533" i="3"/>
  <c r="J1536" i="3" l="1"/>
  <c r="L1535" i="3"/>
  <c r="Q1534" i="3"/>
  <c r="O1534" i="3"/>
  <c r="P1534" i="3"/>
  <c r="N1534" i="3"/>
  <c r="J1537" i="3" l="1"/>
  <c r="L1536" i="3"/>
  <c r="Q1535" i="3"/>
  <c r="O1535" i="3"/>
  <c r="N1535" i="3"/>
  <c r="P1535" i="3"/>
  <c r="P1536" i="3" l="1"/>
  <c r="Q1536" i="3"/>
  <c r="O1536" i="3"/>
  <c r="N1536" i="3"/>
  <c r="L1537" i="3"/>
  <c r="J1538" i="3"/>
  <c r="O1537" i="3" l="1"/>
  <c r="N1537" i="3"/>
  <c r="P1537" i="3"/>
  <c r="Q1537" i="3"/>
  <c r="L1538" i="3"/>
  <c r="J1539" i="3"/>
  <c r="N1538" i="3" l="1"/>
  <c r="Q1538" i="3"/>
  <c r="P1538" i="3"/>
  <c r="O1538" i="3"/>
  <c r="L1539" i="3"/>
  <c r="J1540" i="3"/>
  <c r="J1541" i="3" l="1"/>
  <c r="L1540" i="3"/>
  <c r="Q1539" i="3"/>
  <c r="O1539" i="3"/>
  <c r="N1539" i="3"/>
  <c r="P1539" i="3"/>
  <c r="Q1540" i="3" l="1"/>
  <c r="O1540" i="3"/>
  <c r="N1540" i="3"/>
  <c r="P1540" i="3"/>
  <c r="L1541" i="3"/>
  <c r="J1542" i="3"/>
  <c r="J1543" i="3" l="1"/>
  <c r="L1542" i="3"/>
  <c r="Q1541" i="3"/>
  <c r="P1541" i="3"/>
  <c r="O1541" i="3"/>
  <c r="N1541" i="3"/>
  <c r="P1542" i="3" l="1"/>
  <c r="N1542" i="3"/>
  <c r="Q1542" i="3"/>
  <c r="O1542" i="3"/>
  <c r="J1544" i="3"/>
  <c r="L1543" i="3"/>
  <c r="O1543" i="3" l="1"/>
  <c r="Q1543" i="3"/>
  <c r="P1543" i="3"/>
  <c r="N1543" i="3"/>
  <c r="L1544" i="3"/>
  <c r="J1545" i="3"/>
  <c r="L1545" i="3" l="1"/>
  <c r="J1546" i="3"/>
  <c r="N1544" i="3"/>
  <c r="P1544" i="3"/>
  <c r="O1544" i="3"/>
  <c r="Q1544" i="3"/>
  <c r="J1547" i="3" l="1"/>
  <c r="L1546" i="3"/>
  <c r="N1545" i="3"/>
  <c r="O1545" i="3"/>
  <c r="P1545" i="3"/>
  <c r="Q1545" i="3"/>
  <c r="O1546" i="3" l="1"/>
  <c r="N1546" i="3"/>
  <c r="P1546" i="3"/>
  <c r="Q1546" i="3"/>
  <c r="J1548" i="3"/>
  <c r="L1547" i="3"/>
  <c r="P1547" i="3" l="1"/>
  <c r="O1547" i="3"/>
  <c r="N1547" i="3"/>
  <c r="Q1547" i="3"/>
  <c r="L1548" i="3"/>
  <c r="J1549" i="3"/>
  <c r="L1549" i="3" l="1"/>
  <c r="J1550" i="3"/>
  <c r="P1548" i="3"/>
  <c r="N1548" i="3"/>
  <c r="Q1548" i="3"/>
  <c r="O1548" i="3"/>
  <c r="J1551" i="3" l="1"/>
  <c r="L1550" i="3"/>
  <c r="P1549" i="3"/>
  <c r="O1549" i="3"/>
  <c r="Q1549" i="3"/>
  <c r="N1549" i="3"/>
  <c r="O1550" i="3" l="1"/>
  <c r="N1550" i="3"/>
  <c r="Q1550" i="3"/>
  <c r="P1550" i="3"/>
  <c r="L1551" i="3"/>
  <c r="J1552" i="3"/>
  <c r="J1553" i="3" l="1"/>
  <c r="L1552" i="3"/>
  <c r="Q1551" i="3"/>
  <c r="P1551" i="3"/>
  <c r="N1551" i="3"/>
  <c r="O1551" i="3"/>
  <c r="N1552" i="3" l="1"/>
  <c r="P1552" i="3"/>
  <c r="O1552" i="3"/>
  <c r="Q1552" i="3"/>
  <c r="J1554" i="3"/>
  <c r="L1553" i="3"/>
  <c r="P1553" i="3" l="1"/>
  <c r="N1553" i="3"/>
  <c r="Q1553" i="3"/>
  <c r="O1553" i="3"/>
  <c r="J1555" i="3"/>
  <c r="L1554" i="3"/>
  <c r="P1554" i="3" l="1"/>
  <c r="Q1554" i="3"/>
  <c r="O1554" i="3"/>
  <c r="N1554" i="3"/>
  <c r="L1555" i="3"/>
  <c r="J1556" i="3"/>
  <c r="J1557" i="3" l="1"/>
  <c r="L1556" i="3"/>
  <c r="P1555" i="3"/>
  <c r="N1555" i="3"/>
  <c r="O1555" i="3"/>
  <c r="Q1555" i="3"/>
  <c r="N1556" i="3" l="1"/>
  <c r="O1556" i="3"/>
  <c r="Q1556" i="3"/>
  <c r="P1556" i="3"/>
  <c r="J1558" i="3"/>
  <c r="L1557" i="3"/>
  <c r="N1557" i="3" l="1"/>
  <c r="O1557" i="3"/>
  <c r="Q1557" i="3"/>
  <c r="P1557" i="3"/>
  <c r="J1559" i="3"/>
  <c r="L1558" i="3"/>
  <c r="N1558" i="3" l="1"/>
  <c r="Q1558" i="3"/>
  <c r="P1558" i="3"/>
  <c r="O1558" i="3"/>
  <c r="J1560" i="3"/>
  <c r="L1559" i="3"/>
  <c r="N1559" i="3" l="1"/>
  <c r="O1559" i="3"/>
  <c r="Q1559" i="3"/>
  <c r="P1559" i="3"/>
  <c r="L1560" i="3"/>
  <c r="J1561" i="3"/>
  <c r="L1561" i="3" l="1"/>
  <c r="J1562" i="3"/>
  <c r="Q1560" i="3"/>
  <c r="O1560" i="3"/>
  <c r="P1560" i="3"/>
  <c r="N1560" i="3"/>
  <c r="J1563" i="3" l="1"/>
  <c r="L1562" i="3"/>
  <c r="Q1561" i="3"/>
  <c r="O1561" i="3"/>
  <c r="N1561" i="3"/>
  <c r="P1561" i="3"/>
  <c r="Q1562" i="3" l="1"/>
  <c r="O1562" i="3"/>
  <c r="P1562" i="3"/>
  <c r="N1562" i="3"/>
  <c r="J1564" i="3"/>
  <c r="L1563" i="3"/>
  <c r="N1563" i="3" l="1"/>
  <c r="P1563" i="3"/>
  <c r="Q1563" i="3"/>
  <c r="O1563" i="3"/>
  <c r="J1565" i="3"/>
  <c r="L1564" i="3"/>
  <c r="O1564" i="3" l="1"/>
  <c r="Q1564" i="3"/>
  <c r="P1564" i="3"/>
  <c r="N1564" i="3"/>
  <c r="L1565" i="3"/>
  <c r="J1566" i="3"/>
  <c r="J1567" i="3" l="1"/>
  <c r="L1566" i="3"/>
  <c r="Q1565" i="3"/>
  <c r="N1565" i="3"/>
  <c r="P1565" i="3"/>
  <c r="O1565" i="3"/>
  <c r="O1566" i="3" l="1"/>
  <c r="Q1566" i="3"/>
  <c r="P1566" i="3"/>
  <c r="N1566" i="3"/>
  <c r="L1567" i="3"/>
  <c r="J1568" i="3"/>
  <c r="J1569" i="3" l="1"/>
  <c r="L1568" i="3"/>
  <c r="O1567" i="3"/>
  <c r="N1567" i="3"/>
  <c r="Q1567" i="3"/>
  <c r="P1567" i="3"/>
  <c r="P1568" i="3" l="1"/>
  <c r="Q1568" i="3"/>
  <c r="O1568" i="3"/>
  <c r="N1568" i="3"/>
  <c r="J1570" i="3"/>
  <c r="L1569" i="3"/>
  <c r="Q1569" i="3" l="1"/>
  <c r="O1569" i="3"/>
  <c r="P1569" i="3"/>
  <c r="N1569" i="3"/>
  <c r="L1570" i="3"/>
  <c r="J1571" i="3"/>
  <c r="L1571" i="3" l="1"/>
  <c r="J1572" i="3"/>
  <c r="Q1570" i="3"/>
  <c r="O1570" i="3"/>
  <c r="P1570" i="3"/>
  <c r="N1570" i="3"/>
  <c r="L1572" i="3" l="1"/>
  <c r="J1573" i="3"/>
  <c r="P1571" i="3"/>
  <c r="O1571" i="3"/>
  <c r="Q1571" i="3"/>
  <c r="N1571" i="3"/>
  <c r="L1573" i="3" l="1"/>
  <c r="J1574" i="3"/>
  <c r="P1572" i="3"/>
  <c r="N1572" i="3"/>
  <c r="Q1572" i="3"/>
  <c r="O1572" i="3"/>
  <c r="J1575" i="3" l="1"/>
  <c r="L1574" i="3"/>
  <c r="Q1573" i="3"/>
  <c r="P1573" i="3"/>
  <c r="N1573" i="3"/>
  <c r="O1573" i="3"/>
  <c r="O1574" i="3" l="1"/>
  <c r="Q1574" i="3"/>
  <c r="N1574" i="3"/>
  <c r="P1574" i="3"/>
  <c r="L1575" i="3"/>
  <c r="J1576" i="3"/>
  <c r="L1576" i="3" l="1"/>
  <c r="J1577" i="3"/>
  <c r="O1575" i="3"/>
  <c r="N1575" i="3"/>
  <c r="P1575" i="3"/>
  <c r="Q1575" i="3"/>
  <c r="L1577" i="3" l="1"/>
  <c r="J1578" i="3"/>
  <c r="N1576" i="3"/>
  <c r="O1576" i="3"/>
  <c r="Q1576" i="3"/>
  <c r="P1576" i="3"/>
  <c r="L1578" i="3" l="1"/>
  <c r="J1579" i="3"/>
  <c r="P1577" i="3"/>
  <c r="O1577" i="3"/>
  <c r="Q1577" i="3"/>
  <c r="N1577" i="3"/>
  <c r="L1579" i="3" l="1"/>
  <c r="J1580" i="3"/>
  <c r="O1578" i="3"/>
  <c r="Q1578" i="3"/>
  <c r="P1578" i="3"/>
  <c r="N1578" i="3"/>
  <c r="J1581" i="3" l="1"/>
  <c r="L1580" i="3"/>
  <c r="O1579" i="3"/>
  <c r="P1579" i="3"/>
  <c r="Q1579" i="3"/>
  <c r="N1579" i="3"/>
  <c r="O1580" i="3" l="1"/>
  <c r="P1580" i="3"/>
  <c r="N1580" i="3"/>
  <c r="Q1580" i="3"/>
  <c r="J1582" i="3"/>
  <c r="L1581" i="3"/>
  <c r="P1581" i="3" l="1"/>
  <c r="O1581" i="3"/>
  <c r="N1581" i="3"/>
  <c r="Q1581" i="3"/>
  <c r="J1583" i="3"/>
  <c r="L1582" i="3"/>
  <c r="P1582" i="3" l="1"/>
  <c r="N1582" i="3"/>
  <c r="O1582" i="3"/>
  <c r="Q1582" i="3"/>
  <c r="J1584" i="3"/>
  <c r="L1583" i="3"/>
  <c r="P1583" i="3" l="1"/>
  <c r="Q1583" i="3"/>
  <c r="O1583" i="3"/>
  <c r="N1583" i="3"/>
  <c r="L1584" i="3"/>
  <c r="J1585" i="3"/>
  <c r="J1586" i="3" l="1"/>
  <c r="L1585" i="3"/>
  <c r="Q1584" i="3"/>
  <c r="P1584" i="3"/>
  <c r="O1584" i="3"/>
  <c r="N1584" i="3"/>
  <c r="Q1585" i="3" l="1"/>
  <c r="N1585" i="3"/>
  <c r="P1585" i="3"/>
  <c r="O1585" i="3"/>
  <c r="L1586" i="3"/>
  <c r="J1587" i="3"/>
  <c r="J1588" i="3" l="1"/>
  <c r="L1587" i="3"/>
  <c r="P1586" i="3"/>
  <c r="N1586" i="3"/>
  <c r="O1586" i="3"/>
  <c r="Q1586" i="3"/>
  <c r="N1587" i="3" l="1"/>
  <c r="O1587" i="3"/>
  <c r="P1587" i="3"/>
  <c r="Q1587" i="3"/>
  <c r="J1589" i="3"/>
  <c r="L1588" i="3"/>
  <c r="Q1588" i="3" l="1"/>
  <c r="P1588" i="3"/>
  <c r="N1588" i="3"/>
  <c r="O1588" i="3"/>
  <c r="L1589" i="3"/>
  <c r="J1590" i="3"/>
  <c r="J1591" i="3" l="1"/>
  <c r="L1590" i="3"/>
  <c r="Q1589" i="3"/>
  <c r="P1589" i="3"/>
  <c r="O1589" i="3"/>
  <c r="N1589" i="3"/>
  <c r="P1590" i="3" l="1"/>
  <c r="N1590" i="3"/>
  <c r="O1590" i="3"/>
  <c r="Q1590" i="3"/>
  <c r="J1592" i="3"/>
  <c r="L1591" i="3"/>
  <c r="P1591" i="3" l="1"/>
  <c r="O1591" i="3"/>
  <c r="N1591" i="3"/>
  <c r="Q1591" i="3"/>
  <c r="L1592" i="3"/>
  <c r="J1593" i="3"/>
  <c r="P1592" i="3" l="1"/>
  <c r="N1592" i="3"/>
  <c r="Q1592" i="3"/>
  <c r="O1592" i="3"/>
  <c r="J1594" i="3"/>
  <c r="L1593" i="3"/>
  <c r="P1593" i="3" l="1"/>
  <c r="O1593" i="3"/>
  <c r="Q1593" i="3"/>
  <c r="N1593" i="3"/>
  <c r="L1594" i="3"/>
  <c r="J1595" i="3"/>
  <c r="L1595" i="3" l="1"/>
  <c r="J1596" i="3"/>
  <c r="Q1594" i="3"/>
  <c r="O1594" i="3"/>
  <c r="P1594" i="3"/>
  <c r="N1594" i="3"/>
  <c r="J1597" i="3" l="1"/>
  <c r="L1596" i="3"/>
  <c r="Q1595" i="3"/>
  <c r="O1595" i="3"/>
  <c r="P1595" i="3"/>
  <c r="N1595" i="3"/>
  <c r="P1596" i="3" l="1"/>
  <c r="N1596" i="3"/>
  <c r="O1596" i="3"/>
  <c r="Q1596" i="3"/>
  <c r="J1598" i="3"/>
  <c r="L1597" i="3"/>
  <c r="Q1597" i="3" l="1"/>
  <c r="N1597" i="3"/>
  <c r="P1597" i="3"/>
  <c r="O1597" i="3"/>
  <c r="J1599" i="3"/>
  <c r="L1598" i="3"/>
  <c r="Q1598" i="3" l="1"/>
  <c r="P1598" i="3"/>
  <c r="O1598" i="3"/>
  <c r="N1598" i="3"/>
  <c r="J1600" i="3"/>
  <c r="L1599" i="3"/>
  <c r="Q1599" i="3" l="1"/>
  <c r="P1599" i="3"/>
  <c r="O1599" i="3"/>
  <c r="N1599" i="3"/>
  <c r="L1600" i="3"/>
  <c r="J1601" i="3"/>
  <c r="J1602" i="3" l="1"/>
  <c r="L1601" i="3"/>
  <c r="P1600" i="3"/>
  <c r="O1600" i="3"/>
  <c r="Q1600" i="3"/>
  <c r="N1600" i="3"/>
  <c r="Q1601" i="3" l="1"/>
  <c r="O1601" i="3"/>
  <c r="N1601" i="3"/>
  <c r="P1601" i="3"/>
  <c r="J1603" i="3"/>
  <c r="L1602" i="3"/>
  <c r="O1602" i="3" l="1"/>
  <c r="Q1602" i="3"/>
  <c r="P1602" i="3"/>
  <c r="N1602" i="3"/>
  <c r="J1604" i="3"/>
  <c r="L1603" i="3"/>
  <c r="Q1603" i="3" l="1"/>
  <c r="O1603" i="3"/>
  <c r="N1603" i="3"/>
  <c r="P1603" i="3"/>
  <c r="L1604" i="3"/>
  <c r="J1605" i="3"/>
  <c r="J1606" i="3" l="1"/>
  <c r="L1605" i="3"/>
  <c r="Q1604" i="3"/>
  <c r="P1604" i="3"/>
  <c r="O1604" i="3"/>
  <c r="N1604" i="3"/>
  <c r="Q1605" i="3" l="1"/>
  <c r="P1605" i="3"/>
  <c r="N1605" i="3"/>
  <c r="O1605" i="3"/>
  <c r="J1607" i="3"/>
  <c r="L1606" i="3"/>
  <c r="Q1606" i="3" l="1"/>
  <c r="O1606" i="3"/>
  <c r="P1606" i="3"/>
  <c r="N1606" i="3"/>
  <c r="L1607" i="3"/>
  <c r="J1608" i="3"/>
  <c r="L1608" i="3" l="1"/>
  <c r="J1609" i="3"/>
  <c r="P1607" i="3"/>
  <c r="O1607" i="3"/>
  <c r="N1607" i="3"/>
  <c r="Q1607" i="3"/>
  <c r="J1610" i="3" l="1"/>
  <c r="L1609" i="3"/>
  <c r="Q1608" i="3"/>
  <c r="P1608" i="3"/>
  <c r="N1608" i="3"/>
  <c r="O1608" i="3"/>
  <c r="Q1609" i="3" l="1"/>
  <c r="N1609" i="3"/>
  <c r="P1609" i="3"/>
  <c r="O1609" i="3"/>
  <c r="J1611" i="3"/>
  <c r="L1610" i="3"/>
  <c r="Q1610" i="3" l="1"/>
  <c r="P1610" i="3"/>
  <c r="O1610" i="3"/>
  <c r="N1610" i="3"/>
  <c r="L1611" i="3"/>
  <c r="J1612" i="3"/>
  <c r="J1613" i="3" l="1"/>
  <c r="L1612" i="3"/>
  <c r="P1611" i="3"/>
  <c r="N1611" i="3"/>
  <c r="Q1611" i="3"/>
  <c r="O1611" i="3"/>
  <c r="Q1612" i="3" l="1"/>
  <c r="O1612" i="3"/>
  <c r="P1612" i="3"/>
  <c r="N1612" i="3"/>
  <c r="J1614" i="3"/>
  <c r="L1613" i="3"/>
  <c r="Q1613" i="3" l="1"/>
  <c r="O1613" i="3"/>
  <c r="N1613" i="3"/>
  <c r="P1613" i="3"/>
  <c r="J1615" i="3"/>
  <c r="L1614" i="3"/>
  <c r="O1614" i="3" l="1"/>
  <c r="N1614" i="3"/>
  <c r="Q1614" i="3"/>
  <c r="P1614" i="3"/>
  <c r="J1616" i="3"/>
  <c r="L1615" i="3"/>
  <c r="Q1615" i="3" l="1"/>
  <c r="P1615" i="3"/>
  <c r="N1615" i="3"/>
  <c r="O1615" i="3"/>
  <c r="L1616" i="3"/>
  <c r="J1617" i="3"/>
  <c r="J1618" i="3" l="1"/>
  <c r="L1617" i="3"/>
  <c r="P1616" i="3"/>
  <c r="N1616" i="3"/>
  <c r="Q1616" i="3"/>
  <c r="O1616" i="3"/>
  <c r="Q1617" i="3" l="1"/>
  <c r="P1617" i="3"/>
  <c r="O1617" i="3"/>
  <c r="N1617" i="3"/>
  <c r="J1619" i="3"/>
  <c r="L1618" i="3"/>
  <c r="O1618" i="3" l="1"/>
  <c r="P1618" i="3"/>
  <c r="N1618" i="3"/>
  <c r="Q1618" i="3"/>
  <c r="J1620" i="3"/>
  <c r="L1619" i="3"/>
  <c r="Q1619" i="3" l="1"/>
  <c r="P1619" i="3"/>
  <c r="O1619" i="3"/>
  <c r="N1619" i="3"/>
  <c r="L1620" i="3"/>
  <c r="J1621" i="3"/>
  <c r="J1622" i="3" l="1"/>
  <c r="L1621" i="3"/>
  <c r="P1620" i="3"/>
  <c r="O1620" i="3"/>
  <c r="Q1620" i="3"/>
  <c r="N1620" i="3"/>
  <c r="P1621" i="3" l="1"/>
  <c r="Q1621" i="3"/>
  <c r="N1621" i="3"/>
  <c r="O1621" i="3"/>
  <c r="L1622" i="3"/>
  <c r="J1623" i="3"/>
  <c r="L1623" i="3" l="1"/>
  <c r="J1624" i="3"/>
  <c r="Q1622" i="3"/>
  <c r="O1622" i="3"/>
  <c r="P1622" i="3"/>
  <c r="N1622" i="3"/>
  <c r="L1624" i="3" l="1"/>
  <c r="J1625" i="3"/>
  <c r="P1623" i="3"/>
  <c r="Q1623" i="3"/>
  <c r="O1623" i="3"/>
  <c r="N1623" i="3"/>
  <c r="L1625" i="3" l="1"/>
  <c r="J1626" i="3"/>
  <c r="Q1624" i="3"/>
  <c r="P1624" i="3"/>
  <c r="O1624" i="3"/>
  <c r="N1624" i="3"/>
  <c r="L1626" i="3" l="1"/>
  <c r="J1627" i="3"/>
  <c r="N1625" i="3"/>
  <c r="P1625" i="3"/>
  <c r="O1625" i="3"/>
  <c r="Q1625" i="3"/>
  <c r="J1628" i="3" l="1"/>
  <c r="L1627" i="3"/>
  <c r="Q1626" i="3"/>
  <c r="O1626" i="3"/>
  <c r="N1626" i="3"/>
  <c r="P1626" i="3"/>
  <c r="P1627" i="3" l="1"/>
  <c r="N1627" i="3"/>
  <c r="Q1627" i="3"/>
  <c r="O1627" i="3"/>
  <c r="J1629" i="3"/>
  <c r="L1628" i="3"/>
  <c r="P1628" i="3" l="1"/>
  <c r="O1628" i="3"/>
  <c r="N1628" i="3"/>
  <c r="Q1628" i="3"/>
  <c r="L1629" i="3"/>
  <c r="J1630" i="3"/>
  <c r="J1631" i="3" l="1"/>
  <c r="L1630" i="3"/>
  <c r="P1629" i="3"/>
  <c r="O1629" i="3"/>
  <c r="N1629" i="3"/>
  <c r="Q1629" i="3"/>
  <c r="O1630" i="3" l="1"/>
  <c r="N1630" i="3"/>
  <c r="P1630" i="3"/>
  <c r="Q1630" i="3"/>
  <c r="J1632" i="3"/>
  <c r="L1631" i="3"/>
  <c r="Q1631" i="3" l="1"/>
  <c r="P1631" i="3"/>
  <c r="O1631" i="3"/>
  <c r="N1631" i="3"/>
  <c r="J1633" i="3"/>
  <c r="L1632" i="3"/>
  <c r="Q1632" i="3" l="1"/>
  <c r="O1632" i="3"/>
  <c r="P1632" i="3"/>
  <c r="N1632" i="3"/>
  <c r="J1634" i="3"/>
  <c r="L1633" i="3"/>
  <c r="P1633" i="3" l="1"/>
  <c r="Q1633" i="3"/>
  <c r="N1633" i="3"/>
  <c r="O1633" i="3"/>
  <c r="J1635" i="3"/>
  <c r="L1634" i="3"/>
  <c r="Q1634" i="3" l="1"/>
  <c r="P1634" i="3"/>
  <c r="N1634" i="3"/>
  <c r="O1634" i="3"/>
  <c r="L1635" i="3"/>
  <c r="J1636" i="3"/>
  <c r="J1637" i="3" l="1"/>
  <c r="L1636" i="3"/>
  <c r="P1635" i="3"/>
  <c r="N1635" i="3"/>
  <c r="O1635" i="3"/>
  <c r="Q1635" i="3"/>
  <c r="N1636" i="3" l="1"/>
  <c r="Q1636" i="3"/>
  <c r="O1636" i="3"/>
  <c r="P1636" i="3"/>
  <c r="J1638" i="3"/>
  <c r="L1637" i="3"/>
  <c r="O1637" i="3" l="1"/>
  <c r="Q1637" i="3"/>
  <c r="N1637" i="3"/>
  <c r="P1637" i="3"/>
  <c r="J1639" i="3"/>
  <c r="L1638" i="3"/>
  <c r="O1638" i="3" l="1"/>
  <c r="N1638" i="3"/>
  <c r="Q1638" i="3"/>
  <c r="P1638" i="3"/>
  <c r="J1640" i="3"/>
  <c r="L1639" i="3"/>
  <c r="P1639" i="3" l="1"/>
  <c r="Q1639" i="3"/>
  <c r="N1639" i="3"/>
  <c r="O1639" i="3"/>
  <c r="L1640" i="3"/>
  <c r="J1641" i="3"/>
  <c r="L1641" i="3" l="1"/>
  <c r="J1642" i="3"/>
  <c r="N1640" i="3"/>
  <c r="O1640" i="3"/>
  <c r="P1640" i="3"/>
  <c r="Q1640" i="3"/>
  <c r="L1642" i="3" l="1"/>
  <c r="J1643" i="3"/>
  <c r="Q1641" i="3"/>
  <c r="P1641" i="3"/>
  <c r="N1641" i="3"/>
  <c r="O1641" i="3"/>
  <c r="L1643" i="3" l="1"/>
  <c r="J1644" i="3"/>
  <c r="Q1642" i="3"/>
  <c r="O1642" i="3"/>
  <c r="P1642" i="3"/>
  <c r="N1642" i="3"/>
  <c r="L1644" i="3" l="1"/>
  <c r="J1645" i="3"/>
  <c r="P1643" i="3"/>
  <c r="Q1643" i="3"/>
  <c r="O1643" i="3"/>
  <c r="N1643" i="3"/>
  <c r="J1646" i="3" l="1"/>
  <c r="L1645" i="3"/>
  <c r="P1644" i="3"/>
  <c r="N1644" i="3"/>
  <c r="O1644" i="3"/>
  <c r="Q1644" i="3"/>
  <c r="Q1645" i="3" l="1"/>
  <c r="N1645" i="3"/>
  <c r="O1645" i="3"/>
  <c r="P1645" i="3"/>
  <c r="L1646" i="3"/>
  <c r="J1647" i="3"/>
  <c r="J1648" i="3" l="1"/>
  <c r="L1647" i="3"/>
  <c r="O1646" i="3"/>
  <c r="Q1646" i="3"/>
  <c r="P1646" i="3"/>
  <c r="N1646" i="3"/>
  <c r="O1647" i="3" l="1"/>
  <c r="N1647" i="3"/>
  <c r="Q1647" i="3"/>
  <c r="P1647" i="3"/>
  <c r="J1649" i="3"/>
  <c r="L1648" i="3"/>
  <c r="P1648" i="3" l="1"/>
  <c r="Q1648" i="3"/>
  <c r="O1648" i="3"/>
  <c r="N1648" i="3"/>
  <c r="J1650" i="3"/>
  <c r="L1649" i="3"/>
  <c r="O1649" i="3" l="1"/>
  <c r="Q1649" i="3"/>
  <c r="N1649" i="3"/>
  <c r="P1649" i="3"/>
  <c r="L1650" i="3"/>
  <c r="J1651" i="3"/>
  <c r="J1652" i="3" l="1"/>
  <c r="L1651" i="3"/>
  <c r="O1650" i="3"/>
  <c r="Q1650" i="3"/>
  <c r="N1650" i="3"/>
  <c r="P1650" i="3"/>
  <c r="N1651" i="3" l="1"/>
  <c r="O1651" i="3"/>
  <c r="P1651" i="3"/>
  <c r="Q1651" i="3"/>
  <c r="J1653" i="3"/>
  <c r="L1652" i="3"/>
  <c r="P1652" i="3" l="1"/>
  <c r="Q1652" i="3"/>
  <c r="O1652" i="3"/>
  <c r="N1652" i="3"/>
  <c r="J1654" i="3"/>
  <c r="L1653" i="3"/>
  <c r="O1653" i="3" l="1"/>
  <c r="P1653" i="3"/>
  <c r="Q1653" i="3"/>
  <c r="N1653" i="3"/>
  <c r="L1654" i="3"/>
  <c r="J1655" i="3"/>
  <c r="L1655" i="3" l="1"/>
  <c r="J1656" i="3"/>
  <c r="O1654" i="3"/>
  <c r="Q1654" i="3"/>
  <c r="P1654" i="3"/>
  <c r="N1654" i="3"/>
  <c r="J1657" i="3" l="1"/>
  <c r="L1656" i="3"/>
  <c r="O1655" i="3"/>
  <c r="N1655" i="3"/>
  <c r="P1655" i="3"/>
  <c r="Q1655" i="3"/>
  <c r="P1656" i="3" l="1"/>
  <c r="N1656" i="3"/>
  <c r="Q1656" i="3"/>
  <c r="O1656" i="3"/>
  <c r="J1658" i="3"/>
  <c r="L1657" i="3"/>
  <c r="Q1657" i="3" l="1"/>
  <c r="N1657" i="3"/>
  <c r="P1657" i="3"/>
  <c r="O1657" i="3"/>
  <c r="J1659" i="3"/>
  <c r="L1658" i="3"/>
  <c r="Q1658" i="3" l="1"/>
  <c r="O1658" i="3"/>
  <c r="P1658" i="3"/>
  <c r="N1658" i="3"/>
  <c r="L1659" i="3"/>
  <c r="J1660" i="3"/>
  <c r="P1659" i="3" l="1"/>
  <c r="O1659" i="3"/>
  <c r="N1659" i="3"/>
  <c r="Q1659" i="3"/>
  <c r="L1660" i="3"/>
  <c r="J1661" i="3"/>
  <c r="J1662" i="3" l="1"/>
  <c r="L1661" i="3"/>
  <c r="N1660" i="3"/>
  <c r="P1660" i="3"/>
  <c r="Q1660" i="3"/>
  <c r="O1660" i="3"/>
  <c r="O1661" i="3" l="1"/>
  <c r="N1661" i="3"/>
  <c r="P1661" i="3"/>
  <c r="Q1661" i="3"/>
  <c r="L1662" i="3"/>
  <c r="J1663" i="3"/>
  <c r="L1663" i="3" l="1"/>
  <c r="J1664" i="3"/>
  <c r="Q1662" i="3"/>
  <c r="O1662" i="3"/>
  <c r="N1662" i="3"/>
  <c r="P1662" i="3"/>
  <c r="L1664" i="3" l="1"/>
  <c r="J1665" i="3"/>
  <c r="Q1663" i="3"/>
  <c r="N1663" i="3"/>
  <c r="O1663" i="3"/>
  <c r="P1663" i="3"/>
  <c r="J1666" i="3" l="1"/>
  <c r="L1665" i="3"/>
  <c r="N1664" i="3"/>
  <c r="P1664" i="3"/>
  <c r="Q1664" i="3"/>
  <c r="O1664" i="3"/>
  <c r="O1665" i="3" l="1"/>
  <c r="N1665" i="3"/>
  <c r="P1665" i="3"/>
  <c r="Q1665" i="3"/>
  <c r="L1666" i="3"/>
  <c r="J1667" i="3"/>
  <c r="L1667" i="3" l="1"/>
  <c r="J1668" i="3"/>
  <c r="P1666" i="3"/>
  <c r="N1666" i="3"/>
  <c r="O1666" i="3"/>
  <c r="Q1666" i="3"/>
  <c r="L1668" i="3" l="1"/>
  <c r="J1669" i="3"/>
  <c r="P1667" i="3"/>
  <c r="O1667" i="3"/>
  <c r="N1667" i="3"/>
  <c r="Q1667" i="3"/>
  <c r="J1670" i="3" l="1"/>
  <c r="L1669" i="3"/>
  <c r="O1668" i="3"/>
  <c r="N1668" i="3"/>
  <c r="P1668" i="3"/>
  <c r="Q1668" i="3"/>
  <c r="Q1669" i="3" l="1"/>
  <c r="P1669" i="3"/>
  <c r="N1669" i="3"/>
  <c r="O1669" i="3"/>
  <c r="L1670" i="3"/>
  <c r="J1671" i="3"/>
  <c r="L1671" i="3" l="1"/>
  <c r="J1672" i="3"/>
  <c r="O1670" i="3"/>
  <c r="P1670" i="3"/>
  <c r="N1670" i="3"/>
  <c r="Q1670" i="3"/>
  <c r="J1673" i="3" l="1"/>
  <c r="L1672" i="3"/>
  <c r="Q1671" i="3"/>
  <c r="O1671" i="3"/>
  <c r="N1671" i="3"/>
  <c r="P1671" i="3"/>
  <c r="O1672" i="3" l="1"/>
  <c r="N1672" i="3"/>
  <c r="P1672" i="3"/>
  <c r="Q1672" i="3"/>
  <c r="J1674" i="3"/>
  <c r="L1673" i="3"/>
  <c r="N1673" i="3" l="1"/>
  <c r="O1673" i="3"/>
  <c r="P1673" i="3"/>
  <c r="Q1673" i="3"/>
  <c r="L1674" i="3"/>
  <c r="J1675" i="3"/>
  <c r="L1675" i="3" l="1"/>
  <c r="J1676" i="3"/>
  <c r="Q1674" i="3"/>
  <c r="O1674" i="3"/>
  <c r="P1674" i="3"/>
  <c r="N1674" i="3"/>
  <c r="L1676" i="3" l="1"/>
  <c r="J1677" i="3"/>
  <c r="P1675" i="3"/>
  <c r="O1675" i="3"/>
  <c r="Q1675" i="3"/>
  <c r="N1675" i="3"/>
  <c r="J1678" i="3" l="1"/>
  <c r="L1677" i="3"/>
  <c r="Q1676" i="3"/>
  <c r="P1676" i="3"/>
  <c r="O1676" i="3"/>
  <c r="N1676" i="3"/>
  <c r="P1677" i="3" l="1"/>
  <c r="Q1677" i="3"/>
  <c r="N1677" i="3"/>
  <c r="O1677" i="3"/>
  <c r="L1678" i="3"/>
  <c r="J1679" i="3"/>
  <c r="O1678" i="3" l="1"/>
  <c r="Q1678" i="3"/>
  <c r="N1678" i="3"/>
  <c r="P1678" i="3"/>
  <c r="L1679" i="3"/>
  <c r="J1680" i="3"/>
  <c r="L1680" i="3" l="1"/>
  <c r="J1681" i="3"/>
  <c r="Q1679" i="3"/>
  <c r="O1679" i="3"/>
  <c r="P1679" i="3"/>
  <c r="N1679" i="3"/>
  <c r="L1681" i="3" l="1"/>
  <c r="J1682" i="3"/>
  <c r="N1680" i="3"/>
  <c r="O1680" i="3"/>
  <c r="Q1680" i="3"/>
  <c r="P1680" i="3"/>
  <c r="J1683" i="3" l="1"/>
  <c r="L1682" i="3"/>
  <c r="O1681" i="3"/>
  <c r="N1681" i="3"/>
  <c r="P1681" i="3"/>
  <c r="Q1681" i="3"/>
  <c r="O1682" i="3" l="1"/>
  <c r="Q1682" i="3"/>
  <c r="P1682" i="3"/>
  <c r="N1682" i="3"/>
  <c r="J1684" i="3"/>
  <c r="L1683" i="3"/>
  <c r="P1683" i="3" l="1"/>
  <c r="O1683" i="3"/>
  <c r="Q1683" i="3"/>
  <c r="N1683" i="3"/>
  <c r="J1685" i="3"/>
  <c r="L1684" i="3"/>
  <c r="Q1684" i="3" l="1"/>
  <c r="P1684" i="3"/>
  <c r="N1684" i="3"/>
  <c r="O1684" i="3"/>
  <c r="J1686" i="3"/>
  <c r="L1685" i="3"/>
  <c r="J1687" i="3" l="1"/>
  <c r="L1686" i="3"/>
  <c r="O1685" i="3"/>
  <c r="P1685" i="3"/>
  <c r="Q1685" i="3"/>
  <c r="N1685" i="3"/>
  <c r="O1686" i="3" l="1"/>
  <c r="Q1686" i="3"/>
  <c r="P1686" i="3"/>
  <c r="N1686" i="3"/>
  <c r="L1687" i="3"/>
  <c r="J1688" i="3"/>
  <c r="L1688" i="3" l="1"/>
  <c r="J1689" i="3"/>
  <c r="P1687" i="3"/>
  <c r="O1687" i="3"/>
  <c r="Q1687" i="3"/>
  <c r="N1687" i="3"/>
  <c r="J1690" i="3" l="1"/>
  <c r="L1689" i="3"/>
  <c r="Q1688" i="3"/>
  <c r="P1688" i="3"/>
  <c r="O1688" i="3"/>
  <c r="N1688" i="3"/>
  <c r="O1689" i="3" l="1"/>
  <c r="N1689" i="3"/>
  <c r="P1689" i="3"/>
  <c r="Q1689" i="3"/>
  <c r="L1690" i="3"/>
  <c r="J1691" i="3"/>
  <c r="J1692" i="3" l="1"/>
  <c r="L1691" i="3"/>
  <c r="P1690" i="3"/>
  <c r="O1690" i="3"/>
  <c r="Q1690" i="3"/>
  <c r="N1690" i="3"/>
  <c r="N1691" i="3" l="1"/>
  <c r="P1691" i="3"/>
  <c r="Q1691" i="3"/>
  <c r="O1691" i="3"/>
  <c r="J1693" i="3"/>
  <c r="L1692" i="3"/>
  <c r="J1694" i="3" l="1"/>
  <c r="L1693" i="3"/>
  <c r="Q1692" i="3"/>
  <c r="P1692" i="3"/>
  <c r="N1692" i="3"/>
  <c r="O1692" i="3"/>
  <c r="Q1693" i="3" l="1"/>
  <c r="N1693" i="3"/>
  <c r="P1693" i="3"/>
  <c r="O1693" i="3"/>
  <c r="J1695" i="3"/>
  <c r="L1694" i="3"/>
  <c r="N1694" i="3" l="1"/>
  <c r="Q1694" i="3"/>
  <c r="O1694" i="3"/>
  <c r="P1694" i="3"/>
  <c r="L1695" i="3"/>
  <c r="J1696" i="3"/>
  <c r="L1696" i="3" l="1"/>
  <c r="J1697" i="3"/>
  <c r="Q1695" i="3"/>
  <c r="O1695" i="3"/>
  <c r="P1695" i="3"/>
  <c r="N1695" i="3"/>
  <c r="L1697" i="3" l="1"/>
  <c r="J1698" i="3"/>
  <c r="O1696" i="3"/>
  <c r="N1696" i="3"/>
  <c r="P1696" i="3"/>
  <c r="Q1696" i="3"/>
  <c r="L1698" i="3" l="1"/>
  <c r="J1699" i="3"/>
  <c r="Q1697" i="3"/>
  <c r="P1697" i="3"/>
  <c r="O1697" i="3"/>
  <c r="N1697" i="3"/>
  <c r="L1699" i="3" l="1"/>
  <c r="J1700" i="3"/>
  <c r="Q1698" i="3"/>
  <c r="O1698" i="3"/>
  <c r="P1698" i="3"/>
  <c r="N1698" i="3"/>
  <c r="J1701" i="3" l="1"/>
  <c r="L1700" i="3"/>
  <c r="P1699" i="3"/>
  <c r="Q1699" i="3"/>
  <c r="N1699" i="3"/>
  <c r="O1699" i="3"/>
  <c r="Q1700" i="3" l="1"/>
  <c r="N1700" i="3"/>
  <c r="P1700" i="3"/>
  <c r="O1700" i="3"/>
  <c r="J1702" i="3"/>
  <c r="L1701" i="3"/>
  <c r="Q1701" i="3" l="1"/>
  <c r="P1701" i="3"/>
  <c r="N1701" i="3"/>
  <c r="O1701" i="3"/>
  <c r="L1702" i="3"/>
  <c r="J1703" i="3"/>
  <c r="J1704" i="3" l="1"/>
  <c r="L1703" i="3"/>
  <c r="O1702" i="3"/>
  <c r="P1702" i="3"/>
  <c r="N1702" i="3"/>
  <c r="Q1702" i="3"/>
  <c r="Q1703" i="3" l="1"/>
  <c r="N1703" i="3"/>
  <c r="P1703" i="3"/>
  <c r="O1703" i="3"/>
  <c r="L1704" i="3"/>
  <c r="J1705" i="3"/>
  <c r="L1705" i="3" l="1"/>
  <c r="J1706" i="3"/>
  <c r="Q1704" i="3"/>
  <c r="N1704" i="3"/>
  <c r="P1704" i="3"/>
  <c r="O1704" i="3"/>
  <c r="J1707" i="3" l="1"/>
  <c r="L1706" i="3"/>
  <c r="Q1705" i="3"/>
  <c r="P1705" i="3"/>
  <c r="N1705" i="3"/>
  <c r="O1705" i="3"/>
  <c r="Q1706" i="3" l="1"/>
  <c r="N1706" i="3"/>
  <c r="O1706" i="3"/>
  <c r="P1706" i="3"/>
  <c r="J1708" i="3"/>
  <c r="L1707" i="3"/>
  <c r="P1707" i="3" l="1"/>
  <c r="N1707" i="3"/>
  <c r="O1707" i="3"/>
  <c r="Q1707" i="3"/>
  <c r="L1708" i="3"/>
  <c r="J1709" i="3"/>
  <c r="J1710" i="3" l="1"/>
  <c r="L1709" i="3"/>
  <c r="O1708" i="3"/>
  <c r="Q1708" i="3"/>
  <c r="N1708" i="3"/>
  <c r="P1708" i="3"/>
  <c r="O1709" i="3" l="1"/>
  <c r="P1709" i="3"/>
  <c r="N1709" i="3"/>
  <c r="Q1709" i="3"/>
  <c r="J1711" i="3"/>
  <c r="L1710" i="3"/>
  <c r="P1710" i="3" l="1"/>
  <c r="N1710" i="3"/>
  <c r="Q1710" i="3"/>
  <c r="O1710" i="3"/>
  <c r="L1711" i="3"/>
  <c r="J1712" i="3"/>
  <c r="J1713" i="3" l="1"/>
  <c r="L1712" i="3"/>
  <c r="Q1711" i="3"/>
  <c r="N1711" i="3"/>
  <c r="O1711" i="3"/>
  <c r="P1711" i="3"/>
  <c r="P1712" i="3" l="1"/>
  <c r="Q1712" i="3"/>
  <c r="O1712" i="3"/>
  <c r="N1712" i="3"/>
  <c r="L1713" i="3"/>
  <c r="J1714" i="3"/>
  <c r="L1714" i="3" l="1"/>
  <c r="J1715" i="3"/>
  <c r="Q1713" i="3"/>
  <c r="N1713" i="3"/>
  <c r="O1713" i="3"/>
  <c r="P1713" i="3"/>
  <c r="L1715" i="3" l="1"/>
  <c r="J1716" i="3"/>
  <c r="O1714" i="3"/>
  <c r="Q1714" i="3"/>
  <c r="P1714" i="3"/>
  <c r="N1714" i="3"/>
  <c r="J1717" i="3" l="1"/>
  <c r="L1716" i="3"/>
  <c r="P1715" i="3"/>
  <c r="Q1715" i="3"/>
  <c r="N1715" i="3"/>
  <c r="O1715" i="3"/>
  <c r="Q1716" i="3" l="1"/>
  <c r="O1716" i="3"/>
  <c r="P1716" i="3"/>
  <c r="N1716" i="3"/>
  <c r="J1718" i="3"/>
  <c r="L1717" i="3"/>
  <c r="N1717" i="3" l="1"/>
  <c r="O1717" i="3"/>
  <c r="Q1717" i="3"/>
  <c r="P1717" i="3"/>
  <c r="J1719" i="3"/>
  <c r="L1718" i="3"/>
  <c r="O1718" i="3" l="1"/>
  <c r="Q1718" i="3"/>
  <c r="P1718" i="3"/>
  <c r="N1718" i="3"/>
  <c r="L1719" i="3"/>
  <c r="J1720" i="3"/>
  <c r="J1721" i="3" l="1"/>
  <c r="L1720" i="3"/>
  <c r="Q1719" i="3"/>
  <c r="P1719" i="3"/>
  <c r="O1719" i="3"/>
  <c r="N1719" i="3"/>
  <c r="P1720" i="3" l="1"/>
  <c r="O1720" i="3"/>
  <c r="N1720" i="3"/>
  <c r="Q1720" i="3"/>
  <c r="J1722" i="3"/>
  <c r="L1721" i="3"/>
  <c r="Q1721" i="3" l="1"/>
  <c r="N1721" i="3"/>
  <c r="O1721" i="3"/>
  <c r="P1721" i="3"/>
  <c r="J1723" i="3"/>
  <c r="L1722" i="3"/>
  <c r="N1722" i="3" l="1"/>
  <c r="Q1722" i="3"/>
  <c r="P1722" i="3"/>
  <c r="O1722" i="3"/>
  <c r="L1723" i="3"/>
  <c r="J1724" i="3"/>
  <c r="J1725" i="3" l="1"/>
  <c r="L1724" i="3"/>
  <c r="P1723" i="3"/>
  <c r="Q1723" i="3"/>
  <c r="O1723" i="3"/>
  <c r="N1723" i="3"/>
  <c r="N1724" i="3" l="1"/>
  <c r="Q1724" i="3"/>
  <c r="P1724" i="3"/>
  <c r="O1724" i="3"/>
  <c r="J1726" i="3"/>
  <c r="L1725" i="3"/>
  <c r="P1725" i="3" l="1"/>
  <c r="O1725" i="3"/>
  <c r="Q1725" i="3"/>
  <c r="N1725" i="3"/>
  <c r="L1726" i="3"/>
  <c r="J1727" i="3"/>
  <c r="L1727" i="3" l="1"/>
  <c r="J1728" i="3"/>
  <c r="Q1726" i="3"/>
  <c r="O1726" i="3"/>
  <c r="P1726" i="3"/>
  <c r="N1726" i="3"/>
  <c r="J1729" i="3" l="1"/>
  <c r="L1728" i="3"/>
  <c r="Q1727" i="3"/>
  <c r="O1727" i="3"/>
  <c r="P1727" i="3"/>
  <c r="N1727" i="3"/>
  <c r="P1728" i="3" l="1"/>
  <c r="Q1728" i="3"/>
  <c r="O1728" i="3"/>
  <c r="N1728" i="3"/>
  <c r="J1730" i="3"/>
  <c r="L1729" i="3"/>
  <c r="Q1729" i="3" l="1"/>
  <c r="P1729" i="3"/>
  <c r="O1729" i="3"/>
  <c r="N1729" i="3"/>
  <c r="L1730" i="3"/>
  <c r="J1731" i="3"/>
  <c r="J1732" i="3" l="1"/>
  <c r="L1731" i="3"/>
  <c r="O1730" i="3"/>
  <c r="P1730" i="3"/>
  <c r="Q1730" i="3"/>
  <c r="N1730" i="3"/>
  <c r="Q1731" i="3" l="1"/>
  <c r="P1731" i="3"/>
  <c r="N1731" i="3"/>
  <c r="O1731" i="3"/>
  <c r="J1733" i="3"/>
  <c r="L1732" i="3"/>
  <c r="L1733" i="3" l="1"/>
  <c r="J1734" i="3"/>
  <c r="P1732" i="3"/>
  <c r="Q1732" i="3"/>
  <c r="O1732" i="3"/>
  <c r="N1732" i="3"/>
  <c r="L1734" i="3" l="1"/>
  <c r="J1735" i="3"/>
  <c r="O1733" i="3"/>
  <c r="N1733" i="3"/>
  <c r="Q1733" i="3"/>
  <c r="P1733" i="3"/>
  <c r="L1735" i="3" l="1"/>
  <c r="J1736" i="3"/>
  <c r="P1734" i="3"/>
  <c r="N1734" i="3"/>
  <c r="Q1734" i="3"/>
  <c r="O1734" i="3"/>
  <c r="J1737" i="3" l="1"/>
  <c r="L1736" i="3"/>
  <c r="O1735" i="3"/>
  <c r="Q1735" i="3"/>
  <c r="N1735" i="3"/>
  <c r="P1735" i="3"/>
  <c r="Q1736" i="3" l="1"/>
  <c r="O1736" i="3"/>
  <c r="N1736" i="3"/>
  <c r="P1736" i="3"/>
  <c r="L1737" i="3"/>
  <c r="J1738" i="3"/>
  <c r="L1738" i="3" l="1"/>
  <c r="J1739" i="3"/>
  <c r="O1737" i="3"/>
  <c r="Q1737" i="3"/>
  <c r="N1737" i="3"/>
  <c r="P1737" i="3"/>
  <c r="L1739" i="3" l="1"/>
  <c r="J1740" i="3"/>
  <c r="O1738" i="3"/>
  <c r="P1738" i="3"/>
  <c r="N1738" i="3"/>
  <c r="Q1738" i="3"/>
  <c r="L1740" i="3" l="1"/>
  <c r="J1741" i="3"/>
  <c r="P1739" i="3"/>
  <c r="Q1739" i="3"/>
  <c r="O1739" i="3"/>
  <c r="N1739" i="3"/>
  <c r="L1741" i="3" l="1"/>
  <c r="J1742" i="3"/>
  <c r="P1740" i="3"/>
  <c r="N1740" i="3"/>
  <c r="Q1740" i="3"/>
  <c r="O1740" i="3"/>
  <c r="J1743" i="3" l="1"/>
  <c r="L1742" i="3"/>
  <c r="Q1741" i="3"/>
  <c r="P1741" i="3"/>
  <c r="N1741" i="3"/>
  <c r="O1741" i="3"/>
  <c r="P1742" i="3" l="1"/>
  <c r="O1742" i="3"/>
  <c r="N1742" i="3"/>
  <c r="Q1742" i="3"/>
  <c r="L1743" i="3"/>
  <c r="J1744" i="3"/>
  <c r="L1744" i="3" l="1"/>
  <c r="J1745" i="3"/>
  <c r="P1743" i="3"/>
  <c r="N1743" i="3"/>
  <c r="O1743" i="3"/>
  <c r="Q1743" i="3"/>
  <c r="L1745" i="3" l="1"/>
  <c r="J1746" i="3"/>
  <c r="Q1744" i="3"/>
  <c r="O1744" i="3"/>
  <c r="N1744" i="3"/>
  <c r="P1744" i="3"/>
  <c r="L1746" i="3" l="1"/>
  <c r="J1747" i="3"/>
  <c r="N1745" i="3"/>
  <c r="Q1745" i="3"/>
  <c r="P1745" i="3"/>
  <c r="O1745" i="3"/>
  <c r="J1748" i="3" l="1"/>
  <c r="L1747" i="3"/>
  <c r="Q1746" i="3"/>
  <c r="O1746" i="3"/>
  <c r="P1746" i="3"/>
  <c r="N1746" i="3"/>
  <c r="O1747" i="3" l="1"/>
  <c r="Q1747" i="3"/>
  <c r="N1747" i="3"/>
  <c r="P1747" i="3"/>
  <c r="J1749" i="3"/>
  <c r="L1748" i="3"/>
  <c r="Q1748" i="3" l="1"/>
  <c r="P1748" i="3"/>
  <c r="O1748" i="3"/>
  <c r="N1748" i="3"/>
  <c r="L1749" i="3"/>
  <c r="J1750" i="3"/>
  <c r="J1751" i="3" l="1"/>
  <c r="L1750" i="3"/>
  <c r="Q1749" i="3"/>
  <c r="N1749" i="3"/>
  <c r="P1749" i="3"/>
  <c r="O1749" i="3"/>
  <c r="O1750" i="3" l="1"/>
  <c r="N1750" i="3"/>
  <c r="Q1750" i="3"/>
  <c r="P1750" i="3"/>
  <c r="J1752" i="3"/>
  <c r="L1751" i="3"/>
  <c r="P1751" i="3" l="1"/>
  <c r="O1751" i="3"/>
  <c r="Q1751" i="3"/>
  <c r="N1751" i="3"/>
  <c r="J1753" i="3"/>
  <c r="L1752" i="3"/>
  <c r="P1752" i="3" l="1"/>
  <c r="Q1752" i="3"/>
  <c r="N1752" i="3"/>
  <c r="O1752" i="3"/>
  <c r="L1753" i="3"/>
  <c r="J1754" i="3"/>
  <c r="L1754" i="3" l="1"/>
  <c r="J1755" i="3"/>
  <c r="Q1753" i="3"/>
  <c r="P1753" i="3"/>
  <c r="O1753" i="3"/>
  <c r="N1753" i="3"/>
  <c r="L1755" i="3" l="1"/>
  <c r="J1756" i="3"/>
  <c r="Q1754" i="3"/>
  <c r="O1754" i="3"/>
  <c r="P1754" i="3"/>
  <c r="N1754" i="3"/>
  <c r="J1757" i="3" l="1"/>
  <c r="L1756" i="3"/>
  <c r="Q1755" i="3"/>
  <c r="P1755" i="3"/>
  <c r="O1755" i="3"/>
  <c r="N1755" i="3"/>
  <c r="O1756" i="3" l="1"/>
  <c r="P1756" i="3"/>
  <c r="N1756" i="3"/>
  <c r="Q1756" i="3"/>
  <c r="J1758" i="3"/>
  <c r="L1757" i="3"/>
  <c r="P1757" i="3" l="1"/>
  <c r="N1757" i="3"/>
  <c r="Q1757" i="3"/>
  <c r="O1757" i="3"/>
  <c r="J1759" i="3"/>
  <c r="L1758" i="3"/>
  <c r="N1758" i="3" l="1"/>
  <c r="P1758" i="3"/>
  <c r="O1758" i="3"/>
  <c r="Q1758" i="3"/>
  <c r="J1760" i="3"/>
  <c r="L1759" i="3"/>
  <c r="Q1759" i="3" l="1"/>
  <c r="P1759" i="3"/>
  <c r="N1759" i="3"/>
  <c r="O1759" i="3"/>
  <c r="L1760" i="3"/>
  <c r="J1761" i="3"/>
  <c r="J1762" i="3" l="1"/>
  <c r="L1761" i="3"/>
  <c r="O1760" i="3"/>
  <c r="P1760" i="3"/>
  <c r="Q1760" i="3"/>
  <c r="N1760" i="3"/>
  <c r="Q1761" i="3" l="1"/>
  <c r="P1761" i="3"/>
  <c r="O1761" i="3"/>
  <c r="N1761" i="3"/>
  <c r="L1762" i="3"/>
  <c r="J1763" i="3"/>
  <c r="J1764" i="3" l="1"/>
  <c r="L1763" i="3"/>
  <c r="O1762" i="3"/>
  <c r="Q1762" i="3"/>
  <c r="N1762" i="3"/>
  <c r="P1762" i="3"/>
  <c r="Q1763" i="3" l="1"/>
  <c r="N1763" i="3"/>
  <c r="O1763" i="3"/>
  <c r="P1763" i="3"/>
  <c r="J1765" i="3"/>
  <c r="L1764" i="3"/>
  <c r="Q1764" i="3" l="1"/>
  <c r="P1764" i="3"/>
  <c r="N1764" i="3"/>
  <c r="O1764" i="3"/>
  <c r="J1766" i="3"/>
  <c r="L1765" i="3"/>
  <c r="P1765" i="3" l="1"/>
  <c r="N1765" i="3"/>
  <c r="O1765" i="3"/>
  <c r="Q1765" i="3"/>
  <c r="J1767" i="3"/>
  <c r="L1766" i="3"/>
  <c r="Q1766" i="3" l="1"/>
  <c r="N1766" i="3"/>
  <c r="P1766" i="3"/>
  <c r="O1766" i="3"/>
  <c r="L1767" i="3"/>
  <c r="J1768" i="3"/>
  <c r="L1768" i="3" l="1"/>
  <c r="J1769" i="3"/>
  <c r="Q1767" i="3"/>
  <c r="P1767" i="3"/>
  <c r="O1767" i="3"/>
  <c r="N1767" i="3"/>
  <c r="J1770" i="3" l="1"/>
  <c r="L1769" i="3"/>
  <c r="Q1768" i="3"/>
  <c r="P1768" i="3"/>
  <c r="O1768" i="3"/>
  <c r="N1768" i="3"/>
  <c r="Q1769" i="3" l="1"/>
  <c r="N1769" i="3"/>
  <c r="P1769" i="3"/>
  <c r="O1769" i="3"/>
  <c r="J1771" i="3"/>
  <c r="L1770" i="3"/>
  <c r="O1770" i="3" l="1"/>
  <c r="P1770" i="3"/>
  <c r="N1770" i="3"/>
  <c r="Q1770" i="3"/>
  <c r="L1771" i="3"/>
  <c r="J1772" i="3"/>
  <c r="L1772" i="3" l="1"/>
  <c r="J1773" i="3"/>
  <c r="Q1771" i="3"/>
  <c r="N1771" i="3"/>
  <c r="O1771" i="3"/>
  <c r="P1771" i="3"/>
  <c r="L1773" i="3" l="1"/>
  <c r="J1774" i="3"/>
  <c r="O1772" i="3"/>
  <c r="N1772" i="3"/>
  <c r="Q1772" i="3"/>
  <c r="P1772" i="3"/>
  <c r="J1775" i="3" l="1"/>
  <c r="L1774" i="3"/>
  <c r="Q1773" i="3"/>
  <c r="N1773" i="3"/>
  <c r="O1773" i="3"/>
  <c r="P1773" i="3"/>
  <c r="Q1774" i="3" l="1"/>
  <c r="P1774" i="3"/>
  <c r="N1774" i="3"/>
  <c r="O1774" i="3"/>
  <c r="L1775" i="3"/>
  <c r="J1776" i="3"/>
  <c r="L1776" i="3" l="1"/>
  <c r="J1777" i="3"/>
  <c r="O1775" i="3"/>
  <c r="Q1775" i="3"/>
  <c r="N1775" i="3"/>
  <c r="P1775" i="3"/>
  <c r="J1778" i="3" l="1"/>
  <c r="L1777" i="3"/>
  <c r="P1776" i="3"/>
  <c r="N1776" i="3"/>
  <c r="O1776" i="3"/>
  <c r="Q1776" i="3"/>
  <c r="Q1777" i="3" l="1"/>
  <c r="O1777" i="3"/>
  <c r="N1777" i="3"/>
  <c r="P1777" i="3"/>
  <c r="J1779" i="3"/>
  <c r="L1778" i="3"/>
  <c r="O1778" i="3" l="1"/>
  <c r="P1778" i="3"/>
  <c r="Q1778" i="3"/>
  <c r="N1778" i="3"/>
  <c r="L1779" i="3"/>
  <c r="J1780" i="3"/>
  <c r="L1780" i="3" l="1"/>
  <c r="J1781" i="3"/>
  <c r="P1779" i="3"/>
  <c r="N1779" i="3"/>
  <c r="O1779" i="3"/>
  <c r="Q1779" i="3"/>
  <c r="L1781" i="3" l="1"/>
  <c r="J1782" i="3"/>
  <c r="P1780" i="3"/>
  <c r="N1780" i="3"/>
  <c r="O1780" i="3"/>
  <c r="Q1780" i="3"/>
  <c r="J1783" i="3" l="1"/>
  <c r="L1782" i="3"/>
  <c r="P1781" i="3"/>
  <c r="N1781" i="3"/>
  <c r="O1781" i="3"/>
  <c r="Q1781" i="3"/>
  <c r="O1782" i="3" l="1"/>
  <c r="P1782" i="3"/>
  <c r="N1782" i="3"/>
  <c r="Q1782" i="3"/>
  <c r="L1783" i="3"/>
  <c r="J1784" i="3"/>
  <c r="J1785" i="3" l="1"/>
  <c r="L1784" i="3"/>
  <c r="O1783" i="3"/>
  <c r="Q1783" i="3"/>
  <c r="N1783" i="3"/>
  <c r="P1783" i="3"/>
  <c r="Q1784" i="3" l="1"/>
  <c r="P1784" i="3"/>
  <c r="N1784" i="3"/>
  <c r="O1784" i="3"/>
  <c r="J1786" i="3"/>
  <c r="L1785" i="3"/>
  <c r="O1785" i="3" l="1"/>
  <c r="Q1785" i="3"/>
  <c r="N1785" i="3"/>
  <c r="P1785" i="3"/>
  <c r="J1787" i="3"/>
  <c r="L1786" i="3"/>
  <c r="Q1786" i="3" l="1"/>
  <c r="O1786" i="3"/>
  <c r="N1786" i="3"/>
  <c r="P1786" i="3"/>
  <c r="L1787" i="3"/>
  <c r="J1788" i="3"/>
  <c r="L1788" i="3" l="1"/>
  <c r="J1789" i="3"/>
  <c r="P1787" i="3"/>
  <c r="Q1787" i="3"/>
  <c r="O1787" i="3"/>
  <c r="N1787" i="3"/>
  <c r="L1789" i="3" l="1"/>
  <c r="J1790" i="3"/>
  <c r="N1788" i="3"/>
  <c r="Q1788" i="3"/>
  <c r="P1788" i="3"/>
  <c r="O1788" i="3"/>
  <c r="L1790" i="3" l="1"/>
  <c r="J1791" i="3"/>
  <c r="N1789" i="3"/>
  <c r="P1789" i="3"/>
  <c r="Q1789" i="3"/>
  <c r="O1789" i="3"/>
  <c r="J1792" i="3" l="1"/>
  <c r="L1791" i="3"/>
  <c r="N1790" i="3"/>
  <c r="Q1790" i="3"/>
  <c r="O1790" i="3"/>
  <c r="P1790" i="3"/>
  <c r="Q1791" i="3" l="1"/>
  <c r="P1791" i="3"/>
  <c r="N1791" i="3"/>
  <c r="O1791" i="3"/>
  <c r="L1792" i="3"/>
  <c r="J1793" i="3"/>
  <c r="J1794" i="3" l="1"/>
  <c r="L1793" i="3"/>
  <c r="O1792" i="3"/>
  <c r="Q1792" i="3"/>
  <c r="P1792" i="3"/>
  <c r="N1792" i="3"/>
  <c r="O1793" i="3" l="1"/>
  <c r="N1793" i="3"/>
  <c r="P1793" i="3"/>
  <c r="Q1793" i="3"/>
  <c r="L1794" i="3"/>
  <c r="J1795" i="3"/>
  <c r="J1796" i="3" l="1"/>
  <c r="L1795" i="3"/>
  <c r="O1794" i="3"/>
  <c r="P1794" i="3"/>
  <c r="Q1794" i="3"/>
  <c r="N1794" i="3"/>
  <c r="P1795" i="3" l="1"/>
  <c r="Q1795" i="3"/>
  <c r="O1795" i="3"/>
  <c r="N1795" i="3"/>
  <c r="J1797" i="3"/>
  <c r="L1796" i="3"/>
  <c r="N1796" i="3" l="1"/>
  <c r="Q1796" i="3"/>
  <c r="P1796" i="3"/>
  <c r="O1796" i="3"/>
  <c r="J1798" i="3"/>
  <c r="L1797" i="3"/>
  <c r="P1797" i="3" l="1"/>
  <c r="N1797" i="3"/>
  <c r="O1797" i="3"/>
  <c r="Q1797" i="3"/>
  <c r="J1799" i="3"/>
  <c r="L1798" i="3"/>
  <c r="Q1798" i="3" l="1"/>
  <c r="O1798" i="3"/>
  <c r="P1798" i="3"/>
  <c r="N1798" i="3"/>
  <c r="J1800" i="3"/>
  <c r="L1799" i="3"/>
  <c r="N1799" i="3" l="1"/>
  <c r="O1799" i="3"/>
  <c r="Q1799" i="3"/>
  <c r="P1799" i="3"/>
  <c r="L1800" i="3"/>
  <c r="J1801" i="3"/>
  <c r="J1802" i="3" l="1"/>
  <c r="L1801" i="3"/>
  <c r="Q1800" i="3"/>
  <c r="N1800" i="3"/>
  <c r="P1800" i="3"/>
  <c r="O1800" i="3"/>
  <c r="Q1801" i="3" l="1"/>
  <c r="N1801" i="3"/>
  <c r="O1801" i="3"/>
  <c r="P1801" i="3"/>
  <c r="L1802" i="3"/>
  <c r="J1803" i="3"/>
  <c r="J1804" i="3" l="1"/>
  <c r="L1803" i="3"/>
  <c r="Q1802" i="3"/>
  <c r="O1802" i="3"/>
  <c r="P1802" i="3"/>
  <c r="N1802" i="3"/>
  <c r="O1803" i="3" l="1"/>
  <c r="N1803" i="3"/>
  <c r="P1803" i="3"/>
  <c r="Q1803" i="3"/>
  <c r="L1804" i="3"/>
  <c r="J1805" i="3"/>
  <c r="L1805" i="3" l="1"/>
  <c r="J1806" i="3"/>
  <c r="P1804" i="3"/>
  <c r="N1804" i="3"/>
  <c r="Q1804" i="3"/>
  <c r="O1804" i="3"/>
  <c r="J1807" i="3" l="1"/>
  <c r="L1806" i="3"/>
  <c r="P1805" i="3"/>
  <c r="N1805" i="3"/>
  <c r="Q1805" i="3"/>
  <c r="O1805" i="3"/>
  <c r="N1806" i="3" l="1"/>
  <c r="O1806" i="3"/>
  <c r="Q1806" i="3"/>
  <c r="P1806" i="3"/>
  <c r="L1807" i="3"/>
  <c r="J1808" i="3"/>
  <c r="J1809" i="3" l="1"/>
  <c r="L1808" i="3"/>
  <c r="Q1807" i="3"/>
  <c r="O1807" i="3"/>
  <c r="P1807" i="3"/>
  <c r="N1807" i="3"/>
  <c r="P1808" i="3" l="1"/>
  <c r="O1808" i="3"/>
  <c r="N1808" i="3"/>
  <c r="Q1808" i="3"/>
  <c r="J1810" i="3"/>
  <c r="L1809" i="3"/>
  <c r="P1809" i="3" l="1"/>
  <c r="O1809" i="3"/>
  <c r="N1809" i="3"/>
  <c r="Q1809" i="3"/>
  <c r="L1810" i="3"/>
  <c r="J1811" i="3"/>
  <c r="L1811" i="3" l="1"/>
  <c r="J1812" i="3"/>
  <c r="N1810" i="3"/>
  <c r="P1810" i="3"/>
  <c r="O1810" i="3"/>
  <c r="Q1810" i="3"/>
  <c r="L1812" i="3" l="1"/>
  <c r="J1813" i="3"/>
  <c r="P1811" i="3"/>
  <c r="Q1811" i="3"/>
  <c r="O1811" i="3"/>
  <c r="N1811" i="3"/>
  <c r="L1813" i="3" l="1"/>
  <c r="J1814" i="3"/>
  <c r="O1812" i="3"/>
  <c r="P1812" i="3"/>
  <c r="Q1812" i="3"/>
  <c r="N1812" i="3"/>
  <c r="J1815" i="3" l="1"/>
  <c r="L1814" i="3"/>
  <c r="P1813" i="3"/>
  <c r="Q1813" i="3"/>
  <c r="N1813" i="3"/>
  <c r="O1813" i="3"/>
  <c r="O1814" i="3" l="1"/>
  <c r="N1814" i="3"/>
  <c r="Q1814" i="3"/>
  <c r="P1814" i="3"/>
  <c r="J1816" i="3"/>
  <c r="L1815" i="3"/>
  <c r="P1815" i="3" l="1"/>
  <c r="Q1815" i="3"/>
  <c r="N1815" i="3"/>
  <c r="O1815" i="3"/>
  <c r="J1817" i="3"/>
  <c r="L1816" i="3"/>
  <c r="Q1816" i="3" l="1"/>
  <c r="O1816" i="3"/>
  <c r="N1816" i="3"/>
  <c r="P1816" i="3"/>
  <c r="L1817" i="3"/>
  <c r="J1818" i="3"/>
  <c r="J1819" i="3" l="1"/>
  <c r="L1818" i="3"/>
  <c r="Q1817" i="3"/>
  <c r="P1817" i="3"/>
  <c r="O1817" i="3"/>
  <c r="N1817" i="3"/>
  <c r="Q1818" i="3" l="1"/>
  <c r="O1818" i="3"/>
  <c r="N1818" i="3"/>
  <c r="P1818" i="3"/>
  <c r="L1819" i="3"/>
  <c r="J1820" i="3"/>
  <c r="L1820" i="3" l="1"/>
  <c r="J1821" i="3"/>
  <c r="Q1819" i="3"/>
  <c r="O1819" i="3"/>
  <c r="N1819" i="3"/>
  <c r="P1819" i="3"/>
  <c r="L1821" i="3" l="1"/>
  <c r="J1822" i="3"/>
  <c r="Q1820" i="3"/>
  <c r="N1820" i="3"/>
  <c r="O1820" i="3"/>
  <c r="P1820" i="3"/>
  <c r="L1822" i="3" l="1"/>
  <c r="J1823" i="3"/>
  <c r="Q1821" i="3"/>
  <c r="N1821" i="3"/>
  <c r="O1821" i="3"/>
  <c r="P1821" i="3"/>
  <c r="J1824" i="3" l="1"/>
  <c r="L1823" i="3"/>
  <c r="P1822" i="3"/>
  <c r="O1822" i="3"/>
  <c r="N1822" i="3"/>
  <c r="Q1822" i="3"/>
  <c r="P1823" i="3" l="1"/>
  <c r="O1823" i="3"/>
  <c r="N1823" i="3"/>
  <c r="Q1823" i="3"/>
  <c r="L1824" i="3"/>
  <c r="J1825" i="3"/>
  <c r="J1826" i="3" l="1"/>
  <c r="L1825" i="3"/>
  <c r="P1824" i="3"/>
  <c r="Q1824" i="3"/>
  <c r="O1824" i="3"/>
  <c r="N1824" i="3"/>
  <c r="N1825" i="3" l="1"/>
  <c r="Q1825" i="3"/>
  <c r="P1825" i="3"/>
  <c r="O1825" i="3"/>
  <c r="J1827" i="3"/>
  <c r="L1826" i="3"/>
  <c r="O1826" i="3" l="1"/>
  <c r="N1826" i="3"/>
  <c r="Q1826" i="3"/>
  <c r="P1826" i="3"/>
  <c r="L1827" i="3"/>
  <c r="J1828" i="3"/>
  <c r="L1828" i="3" l="1"/>
  <c r="J1829" i="3"/>
  <c r="P1827" i="3"/>
  <c r="O1827" i="3"/>
  <c r="Q1827" i="3"/>
  <c r="N1827" i="3"/>
  <c r="J1830" i="3" l="1"/>
  <c r="L1829" i="3"/>
  <c r="O1828" i="3"/>
  <c r="Q1828" i="3"/>
  <c r="N1828" i="3"/>
  <c r="P1828" i="3"/>
  <c r="Q1829" i="3" l="1"/>
  <c r="P1829" i="3"/>
  <c r="N1829" i="3"/>
  <c r="O1829" i="3"/>
  <c r="J1831" i="3"/>
  <c r="L1830" i="3"/>
  <c r="N1830" i="3" l="1"/>
  <c r="O1830" i="3"/>
  <c r="P1830" i="3"/>
  <c r="Q1830" i="3"/>
  <c r="J1832" i="3"/>
  <c r="L1831" i="3"/>
  <c r="Q1831" i="3" l="1"/>
  <c r="N1831" i="3"/>
  <c r="O1831" i="3"/>
  <c r="P1831" i="3"/>
  <c r="L1832" i="3"/>
  <c r="J1833" i="3"/>
  <c r="J1834" i="3" l="1"/>
  <c r="L1833" i="3"/>
  <c r="Q1832" i="3"/>
  <c r="P1832" i="3"/>
  <c r="N1832" i="3"/>
  <c r="O1832" i="3"/>
  <c r="N1833" i="3" l="1"/>
  <c r="Q1833" i="3"/>
  <c r="P1833" i="3"/>
  <c r="O1833" i="3"/>
  <c r="L1834" i="3"/>
  <c r="J1835" i="3"/>
  <c r="J1836" i="3" l="1"/>
  <c r="L1835" i="3"/>
  <c r="Q1834" i="3"/>
  <c r="P1834" i="3"/>
  <c r="O1834" i="3"/>
  <c r="N1834" i="3"/>
  <c r="N1835" i="3" l="1"/>
  <c r="O1835" i="3"/>
  <c r="P1835" i="3"/>
  <c r="Q1835" i="3"/>
  <c r="L1836" i="3"/>
  <c r="J1837" i="3"/>
  <c r="L1837" i="3" l="1"/>
  <c r="J1838" i="3"/>
  <c r="P1836" i="3"/>
  <c r="N1836" i="3"/>
  <c r="Q1836" i="3"/>
  <c r="O1836" i="3"/>
  <c r="J1839" i="3" l="1"/>
  <c r="L1838" i="3"/>
  <c r="N1837" i="3"/>
  <c r="Q1837" i="3"/>
  <c r="P1837" i="3"/>
  <c r="O1837" i="3"/>
  <c r="Q1838" i="3" l="1"/>
  <c r="O1838" i="3"/>
  <c r="P1838" i="3"/>
  <c r="N1838" i="3"/>
  <c r="J1840" i="3"/>
  <c r="L1839" i="3"/>
  <c r="Q1839" i="3" l="1"/>
  <c r="P1839" i="3"/>
  <c r="O1839" i="3"/>
  <c r="N1839" i="3"/>
  <c r="L1840" i="3"/>
  <c r="J1841" i="3"/>
  <c r="J1842" i="3" l="1"/>
  <c r="L1841" i="3"/>
  <c r="Q1840" i="3"/>
  <c r="N1840" i="3"/>
  <c r="P1840" i="3"/>
  <c r="O1840" i="3"/>
  <c r="Q1841" i="3" l="1"/>
  <c r="P1841" i="3"/>
  <c r="O1841" i="3"/>
  <c r="N1841" i="3"/>
  <c r="J1843" i="3"/>
  <c r="L1842" i="3"/>
  <c r="Q1842" i="3" l="1"/>
  <c r="O1842" i="3"/>
  <c r="P1842" i="3"/>
  <c r="N1842" i="3"/>
  <c r="L1843" i="3"/>
  <c r="J1844" i="3"/>
  <c r="L1844" i="3" l="1"/>
  <c r="J1845" i="3"/>
  <c r="Q1843" i="3"/>
  <c r="O1843" i="3"/>
  <c r="P1843" i="3"/>
  <c r="N1843" i="3"/>
  <c r="J1846" i="3" l="1"/>
  <c r="L1845" i="3"/>
  <c r="P1844" i="3"/>
  <c r="O1844" i="3"/>
  <c r="N1844" i="3"/>
  <c r="Q1844" i="3"/>
  <c r="Q1845" i="3" l="1"/>
  <c r="O1845" i="3"/>
  <c r="P1845" i="3"/>
  <c r="N1845" i="3"/>
  <c r="J1847" i="3"/>
  <c r="L1846" i="3"/>
  <c r="N1846" i="3" l="1"/>
  <c r="Q1846" i="3"/>
  <c r="P1846" i="3"/>
  <c r="O1846" i="3"/>
  <c r="L1847" i="3"/>
  <c r="J1848" i="3"/>
  <c r="J1849" i="3" l="1"/>
  <c r="L1848" i="3"/>
  <c r="P1847" i="3"/>
  <c r="Q1847" i="3"/>
  <c r="O1847" i="3"/>
  <c r="N1847" i="3"/>
  <c r="Q1848" i="3" l="1"/>
  <c r="N1848" i="3"/>
  <c r="P1848" i="3"/>
  <c r="O1848" i="3"/>
  <c r="J1850" i="3"/>
  <c r="L1849" i="3"/>
  <c r="P1849" i="3" l="1"/>
  <c r="O1849" i="3"/>
  <c r="Q1849" i="3"/>
  <c r="N1849" i="3"/>
  <c r="J1851" i="3"/>
  <c r="L1850" i="3"/>
  <c r="O1850" i="3" l="1"/>
  <c r="Q1850" i="3"/>
  <c r="P1850" i="3"/>
  <c r="N1850" i="3"/>
  <c r="J1852" i="3"/>
  <c r="L1851" i="3"/>
  <c r="Q1851" i="3" l="1"/>
  <c r="O1851" i="3"/>
  <c r="P1851" i="3"/>
  <c r="N1851" i="3"/>
  <c r="L1852" i="3"/>
  <c r="J1853" i="3"/>
  <c r="L1853" i="3" l="1"/>
  <c r="J1854" i="3"/>
  <c r="N1852" i="3"/>
  <c r="O1852" i="3"/>
  <c r="Q1852" i="3"/>
  <c r="P1852" i="3"/>
  <c r="J1855" i="3" l="1"/>
  <c r="L1854" i="3"/>
  <c r="Q1853" i="3"/>
  <c r="N1853" i="3"/>
  <c r="P1853" i="3"/>
  <c r="O1853" i="3"/>
  <c r="O1854" i="3" l="1"/>
  <c r="Q1854" i="3"/>
  <c r="P1854" i="3"/>
  <c r="N1854" i="3"/>
  <c r="J1856" i="3"/>
  <c r="L1855" i="3"/>
  <c r="N1855" i="3" l="1"/>
  <c r="Q1855" i="3"/>
  <c r="O1855" i="3"/>
  <c r="P1855" i="3"/>
  <c r="J1857" i="3"/>
  <c r="L1856" i="3"/>
  <c r="O1856" i="3" l="1"/>
  <c r="Q1856" i="3"/>
  <c r="N1856" i="3"/>
  <c r="P1856" i="3"/>
  <c r="L1857" i="3"/>
  <c r="J1858" i="3"/>
  <c r="L1858" i="3" l="1"/>
  <c r="J1859" i="3"/>
  <c r="N1857" i="3"/>
  <c r="O1857" i="3"/>
  <c r="Q1857" i="3"/>
  <c r="P1857" i="3"/>
  <c r="J1860" i="3" l="1"/>
  <c r="L1859" i="3"/>
  <c r="O1858" i="3"/>
  <c r="N1858" i="3"/>
  <c r="P1858" i="3"/>
  <c r="Q1858" i="3"/>
  <c r="O1859" i="3" l="1"/>
  <c r="N1859" i="3"/>
  <c r="P1859" i="3"/>
  <c r="Q1859" i="3"/>
  <c r="L1860" i="3"/>
  <c r="J1861" i="3"/>
  <c r="L1861" i="3" l="1"/>
  <c r="J1862" i="3"/>
  <c r="O1860" i="3"/>
  <c r="P1860" i="3"/>
  <c r="Q1860" i="3"/>
  <c r="N1860" i="3"/>
  <c r="J1863" i="3" l="1"/>
  <c r="L1862" i="3"/>
  <c r="P1861" i="3"/>
  <c r="N1861" i="3"/>
  <c r="O1861" i="3"/>
  <c r="Q1861" i="3"/>
  <c r="P1862" i="3" l="1"/>
  <c r="O1862" i="3"/>
  <c r="N1862" i="3"/>
  <c r="Q1862" i="3"/>
  <c r="L1863" i="3"/>
  <c r="J1864" i="3"/>
  <c r="J1865" i="3" l="1"/>
  <c r="L1864" i="3"/>
  <c r="O1863" i="3"/>
  <c r="Q1863" i="3"/>
  <c r="N1863" i="3"/>
  <c r="P1863" i="3"/>
  <c r="N1864" i="3" l="1"/>
  <c r="P1864" i="3"/>
  <c r="Q1864" i="3"/>
  <c r="O1864" i="3"/>
  <c r="J1866" i="3"/>
  <c r="L1865" i="3"/>
  <c r="O1865" i="3" l="1"/>
  <c r="Q1865" i="3"/>
  <c r="N1865" i="3"/>
  <c r="P1865" i="3"/>
  <c r="L1866" i="3"/>
  <c r="J1867" i="3"/>
  <c r="J1868" i="3" l="1"/>
  <c r="L1867" i="3"/>
  <c r="Q1866" i="3"/>
  <c r="N1866" i="3"/>
  <c r="O1866" i="3"/>
  <c r="P1866" i="3"/>
  <c r="P1867" i="3" l="1"/>
  <c r="N1867" i="3"/>
  <c r="O1867" i="3"/>
  <c r="Q1867" i="3"/>
  <c r="J1869" i="3"/>
  <c r="L1868" i="3"/>
  <c r="N1868" i="3" l="1"/>
  <c r="O1868" i="3"/>
  <c r="P1868" i="3"/>
  <c r="Q1868" i="3"/>
  <c r="L1869" i="3"/>
  <c r="J1870" i="3"/>
  <c r="J1871" i="3" l="1"/>
  <c r="L1870" i="3"/>
  <c r="N1869" i="3"/>
  <c r="Q1869" i="3"/>
  <c r="P1869" i="3"/>
  <c r="O1869" i="3"/>
  <c r="P1870" i="3" l="1"/>
  <c r="N1870" i="3"/>
  <c r="O1870" i="3"/>
  <c r="Q1870" i="3"/>
  <c r="L1871" i="3"/>
  <c r="J1872" i="3"/>
  <c r="L1872" i="3" l="1"/>
  <c r="J1873" i="3"/>
  <c r="Q1871" i="3"/>
  <c r="P1871" i="3"/>
  <c r="O1871" i="3"/>
  <c r="N1871" i="3"/>
  <c r="J1874" i="3" l="1"/>
  <c r="L1873" i="3"/>
  <c r="P1872" i="3"/>
  <c r="O1872" i="3"/>
  <c r="N1872" i="3"/>
  <c r="Q1872" i="3"/>
  <c r="O1873" i="3" l="1"/>
  <c r="N1873" i="3"/>
  <c r="Q1873" i="3"/>
  <c r="P1873" i="3"/>
  <c r="J1875" i="3"/>
  <c r="L1874" i="3"/>
  <c r="Q1874" i="3" l="1"/>
  <c r="O1874" i="3"/>
  <c r="P1874" i="3"/>
  <c r="N1874" i="3"/>
  <c r="L1875" i="3"/>
  <c r="J1876" i="3"/>
  <c r="J1877" i="3" l="1"/>
  <c r="L1876" i="3"/>
  <c r="Q1875" i="3"/>
  <c r="O1875" i="3"/>
  <c r="N1875" i="3"/>
  <c r="P1875" i="3"/>
  <c r="O1876" i="3" l="1"/>
  <c r="N1876" i="3"/>
  <c r="Q1876" i="3"/>
  <c r="P1876" i="3"/>
  <c r="J1878" i="3"/>
  <c r="L1877" i="3"/>
  <c r="P1877" i="3" l="1"/>
  <c r="N1877" i="3"/>
  <c r="Q1877" i="3"/>
  <c r="O1877" i="3"/>
  <c r="L1878" i="3"/>
  <c r="J1879" i="3"/>
  <c r="L1879" i="3" l="1"/>
  <c r="J1880" i="3"/>
  <c r="Q1878" i="3"/>
  <c r="O1878" i="3"/>
  <c r="N1878" i="3"/>
  <c r="P1878" i="3"/>
  <c r="L1880" i="3" l="1"/>
  <c r="J1881" i="3"/>
  <c r="P1879" i="3"/>
  <c r="Q1879" i="3"/>
  <c r="N1879" i="3"/>
  <c r="O1879" i="3"/>
  <c r="J1882" i="3" l="1"/>
  <c r="L1881" i="3"/>
  <c r="Q1880" i="3"/>
  <c r="P1880" i="3"/>
  <c r="O1880" i="3"/>
  <c r="N1880" i="3"/>
  <c r="N1881" i="3" l="1"/>
  <c r="O1881" i="3"/>
  <c r="P1881" i="3"/>
  <c r="Q1881" i="3"/>
  <c r="L1882" i="3"/>
  <c r="J1883" i="3"/>
  <c r="L1883" i="3" l="1"/>
  <c r="J1884" i="3"/>
  <c r="O1882" i="3"/>
  <c r="N1882" i="3"/>
  <c r="P1882" i="3"/>
  <c r="Q1882" i="3"/>
  <c r="J1885" i="3" l="1"/>
  <c r="L1884" i="3"/>
  <c r="P1883" i="3"/>
  <c r="Q1883" i="3"/>
  <c r="O1883" i="3"/>
  <c r="N1883" i="3"/>
  <c r="Q1884" i="3" l="1"/>
  <c r="N1884" i="3"/>
  <c r="P1884" i="3"/>
  <c r="O1884" i="3"/>
  <c r="L1885" i="3"/>
  <c r="J1886" i="3"/>
  <c r="L1886" i="3" l="1"/>
  <c r="J1887" i="3"/>
  <c r="N1885" i="3"/>
  <c r="Q1885" i="3"/>
  <c r="P1885" i="3"/>
  <c r="O1885" i="3"/>
  <c r="L1887" i="3" l="1"/>
  <c r="J1888" i="3"/>
  <c r="N1886" i="3"/>
  <c r="P1886" i="3"/>
  <c r="Q1886" i="3"/>
  <c r="O1886" i="3"/>
  <c r="L1888" i="3" l="1"/>
  <c r="J1889" i="3"/>
  <c r="Q1887" i="3"/>
  <c r="O1887" i="3"/>
  <c r="N1887" i="3"/>
  <c r="P1887" i="3"/>
  <c r="J1890" i="3" l="1"/>
  <c r="L1889" i="3"/>
  <c r="O1888" i="3"/>
  <c r="N1888" i="3"/>
  <c r="Q1888" i="3"/>
  <c r="P1888" i="3"/>
  <c r="Q1889" i="3" l="1"/>
  <c r="N1889" i="3"/>
  <c r="O1889" i="3"/>
  <c r="P1889" i="3"/>
  <c r="L1890" i="3"/>
  <c r="J1891" i="3"/>
  <c r="J1892" i="3" l="1"/>
  <c r="L1891" i="3"/>
  <c r="Q1890" i="3"/>
  <c r="N1890" i="3"/>
  <c r="O1890" i="3"/>
  <c r="P1890" i="3"/>
  <c r="P1891" i="3" l="1"/>
  <c r="O1891" i="3"/>
  <c r="Q1891" i="3"/>
  <c r="N1891" i="3"/>
  <c r="J1893" i="3"/>
  <c r="L1892" i="3"/>
  <c r="O1892" i="3" l="1"/>
  <c r="Q1892" i="3"/>
  <c r="N1892" i="3"/>
  <c r="P1892" i="3"/>
  <c r="J1894" i="3"/>
  <c r="L1893" i="3"/>
  <c r="N1893" i="3" l="1"/>
  <c r="Q1893" i="3"/>
  <c r="O1893" i="3"/>
  <c r="P1893" i="3"/>
  <c r="L1894" i="3"/>
  <c r="J1895" i="3"/>
  <c r="J1896" i="3" l="1"/>
  <c r="L1895" i="3"/>
  <c r="P1894" i="3"/>
  <c r="N1894" i="3"/>
  <c r="Q1894" i="3"/>
  <c r="O1894" i="3"/>
  <c r="P1895" i="3" l="1"/>
  <c r="N1895" i="3"/>
  <c r="O1895" i="3"/>
  <c r="Q1895" i="3"/>
  <c r="J1897" i="3"/>
  <c r="L1896" i="3"/>
  <c r="Q1896" i="3" l="1"/>
  <c r="O1896" i="3"/>
  <c r="P1896" i="3"/>
  <c r="N1896" i="3"/>
  <c r="J1898" i="3"/>
  <c r="L1897" i="3"/>
  <c r="Q1897" i="3" l="1"/>
  <c r="N1897" i="3"/>
  <c r="P1897" i="3"/>
  <c r="O1897" i="3"/>
  <c r="J1899" i="3"/>
  <c r="L1898" i="3"/>
  <c r="J1900" i="3" l="1"/>
  <c r="L1899" i="3"/>
  <c r="O1898" i="3"/>
  <c r="N1898" i="3"/>
  <c r="P1898" i="3"/>
  <c r="Q1898" i="3"/>
  <c r="P1899" i="3" l="1"/>
  <c r="Q1899" i="3"/>
  <c r="O1899" i="3"/>
  <c r="N1899" i="3"/>
  <c r="L1900" i="3"/>
  <c r="J1901" i="3"/>
  <c r="J1902" i="3" l="1"/>
  <c r="L1901" i="3"/>
  <c r="O1900" i="3"/>
  <c r="Q1900" i="3"/>
  <c r="P1900" i="3"/>
  <c r="N1900" i="3"/>
  <c r="N1901" i="3" l="1"/>
  <c r="Q1901" i="3"/>
  <c r="O1901" i="3"/>
  <c r="P1901" i="3"/>
  <c r="L1902" i="3"/>
  <c r="J1903" i="3"/>
  <c r="L1903" i="3" l="1"/>
  <c r="J1904" i="3"/>
  <c r="Q1902" i="3"/>
  <c r="P1902" i="3"/>
  <c r="O1902" i="3"/>
  <c r="N1902" i="3"/>
  <c r="L1904" i="3" l="1"/>
  <c r="J1905" i="3"/>
  <c r="Q1903" i="3"/>
  <c r="O1903" i="3"/>
  <c r="N1903" i="3"/>
  <c r="P1903" i="3"/>
  <c r="J1906" i="3" l="1"/>
  <c r="L1905" i="3"/>
  <c r="N1904" i="3"/>
  <c r="O1904" i="3"/>
  <c r="Q1904" i="3"/>
  <c r="P1904" i="3"/>
  <c r="P1905" i="3" l="1"/>
  <c r="N1905" i="3"/>
  <c r="O1905" i="3"/>
  <c r="Q1905" i="3"/>
  <c r="L1906" i="3"/>
  <c r="J1907" i="3"/>
  <c r="L1907" i="3" l="1"/>
  <c r="J1908" i="3"/>
  <c r="Q1906" i="3"/>
  <c r="N1906" i="3"/>
  <c r="O1906" i="3"/>
  <c r="P1906" i="3"/>
  <c r="L1908" i="3" l="1"/>
  <c r="J1909" i="3"/>
  <c r="P1907" i="3"/>
  <c r="Q1907" i="3"/>
  <c r="N1907" i="3"/>
  <c r="O1907" i="3"/>
  <c r="L1909" i="3" l="1"/>
  <c r="J1910" i="3"/>
  <c r="O1908" i="3"/>
  <c r="Q1908" i="3"/>
  <c r="N1908" i="3"/>
  <c r="P1908" i="3"/>
  <c r="J1911" i="3" l="1"/>
  <c r="L1910" i="3"/>
  <c r="Q1909" i="3"/>
  <c r="O1909" i="3"/>
  <c r="P1909" i="3"/>
  <c r="N1909" i="3"/>
  <c r="N1910" i="3" l="1"/>
  <c r="Q1910" i="3"/>
  <c r="O1910" i="3"/>
  <c r="P1910" i="3"/>
  <c r="J1912" i="3"/>
  <c r="L1911" i="3"/>
  <c r="P1911" i="3" l="1"/>
  <c r="Q1911" i="3"/>
  <c r="O1911" i="3"/>
  <c r="N1911" i="3"/>
  <c r="J1913" i="3"/>
  <c r="L1912" i="3"/>
  <c r="P1912" i="3" l="1"/>
  <c r="N1912" i="3"/>
  <c r="O1912" i="3"/>
  <c r="Q1912" i="3"/>
  <c r="L1913" i="3"/>
  <c r="J1914" i="3"/>
  <c r="Q1913" i="3" l="1"/>
  <c r="N1913" i="3"/>
  <c r="P1913" i="3"/>
  <c r="O1913" i="3"/>
  <c r="J1915" i="3"/>
  <c r="L1914" i="3"/>
  <c r="Q1914" i="3" l="1"/>
  <c r="O1914" i="3"/>
  <c r="N1914" i="3"/>
  <c r="P1914" i="3"/>
  <c r="J1916" i="3"/>
  <c r="L1915" i="3"/>
  <c r="Q1915" i="3" l="1"/>
  <c r="P1915" i="3"/>
  <c r="O1915" i="3"/>
  <c r="N1915" i="3"/>
  <c r="J1917" i="3"/>
  <c r="L1916" i="3"/>
  <c r="O1916" i="3" l="1"/>
  <c r="Q1916" i="3"/>
  <c r="N1916" i="3"/>
  <c r="P1916" i="3"/>
  <c r="J1918" i="3"/>
  <c r="L1917" i="3"/>
  <c r="O1917" i="3" l="1"/>
  <c r="N1917" i="3"/>
  <c r="Q1917" i="3"/>
  <c r="P1917" i="3"/>
  <c r="L1918" i="3"/>
  <c r="J1919" i="3"/>
  <c r="J1920" i="3" l="1"/>
  <c r="L1919" i="3"/>
  <c r="N1918" i="3"/>
  <c r="Q1918" i="3"/>
  <c r="O1918" i="3"/>
  <c r="P1918" i="3"/>
  <c r="N1919" i="3" l="1"/>
  <c r="P1919" i="3"/>
  <c r="Q1919" i="3"/>
  <c r="O1919" i="3"/>
  <c r="L1920" i="3"/>
  <c r="J1921" i="3"/>
  <c r="J1922" i="3" l="1"/>
  <c r="L1921" i="3"/>
  <c r="P1920" i="3"/>
  <c r="Q1920" i="3"/>
  <c r="N1920" i="3"/>
  <c r="O1920" i="3"/>
  <c r="N1921" i="3" l="1"/>
  <c r="Q1921" i="3"/>
  <c r="O1921" i="3"/>
  <c r="P1921" i="3"/>
  <c r="L1922" i="3"/>
  <c r="J1923" i="3"/>
  <c r="L1923" i="3" l="1"/>
  <c r="J1924" i="3"/>
  <c r="P1922" i="3"/>
  <c r="N1922" i="3"/>
  <c r="Q1922" i="3"/>
  <c r="O1922" i="3"/>
  <c r="J1925" i="3" l="1"/>
  <c r="L1924" i="3"/>
  <c r="Q1923" i="3"/>
  <c r="N1923" i="3"/>
  <c r="P1923" i="3"/>
  <c r="O1923" i="3"/>
  <c r="O1924" i="3" l="1"/>
  <c r="N1924" i="3"/>
  <c r="Q1924" i="3"/>
  <c r="P1924" i="3"/>
  <c r="L1925" i="3"/>
  <c r="J1926" i="3"/>
  <c r="J1927" i="3" l="1"/>
  <c r="L1926" i="3"/>
  <c r="N1925" i="3"/>
  <c r="O1925" i="3"/>
  <c r="P1925" i="3"/>
  <c r="Q1925" i="3"/>
  <c r="Q1926" i="3" l="1"/>
  <c r="O1926" i="3"/>
  <c r="P1926" i="3"/>
  <c r="N1926" i="3"/>
  <c r="L1927" i="3"/>
  <c r="J1928" i="3"/>
  <c r="L1928" i="3" l="1"/>
  <c r="J1929" i="3"/>
  <c r="P1927" i="3"/>
  <c r="O1927" i="3"/>
  <c r="Q1927" i="3"/>
  <c r="N1927" i="3"/>
  <c r="L1929" i="3" l="1"/>
  <c r="J1930" i="3"/>
  <c r="Q1928" i="3"/>
  <c r="O1928" i="3"/>
  <c r="P1928" i="3"/>
  <c r="N1928" i="3"/>
  <c r="J1931" i="3" l="1"/>
  <c r="L1930" i="3"/>
  <c r="Q1929" i="3"/>
  <c r="N1929" i="3"/>
  <c r="P1929" i="3"/>
  <c r="O1929" i="3"/>
  <c r="Q1930" i="3" l="1"/>
  <c r="P1930" i="3"/>
  <c r="N1930" i="3"/>
  <c r="O1930" i="3"/>
  <c r="J1932" i="3"/>
  <c r="L1931" i="3"/>
  <c r="P1931" i="3" l="1"/>
  <c r="Q1931" i="3"/>
  <c r="O1931" i="3"/>
  <c r="N1931" i="3"/>
  <c r="L1932" i="3"/>
  <c r="J1933" i="3"/>
  <c r="J1934" i="3" l="1"/>
  <c r="L1933" i="3"/>
  <c r="P1932" i="3"/>
  <c r="Q1932" i="3"/>
  <c r="O1932" i="3"/>
  <c r="N1932" i="3"/>
  <c r="N1933" i="3" l="1"/>
  <c r="P1933" i="3"/>
  <c r="Q1933" i="3"/>
  <c r="O1933" i="3"/>
  <c r="L1934" i="3"/>
  <c r="J1935" i="3"/>
  <c r="J1936" i="3" l="1"/>
  <c r="L1935" i="3"/>
  <c r="Q1934" i="3"/>
  <c r="O1934" i="3"/>
  <c r="N1934" i="3"/>
  <c r="P1934" i="3"/>
  <c r="P1935" i="3" l="1"/>
  <c r="N1935" i="3"/>
  <c r="Q1935" i="3"/>
  <c r="O1935" i="3"/>
  <c r="L1936" i="3"/>
  <c r="J1937" i="3"/>
  <c r="J1938" i="3" l="1"/>
  <c r="L1937" i="3"/>
  <c r="P1936" i="3"/>
  <c r="Q1936" i="3"/>
  <c r="O1936" i="3"/>
  <c r="N1936" i="3"/>
  <c r="Q1937" i="3" l="1"/>
  <c r="P1937" i="3"/>
  <c r="O1937" i="3"/>
  <c r="N1937" i="3"/>
  <c r="J1939" i="3"/>
  <c r="L1938" i="3"/>
  <c r="N1938" i="3" l="1"/>
  <c r="P1938" i="3"/>
  <c r="O1938" i="3"/>
  <c r="Q1938" i="3"/>
  <c r="L1939" i="3"/>
  <c r="J1940" i="3"/>
  <c r="Q1939" i="3" l="1"/>
  <c r="N1939" i="3"/>
  <c r="P1939" i="3"/>
  <c r="O1939" i="3"/>
  <c r="J1941" i="3"/>
  <c r="L1940" i="3"/>
  <c r="P1940" i="3" l="1"/>
  <c r="O1940" i="3"/>
  <c r="N1940" i="3"/>
  <c r="Q1940" i="3"/>
  <c r="L1941" i="3"/>
  <c r="J1942" i="3"/>
  <c r="J1943" i="3" l="1"/>
  <c r="L1942" i="3"/>
  <c r="Q1941" i="3"/>
  <c r="O1941" i="3"/>
  <c r="P1941" i="3"/>
  <c r="N1941" i="3"/>
  <c r="Q1942" i="3" l="1"/>
  <c r="O1942" i="3"/>
  <c r="P1942" i="3"/>
  <c r="N1942" i="3"/>
  <c r="J1944" i="3"/>
  <c r="L1943" i="3"/>
  <c r="J1945" i="3" l="1"/>
  <c r="L1944" i="3"/>
  <c r="P1943" i="3"/>
  <c r="Q1943" i="3"/>
  <c r="N1943" i="3"/>
  <c r="O1943" i="3"/>
  <c r="Q1944" i="3" l="1"/>
  <c r="O1944" i="3"/>
  <c r="N1944" i="3"/>
  <c r="P1944" i="3"/>
  <c r="L1945" i="3"/>
  <c r="J1946" i="3"/>
  <c r="J1947" i="3" l="1"/>
  <c r="L1946" i="3"/>
  <c r="Q1945" i="3"/>
  <c r="N1945" i="3"/>
  <c r="P1945" i="3"/>
  <c r="O1945" i="3"/>
  <c r="Q1946" i="3" l="1"/>
  <c r="P1946" i="3"/>
  <c r="O1946" i="3"/>
  <c r="N1946" i="3"/>
  <c r="L1947" i="3"/>
  <c r="J1948" i="3"/>
  <c r="J1949" i="3" l="1"/>
  <c r="L1948" i="3"/>
  <c r="Q1947" i="3"/>
  <c r="N1947" i="3"/>
  <c r="P1947" i="3"/>
  <c r="O1947" i="3"/>
  <c r="Q1948" i="3" l="1"/>
  <c r="P1948" i="3"/>
  <c r="N1948" i="3"/>
  <c r="O1948" i="3"/>
  <c r="L1949" i="3"/>
  <c r="J1950" i="3"/>
  <c r="J1951" i="3" l="1"/>
  <c r="L1950" i="3"/>
  <c r="P1949" i="3"/>
  <c r="O1949" i="3"/>
  <c r="N1949" i="3"/>
  <c r="Q1949" i="3"/>
  <c r="P1950" i="3" l="1"/>
  <c r="O1950" i="3"/>
  <c r="N1950" i="3"/>
  <c r="Q1950" i="3"/>
  <c r="J1952" i="3"/>
  <c r="L1951" i="3"/>
  <c r="N1951" i="3" l="1"/>
  <c r="O1951" i="3"/>
  <c r="P1951" i="3"/>
  <c r="Q1951" i="3"/>
  <c r="L1952" i="3"/>
  <c r="J1953" i="3"/>
  <c r="L1953" i="3" l="1"/>
  <c r="J1954" i="3"/>
  <c r="Q1952" i="3"/>
  <c r="P1952" i="3"/>
  <c r="O1952" i="3"/>
  <c r="N1952" i="3"/>
  <c r="J1955" i="3" l="1"/>
  <c r="L1954" i="3"/>
  <c r="O1953" i="3"/>
  <c r="N1953" i="3"/>
  <c r="P1953" i="3"/>
  <c r="Q1953" i="3"/>
  <c r="Q1954" i="3" l="1"/>
  <c r="N1954" i="3"/>
  <c r="P1954" i="3"/>
  <c r="O1954" i="3"/>
  <c r="L1955" i="3"/>
  <c r="J1956" i="3"/>
  <c r="L1956" i="3" l="1"/>
  <c r="J1957" i="3"/>
  <c r="P1955" i="3"/>
  <c r="Q1955" i="3"/>
  <c r="N1955" i="3"/>
  <c r="O1955" i="3"/>
  <c r="L1957" i="3" l="1"/>
  <c r="J1958" i="3"/>
  <c r="Q1956" i="3"/>
  <c r="P1956" i="3"/>
  <c r="N1956" i="3"/>
  <c r="O1956" i="3"/>
  <c r="J1959" i="3" l="1"/>
  <c r="L1958" i="3"/>
  <c r="P1957" i="3"/>
  <c r="N1957" i="3"/>
  <c r="O1957" i="3"/>
  <c r="Q1957" i="3"/>
  <c r="P1958" i="3" l="1"/>
  <c r="Q1958" i="3"/>
  <c r="N1958" i="3"/>
  <c r="O1958" i="3"/>
  <c r="L1959" i="3"/>
  <c r="J1960" i="3"/>
  <c r="L1960" i="3" l="1"/>
  <c r="J1961" i="3"/>
  <c r="P1959" i="3"/>
  <c r="O1959" i="3"/>
  <c r="Q1959" i="3"/>
  <c r="N1959" i="3"/>
  <c r="L1961" i="3" l="1"/>
  <c r="J1962" i="3"/>
  <c r="N1960" i="3"/>
  <c r="O1960" i="3"/>
  <c r="Q1960" i="3"/>
  <c r="P1960" i="3"/>
  <c r="L1962" i="3" l="1"/>
  <c r="J1963" i="3"/>
  <c r="Q1961" i="3"/>
  <c r="N1961" i="3"/>
  <c r="P1961" i="3"/>
  <c r="O1961" i="3"/>
  <c r="Q1962" i="3" l="1"/>
  <c r="O1962" i="3"/>
  <c r="P1962" i="3"/>
  <c r="N1962" i="3"/>
  <c r="L1963" i="3"/>
  <c r="J1964" i="3"/>
  <c r="J1965" i="3" l="1"/>
  <c r="L1964" i="3"/>
  <c r="P1963" i="3"/>
  <c r="O1963" i="3"/>
  <c r="Q1963" i="3"/>
  <c r="N1963" i="3"/>
  <c r="O1964" i="3" l="1"/>
  <c r="Q1964" i="3"/>
  <c r="P1964" i="3"/>
  <c r="N1964" i="3"/>
  <c r="L1965" i="3"/>
  <c r="J1966" i="3"/>
  <c r="J1967" i="3" l="1"/>
  <c r="L1966" i="3"/>
  <c r="Q1965" i="3"/>
  <c r="O1965" i="3"/>
  <c r="N1965" i="3"/>
  <c r="P1965" i="3"/>
  <c r="N1966" i="3" l="1"/>
  <c r="P1966" i="3"/>
  <c r="O1966" i="3"/>
  <c r="Q1966" i="3"/>
  <c r="L1967" i="3"/>
  <c r="J1968" i="3"/>
  <c r="L1968" i="3" l="1"/>
  <c r="J1969" i="3"/>
  <c r="N1967" i="3"/>
  <c r="O1967" i="3"/>
  <c r="Q1967" i="3"/>
  <c r="P1967" i="3"/>
  <c r="J1970" i="3" l="1"/>
  <c r="L1969" i="3"/>
  <c r="O1968" i="3"/>
  <c r="N1968" i="3"/>
  <c r="P1968" i="3"/>
  <c r="Q1968" i="3"/>
  <c r="Q1969" i="3" l="1"/>
  <c r="P1969" i="3"/>
  <c r="O1969" i="3"/>
  <c r="N1969" i="3"/>
  <c r="J1971" i="3"/>
  <c r="L1970" i="3"/>
  <c r="P1970" i="3" l="1"/>
  <c r="N1970" i="3"/>
  <c r="Q1970" i="3"/>
  <c r="O1970" i="3"/>
  <c r="L1971" i="3"/>
  <c r="J1972" i="3"/>
  <c r="P1971" i="3" l="1"/>
  <c r="O1971" i="3"/>
  <c r="Q1971" i="3"/>
  <c r="N1971" i="3"/>
  <c r="J1973" i="3"/>
  <c r="L1972" i="3"/>
  <c r="Q1972" i="3" l="1"/>
  <c r="O1972" i="3"/>
  <c r="P1972" i="3"/>
  <c r="N1972" i="3"/>
  <c r="L1973" i="3"/>
  <c r="J1974" i="3"/>
  <c r="J1975" i="3" l="1"/>
  <c r="L1974" i="3"/>
  <c r="Q1973" i="3"/>
  <c r="O1973" i="3"/>
  <c r="P1973" i="3"/>
  <c r="N1973" i="3"/>
  <c r="N1974" i="3" l="1"/>
  <c r="Q1974" i="3"/>
  <c r="P1974" i="3"/>
  <c r="O1974" i="3"/>
  <c r="L1975" i="3"/>
  <c r="J1976" i="3"/>
  <c r="J1977" i="3" l="1"/>
  <c r="L1976" i="3"/>
  <c r="Q1975" i="3"/>
  <c r="O1975" i="3"/>
  <c r="P1975" i="3"/>
  <c r="N1975" i="3"/>
  <c r="O1976" i="3" l="1"/>
  <c r="P1976" i="3"/>
  <c r="N1976" i="3"/>
  <c r="Q1976" i="3"/>
  <c r="L1977" i="3"/>
  <c r="J1978" i="3"/>
  <c r="J1979" i="3" l="1"/>
  <c r="L1978" i="3"/>
  <c r="Q1977" i="3"/>
  <c r="N1977" i="3"/>
  <c r="P1977" i="3"/>
  <c r="O1977" i="3"/>
  <c r="O1978" i="3" l="1"/>
  <c r="Q1978" i="3"/>
  <c r="P1978" i="3"/>
  <c r="N1978" i="3"/>
  <c r="J1980" i="3"/>
  <c r="L1979" i="3"/>
  <c r="P1979" i="3" l="1"/>
  <c r="O1979" i="3"/>
  <c r="Q1979" i="3"/>
  <c r="N1979" i="3"/>
  <c r="J1981" i="3"/>
  <c r="L1980" i="3"/>
  <c r="O1980" i="3" l="1"/>
  <c r="Q1980" i="3"/>
  <c r="P1980" i="3"/>
  <c r="N1980" i="3"/>
  <c r="J1982" i="3"/>
  <c r="L1981" i="3"/>
  <c r="Q1981" i="3" l="1"/>
  <c r="P1981" i="3"/>
  <c r="O1981" i="3"/>
  <c r="N1981" i="3"/>
  <c r="J1983" i="3"/>
  <c r="L1982" i="3"/>
  <c r="N1982" i="3" l="1"/>
  <c r="Q1982" i="3"/>
  <c r="O1982" i="3"/>
  <c r="P1982" i="3"/>
  <c r="J1984" i="3"/>
  <c r="L1983" i="3"/>
  <c r="N1983" i="3" l="1"/>
  <c r="P1983" i="3"/>
  <c r="O1983" i="3"/>
  <c r="Q1983" i="3"/>
  <c r="J1985" i="3"/>
  <c r="L1984" i="3"/>
  <c r="P1984" i="3" l="1"/>
  <c r="N1984" i="3"/>
  <c r="Q1984" i="3"/>
  <c r="O1984" i="3"/>
  <c r="L1985" i="3"/>
  <c r="J1986" i="3"/>
  <c r="J1987" i="3" l="1"/>
  <c r="L1986" i="3"/>
  <c r="P1985" i="3"/>
  <c r="O1985" i="3"/>
  <c r="Q1985" i="3"/>
  <c r="N1985" i="3"/>
  <c r="P1986" i="3" l="1"/>
  <c r="N1986" i="3"/>
  <c r="Q1986" i="3"/>
  <c r="O1986" i="3"/>
  <c r="J1988" i="3"/>
  <c r="L1987" i="3"/>
  <c r="N1987" i="3" l="1"/>
  <c r="P1987" i="3"/>
  <c r="O1987" i="3"/>
  <c r="Q1987" i="3"/>
  <c r="J1989" i="3"/>
  <c r="L1988" i="3"/>
  <c r="O1988" i="3" l="1"/>
  <c r="N1988" i="3"/>
  <c r="Q1988" i="3"/>
  <c r="P1988" i="3"/>
  <c r="J1990" i="3"/>
  <c r="L1989" i="3"/>
  <c r="Q1989" i="3" l="1"/>
  <c r="P1989" i="3"/>
  <c r="O1989" i="3"/>
  <c r="N1989" i="3"/>
  <c r="L1990" i="3"/>
  <c r="J1991" i="3"/>
  <c r="L1991" i="3" l="1"/>
  <c r="J1992" i="3"/>
  <c r="Q1990" i="3"/>
  <c r="O1990" i="3"/>
  <c r="N1990" i="3"/>
  <c r="P1990" i="3"/>
  <c r="J1993" i="3" l="1"/>
  <c r="L1992" i="3"/>
  <c r="Q1991" i="3"/>
  <c r="P1991" i="3"/>
  <c r="N1991" i="3"/>
  <c r="O1991" i="3"/>
  <c r="O1992" i="3" l="1"/>
  <c r="N1992" i="3"/>
  <c r="Q1992" i="3"/>
  <c r="P1992" i="3"/>
  <c r="J1994" i="3"/>
  <c r="L1993" i="3"/>
  <c r="N1993" i="3" l="1"/>
  <c r="P1993" i="3"/>
  <c r="Q1993" i="3"/>
  <c r="O1993" i="3"/>
  <c r="J1995" i="3"/>
  <c r="L1994" i="3"/>
  <c r="Q1994" i="3" l="1"/>
  <c r="P1994" i="3"/>
  <c r="N1994" i="3"/>
  <c r="O1994" i="3"/>
  <c r="L1995" i="3"/>
  <c r="J1996" i="3"/>
  <c r="L1996" i="3" l="1"/>
  <c r="J1997" i="3"/>
  <c r="O1995" i="3"/>
  <c r="N1995" i="3"/>
  <c r="Q1995" i="3"/>
  <c r="P1995" i="3"/>
  <c r="L1997" i="3" l="1"/>
  <c r="J1998" i="3"/>
  <c r="Q1996" i="3"/>
  <c r="P1996" i="3"/>
  <c r="N1996" i="3"/>
  <c r="O1996" i="3"/>
  <c r="J1999" i="3" l="1"/>
  <c r="L1998" i="3"/>
  <c r="N1997" i="3"/>
  <c r="P1997" i="3"/>
  <c r="Q1997" i="3"/>
  <c r="O1997" i="3"/>
  <c r="Q1998" i="3" l="1"/>
  <c r="N1998" i="3"/>
  <c r="O1998" i="3"/>
  <c r="P1998" i="3"/>
  <c r="J2000" i="3"/>
  <c r="L1999" i="3"/>
  <c r="Q1999" i="3" l="1"/>
  <c r="N1999" i="3"/>
  <c r="P1999" i="3"/>
  <c r="O1999" i="3"/>
  <c r="L2000" i="3"/>
  <c r="J2001" i="3"/>
  <c r="L2001" i="3" l="1"/>
  <c r="J2002" i="3"/>
  <c r="P2000" i="3"/>
  <c r="O2000" i="3"/>
  <c r="N2000" i="3"/>
  <c r="Q2000" i="3"/>
  <c r="J2003" i="3" l="1"/>
  <c r="L2002" i="3"/>
  <c r="O2001" i="3"/>
  <c r="Q2001" i="3"/>
  <c r="N2001" i="3"/>
  <c r="P2001" i="3"/>
  <c r="P2002" i="3" l="1"/>
  <c r="N2002" i="3"/>
  <c r="Q2002" i="3"/>
  <c r="O2002" i="3"/>
  <c r="J2004" i="3"/>
  <c r="L2003" i="3"/>
  <c r="P2003" i="3" l="1"/>
  <c r="Q2003" i="3"/>
  <c r="N2003" i="3"/>
  <c r="O2003" i="3"/>
  <c r="L2004" i="3"/>
  <c r="J2005" i="3"/>
  <c r="J2006" i="3" l="1"/>
  <c r="L2005" i="3"/>
  <c r="Q2004" i="3"/>
  <c r="N2004" i="3"/>
  <c r="O2004" i="3"/>
  <c r="P2004" i="3"/>
  <c r="O2005" i="3" l="1"/>
  <c r="N2005" i="3"/>
  <c r="P2005" i="3"/>
  <c r="Q2005" i="3"/>
  <c r="J2007" i="3"/>
  <c r="L2006" i="3"/>
  <c r="N2006" i="3" l="1"/>
  <c r="P2006" i="3"/>
  <c r="O2006" i="3"/>
  <c r="Q2006" i="3"/>
  <c r="L2007" i="3"/>
  <c r="J2008" i="3"/>
  <c r="L2008" i="3" l="1"/>
  <c r="J2009" i="3"/>
  <c r="Q2007" i="3"/>
  <c r="N2007" i="3"/>
  <c r="P2007" i="3"/>
  <c r="O2007" i="3"/>
  <c r="J2010" i="3" l="1"/>
  <c r="L2009" i="3"/>
  <c r="Q2008" i="3"/>
  <c r="P2008" i="3"/>
  <c r="O2008" i="3"/>
  <c r="N2008" i="3"/>
  <c r="Q2009" i="3" l="1"/>
  <c r="N2009" i="3"/>
  <c r="P2009" i="3"/>
  <c r="O2009" i="3"/>
  <c r="L2010" i="3"/>
  <c r="J2011" i="3"/>
  <c r="J2012" i="3" l="1"/>
  <c r="L2011" i="3"/>
  <c r="Q2010" i="3"/>
  <c r="P2010" i="3"/>
  <c r="O2010" i="3"/>
  <c r="N2010" i="3"/>
  <c r="P2011" i="3" l="1"/>
  <c r="Q2011" i="3"/>
  <c r="O2011" i="3"/>
  <c r="N2011" i="3"/>
  <c r="L2012" i="3"/>
  <c r="J2013" i="3"/>
  <c r="J2014" i="3" l="1"/>
  <c r="L2013" i="3"/>
  <c r="O2012" i="3"/>
  <c r="P2012" i="3"/>
  <c r="Q2012" i="3"/>
  <c r="N2012" i="3"/>
  <c r="P2013" i="3" l="1"/>
  <c r="O2013" i="3"/>
  <c r="N2013" i="3"/>
  <c r="Q2013" i="3"/>
  <c r="L2014" i="3"/>
  <c r="J2015" i="3"/>
  <c r="J2016" i="3" l="1"/>
  <c r="L2015" i="3"/>
  <c r="Q2014" i="3"/>
  <c r="O2014" i="3"/>
  <c r="N2014" i="3"/>
  <c r="P2014" i="3"/>
  <c r="Q2015" i="3" l="1"/>
  <c r="N2015" i="3"/>
  <c r="P2015" i="3"/>
  <c r="O2015" i="3"/>
  <c r="J2017" i="3"/>
  <c r="L2016" i="3"/>
  <c r="N2016" i="3" l="1"/>
  <c r="Q2016" i="3"/>
  <c r="P2016" i="3"/>
  <c r="O2016" i="3"/>
  <c r="J2018" i="3"/>
  <c r="L2017" i="3"/>
  <c r="N2017" i="3" l="1"/>
  <c r="P2017" i="3"/>
  <c r="Q2017" i="3"/>
  <c r="O2017" i="3"/>
  <c r="L2018" i="3"/>
  <c r="J2019" i="3"/>
  <c r="L2019" i="3" l="1"/>
  <c r="J2020" i="3"/>
  <c r="O2018" i="3"/>
  <c r="Q2018" i="3"/>
  <c r="P2018" i="3"/>
  <c r="N2018" i="3"/>
  <c r="L2020" i="3" l="1"/>
  <c r="J2021" i="3"/>
  <c r="N2019" i="3"/>
  <c r="P2019" i="3"/>
  <c r="O2019" i="3"/>
  <c r="Q2019" i="3"/>
  <c r="L2021" i="3" l="1"/>
  <c r="J2022" i="3"/>
  <c r="N2020" i="3"/>
  <c r="P2020" i="3"/>
  <c r="O2020" i="3"/>
  <c r="Q2020" i="3"/>
  <c r="J2023" i="3" l="1"/>
  <c r="L2022" i="3"/>
  <c r="P2021" i="3"/>
  <c r="Q2021" i="3"/>
  <c r="N2021" i="3"/>
  <c r="O2021" i="3"/>
  <c r="O2022" i="3" l="1"/>
  <c r="P2022" i="3"/>
  <c r="Q2022" i="3"/>
  <c r="N2022" i="3"/>
  <c r="L2023" i="3"/>
  <c r="J2024" i="3"/>
  <c r="L2024" i="3" l="1"/>
  <c r="J2025" i="3"/>
  <c r="N2023" i="3"/>
  <c r="O2023" i="3"/>
  <c r="Q2023" i="3"/>
  <c r="P2023" i="3"/>
  <c r="J2026" i="3" l="1"/>
  <c r="L2025" i="3"/>
  <c r="Q2024" i="3"/>
  <c r="N2024" i="3"/>
  <c r="P2024" i="3"/>
  <c r="O2024" i="3"/>
  <c r="N2025" i="3" l="1"/>
  <c r="P2025" i="3"/>
  <c r="O2025" i="3"/>
  <c r="Q2025" i="3"/>
  <c r="L2026" i="3"/>
  <c r="J2027" i="3"/>
  <c r="Q2026" i="3" l="1"/>
  <c r="P2026" i="3"/>
  <c r="N2026" i="3"/>
  <c r="O2026" i="3"/>
  <c r="L2027" i="3"/>
  <c r="J2028" i="3"/>
  <c r="L2028" i="3" l="1"/>
  <c r="J2029" i="3"/>
  <c r="N2027" i="3"/>
  <c r="Q2027" i="3"/>
  <c r="P2027" i="3"/>
  <c r="O2027" i="3"/>
  <c r="J2030" i="3" l="1"/>
  <c r="L2029" i="3"/>
  <c r="N2028" i="3"/>
  <c r="P2028" i="3"/>
  <c r="O2028" i="3"/>
  <c r="Q2028" i="3"/>
  <c r="P2029" i="3" l="1"/>
  <c r="O2029" i="3"/>
  <c r="Q2029" i="3"/>
  <c r="N2029" i="3"/>
  <c r="J2031" i="3"/>
  <c r="L2030" i="3"/>
  <c r="Q2030" i="3" l="1"/>
  <c r="O2030" i="3"/>
  <c r="P2030" i="3"/>
  <c r="N2030" i="3"/>
  <c r="L2031" i="3"/>
  <c r="J2032" i="3"/>
  <c r="L2032" i="3" l="1"/>
  <c r="J2033" i="3"/>
  <c r="N2031" i="3"/>
  <c r="Q2031" i="3"/>
  <c r="O2031" i="3"/>
  <c r="P2031" i="3"/>
  <c r="L2033" i="3" l="1"/>
  <c r="J2034" i="3"/>
  <c r="Q2032" i="3"/>
  <c r="P2032" i="3"/>
  <c r="O2032" i="3"/>
  <c r="N2032" i="3"/>
  <c r="L2034" i="3" l="1"/>
  <c r="J2035" i="3"/>
  <c r="Q2033" i="3"/>
  <c r="P2033" i="3"/>
  <c r="N2033" i="3"/>
  <c r="O2033" i="3"/>
  <c r="L2035" i="3" l="1"/>
  <c r="J2036" i="3"/>
  <c r="Q2034" i="3"/>
  <c r="O2034" i="3"/>
  <c r="P2034" i="3"/>
  <c r="N2034" i="3"/>
  <c r="J2037" i="3" l="1"/>
  <c r="L2036" i="3"/>
  <c r="Q2035" i="3"/>
  <c r="O2035" i="3"/>
  <c r="P2035" i="3"/>
  <c r="N2035" i="3"/>
  <c r="N2036" i="3" l="1"/>
  <c r="P2036" i="3"/>
  <c r="O2036" i="3"/>
  <c r="Q2036" i="3"/>
  <c r="L2037" i="3"/>
  <c r="J2038" i="3"/>
  <c r="L2038" i="3" l="1"/>
  <c r="J2039" i="3"/>
  <c r="N2037" i="3"/>
  <c r="Q2037" i="3"/>
  <c r="O2037" i="3"/>
  <c r="P2037" i="3"/>
  <c r="J2040" i="3" l="1"/>
  <c r="L2039" i="3"/>
  <c r="O2038" i="3"/>
  <c r="P2038" i="3"/>
  <c r="N2038" i="3"/>
  <c r="Q2038" i="3"/>
  <c r="Q2039" i="3" l="1"/>
  <c r="N2039" i="3"/>
  <c r="O2039" i="3"/>
  <c r="P2039" i="3"/>
  <c r="L2040" i="3"/>
  <c r="J2041" i="3"/>
  <c r="J2042" i="3" l="1"/>
  <c r="L2041" i="3"/>
  <c r="Q2040" i="3"/>
  <c r="P2040" i="3"/>
  <c r="N2040" i="3"/>
  <c r="O2040" i="3"/>
  <c r="N2041" i="3" l="1"/>
  <c r="Q2041" i="3"/>
  <c r="P2041" i="3"/>
  <c r="O2041" i="3"/>
  <c r="J2043" i="3"/>
  <c r="L2042" i="3"/>
  <c r="N2042" i="3" l="1"/>
  <c r="Q2042" i="3"/>
  <c r="O2042" i="3"/>
  <c r="P2042" i="3"/>
  <c r="J2044" i="3"/>
  <c r="L2043" i="3"/>
  <c r="P2043" i="3" l="1"/>
  <c r="O2043" i="3"/>
  <c r="Q2043" i="3"/>
  <c r="N2043" i="3"/>
  <c r="L2044" i="3"/>
  <c r="J2045" i="3"/>
  <c r="L2045" i="3" l="1"/>
  <c r="J2046" i="3"/>
  <c r="P2044" i="3"/>
  <c r="O2044" i="3"/>
  <c r="Q2044" i="3"/>
  <c r="N2044" i="3"/>
  <c r="L2046" i="3" l="1"/>
  <c r="J2047" i="3"/>
  <c r="Q2045" i="3"/>
  <c r="N2045" i="3"/>
  <c r="P2045" i="3"/>
  <c r="O2045" i="3"/>
  <c r="L2047" i="3" l="1"/>
  <c r="J2048" i="3"/>
  <c r="Q2046" i="3"/>
  <c r="O2046" i="3"/>
  <c r="P2046" i="3"/>
  <c r="N2046" i="3"/>
  <c r="L2048" i="3" l="1"/>
  <c r="J2049" i="3"/>
  <c r="P2047" i="3"/>
  <c r="N2047" i="3"/>
  <c r="O2047" i="3"/>
  <c r="Q2047" i="3"/>
  <c r="J2050" i="3" l="1"/>
  <c r="L2049" i="3"/>
  <c r="N2048" i="3"/>
  <c r="P2048" i="3"/>
  <c r="Q2048" i="3"/>
  <c r="O2048" i="3"/>
  <c r="O2049" i="3" l="1"/>
  <c r="P2049" i="3"/>
  <c r="N2049" i="3"/>
  <c r="Q2049" i="3"/>
  <c r="J2051" i="3"/>
  <c r="L2050" i="3"/>
  <c r="Q2050" i="3" l="1"/>
  <c r="O2050" i="3"/>
  <c r="P2050" i="3"/>
  <c r="N2050" i="3"/>
  <c r="J2052" i="3"/>
  <c r="L2051" i="3"/>
  <c r="O2051" i="3" l="1"/>
  <c r="P2051" i="3"/>
  <c r="Q2051" i="3"/>
  <c r="N2051" i="3"/>
  <c r="L2052" i="3"/>
  <c r="J2053" i="3"/>
  <c r="J2054" i="3" l="1"/>
  <c r="L2053" i="3"/>
  <c r="P2052" i="3"/>
  <c r="Q2052" i="3"/>
  <c r="O2052" i="3"/>
  <c r="N2052" i="3"/>
  <c r="P2053" i="3" l="1"/>
  <c r="O2053" i="3"/>
  <c r="N2053" i="3"/>
  <c r="Q2053" i="3"/>
  <c r="L2054" i="3"/>
  <c r="J2055" i="3"/>
  <c r="L2055" i="3" l="1"/>
  <c r="J2056" i="3"/>
  <c r="Q2054" i="3"/>
  <c r="O2054" i="3"/>
  <c r="P2054" i="3"/>
  <c r="N2054" i="3"/>
  <c r="J2057" i="3" l="1"/>
  <c r="L2056" i="3"/>
  <c r="P2055" i="3"/>
  <c r="O2055" i="3"/>
  <c r="Q2055" i="3"/>
  <c r="N2055" i="3"/>
  <c r="Q2056" i="3" l="1"/>
  <c r="O2056" i="3"/>
  <c r="N2056" i="3"/>
  <c r="P2056" i="3"/>
  <c r="J2058" i="3"/>
  <c r="L2057" i="3"/>
  <c r="N2057" i="3" l="1"/>
  <c r="Q2057" i="3"/>
  <c r="O2057" i="3"/>
  <c r="P2057" i="3"/>
  <c r="L2058" i="3"/>
  <c r="J2059" i="3"/>
  <c r="J2060" i="3" l="1"/>
  <c r="L2059" i="3"/>
  <c r="Q2058" i="3"/>
  <c r="P2058" i="3"/>
  <c r="N2058" i="3"/>
  <c r="O2058" i="3"/>
  <c r="P2059" i="3" l="1"/>
  <c r="Q2059" i="3"/>
  <c r="O2059" i="3"/>
  <c r="N2059" i="3"/>
  <c r="J2061" i="3"/>
  <c r="L2060" i="3"/>
  <c r="Q2060" i="3" l="1"/>
  <c r="O2060" i="3"/>
  <c r="P2060" i="3"/>
  <c r="N2060" i="3"/>
  <c r="J2062" i="3"/>
  <c r="L2061" i="3"/>
  <c r="P2061" i="3" l="1"/>
  <c r="O2061" i="3"/>
  <c r="N2061" i="3"/>
  <c r="Q2061" i="3"/>
  <c r="L2062" i="3"/>
  <c r="J2063" i="3"/>
  <c r="J2064" i="3" l="1"/>
  <c r="L2063" i="3"/>
  <c r="Q2062" i="3"/>
  <c r="O2062" i="3"/>
  <c r="N2062" i="3"/>
  <c r="P2062" i="3"/>
  <c r="P2063" i="3" l="1"/>
  <c r="Q2063" i="3"/>
  <c r="N2063" i="3"/>
  <c r="O2063" i="3"/>
  <c r="L2064" i="3"/>
  <c r="J2065" i="3"/>
  <c r="L2065" i="3" l="1"/>
  <c r="J2066" i="3"/>
  <c r="P2064" i="3"/>
  <c r="Q2064" i="3"/>
  <c r="O2064" i="3"/>
  <c r="N2064" i="3"/>
  <c r="L2066" i="3" l="1"/>
  <c r="J2067" i="3"/>
  <c r="P2065" i="3"/>
  <c r="O2065" i="3"/>
  <c r="N2065" i="3"/>
  <c r="Q2065" i="3"/>
  <c r="J2068" i="3" l="1"/>
  <c r="L2067" i="3"/>
  <c r="Q2066" i="3"/>
  <c r="O2066" i="3"/>
  <c r="P2066" i="3"/>
  <c r="N2066" i="3"/>
  <c r="Q2067" i="3" l="1"/>
  <c r="P2067" i="3"/>
  <c r="N2067" i="3"/>
  <c r="O2067" i="3"/>
  <c r="J2069" i="3"/>
  <c r="L2068" i="3"/>
  <c r="Q2068" i="3" l="1"/>
  <c r="P2068" i="3"/>
  <c r="O2068" i="3"/>
  <c r="N2068" i="3"/>
  <c r="L2069" i="3"/>
  <c r="J2070" i="3"/>
  <c r="L2070" i="3" l="1"/>
  <c r="J2071" i="3"/>
  <c r="P2069" i="3"/>
  <c r="N2069" i="3"/>
  <c r="Q2069" i="3"/>
  <c r="O2069" i="3"/>
  <c r="L2071" i="3" l="1"/>
  <c r="J2072" i="3"/>
  <c r="Q2070" i="3"/>
  <c r="O2070" i="3"/>
  <c r="N2070" i="3"/>
  <c r="P2070" i="3"/>
  <c r="J2073" i="3" l="1"/>
  <c r="L2072" i="3"/>
  <c r="Q2071" i="3"/>
  <c r="N2071" i="3"/>
  <c r="P2071" i="3"/>
  <c r="O2071" i="3"/>
  <c r="Q2072" i="3" l="1"/>
  <c r="O2072" i="3"/>
  <c r="N2072" i="3"/>
  <c r="P2072" i="3"/>
  <c r="J2074" i="3"/>
  <c r="L2073" i="3"/>
  <c r="Q2073" i="3" l="1"/>
  <c r="N2073" i="3"/>
  <c r="P2073" i="3"/>
  <c r="O2073" i="3"/>
  <c r="L2074" i="3"/>
  <c r="J2075" i="3"/>
  <c r="J2076" i="3" l="1"/>
  <c r="L2075" i="3"/>
  <c r="Q2074" i="3"/>
  <c r="O2074" i="3"/>
  <c r="P2074" i="3"/>
  <c r="N2074" i="3"/>
  <c r="P2075" i="3" l="1"/>
  <c r="Q2075" i="3"/>
  <c r="O2075" i="3"/>
  <c r="N2075" i="3"/>
  <c r="L2076" i="3"/>
  <c r="J2077" i="3"/>
  <c r="P2076" i="3" l="1"/>
  <c r="N2076" i="3"/>
  <c r="Q2076" i="3"/>
  <c r="O2076" i="3"/>
  <c r="L2077" i="3"/>
  <c r="J2078" i="3"/>
  <c r="J2079" i="3" l="1"/>
  <c r="L2078" i="3"/>
  <c r="N2077" i="3"/>
  <c r="O2077" i="3"/>
  <c r="Q2077" i="3"/>
  <c r="P2077" i="3"/>
  <c r="P2078" i="3" l="1"/>
  <c r="O2078" i="3"/>
  <c r="N2078" i="3"/>
  <c r="Q2078" i="3"/>
  <c r="J2080" i="3"/>
  <c r="L2079" i="3"/>
  <c r="O2079" i="3" l="1"/>
  <c r="Q2079" i="3"/>
  <c r="N2079" i="3"/>
  <c r="P2079" i="3"/>
  <c r="J2081" i="3"/>
  <c r="L2080" i="3"/>
  <c r="P2080" i="3" l="1"/>
  <c r="O2080" i="3"/>
  <c r="Q2080" i="3"/>
  <c r="N2080" i="3"/>
  <c r="L2081" i="3"/>
  <c r="J2082" i="3"/>
  <c r="L2082" i="3" l="1"/>
  <c r="J2083" i="3"/>
  <c r="P2081" i="3"/>
  <c r="Q2081" i="3"/>
  <c r="O2081" i="3"/>
  <c r="N2081" i="3"/>
  <c r="J2084" i="3" l="1"/>
  <c r="L2083" i="3"/>
  <c r="Q2082" i="3"/>
  <c r="P2082" i="3"/>
  <c r="N2082" i="3"/>
  <c r="O2082" i="3"/>
  <c r="P2083" i="3" l="1"/>
  <c r="Q2083" i="3"/>
  <c r="N2083" i="3"/>
  <c r="O2083" i="3"/>
  <c r="L2084" i="3"/>
  <c r="J2085" i="3"/>
  <c r="L2085" i="3" l="1"/>
  <c r="J2086" i="3"/>
  <c r="Q2084" i="3"/>
  <c r="N2084" i="3"/>
  <c r="P2084" i="3"/>
  <c r="O2084" i="3"/>
  <c r="L2086" i="3" l="1"/>
  <c r="J2087" i="3"/>
  <c r="O2085" i="3"/>
  <c r="Q2085" i="3"/>
  <c r="P2085" i="3"/>
  <c r="N2085" i="3"/>
  <c r="J2088" i="3" l="1"/>
  <c r="L2087" i="3"/>
  <c r="O2086" i="3"/>
  <c r="N2086" i="3"/>
  <c r="Q2086" i="3"/>
  <c r="P2086" i="3"/>
  <c r="O2087" i="3" l="1"/>
  <c r="Q2087" i="3"/>
  <c r="N2087" i="3"/>
  <c r="P2087" i="3"/>
  <c r="L2088" i="3"/>
  <c r="J2089" i="3"/>
  <c r="L2089" i="3" l="1"/>
  <c r="J2090" i="3"/>
  <c r="N2088" i="3"/>
  <c r="O2088" i="3"/>
  <c r="Q2088" i="3"/>
  <c r="P2088" i="3"/>
  <c r="L2090" i="3" l="1"/>
  <c r="J2091" i="3"/>
  <c r="P2089" i="3"/>
  <c r="O2089" i="3"/>
  <c r="Q2089" i="3"/>
  <c r="N2089" i="3"/>
  <c r="Q2090" i="3" l="1"/>
  <c r="O2090" i="3"/>
  <c r="P2090" i="3"/>
  <c r="N2090" i="3"/>
  <c r="L2091" i="3"/>
  <c r="J2092" i="3"/>
  <c r="J2093" i="3" l="1"/>
  <c r="L2092" i="3"/>
  <c r="Q2091" i="3"/>
  <c r="P2091" i="3"/>
  <c r="N2091" i="3"/>
  <c r="O2091" i="3"/>
  <c r="P2092" i="3" l="1"/>
  <c r="O2092" i="3"/>
  <c r="N2092" i="3"/>
  <c r="Q2092" i="3"/>
  <c r="J2094" i="3"/>
  <c r="L2093" i="3"/>
  <c r="N2093" i="3" l="1"/>
  <c r="P2093" i="3"/>
  <c r="Q2093" i="3"/>
  <c r="O2093" i="3"/>
  <c r="L2094" i="3"/>
  <c r="J2095" i="3"/>
  <c r="Q2094" i="3" l="1"/>
  <c r="N2094" i="3"/>
  <c r="O2094" i="3"/>
  <c r="P2094" i="3"/>
  <c r="L2095" i="3"/>
  <c r="J2096" i="3"/>
  <c r="L2096" i="3" l="1"/>
  <c r="J2097" i="3"/>
  <c r="Q2095" i="3"/>
  <c r="P2095" i="3"/>
  <c r="O2095" i="3"/>
  <c r="N2095" i="3"/>
  <c r="J2098" i="3" l="1"/>
  <c r="L2097" i="3"/>
  <c r="Q2096" i="3"/>
  <c r="P2096" i="3"/>
  <c r="O2096" i="3"/>
  <c r="N2096" i="3"/>
  <c r="P2097" i="3" l="1"/>
  <c r="O2097" i="3"/>
  <c r="Q2097" i="3"/>
  <c r="N2097" i="3"/>
  <c r="L2098" i="3"/>
  <c r="J2099" i="3"/>
  <c r="J2100" i="3" l="1"/>
  <c r="L2099" i="3"/>
  <c r="Q2098" i="3"/>
  <c r="N2098" i="3"/>
  <c r="P2098" i="3"/>
  <c r="O2098" i="3"/>
  <c r="Q2099" i="3" l="1"/>
  <c r="P2099" i="3"/>
  <c r="N2099" i="3"/>
  <c r="O2099" i="3"/>
  <c r="L2100" i="3"/>
  <c r="J2101" i="3"/>
  <c r="J2102" i="3" l="1"/>
  <c r="L2101" i="3"/>
  <c r="O2100" i="3"/>
  <c r="P2100" i="3"/>
  <c r="Q2100" i="3"/>
  <c r="N2100" i="3"/>
  <c r="O2101" i="3" l="1"/>
  <c r="P2101" i="3"/>
  <c r="N2101" i="3"/>
  <c r="Q2101" i="3"/>
  <c r="L2102" i="3"/>
  <c r="J2103" i="3"/>
  <c r="L2103" i="3" l="1"/>
  <c r="J2104" i="3"/>
  <c r="Q2102" i="3"/>
  <c r="O2102" i="3"/>
  <c r="P2102" i="3"/>
  <c r="N2102" i="3"/>
  <c r="J2105" i="3" l="1"/>
  <c r="L2104" i="3"/>
  <c r="O2103" i="3"/>
  <c r="P2103" i="3"/>
  <c r="N2103" i="3"/>
  <c r="Q2103" i="3"/>
  <c r="Q2104" i="3" l="1"/>
  <c r="P2104" i="3"/>
  <c r="N2104" i="3"/>
  <c r="O2104" i="3"/>
  <c r="L2105" i="3"/>
  <c r="J2106" i="3"/>
  <c r="L2106" i="3" l="1"/>
  <c r="J2107" i="3"/>
  <c r="P2105" i="3"/>
  <c r="N2105" i="3"/>
  <c r="O2105" i="3"/>
  <c r="Q2105" i="3"/>
  <c r="J2108" i="3" l="1"/>
  <c r="L2107" i="3"/>
  <c r="Q2106" i="3"/>
  <c r="O2106" i="3"/>
  <c r="P2106" i="3"/>
  <c r="N2106" i="3"/>
  <c r="Q2107" i="3" l="1"/>
  <c r="O2107" i="3"/>
  <c r="P2107" i="3"/>
  <c r="N2107" i="3"/>
  <c r="L2108" i="3"/>
  <c r="J2109" i="3"/>
  <c r="L2109" i="3" l="1"/>
  <c r="J2110" i="3"/>
  <c r="O2108" i="3"/>
  <c r="Q2108" i="3"/>
  <c r="P2108" i="3"/>
  <c r="N2108" i="3"/>
  <c r="J2111" i="3" l="1"/>
  <c r="L2110" i="3"/>
  <c r="P2109" i="3"/>
  <c r="Q2109" i="3"/>
  <c r="O2109" i="3"/>
  <c r="N2109" i="3"/>
  <c r="O2110" i="3" l="1"/>
  <c r="Q2110" i="3"/>
  <c r="P2110" i="3"/>
  <c r="N2110" i="3"/>
  <c r="L2111" i="3"/>
  <c r="J2112" i="3"/>
  <c r="L2112" i="3" l="1"/>
  <c r="J2113" i="3"/>
  <c r="O2111" i="3"/>
  <c r="N2111" i="3"/>
  <c r="P2111" i="3"/>
  <c r="Q2111" i="3"/>
  <c r="L2113" i="3" l="1"/>
  <c r="J2114" i="3"/>
  <c r="Q2112" i="3"/>
  <c r="O2112" i="3"/>
  <c r="N2112" i="3"/>
  <c r="P2112" i="3"/>
  <c r="L2114" i="3" l="1"/>
  <c r="J2115" i="3"/>
  <c r="O2113" i="3"/>
  <c r="Q2113" i="3"/>
  <c r="P2113" i="3"/>
  <c r="N2113" i="3"/>
  <c r="L2115" i="3" l="1"/>
  <c r="J2116" i="3"/>
  <c r="P2114" i="3"/>
  <c r="Q2114" i="3"/>
  <c r="N2114" i="3"/>
  <c r="O2114" i="3"/>
  <c r="J2117" i="3" l="1"/>
  <c r="L2116" i="3"/>
  <c r="P2115" i="3"/>
  <c r="Q2115" i="3"/>
  <c r="O2115" i="3"/>
  <c r="N2115" i="3"/>
  <c r="O2116" i="3" l="1"/>
  <c r="N2116" i="3"/>
  <c r="Q2116" i="3"/>
  <c r="P2116" i="3"/>
  <c r="L2117" i="3"/>
  <c r="J2118" i="3"/>
  <c r="L2118" i="3" l="1"/>
  <c r="J2119" i="3"/>
  <c r="N2117" i="3"/>
  <c r="O2117" i="3"/>
  <c r="Q2117" i="3"/>
  <c r="P2117" i="3"/>
  <c r="J2120" i="3" l="1"/>
  <c r="L2119" i="3"/>
  <c r="O2118" i="3"/>
  <c r="P2118" i="3"/>
  <c r="N2118" i="3"/>
  <c r="Q2118" i="3"/>
  <c r="Q2119" i="3" l="1"/>
  <c r="N2119" i="3"/>
  <c r="P2119" i="3"/>
  <c r="O2119" i="3"/>
  <c r="J2121" i="3"/>
  <c r="L2120" i="3"/>
  <c r="P2120" i="3" l="1"/>
  <c r="O2120" i="3"/>
  <c r="Q2120" i="3"/>
  <c r="N2120" i="3"/>
  <c r="L2121" i="3"/>
  <c r="J2122" i="3"/>
  <c r="J2123" i="3" l="1"/>
  <c r="L2122" i="3"/>
  <c r="Q2121" i="3"/>
  <c r="P2121" i="3"/>
  <c r="O2121" i="3"/>
  <c r="N2121" i="3"/>
  <c r="O2122" i="3" l="1"/>
  <c r="P2122" i="3"/>
  <c r="N2122" i="3"/>
  <c r="Q2122" i="3"/>
  <c r="L2123" i="3"/>
  <c r="J2124" i="3"/>
  <c r="L2124" i="3" l="1"/>
  <c r="J2125" i="3"/>
  <c r="P2123" i="3"/>
  <c r="O2123" i="3"/>
  <c r="N2123" i="3"/>
  <c r="Q2123" i="3"/>
  <c r="L2125" i="3" l="1"/>
  <c r="J2126" i="3"/>
  <c r="Q2124" i="3"/>
  <c r="O2124" i="3"/>
  <c r="P2124" i="3"/>
  <c r="N2124" i="3"/>
  <c r="L2126" i="3" l="1"/>
  <c r="J2127" i="3"/>
  <c r="Q2125" i="3"/>
  <c r="P2125" i="3"/>
  <c r="O2125" i="3"/>
  <c r="N2125" i="3"/>
  <c r="J2128" i="3" l="1"/>
  <c r="L2127" i="3"/>
  <c r="Q2126" i="3"/>
  <c r="O2126" i="3"/>
  <c r="N2126" i="3"/>
  <c r="P2126" i="3"/>
  <c r="O2127" i="3" l="1"/>
  <c r="P2127" i="3"/>
  <c r="N2127" i="3"/>
  <c r="Q2127" i="3"/>
  <c r="L2128" i="3"/>
  <c r="J2129" i="3"/>
  <c r="J2130" i="3" l="1"/>
  <c r="L2129" i="3"/>
  <c r="Q2128" i="3"/>
  <c r="P2128" i="3"/>
  <c r="N2128" i="3"/>
  <c r="O2128" i="3"/>
  <c r="O2129" i="3" l="1"/>
  <c r="N2129" i="3"/>
  <c r="Q2129" i="3"/>
  <c r="P2129" i="3"/>
  <c r="J2131" i="3"/>
  <c r="L2130" i="3"/>
  <c r="O2130" i="3" l="1"/>
  <c r="Q2130" i="3"/>
  <c r="P2130" i="3"/>
  <c r="N2130" i="3"/>
  <c r="L2131" i="3"/>
  <c r="J2132" i="3"/>
  <c r="J2133" i="3" l="1"/>
  <c r="L2132" i="3"/>
  <c r="Q2131" i="3"/>
  <c r="P2131" i="3"/>
  <c r="N2131" i="3"/>
  <c r="O2131" i="3"/>
  <c r="O2132" i="3" l="1"/>
  <c r="N2132" i="3"/>
  <c r="Q2132" i="3"/>
  <c r="P2132" i="3"/>
  <c r="L2133" i="3"/>
  <c r="J2134" i="3"/>
  <c r="L2134" i="3" l="1"/>
  <c r="J2135" i="3"/>
  <c r="O2133" i="3"/>
  <c r="N2133" i="3"/>
  <c r="P2133" i="3"/>
  <c r="Q2133" i="3"/>
  <c r="J2136" i="3" l="1"/>
  <c r="L2135" i="3"/>
  <c r="Q2134" i="3"/>
  <c r="O2134" i="3"/>
  <c r="P2134" i="3"/>
  <c r="N2134" i="3"/>
  <c r="P2135" i="3" l="1"/>
  <c r="O2135" i="3"/>
  <c r="Q2135" i="3"/>
  <c r="N2135" i="3"/>
  <c r="J2137" i="3"/>
  <c r="L2136" i="3"/>
  <c r="P2136" i="3" l="1"/>
  <c r="N2136" i="3"/>
  <c r="O2136" i="3"/>
  <c r="Q2136" i="3"/>
  <c r="L2137" i="3"/>
  <c r="J2138" i="3"/>
  <c r="J2139" i="3" l="1"/>
  <c r="L2138" i="3"/>
  <c r="Q2137" i="3"/>
  <c r="P2137" i="3"/>
  <c r="N2137" i="3"/>
  <c r="O2137" i="3"/>
  <c r="O2138" i="3" l="1"/>
  <c r="P2138" i="3"/>
  <c r="N2138" i="3"/>
  <c r="Q2138" i="3"/>
  <c r="J2140" i="3"/>
  <c r="L2139" i="3"/>
  <c r="P2139" i="3" l="1"/>
  <c r="Q2139" i="3"/>
  <c r="O2139" i="3"/>
  <c r="N2139" i="3"/>
  <c r="L2140" i="3"/>
  <c r="J2141" i="3"/>
  <c r="J2142" i="3" l="1"/>
  <c r="L2141" i="3"/>
  <c r="O2140" i="3"/>
  <c r="Q2140" i="3"/>
  <c r="N2140" i="3"/>
  <c r="P2140" i="3"/>
  <c r="O2141" i="3" l="1"/>
  <c r="Q2141" i="3"/>
  <c r="N2141" i="3"/>
  <c r="P2141" i="3"/>
  <c r="J2143" i="3"/>
  <c r="L2142" i="3"/>
  <c r="Q2142" i="3" l="1"/>
  <c r="O2142" i="3"/>
  <c r="P2142" i="3"/>
  <c r="N2142" i="3"/>
  <c r="J2144" i="3"/>
  <c r="L2143" i="3"/>
  <c r="Q2143" i="3" l="1"/>
  <c r="P2143" i="3"/>
  <c r="O2143" i="3"/>
  <c r="N2143" i="3"/>
  <c r="J2145" i="3"/>
  <c r="L2144" i="3"/>
  <c r="O2144" i="3" l="1"/>
  <c r="N2144" i="3"/>
  <c r="P2144" i="3"/>
  <c r="Q2144" i="3"/>
  <c r="J2146" i="3"/>
  <c r="L2145" i="3"/>
  <c r="Q2145" i="3" l="1"/>
  <c r="P2145" i="3"/>
  <c r="N2145" i="3"/>
  <c r="O2145" i="3"/>
  <c r="L2146" i="3"/>
  <c r="J2147" i="3"/>
  <c r="L2147" i="3" l="1"/>
  <c r="J2148" i="3"/>
  <c r="N2146" i="3"/>
  <c r="Q2146" i="3"/>
  <c r="P2146" i="3"/>
  <c r="O2146" i="3"/>
  <c r="L2148" i="3" l="1"/>
  <c r="J2149" i="3"/>
  <c r="N2147" i="3"/>
  <c r="O2147" i="3"/>
  <c r="P2147" i="3"/>
  <c r="Q2147" i="3"/>
  <c r="J2150" i="3" l="1"/>
  <c r="L2149" i="3"/>
  <c r="O2148" i="3"/>
  <c r="N2148" i="3"/>
  <c r="P2148" i="3"/>
  <c r="Q2148" i="3"/>
  <c r="P2149" i="3" l="1"/>
  <c r="N2149" i="3"/>
  <c r="Q2149" i="3"/>
  <c r="O2149" i="3"/>
  <c r="L2150" i="3"/>
  <c r="J2151" i="3"/>
  <c r="L2151" i="3" l="1"/>
  <c r="J2152" i="3"/>
  <c r="Q2150" i="3"/>
  <c r="O2150" i="3"/>
  <c r="P2150" i="3"/>
  <c r="N2150" i="3"/>
  <c r="J2153" i="3" l="1"/>
  <c r="L2152" i="3"/>
  <c r="N2151" i="3"/>
  <c r="O2151" i="3"/>
  <c r="P2151" i="3"/>
  <c r="Q2151" i="3"/>
  <c r="Q2152" i="3" l="1"/>
  <c r="P2152" i="3"/>
  <c r="N2152" i="3"/>
  <c r="O2152" i="3"/>
  <c r="L2153" i="3"/>
  <c r="J2154" i="3"/>
  <c r="J2155" i="3" l="1"/>
  <c r="L2154" i="3"/>
  <c r="Q2153" i="3"/>
  <c r="P2153" i="3"/>
  <c r="O2153" i="3"/>
  <c r="N2153" i="3"/>
  <c r="P2154" i="3" l="1"/>
  <c r="Q2154" i="3"/>
  <c r="O2154" i="3"/>
  <c r="N2154" i="3"/>
  <c r="J2156" i="3"/>
  <c r="L2155" i="3"/>
  <c r="N2155" i="3" l="1"/>
  <c r="O2155" i="3"/>
  <c r="P2155" i="3"/>
  <c r="Q2155" i="3"/>
  <c r="J2157" i="3"/>
  <c r="L2156" i="3"/>
  <c r="O2156" i="3" l="1"/>
  <c r="P2156" i="3"/>
  <c r="N2156" i="3"/>
  <c r="Q2156" i="3"/>
  <c r="J2158" i="3"/>
  <c r="L2157" i="3"/>
  <c r="J2159" i="3" l="1"/>
  <c r="L2158" i="3"/>
  <c r="N2157" i="3"/>
  <c r="Q2157" i="3"/>
  <c r="O2157" i="3"/>
  <c r="P2157" i="3"/>
  <c r="Q2158" i="3" l="1"/>
  <c r="O2158" i="3"/>
  <c r="N2158" i="3"/>
  <c r="P2158" i="3"/>
  <c r="J2160" i="3"/>
  <c r="L2159" i="3"/>
  <c r="Q2159" i="3" l="1"/>
  <c r="P2159" i="3"/>
  <c r="O2159" i="3"/>
  <c r="N2159" i="3"/>
  <c r="J2161" i="3"/>
  <c r="L2160" i="3"/>
  <c r="O2160" i="3" l="1"/>
  <c r="N2160" i="3"/>
  <c r="Q2160" i="3"/>
  <c r="P2160" i="3"/>
  <c r="L2161" i="3"/>
  <c r="J2162" i="3"/>
  <c r="L2162" i="3" l="1"/>
  <c r="J2163" i="3"/>
  <c r="O2161" i="3"/>
  <c r="N2161" i="3"/>
  <c r="P2161" i="3"/>
  <c r="Q2161" i="3"/>
  <c r="J2164" i="3" l="1"/>
  <c r="L2163" i="3"/>
  <c r="P2162" i="3"/>
  <c r="O2162" i="3"/>
  <c r="N2162" i="3"/>
  <c r="Q2162" i="3"/>
  <c r="O2163" i="3" l="1"/>
  <c r="Q2163" i="3"/>
  <c r="N2163" i="3"/>
  <c r="P2163" i="3"/>
  <c r="L2164" i="3"/>
  <c r="J2165" i="3"/>
  <c r="L2165" i="3" l="1"/>
  <c r="J2166" i="3"/>
  <c r="O2164" i="3"/>
  <c r="N2164" i="3"/>
  <c r="Q2164" i="3"/>
  <c r="P2164" i="3"/>
  <c r="L2166" i="3" l="1"/>
  <c r="J2167" i="3"/>
  <c r="P2165" i="3"/>
  <c r="N2165" i="3"/>
  <c r="Q2165" i="3"/>
  <c r="O2165" i="3"/>
  <c r="J2168" i="3" l="1"/>
  <c r="L2167" i="3"/>
  <c r="O2166" i="3"/>
  <c r="P2166" i="3"/>
  <c r="N2166" i="3"/>
  <c r="Q2166" i="3"/>
  <c r="Q2167" i="3" l="1"/>
  <c r="O2167" i="3"/>
  <c r="P2167" i="3"/>
  <c r="N2167" i="3"/>
  <c r="J2169" i="3"/>
  <c r="L2168" i="3"/>
  <c r="Q2168" i="3" l="1"/>
  <c r="N2168" i="3"/>
  <c r="P2168" i="3"/>
  <c r="O2168" i="3"/>
  <c r="J2170" i="3"/>
  <c r="L2169" i="3"/>
  <c r="P2169" i="3" l="1"/>
  <c r="O2169" i="3"/>
  <c r="Q2169" i="3"/>
  <c r="N2169" i="3"/>
  <c r="J2171" i="3"/>
  <c r="L2170" i="3"/>
  <c r="O2170" i="3" l="1"/>
  <c r="Q2170" i="3"/>
  <c r="P2170" i="3"/>
  <c r="N2170" i="3"/>
  <c r="J2172" i="3"/>
  <c r="L2171" i="3"/>
  <c r="P2171" i="3" l="1"/>
  <c r="Q2171" i="3"/>
  <c r="O2171" i="3"/>
  <c r="N2171" i="3"/>
  <c r="L2172" i="3"/>
  <c r="J2173" i="3"/>
  <c r="L2173" i="3" l="1"/>
  <c r="J2174" i="3"/>
  <c r="O2172" i="3"/>
  <c r="N2172" i="3"/>
  <c r="Q2172" i="3"/>
  <c r="P2172" i="3"/>
  <c r="L2174" i="3" l="1"/>
  <c r="J2175" i="3"/>
  <c r="N2173" i="3"/>
  <c r="O2173" i="3"/>
  <c r="Q2173" i="3"/>
  <c r="P2173" i="3"/>
  <c r="L2175" i="3" l="1"/>
  <c r="J2176" i="3"/>
  <c r="P2174" i="3"/>
  <c r="N2174" i="3"/>
  <c r="Q2174" i="3"/>
  <c r="O2174" i="3"/>
  <c r="J2177" i="3" l="1"/>
  <c r="L2176" i="3"/>
  <c r="O2175" i="3"/>
  <c r="Q2175" i="3"/>
  <c r="N2175" i="3"/>
  <c r="P2175" i="3"/>
  <c r="Q2176" i="3" l="1"/>
  <c r="N2176" i="3"/>
  <c r="P2176" i="3"/>
  <c r="O2176" i="3"/>
  <c r="L2177" i="3"/>
  <c r="J2178" i="3"/>
  <c r="J2179" i="3" l="1"/>
  <c r="L2178" i="3"/>
  <c r="Q2177" i="3"/>
  <c r="N2177" i="3"/>
  <c r="P2177" i="3"/>
  <c r="O2177" i="3"/>
  <c r="O2178" i="3" l="1"/>
  <c r="P2178" i="3"/>
  <c r="N2178" i="3"/>
  <c r="Q2178" i="3"/>
  <c r="L2179" i="3"/>
  <c r="J2180" i="3"/>
  <c r="L2180" i="3" l="1"/>
  <c r="J2181" i="3"/>
  <c r="P2179" i="3"/>
  <c r="N2179" i="3"/>
  <c r="Q2179" i="3"/>
  <c r="O2179" i="3"/>
  <c r="L2181" i="3" l="1"/>
  <c r="J2182" i="3"/>
  <c r="Q2180" i="3"/>
  <c r="P2180" i="3"/>
  <c r="N2180" i="3"/>
  <c r="O2180" i="3"/>
  <c r="J2183" i="3" l="1"/>
  <c r="L2182" i="3"/>
  <c r="Q2181" i="3"/>
  <c r="P2181" i="3"/>
  <c r="N2181" i="3"/>
  <c r="O2181" i="3"/>
  <c r="Q2182" i="3" l="1"/>
  <c r="O2182" i="3"/>
  <c r="P2182" i="3"/>
  <c r="N2182" i="3"/>
  <c r="J2184" i="3"/>
  <c r="L2183" i="3"/>
  <c r="P2183" i="3" l="1"/>
  <c r="O2183" i="3"/>
  <c r="Q2183" i="3"/>
  <c r="N2183" i="3"/>
  <c r="J2185" i="3"/>
  <c r="L2184" i="3"/>
  <c r="N2184" i="3" l="1"/>
  <c r="Q2184" i="3"/>
  <c r="P2184" i="3"/>
  <c r="O2184" i="3"/>
  <c r="L2185" i="3"/>
  <c r="J2186" i="3"/>
  <c r="J2187" i="3" l="1"/>
  <c r="L2186" i="3"/>
  <c r="Q2185" i="3"/>
  <c r="N2185" i="3"/>
  <c r="O2185" i="3"/>
  <c r="P2185" i="3"/>
  <c r="Q2186" i="3" l="1"/>
  <c r="O2186" i="3"/>
  <c r="P2186" i="3"/>
  <c r="N2186" i="3"/>
  <c r="J2188" i="3"/>
  <c r="L2187" i="3"/>
  <c r="P2187" i="3" l="1"/>
  <c r="Q2187" i="3"/>
  <c r="O2187" i="3"/>
  <c r="N2187" i="3"/>
  <c r="J2189" i="3"/>
  <c r="L2188" i="3"/>
  <c r="Q2188" i="3" l="1"/>
  <c r="P2188" i="3"/>
  <c r="N2188" i="3"/>
  <c r="O2188" i="3"/>
  <c r="L2189" i="3"/>
  <c r="J2190" i="3"/>
  <c r="L2190" i="3" l="1"/>
  <c r="J2191" i="3"/>
  <c r="N2189" i="3"/>
  <c r="O2189" i="3"/>
  <c r="Q2189" i="3"/>
  <c r="P2189" i="3"/>
  <c r="L2191" i="3" l="1"/>
  <c r="J2192" i="3"/>
  <c r="N2190" i="3"/>
  <c r="Q2190" i="3"/>
  <c r="P2190" i="3"/>
  <c r="O2190" i="3"/>
  <c r="L2192" i="3" l="1"/>
  <c r="J2193" i="3"/>
  <c r="O2191" i="3"/>
  <c r="N2191" i="3"/>
  <c r="Q2191" i="3"/>
  <c r="P2191" i="3"/>
  <c r="L2193" i="3" l="1"/>
  <c r="J2194" i="3"/>
  <c r="P2192" i="3"/>
  <c r="Q2192" i="3"/>
  <c r="N2192" i="3"/>
  <c r="O2192" i="3"/>
  <c r="J2195" i="3" l="1"/>
  <c r="L2194" i="3"/>
  <c r="O2193" i="3"/>
  <c r="N2193" i="3"/>
  <c r="P2193" i="3"/>
  <c r="Q2193" i="3"/>
  <c r="Q2194" i="3" l="1"/>
  <c r="O2194" i="3"/>
  <c r="P2194" i="3"/>
  <c r="N2194" i="3"/>
  <c r="L2195" i="3"/>
  <c r="J2196" i="3"/>
  <c r="P2195" i="3" l="1"/>
  <c r="N2195" i="3"/>
  <c r="Q2195" i="3"/>
  <c r="O2195" i="3"/>
  <c r="J2197" i="3"/>
  <c r="L2196" i="3"/>
  <c r="Q2196" i="3" l="1"/>
  <c r="P2196" i="3"/>
  <c r="O2196" i="3"/>
  <c r="N2196" i="3"/>
  <c r="J2198" i="3"/>
  <c r="L2197" i="3"/>
  <c r="N2197" i="3" l="1"/>
  <c r="P2197" i="3"/>
  <c r="Q2197" i="3"/>
  <c r="O2197" i="3"/>
  <c r="J2199" i="3"/>
  <c r="L2198" i="3"/>
  <c r="L2199" i="3" l="1"/>
  <c r="J2200" i="3"/>
  <c r="P2198" i="3"/>
  <c r="N2198" i="3"/>
  <c r="Q2198" i="3"/>
  <c r="O2198" i="3"/>
  <c r="J2201" i="3" l="1"/>
  <c r="L2200" i="3"/>
  <c r="P2199" i="3"/>
  <c r="N2199" i="3"/>
  <c r="O2199" i="3"/>
  <c r="Q2199" i="3"/>
  <c r="P2200" i="3" l="1"/>
  <c r="N2200" i="3"/>
  <c r="Q2200" i="3"/>
  <c r="O2200" i="3"/>
  <c r="L2201" i="3"/>
  <c r="J2202" i="3"/>
  <c r="L2202" i="3" l="1"/>
  <c r="J2203" i="3"/>
  <c r="Q2201" i="3"/>
  <c r="P2201" i="3"/>
  <c r="N2201" i="3"/>
  <c r="O2201" i="3"/>
  <c r="L2203" i="3" l="1"/>
  <c r="J2204" i="3"/>
  <c r="N2202" i="3"/>
  <c r="Q2202" i="3"/>
  <c r="P2202" i="3"/>
  <c r="O2202" i="3"/>
  <c r="L2204" i="3" l="1"/>
  <c r="J2205" i="3"/>
  <c r="Q2203" i="3"/>
  <c r="N2203" i="3"/>
  <c r="O2203" i="3"/>
  <c r="P2203" i="3"/>
  <c r="J2206" i="3" l="1"/>
  <c r="L2205" i="3"/>
  <c r="Q2204" i="3"/>
  <c r="P2204" i="3"/>
  <c r="N2204" i="3"/>
  <c r="O2204" i="3"/>
  <c r="Q2205" i="3" l="1"/>
  <c r="O2205" i="3"/>
  <c r="P2205" i="3"/>
  <c r="N2205" i="3"/>
  <c r="L2206" i="3"/>
  <c r="J2207" i="3"/>
  <c r="J2208" i="3" l="1"/>
  <c r="L2207" i="3"/>
  <c r="O2206" i="3"/>
  <c r="P2206" i="3"/>
  <c r="Q2206" i="3"/>
  <c r="N2206" i="3"/>
  <c r="Q2207" i="3" l="1"/>
  <c r="P2207" i="3"/>
  <c r="O2207" i="3"/>
  <c r="N2207" i="3"/>
  <c r="J2209" i="3"/>
  <c r="L2208" i="3"/>
  <c r="P2208" i="3" l="1"/>
  <c r="Q2208" i="3"/>
  <c r="O2208" i="3"/>
  <c r="N2208" i="3"/>
  <c r="J2210" i="3"/>
  <c r="L2209" i="3"/>
  <c r="Q2209" i="3" l="1"/>
  <c r="P2209" i="3"/>
  <c r="O2209" i="3"/>
  <c r="N2209" i="3"/>
  <c r="L2210" i="3"/>
  <c r="J2211" i="3"/>
  <c r="O2210" i="3" l="1"/>
  <c r="N2210" i="3"/>
  <c r="Q2210" i="3"/>
  <c r="P2210" i="3"/>
  <c r="L2211" i="3"/>
  <c r="J2212" i="3"/>
  <c r="L2212" i="3" l="1"/>
  <c r="J2213" i="3"/>
  <c r="O2211" i="3"/>
  <c r="Q2211" i="3"/>
  <c r="N2211" i="3"/>
  <c r="P2211" i="3"/>
  <c r="J2214" i="3" l="1"/>
  <c r="L2213" i="3"/>
  <c r="Q2212" i="3"/>
  <c r="O2212" i="3"/>
  <c r="N2212" i="3"/>
  <c r="P2212" i="3"/>
  <c r="O2213" i="3" l="1"/>
  <c r="Q2213" i="3"/>
  <c r="P2213" i="3"/>
  <c r="N2213" i="3"/>
  <c r="J2215" i="3"/>
  <c r="L2214" i="3"/>
  <c r="L2215" i="3" l="1"/>
  <c r="J2216" i="3"/>
  <c r="P2214" i="3"/>
  <c r="N2214" i="3"/>
  <c r="Q2214" i="3"/>
  <c r="O2214" i="3"/>
  <c r="J2217" i="3" l="1"/>
  <c r="L2216" i="3"/>
  <c r="Q2215" i="3"/>
  <c r="N2215" i="3"/>
  <c r="P2215" i="3"/>
  <c r="O2215" i="3"/>
  <c r="N2216" i="3" l="1"/>
  <c r="Q2216" i="3"/>
  <c r="P2216" i="3"/>
  <c r="O2216" i="3"/>
  <c r="L2217" i="3"/>
  <c r="J2218" i="3"/>
  <c r="J2219" i="3" l="1"/>
  <c r="L2218" i="3"/>
  <c r="P2217" i="3"/>
  <c r="O2217" i="3"/>
  <c r="Q2217" i="3"/>
  <c r="N2217" i="3"/>
  <c r="N2218" i="3" l="1"/>
  <c r="P2218" i="3"/>
  <c r="Q2218" i="3"/>
  <c r="O2218" i="3"/>
  <c r="L2219" i="3"/>
  <c r="J2220" i="3"/>
  <c r="L2220" i="3" l="1"/>
  <c r="J2221" i="3"/>
  <c r="P2219" i="3"/>
  <c r="O2219" i="3"/>
  <c r="Q2219" i="3"/>
  <c r="N2219" i="3"/>
  <c r="J2222" i="3" l="1"/>
  <c r="L2221" i="3"/>
  <c r="Q2220" i="3"/>
  <c r="P2220" i="3"/>
  <c r="N2220" i="3"/>
  <c r="O2220" i="3"/>
  <c r="Q2221" i="3" l="1"/>
  <c r="P2221" i="3"/>
  <c r="O2221" i="3"/>
  <c r="N2221" i="3"/>
  <c r="J2223" i="3"/>
  <c r="L2222" i="3"/>
  <c r="N2222" i="3" l="1"/>
  <c r="O2222" i="3"/>
  <c r="Q2222" i="3"/>
  <c r="P2222" i="3"/>
  <c r="L2223" i="3"/>
  <c r="J2224" i="3"/>
  <c r="J2225" i="3" l="1"/>
  <c r="L2224" i="3"/>
  <c r="P2223" i="3"/>
  <c r="N2223" i="3"/>
  <c r="O2223" i="3"/>
  <c r="Q2223" i="3"/>
  <c r="P2224" i="3" l="1"/>
  <c r="N2224" i="3"/>
  <c r="Q2224" i="3"/>
  <c r="O2224" i="3"/>
  <c r="L2225" i="3"/>
  <c r="J2226" i="3"/>
  <c r="J2227" i="3" l="1"/>
  <c r="L2226" i="3"/>
  <c r="Q2225" i="3"/>
  <c r="O2225" i="3"/>
  <c r="N2225" i="3"/>
  <c r="P2225" i="3"/>
  <c r="O2226" i="3" l="1"/>
  <c r="N2226" i="3"/>
  <c r="P2226" i="3"/>
  <c r="Q2226" i="3"/>
  <c r="L2227" i="3"/>
  <c r="J2228" i="3"/>
  <c r="L2228" i="3" l="1"/>
  <c r="J2229" i="3"/>
  <c r="O2227" i="3"/>
  <c r="P2227" i="3"/>
  <c r="Q2227" i="3"/>
  <c r="N2227" i="3"/>
  <c r="L2229" i="3" l="1"/>
  <c r="J2230" i="3"/>
  <c r="Q2228" i="3"/>
  <c r="P2228" i="3"/>
  <c r="N2228" i="3"/>
  <c r="O2228" i="3"/>
  <c r="J2231" i="3" l="1"/>
  <c r="L2230" i="3"/>
  <c r="P2229" i="3"/>
  <c r="N2229" i="3"/>
  <c r="Q2229" i="3"/>
  <c r="O2229" i="3"/>
  <c r="N2230" i="3" l="1"/>
  <c r="O2230" i="3"/>
  <c r="P2230" i="3"/>
  <c r="Q2230" i="3"/>
  <c r="J2232" i="3"/>
  <c r="L2231" i="3"/>
  <c r="O2231" i="3" l="1"/>
  <c r="N2231" i="3"/>
  <c r="P2231" i="3"/>
  <c r="Q2231" i="3"/>
  <c r="J2233" i="3"/>
  <c r="L2232" i="3"/>
  <c r="Q2232" i="3" l="1"/>
  <c r="P2232" i="3"/>
  <c r="O2232" i="3"/>
  <c r="N2232" i="3"/>
  <c r="J2234" i="3"/>
  <c r="L2233" i="3"/>
  <c r="O2233" i="3" l="1"/>
  <c r="P2233" i="3"/>
  <c r="Q2233" i="3"/>
  <c r="N2233" i="3"/>
  <c r="L2234" i="3"/>
  <c r="J2235" i="3"/>
  <c r="J2236" i="3" l="1"/>
  <c r="L2235" i="3"/>
  <c r="O2234" i="3"/>
  <c r="N2234" i="3"/>
  <c r="Q2234" i="3"/>
  <c r="P2234" i="3"/>
  <c r="Q2235" i="3" l="1"/>
  <c r="N2235" i="3"/>
  <c r="O2235" i="3"/>
  <c r="P2235" i="3"/>
  <c r="J2237" i="3"/>
  <c r="L2236" i="3"/>
  <c r="O2236" i="3" l="1"/>
  <c r="N2236" i="3"/>
  <c r="Q2236" i="3"/>
  <c r="P2236" i="3"/>
  <c r="L2237" i="3"/>
  <c r="J2238" i="3"/>
  <c r="L2238" i="3" l="1"/>
  <c r="J2239" i="3"/>
  <c r="Q2237" i="3"/>
  <c r="P2237" i="3"/>
  <c r="N2237" i="3"/>
  <c r="O2237" i="3"/>
  <c r="L2239" i="3" l="1"/>
  <c r="J2240" i="3"/>
  <c r="N2238" i="3"/>
  <c r="O2238" i="3"/>
  <c r="Q2238" i="3"/>
  <c r="P2238" i="3"/>
  <c r="L2240" i="3" l="1"/>
  <c r="J2241" i="3"/>
  <c r="N2239" i="3"/>
  <c r="P2239" i="3"/>
  <c r="Q2239" i="3"/>
  <c r="O2239" i="3"/>
  <c r="L2241" i="3" l="1"/>
  <c r="J2242" i="3"/>
  <c r="O2240" i="3"/>
  <c r="N2240" i="3"/>
  <c r="P2240" i="3"/>
  <c r="Q2240" i="3"/>
  <c r="L2242" i="3" l="1"/>
  <c r="J2243" i="3"/>
  <c r="P2241" i="3"/>
  <c r="Q2241" i="3"/>
  <c r="O2241" i="3"/>
  <c r="N2241" i="3"/>
  <c r="L2243" i="3" l="1"/>
  <c r="J2244" i="3"/>
  <c r="O2242" i="3"/>
  <c r="Q2242" i="3"/>
  <c r="P2242" i="3"/>
  <c r="N2242" i="3"/>
  <c r="L2244" i="3" l="1"/>
  <c r="J2245" i="3"/>
  <c r="N2243" i="3"/>
  <c r="P2243" i="3"/>
  <c r="O2243" i="3"/>
  <c r="Q2243" i="3"/>
  <c r="J2246" i="3" l="1"/>
  <c r="L2245" i="3"/>
  <c r="O2244" i="3"/>
  <c r="P2244" i="3"/>
  <c r="N2244" i="3"/>
  <c r="Q2244" i="3"/>
  <c r="Q2245" i="3" l="1"/>
  <c r="N2245" i="3"/>
  <c r="P2245" i="3"/>
  <c r="O2245" i="3"/>
  <c r="J2247" i="3"/>
  <c r="L2246" i="3"/>
  <c r="L2247" i="3" l="1"/>
  <c r="J2248" i="3"/>
  <c r="P2246" i="3"/>
  <c r="N2246" i="3"/>
  <c r="O2246" i="3"/>
  <c r="Q2246" i="3"/>
  <c r="L2248" i="3" l="1"/>
  <c r="J2249" i="3"/>
  <c r="O2247" i="3"/>
  <c r="Q2247" i="3"/>
  <c r="N2247" i="3"/>
  <c r="P2247" i="3"/>
  <c r="L2249" i="3" l="1"/>
  <c r="J2250" i="3"/>
  <c r="Q2248" i="3"/>
  <c r="O2248" i="3"/>
  <c r="N2248" i="3"/>
  <c r="P2248" i="3"/>
  <c r="J2251" i="3" l="1"/>
  <c r="L2250" i="3"/>
  <c r="Q2249" i="3"/>
  <c r="N2249" i="3"/>
  <c r="O2249" i="3"/>
  <c r="P2249" i="3"/>
  <c r="Q2250" i="3" l="1"/>
  <c r="N2250" i="3"/>
  <c r="P2250" i="3"/>
  <c r="O2250" i="3"/>
  <c r="J2252" i="3"/>
  <c r="L2251" i="3"/>
  <c r="O2251" i="3" l="1"/>
  <c r="N2251" i="3"/>
  <c r="Q2251" i="3"/>
  <c r="P2251" i="3"/>
  <c r="J2253" i="3"/>
  <c r="L2252" i="3"/>
  <c r="P2252" i="3" l="1"/>
  <c r="N2252" i="3"/>
  <c r="O2252" i="3"/>
  <c r="Q2252" i="3"/>
  <c r="J2254" i="3"/>
  <c r="L2253" i="3"/>
  <c r="O2253" i="3" l="1"/>
  <c r="N2253" i="3"/>
  <c r="Q2253" i="3"/>
  <c r="P2253" i="3"/>
  <c r="L2254" i="3"/>
  <c r="J2255" i="3"/>
  <c r="L2255" i="3" l="1"/>
  <c r="J2256" i="3"/>
  <c r="P2254" i="3"/>
  <c r="O2254" i="3"/>
  <c r="N2254" i="3"/>
  <c r="Q2254" i="3"/>
  <c r="L2256" i="3" l="1"/>
  <c r="J2257" i="3"/>
  <c r="Q2255" i="3"/>
  <c r="P2255" i="3"/>
  <c r="O2255" i="3"/>
  <c r="N2255" i="3"/>
  <c r="L2257" i="3" l="1"/>
  <c r="J2258" i="3"/>
  <c r="P2256" i="3"/>
  <c r="Q2256" i="3"/>
  <c r="O2256" i="3"/>
  <c r="N2256" i="3"/>
  <c r="J2259" i="3" l="1"/>
  <c r="L2258" i="3"/>
  <c r="Q2257" i="3"/>
  <c r="P2257" i="3"/>
  <c r="N2257" i="3"/>
  <c r="O2257" i="3"/>
  <c r="Q2258" i="3" l="1"/>
  <c r="P2258" i="3"/>
  <c r="N2258" i="3"/>
  <c r="O2258" i="3"/>
  <c r="L2259" i="3"/>
  <c r="J2260" i="3"/>
  <c r="L2260" i="3" l="1"/>
  <c r="J2261" i="3"/>
  <c r="P2259" i="3"/>
  <c r="Q2259" i="3"/>
  <c r="O2259" i="3"/>
  <c r="N2259" i="3"/>
  <c r="J2262" i="3" l="1"/>
  <c r="L2261" i="3"/>
  <c r="Q2260" i="3"/>
  <c r="P2260" i="3"/>
  <c r="O2260" i="3"/>
  <c r="N2260" i="3"/>
  <c r="P2261" i="3" l="1"/>
  <c r="N2261" i="3"/>
  <c r="Q2261" i="3"/>
  <c r="O2261" i="3"/>
  <c r="L2262" i="3"/>
  <c r="J2263" i="3"/>
  <c r="L2263" i="3" l="1"/>
  <c r="J2264" i="3"/>
  <c r="P2262" i="3"/>
  <c r="O2262" i="3"/>
  <c r="Q2262" i="3"/>
  <c r="N2262" i="3"/>
  <c r="J2265" i="3" l="1"/>
  <c r="L2264" i="3"/>
  <c r="P2263" i="3"/>
  <c r="O2263" i="3"/>
  <c r="Q2263" i="3"/>
  <c r="N2263" i="3"/>
  <c r="Q2264" i="3" l="1"/>
  <c r="P2264" i="3"/>
  <c r="O2264" i="3"/>
  <c r="N2264" i="3"/>
  <c r="J2266" i="3"/>
  <c r="L2265" i="3"/>
  <c r="P2265" i="3" l="1"/>
  <c r="O2265" i="3"/>
  <c r="Q2265" i="3"/>
  <c r="N2265" i="3"/>
  <c r="L2266" i="3"/>
  <c r="J2267" i="3"/>
  <c r="J2268" i="3" l="1"/>
  <c r="L2267" i="3"/>
  <c r="Q2266" i="3"/>
  <c r="P2266" i="3"/>
  <c r="N2266" i="3"/>
  <c r="O2266" i="3"/>
  <c r="Q2267" i="3" l="1"/>
  <c r="O2267" i="3"/>
  <c r="N2267" i="3"/>
  <c r="P2267" i="3"/>
  <c r="L2268" i="3"/>
  <c r="J2269" i="3"/>
  <c r="J2270" i="3" l="1"/>
  <c r="L2269" i="3"/>
  <c r="Q2268" i="3"/>
  <c r="P2268" i="3"/>
  <c r="O2268" i="3"/>
  <c r="N2268" i="3"/>
  <c r="Q2269" i="3" l="1"/>
  <c r="O2269" i="3"/>
  <c r="N2269" i="3"/>
  <c r="P2269" i="3"/>
  <c r="J2271" i="3"/>
  <c r="L2270" i="3"/>
  <c r="P2270" i="3" l="1"/>
  <c r="Q2270" i="3"/>
  <c r="N2270" i="3"/>
  <c r="O2270" i="3"/>
  <c r="J2272" i="3"/>
  <c r="L2271" i="3"/>
  <c r="P2271" i="3" l="1"/>
  <c r="O2271" i="3"/>
  <c r="N2271" i="3"/>
  <c r="Q2271" i="3"/>
  <c r="J2273" i="3"/>
  <c r="L2272" i="3"/>
  <c r="O2272" i="3" l="1"/>
  <c r="N2272" i="3"/>
  <c r="P2272" i="3"/>
  <c r="Q2272" i="3"/>
  <c r="J2274" i="3"/>
  <c r="L2273" i="3"/>
  <c r="J2275" i="3" l="1"/>
  <c r="L2274" i="3"/>
  <c r="Q2273" i="3"/>
  <c r="N2273" i="3"/>
  <c r="P2273" i="3"/>
  <c r="O2273" i="3"/>
  <c r="Q2274" i="3" l="1"/>
  <c r="P2274" i="3"/>
  <c r="O2274" i="3"/>
  <c r="N2274" i="3"/>
  <c r="L2275" i="3"/>
  <c r="J2276" i="3"/>
  <c r="J2277" i="3" l="1"/>
  <c r="L2276" i="3"/>
  <c r="Q2275" i="3"/>
  <c r="N2275" i="3"/>
  <c r="P2275" i="3"/>
  <c r="O2275" i="3"/>
  <c r="Q2276" i="3" l="1"/>
  <c r="O2276" i="3"/>
  <c r="N2276" i="3"/>
  <c r="P2276" i="3"/>
  <c r="L2277" i="3"/>
  <c r="J2278" i="3"/>
  <c r="L2278" i="3" l="1"/>
  <c r="J2279" i="3"/>
  <c r="O2277" i="3"/>
  <c r="P2277" i="3"/>
  <c r="Q2277" i="3"/>
  <c r="N2277" i="3"/>
  <c r="J2280" i="3" l="1"/>
  <c r="L2279" i="3"/>
  <c r="O2278" i="3"/>
  <c r="N2278" i="3"/>
  <c r="Q2278" i="3"/>
  <c r="P2278" i="3"/>
  <c r="Q2279" i="3" l="1"/>
  <c r="N2279" i="3"/>
  <c r="P2279" i="3"/>
  <c r="O2279" i="3"/>
  <c r="L2280" i="3"/>
  <c r="J2281" i="3"/>
  <c r="L2281" i="3" l="1"/>
  <c r="J2282" i="3"/>
  <c r="N2280" i="3"/>
  <c r="Q2280" i="3"/>
  <c r="P2280" i="3"/>
  <c r="O2280" i="3"/>
  <c r="J2283" i="3" l="1"/>
  <c r="L2282" i="3"/>
  <c r="P2281" i="3"/>
  <c r="N2281" i="3"/>
  <c r="O2281" i="3"/>
  <c r="Q2281" i="3"/>
  <c r="N2282" i="3" l="1"/>
  <c r="Q2282" i="3"/>
  <c r="P2282" i="3"/>
  <c r="O2282" i="3"/>
  <c r="L2283" i="3"/>
  <c r="J2284" i="3"/>
  <c r="L2284" i="3" l="1"/>
  <c r="J2285" i="3"/>
  <c r="P2283" i="3"/>
  <c r="O2283" i="3"/>
  <c r="N2283" i="3"/>
  <c r="Q2283" i="3"/>
  <c r="J2286" i="3" l="1"/>
  <c r="L2285" i="3"/>
  <c r="P2284" i="3"/>
  <c r="N2284" i="3"/>
  <c r="O2284" i="3"/>
  <c r="Q2284" i="3"/>
  <c r="N2285" i="3" l="1"/>
  <c r="Q2285" i="3"/>
  <c r="O2285" i="3"/>
  <c r="P2285" i="3"/>
  <c r="L2286" i="3"/>
  <c r="J2287" i="3"/>
  <c r="L2287" i="3" l="1"/>
  <c r="J2288" i="3"/>
  <c r="Q2286" i="3"/>
  <c r="N2286" i="3"/>
  <c r="O2286" i="3"/>
  <c r="P2286" i="3"/>
  <c r="L2288" i="3" l="1"/>
  <c r="J2289" i="3"/>
  <c r="Q2287" i="3"/>
  <c r="P2287" i="3"/>
  <c r="O2287" i="3"/>
  <c r="N2287" i="3"/>
  <c r="L2289" i="3" l="1"/>
  <c r="J2290" i="3"/>
  <c r="O2288" i="3"/>
  <c r="N2288" i="3"/>
  <c r="Q2288" i="3"/>
  <c r="P2288" i="3"/>
  <c r="L2290" i="3" l="1"/>
  <c r="J2291" i="3"/>
  <c r="N2289" i="3"/>
  <c r="P2289" i="3"/>
  <c r="Q2289" i="3"/>
  <c r="O2289" i="3"/>
  <c r="L2291" i="3" l="1"/>
  <c r="J2292" i="3"/>
  <c r="N2290" i="3"/>
  <c r="Q2290" i="3"/>
  <c r="O2290" i="3"/>
  <c r="P2290" i="3"/>
  <c r="L2292" i="3" l="1"/>
  <c r="J2293" i="3"/>
  <c r="Q2291" i="3"/>
  <c r="N2291" i="3"/>
  <c r="P2291" i="3"/>
  <c r="O2291" i="3"/>
  <c r="J2294" i="3" l="1"/>
  <c r="L2293" i="3"/>
  <c r="O2292" i="3"/>
  <c r="N2292" i="3"/>
  <c r="Q2292" i="3"/>
  <c r="P2292" i="3"/>
  <c r="P2293" i="3" l="1"/>
  <c r="N2293" i="3"/>
  <c r="Q2293" i="3"/>
  <c r="O2293" i="3"/>
  <c r="L2294" i="3"/>
  <c r="J2295" i="3"/>
  <c r="J2296" i="3" l="1"/>
  <c r="L2295" i="3"/>
  <c r="Q2294" i="3"/>
  <c r="P2294" i="3"/>
  <c r="N2294" i="3"/>
  <c r="O2294" i="3"/>
  <c r="P2295" i="3" l="1"/>
  <c r="Q2295" i="3"/>
  <c r="O2295" i="3"/>
  <c r="N2295" i="3"/>
  <c r="J2297" i="3"/>
  <c r="L2296" i="3"/>
  <c r="P2296" i="3" l="1"/>
  <c r="O2296" i="3"/>
  <c r="N2296" i="3"/>
  <c r="Q2296" i="3"/>
  <c r="L2297" i="3"/>
  <c r="J2298" i="3"/>
  <c r="L2298" i="3" l="1"/>
  <c r="J2299" i="3"/>
  <c r="Q2297" i="3"/>
  <c r="N2297" i="3"/>
  <c r="P2297" i="3"/>
  <c r="O2297" i="3"/>
  <c r="J2300" i="3" l="1"/>
  <c r="L2299" i="3"/>
  <c r="Q2298" i="3"/>
  <c r="O2298" i="3"/>
  <c r="N2298" i="3"/>
  <c r="P2298" i="3"/>
  <c r="Q2299" i="3" l="1"/>
  <c r="N2299" i="3"/>
  <c r="P2299" i="3"/>
  <c r="O2299" i="3"/>
  <c r="L2300" i="3"/>
  <c r="J2301" i="3"/>
  <c r="J2302" i="3" l="1"/>
  <c r="L2301" i="3"/>
  <c r="Q2300" i="3"/>
  <c r="O2300" i="3"/>
  <c r="P2300" i="3"/>
  <c r="N2300" i="3"/>
  <c r="P2301" i="3" l="1"/>
  <c r="O2301" i="3"/>
  <c r="N2301" i="3"/>
  <c r="Q2301" i="3"/>
  <c r="L2302" i="3"/>
  <c r="J2303" i="3"/>
  <c r="L2303" i="3" l="1"/>
  <c r="J2304" i="3"/>
  <c r="Q2302" i="3"/>
  <c r="P2302" i="3"/>
  <c r="O2302" i="3"/>
  <c r="N2302" i="3"/>
  <c r="J2305" i="3" l="1"/>
  <c r="L2304" i="3"/>
  <c r="Q2303" i="3"/>
  <c r="N2303" i="3"/>
  <c r="P2303" i="3"/>
  <c r="O2303" i="3"/>
  <c r="P2304" i="3" l="1"/>
  <c r="Q2304" i="3"/>
  <c r="O2304" i="3"/>
  <c r="N2304" i="3"/>
  <c r="L2305" i="3"/>
  <c r="J2306" i="3"/>
  <c r="J2307" i="3" l="1"/>
  <c r="L2306" i="3"/>
  <c r="N2305" i="3"/>
  <c r="Q2305" i="3"/>
  <c r="O2305" i="3"/>
  <c r="P2305" i="3"/>
  <c r="Q2306" i="3" l="1"/>
  <c r="O2306" i="3"/>
  <c r="N2306" i="3"/>
  <c r="P2306" i="3"/>
  <c r="J2308" i="3"/>
  <c r="L2307" i="3"/>
  <c r="Q2307" i="3" l="1"/>
  <c r="P2307" i="3"/>
  <c r="O2307" i="3"/>
  <c r="N2307" i="3"/>
  <c r="L2308" i="3"/>
  <c r="J2309" i="3"/>
  <c r="J2310" i="3" l="1"/>
  <c r="L2309" i="3"/>
  <c r="Q2308" i="3"/>
  <c r="P2308" i="3"/>
  <c r="O2308" i="3"/>
  <c r="N2308" i="3"/>
  <c r="Q2309" i="3" l="1"/>
  <c r="P2309" i="3"/>
  <c r="N2309" i="3"/>
  <c r="O2309" i="3"/>
  <c r="J2311" i="3"/>
  <c r="L2310" i="3"/>
  <c r="O2310" i="3" l="1"/>
  <c r="N2310" i="3"/>
  <c r="Q2310" i="3"/>
  <c r="P2310" i="3"/>
  <c r="J2312" i="3"/>
  <c r="L2311" i="3"/>
  <c r="N2311" i="3" l="1"/>
  <c r="P2311" i="3"/>
  <c r="Q2311" i="3"/>
  <c r="O2311" i="3"/>
  <c r="L2312" i="3"/>
  <c r="J2313" i="3"/>
  <c r="J2314" i="3" l="1"/>
  <c r="L2313" i="3"/>
  <c r="P2312" i="3"/>
  <c r="Q2312" i="3"/>
  <c r="O2312" i="3"/>
  <c r="N2312" i="3"/>
  <c r="P2313" i="3" l="1"/>
  <c r="Q2313" i="3"/>
  <c r="O2313" i="3"/>
  <c r="N2313" i="3"/>
  <c r="J2315" i="3"/>
  <c r="L2314" i="3"/>
  <c r="P2314" i="3" l="1"/>
  <c r="O2314" i="3"/>
  <c r="N2314" i="3"/>
  <c r="Q2314" i="3"/>
  <c r="J2316" i="3"/>
  <c r="L2315" i="3"/>
  <c r="Q2315" i="3" l="1"/>
  <c r="N2315" i="3"/>
  <c r="P2315" i="3"/>
  <c r="O2315" i="3"/>
  <c r="L2316" i="3"/>
  <c r="J2317" i="3"/>
  <c r="J2318" i="3" l="1"/>
  <c r="L2317" i="3"/>
  <c r="Q2316" i="3"/>
  <c r="P2316" i="3"/>
  <c r="O2316" i="3"/>
  <c r="N2316" i="3"/>
  <c r="Q2317" i="3" l="1"/>
  <c r="N2317" i="3"/>
  <c r="P2317" i="3"/>
  <c r="O2317" i="3"/>
  <c r="L2318" i="3"/>
  <c r="J2319" i="3"/>
  <c r="J2320" i="3" l="1"/>
  <c r="L2319" i="3"/>
  <c r="Q2318" i="3"/>
  <c r="O2318" i="3"/>
  <c r="P2318" i="3"/>
  <c r="N2318" i="3"/>
  <c r="N2319" i="3" l="1"/>
  <c r="P2319" i="3"/>
  <c r="O2319" i="3"/>
  <c r="Q2319" i="3"/>
  <c r="L2320" i="3"/>
  <c r="J2321" i="3"/>
  <c r="L2321" i="3" l="1"/>
  <c r="J2322" i="3"/>
  <c r="Q2320" i="3"/>
  <c r="O2320" i="3"/>
  <c r="N2320" i="3"/>
  <c r="P2320" i="3"/>
  <c r="J2323" i="3" l="1"/>
  <c r="L2322" i="3"/>
  <c r="N2321" i="3"/>
  <c r="P2321" i="3"/>
  <c r="Q2321" i="3"/>
  <c r="O2321" i="3"/>
  <c r="Q2322" i="3" l="1"/>
  <c r="P2322" i="3"/>
  <c r="N2322" i="3"/>
  <c r="O2322" i="3"/>
  <c r="J2324" i="3"/>
  <c r="L2323" i="3"/>
  <c r="P2323" i="3" l="1"/>
  <c r="Q2323" i="3"/>
  <c r="O2323" i="3"/>
  <c r="N2323" i="3"/>
  <c r="J2325" i="3"/>
  <c r="L2324" i="3"/>
  <c r="Q2324" i="3" l="1"/>
  <c r="P2324" i="3"/>
  <c r="N2324" i="3"/>
  <c r="O2324" i="3"/>
  <c r="J2326" i="3"/>
  <c r="L2325" i="3"/>
  <c r="P2325" i="3" l="1"/>
  <c r="N2325" i="3"/>
  <c r="Q2325" i="3"/>
  <c r="O2325" i="3"/>
  <c r="L2326" i="3"/>
  <c r="J2327" i="3"/>
  <c r="L2327" i="3" l="1"/>
  <c r="J2328" i="3"/>
  <c r="Q2326" i="3"/>
  <c r="P2326" i="3"/>
  <c r="O2326" i="3"/>
  <c r="N2326" i="3"/>
  <c r="J2329" i="3" l="1"/>
  <c r="L2328" i="3"/>
  <c r="Q2327" i="3"/>
  <c r="O2327" i="3"/>
  <c r="N2327" i="3"/>
  <c r="P2327" i="3"/>
  <c r="N2328" i="3" l="1"/>
  <c r="P2328" i="3"/>
  <c r="Q2328" i="3"/>
  <c r="O2328" i="3"/>
  <c r="J2330" i="3"/>
  <c r="L2329" i="3"/>
  <c r="N2329" i="3" l="1"/>
  <c r="Q2329" i="3"/>
  <c r="P2329" i="3"/>
  <c r="O2329" i="3"/>
  <c r="L2330" i="3"/>
  <c r="J2331" i="3"/>
  <c r="J2332" i="3" l="1"/>
  <c r="L2331" i="3"/>
  <c r="Q2330" i="3"/>
  <c r="P2330" i="3"/>
  <c r="N2330" i="3"/>
  <c r="O2330" i="3"/>
  <c r="Q2331" i="3" l="1"/>
  <c r="P2331" i="3"/>
  <c r="O2331" i="3"/>
  <c r="N2331" i="3"/>
  <c r="L2332" i="3"/>
  <c r="J2333" i="3"/>
  <c r="J2334" i="3" l="1"/>
  <c r="L2333" i="3"/>
  <c r="Q2332" i="3"/>
  <c r="P2332" i="3"/>
  <c r="N2332" i="3"/>
  <c r="O2332" i="3"/>
  <c r="N2333" i="3" l="1"/>
  <c r="Q2333" i="3"/>
  <c r="O2333" i="3"/>
  <c r="P2333" i="3"/>
  <c r="J2335" i="3"/>
  <c r="L2334" i="3"/>
  <c r="Q2334" i="3" l="1"/>
  <c r="P2334" i="3"/>
  <c r="N2334" i="3"/>
  <c r="O2334" i="3"/>
  <c r="J2336" i="3"/>
  <c r="L2335" i="3"/>
  <c r="Q2335" i="3" l="1"/>
  <c r="P2335" i="3"/>
  <c r="O2335" i="3"/>
  <c r="N2335" i="3"/>
  <c r="L2336" i="3"/>
  <c r="J2337" i="3"/>
  <c r="L2337" i="3" l="1"/>
  <c r="J2338" i="3"/>
  <c r="P2336" i="3"/>
  <c r="Q2336" i="3"/>
  <c r="O2336" i="3"/>
  <c r="N2336" i="3"/>
  <c r="L2338" i="3" l="1"/>
  <c r="J2339" i="3"/>
  <c r="Q2337" i="3"/>
  <c r="P2337" i="3"/>
  <c r="O2337" i="3"/>
  <c r="N2337" i="3"/>
  <c r="J2340" i="3" l="1"/>
  <c r="L2339" i="3"/>
  <c r="Q2338" i="3"/>
  <c r="O2338" i="3"/>
  <c r="N2338" i="3"/>
  <c r="P2338" i="3"/>
  <c r="O2339" i="3" l="1"/>
  <c r="P2339" i="3"/>
  <c r="Q2339" i="3"/>
  <c r="N2339" i="3"/>
  <c r="J2341" i="3"/>
  <c r="L2340" i="3"/>
  <c r="P2340" i="3" l="1"/>
  <c r="Q2340" i="3"/>
  <c r="O2340" i="3"/>
  <c r="N2340" i="3"/>
  <c r="L2341" i="3"/>
  <c r="J2342" i="3"/>
  <c r="J2343" i="3" l="1"/>
  <c r="L2342" i="3"/>
  <c r="Q2341" i="3"/>
  <c r="O2341" i="3"/>
  <c r="P2341" i="3"/>
  <c r="N2341" i="3"/>
  <c r="Q2342" i="3" l="1"/>
  <c r="P2342" i="3"/>
  <c r="O2342" i="3"/>
  <c r="N2342" i="3"/>
  <c r="J2344" i="3"/>
  <c r="L2343" i="3"/>
  <c r="P2343" i="3" l="1"/>
  <c r="O2343" i="3"/>
  <c r="Q2343" i="3"/>
  <c r="N2343" i="3"/>
  <c r="J2345" i="3"/>
  <c r="L2344" i="3"/>
  <c r="N2344" i="3" l="1"/>
  <c r="Q2344" i="3"/>
  <c r="O2344" i="3"/>
  <c r="P2344" i="3"/>
  <c r="L2345" i="3"/>
  <c r="J2346" i="3"/>
  <c r="L2346" i="3" l="1"/>
  <c r="J2347" i="3"/>
  <c r="P2345" i="3"/>
  <c r="O2345" i="3"/>
  <c r="Q2345" i="3"/>
  <c r="N2345" i="3"/>
  <c r="J2348" i="3" l="1"/>
  <c r="L2347" i="3"/>
  <c r="Q2346" i="3"/>
  <c r="P2346" i="3"/>
  <c r="O2346" i="3"/>
  <c r="N2346" i="3"/>
  <c r="P2347" i="3" l="1"/>
  <c r="O2347" i="3"/>
  <c r="Q2347" i="3"/>
  <c r="N2347" i="3"/>
  <c r="J2349" i="3"/>
  <c r="L2348" i="3"/>
  <c r="O2348" i="3" l="1"/>
  <c r="P2348" i="3"/>
  <c r="Q2348" i="3"/>
  <c r="N2348" i="3"/>
  <c r="J2350" i="3"/>
  <c r="L2349" i="3"/>
  <c r="Q2349" i="3" l="1"/>
  <c r="N2349" i="3"/>
  <c r="P2349" i="3"/>
  <c r="O2349" i="3"/>
  <c r="L2350" i="3"/>
  <c r="J2351" i="3"/>
  <c r="J2352" i="3" l="1"/>
  <c r="L2351" i="3"/>
  <c r="P2350" i="3"/>
  <c r="N2350" i="3"/>
  <c r="O2350" i="3"/>
  <c r="Q2350" i="3"/>
  <c r="Q2351" i="3" l="1"/>
  <c r="P2351" i="3"/>
  <c r="O2351" i="3"/>
  <c r="N2351" i="3"/>
  <c r="L2352" i="3"/>
  <c r="J2353" i="3"/>
  <c r="J2354" i="3" l="1"/>
  <c r="L2353" i="3"/>
  <c r="Q2352" i="3"/>
  <c r="N2352" i="3"/>
  <c r="P2352" i="3"/>
  <c r="O2352" i="3"/>
  <c r="N2353" i="3" l="1"/>
  <c r="P2353" i="3"/>
  <c r="O2353" i="3"/>
  <c r="Q2353" i="3"/>
  <c r="J2355" i="3"/>
  <c r="L2354" i="3"/>
  <c r="J2356" i="3" l="1"/>
  <c r="L2355" i="3"/>
  <c r="O2354" i="3"/>
  <c r="Q2354" i="3"/>
  <c r="P2354" i="3"/>
  <c r="N2354" i="3"/>
  <c r="O2355" i="3" l="1"/>
  <c r="P2355" i="3"/>
  <c r="N2355" i="3"/>
  <c r="Q2355" i="3"/>
  <c r="J2357" i="3"/>
  <c r="L2356" i="3"/>
  <c r="O2356" i="3" l="1"/>
  <c r="P2356" i="3"/>
  <c r="N2356" i="3"/>
  <c r="Q2356" i="3"/>
  <c r="J2358" i="3"/>
  <c r="L2357" i="3"/>
  <c r="N2357" i="3" l="1"/>
  <c r="O2357" i="3"/>
  <c r="Q2357" i="3"/>
  <c r="P2357" i="3"/>
  <c r="L2358" i="3"/>
  <c r="J2359" i="3"/>
  <c r="Q2358" i="3" l="1"/>
  <c r="P2358" i="3"/>
  <c r="N2358" i="3"/>
  <c r="O2358" i="3"/>
  <c r="J2360" i="3"/>
  <c r="L2359" i="3"/>
  <c r="P2359" i="3" l="1"/>
  <c r="N2359" i="3"/>
  <c r="Q2359" i="3"/>
  <c r="O2359" i="3"/>
  <c r="L2360" i="3"/>
  <c r="J2361" i="3"/>
  <c r="L2361" i="3" l="1"/>
  <c r="J2362" i="3"/>
  <c r="Q2360" i="3"/>
  <c r="P2360" i="3"/>
  <c r="N2360" i="3"/>
  <c r="O2360" i="3"/>
  <c r="J2363" i="3" l="1"/>
  <c r="L2362" i="3"/>
  <c r="Q2361" i="3"/>
  <c r="N2361" i="3"/>
  <c r="O2361" i="3"/>
  <c r="P2361" i="3"/>
  <c r="P2362" i="3" l="1"/>
  <c r="O2362" i="3"/>
  <c r="N2362" i="3"/>
  <c r="Q2362" i="3"/>
  <c r="L2363" i="3"/>
  <c r="J2364" i="3"/>
  <c r="L2364" i="3" l="1"/>
  <c r="J2365" i="3"/>
  <c r="P2363" i="3"/>
  <c r="Q2363" i="3"/>
  <c r="N2363" i="3"/>
  <c r="O2363" i="3"/>
  <c r="J2366" i="3" l="1"/>
  <c r="L2365" i="3"/>
  <c r="N2364" i="3"/>
  <c r="Q2364" i="3"/>
  <c r="P2364" i="3"/>
  <c r="O2364" i="3"/>
  <c r="N2365" i="3" l="1"/>
  <c r="P2365" i="3"/>
  <c r="O2365" i="3"/>
  <c r="Q2365" i="3"/>
  <c r="J2367" i="3"/>
  <c r="L2366" i="3"/>
  <c r="L2367" i="3" l="1"/>
  <c r="J2368" i="3"/>
  <c r="Q2366" i="3"/>
  <c r="P2366" i="3"/>
  <c r="O2366" i="3"/>
  <c r="N2366" i="3"/>
  <c r="L2368" i="3" l="1"/>
  <c r="J2369" i="3"/>
  <c r="Q2367" i="3"/>
  <c r="P2367" i="3"/>
  <c r="O2367" i="3"/>
  <c r="N2367" i="3"/>
  <c r="J2370" i="3" l="1"/>
  <c r="L2369" i="3"/>
  <c r="P2368" i="3"/>
  <c r="Q2368" i="3"/>
  <c r="O2368" i="3"/>
  <c r="N2368" i="3"/>
  <c r="Q2369" i="3" l="1"/>
  <c r="N2369" i="3"/>
  <c r="P2369" i="3"/>
  <c r="O2369" i="3"/>
  <c r="J2371" i="3"/>
  <c r="L2370" i="3"/>
  <c r="Q2370" i="3" l="1"/>
  <c r="O2370" i="3"/>
  <c r="N2370" i="3"/>
  <c r="P2370" i="3"/>
  <c r="J2372" i="3"/>
  <c r="L2371" i="3"/>
  <c r="P2371" i="3" l="1"/>
  <c r="O2371" i="3"/>
  <c r="Q2371" i="3"/>
  <c r="N2371" i="3"/>
  <c r="L2372" i="3"/>
  <c r="J2373" i="3"/>
  <c r="L2373" i="3" l="1"/>
  <c r="J2374" i="3"/>
  <c r="P2372" i="3"/>
  <c r="O2372" i="3"/>
  <c r="N2372" i="3"/>
  <c r="Q2372" i="3"/>
  <c r="L2374" i="3" l="1"/>
  <c r="J2375" i="3"/>
  <c r="Q2373" i="3"/>
  <c r="N2373" i="3"/>
  <c r="O2373" i="3"/>
  <c r="P2373" i="3"/>
  <c r="J2376" i="3" l="1"/>
  <c r="L2375" i="3"/>
  <c r="P2374" i="3"/>
  <c r="O2374" i="3"/>
  <c r="N2374" i="3"/>
  <c r="Q2374" i="3"/>
  <c r="O2375" i="3" l="1"/>
  <c r="Q2375" i="3"/>
  <c r="P2375" i="3"/>
  <c r="N2375" i="3"/>
  <c r="J2377" i="3"/>
  <c r="L2376" i="3"/>
  <c r="N2376" i="3" l="1"/>
  <c r="P2376" i="3"/>
  <c r="Q2376" i="3"/>
  <c r="O2376" i="3"/>
  <c r="L2377" i="3"/>
  <c r="J2378" i="3"/>
  <c r="L2378" i="3" l="1"/>
  <c r="J2379" i="3"/>
  <c r="N2377" i="3"/>
  <c r="P2377" i="3"/>
  <c r="O2377" i="3"/>
  <c r="Q2377" i="3"/>
  <c r="J2380" i="3" l="1"/>
  <c r="L2379" i="3"/>
  <c r="Q2378" i="3"/>
  <c r="O2378" i="3"/>
  <c r="P2378" i="3"/>
  <c r="N2378" i="3"/>
  <c r="P2379" i="3" l="1"/>
  <c r="Q2379" i="3"/>
  <c r="O2379" i="3"/>
  <c r="N2379" i="3"/>
  <c r="J2381" i="3"/>
  <c r="L2380" i="3"/>
  <c r="P2380" i="3" l="1"/>
  <c r="N2380" i="3"/>
  <c r="O2380" i="3"/>
  <c r="Q2380" i="3"/>
  <c r="L2381" i="3"/>
  <c r="J2382" i="3"/>
  <c r="J2383" i="3" l="1"/>
  <c r="L2382" i="3"/>
  <c r="N2381" i="3"/>
  <c r="P2381" i="3"/>
  <c r="O2381" i="3"/>
  <c r="Q2381" i="3"/>
  <c r="P2382" i="3" l="1"/>
  <c r="O2382" i="3"/>
  <c r="N2382" i="3"/>
  <c r="Q2382" i="3"/>
  <c r="L2383" i="3"/>
  <c r="J2384" i="3"/>
  <c r="L2384" i="3" l="1"/>
  <c r="J2385" i="3"/>
  <c r="Q2383" i="3"/>
  <c r="O2383" i="3"/>
  <c r="P2383" i="3"/>
  <c r="N2383" i="3"/>
  <c r="L2385" i="3" l="1"/>
  <c r="J2386" i="3"/>
  <c r="N2384" i="3"/>
  <c r="O2384" i="3"/>
  <c r="P2384" i="3"/>
  <c r="Q2384" i="3"/>
  <c r="L2386" i="3" l="1"/>
  <c r="J2387" i="3"/>
  <c r="Q2385" i="3"/>
  <c r="P2385" i="3"/>
  <c r="O2385" i="3"/>
  <c r="N2385" i="3"/>
  <c r="L2387" i="3" l="1"/>
  <c r="J2388" i="3"/>
  <c r="Q2386" i="3"/>
  <c r="P2386" i="3"/>
  <c r="O2386" i="3"/>
  <c r="N2386" i="3"/>
  <c r="J2389" i="3" l="1"/>
  <c r="L2388" i="3"/>
  <c r="O2387" i="3"/>
  <c r="N2387" i="3"/>
  <c r="P2387" i="3"/>
  <c r="Q2387" i="3"/>
  <c r="Q2388" i="3" l="1"/>
  <c r="N2388" i="3"/>
  <c r="O2388" i="3"/>
  <c r="P2388" i="3"/>
  <c r="L2389" i="3"/>
  <c r="J2390" i="3"/>
  <c r="J2391" i="3" l="1"/>
  <c r="L2390" i="3"/>
  <c r="N2389" i="3"/>
  <c r="Q2389" i="3"/>
  <c r="O2389" i="3"/>
  <c r="P2389" i="3"/>
  <c r="N2390" i="3" l="1"/>
  <c r="P2390" i="3"/>
  <c r="Q2390" i="3"/>
  <c r="O2390" i="3"/>
  <c r="L2391" i="3"/>
  <c r="J2392" i="3"/>
  <c r="L2392" i="3" l="1"/>
  <c r="J2393" i="3"/>
  <c r="N2391" i="3"/>
  <c r="P2391" i="3"/>
  <c r="O2391" i="3"/>
  <c r="Q2391" i="3"/>
  <c r="J2394" i="3" l="1"/>
  <c r="L2393" i="3"/>
  <c r="P2392" i="3"/>
  <c r="O2392" i="3"/>
  <c r="N2392" i="3"/>
  <c r="Q2392" i="3"/>
  <c r="Q2393" i="3" l="1"/>
  <c r="N2393" i="3"/>
  <c r="P2393" i="3"/>
  <c r="O2393" i="3"/>
  <c r="J2395" i="3"/>
  <c r="L2394" i="3"/>
  <c r="Q2394" i="3" l="1"/>
  <c r="P2394" i="3"/>
  <c r="N2394" i="3"/>
  <c r="O2394" i="3"/>
  <c r="J2396" i="3"/>
  <c r="L2395" i="3"/>
  <c r="P2395" i="3" l="1"/>
  <c r="Q2395" i="3"/>
  <c r="O2395" i="3"/>
  <c r="N2395" i="3"/>
  <c r="J2397" i="3"/>
  <c r="L2396" i="3"/>
  <c r="O2396" i="3" l="1"/>
  <c r="P2396" i="3"/>
  <c r="N2396" i="3"/>
  <c r="Q2396" i="3"/>
  <c r="L2397" i="3"/>
  <c r="J2398" i="3"/>
  <c r="L2398" i="3" l="1"/>
  <c r="J2399" i="3"/>
  <c r="N2397" i="3"/>
  <c r="P2397" i="3"/>
  <c r="Q2397" i="3"/>
  <c r="O2397" i="3"/>
  <c r="J2400" i="3" l="1"/>
  <c r="L2399" i="3"/>
  <c r="Q2398" i="3"/>
  <c r="N2398" i="3"/>
  <c r="P2398" i="3"/>
  <c r="O2398" i="3"/>
  <c r="O2399" i="3" l="1"/>
  <c r="N2399" i="3"/>
  <c r="Q2399" i="3"/>
  <c r="P2399" i="3"/>
  <c r="J2401" i="3"/>
  <c r="L2400" i="3"/>
  <c r="O2400" i="3" l="1"/>
  <c r="N2400" i="3"/>
  <c r="Q2400" i="3"/>
  <c r="P2400" i="3"/>
  <c r="J2402" i="3"/>
  <c r="L2401" i="3"/>
  <c r="Q2401" i="3" l="1"/>
  <c r="P2401" i="3"/>
  <c r="N2401" i="3"/>
  <c r="O2401" i="3"/>
  <c r="L2402" i="3"/>
  <c r="J2403" i="3"/>
  <c r="L2403" i="3" l="1"/>
  <c r="J2404" i="3"/>
  <c r="Q2402" i="3"/>
  <c r="P2402" i="3"/>
  <c r="O2402" i="3"/>
  <c r="N2402" i="3"/>
  <c r="L2404" i="3" l="1"/>
  <c r="J2405" i="3"/>
  <c r="P2403" i="3"/>
  <c r="O2403" i="3"/>
  <c r="N2403" i="3"/>
  <c r="Q2403" i="3"/>
  <c r="J2406" i="3" l="1"/>
  <c r="L2405" i="3"/>
  <c r="N2404" i="3"/>
  <c r="O2404" i="3"/>
  <c r="P2404" i="3"/>
  <c r="Q2404" i="3"/>
  <c r="P2405" i="3" l="1"/>
  <c r="N2405" i="3"/>
  <c r="O2405" i="3"/>
  <c r="Q2405" i="3"/>
  <c r="L2406" i="3"/>
  <c r="J2407" i="3"/>
  <c r="J2408" i="3" l="1"/>
  <c r="L2407" i="3"/>
  <c r="Q2406" i="3"/>
  <c r="N2406" i="3"/>
  <c r="O2406" i="3"/>
  <c r="P2406" i="3"/>
  <c r="O2407" i="3" l="1"/>
  <c r="Q2407" i="3"/>
  <c r="N2407" i="3"/>
  <c r="P2407" i="3"/>
  <c r="L2408" i="3"/>
  <c r="J2409" i="3"/>
  <c r="L2409" i="3" l="1"/>
  <c r="J2410" i="3"/>
  <c r="Q2408" i="3"/>
  <c r="O2408" i="3"/>
  <c r="N2408" i="3"/>
  <c r="P2408" i="3"/>
  <c r="L2410" i="3" l="1"/>
  <c r="J2411" i="3"/>
  <c r="Q2409" i="3"/>
  <c r="P2409" i="3"/>
  <c r="O2409" i="3"/>
  <c r="N2409" i="3"/>
  <c r="J2412" i="3" l="1"/>
  <c r="L2411" i="3"/>
  <c r="Q2410" i="3"/>
  <c r="P2410" i="3"/>
  <c r="N2410" i="3"/>
  <c r="O2410" i="3"/>
  <c r="P2411" i="3" l="1"/>
  <c r="Q2411" i="3"/>
  <c r="N2411" i="3"/>
  <c r="O2411" i="3"/>
  <c r="L2412" i="3"/>
  <c r="J2413" i="3"/>
  <c r="Q2412" i="3" l="1"/>
  <c r="P2412" i="3"/>
  <c r="O2412" i="3"/>
  <c r="N2412" i="3"/>
  <c r="L2413" i="3"/>
  <c r="J2414" i="3"/>
  <c r="N2413" i="3" l="1"/>
  <c r="Q2413" i="3"/>
  <c r="O2413" i="3"/>
  <c r="P2413" i="3"/>
  <c r="J2415" i="3"/>
  <c r="L2414" i="3"/>
  <c r="O2414" i="3" l="1"/>
  <c r="P2414" i="3"/>
  <c r="N2414" i="3"/>
  <c r="Q2414" i="3"/>
  <c r="J2416" i="3"/>
  <c r="L2415" i="3"/>
  <c r="O2415" i="3" l="1"/>
  <c r="Q2415" i="3"/>
  <c r="N2415" i="3"/>
  <c r="P2415" i="3"/>
  <c r="L2416" i="3"/>
  <c r="J2417" i="3"/>
  <c r="J2418" i="3" l="1"/>
  <c r="L2417" i="3"/>
  <c r="Q2416" i="3"/>
  <c r="P2416" i="3"/>
  <c r="N2416" i="3"/>
  <c r="O2416" i="3"/>
  <c r="N2417" i="3" l="1"/>
  <c r="P2417" i="3"/>
  <c r="Q2417" i="3"/>
  <c r="O2417" i="3"/>
  <c r="L2418" i="3"/>
  <c r="J2419" i="3"/>
  <c r="L2419" i="3" l="1"/>
  <c r="J2420" i="3"/>
  <c r="N2418" i="3"/>
  <c r="P2418" i="3"/>
  <c r="Q2418" i="3"/>
  <c r="O2418" i="3"/>
  <c r="L2420" i="3" l="1"/>
  <c r="J2421" i="3"/>
  <c r="Q2419" i="3"/>
  <c r="N2419" i="3"/>
  <c r="O2419" i="3"/>
  <c r="P2419" i="3"/>
  <c r="L2421" i="3" l="1"/>
  <c r="J2422" i="3"/>
  <c r="O2420" i="3"/>
  <c r="N2420" i="3"/>
  <c r="Q2420" i="3"/>
  <c r="P2420" i="3"/>
  <c r="L2422" i="3" l="1"/>
  <c r="J2423" i="3"/>
  <c r="P2421" i="3"/>
  <c r="N2421" i="3"/>
  <c r="O2421" i="3"/>
  <c r="Q2421" i="3"/>
  <c r="J2424" i="3" l="1"/>
  <c r="L2423" i="3"/>
  <c r="Q2422" i="3"/>
  <c r="P2422" i="3"/>
  <c r="N2422" i="3"/>
  <c r="O2422" i="3"/>
  <c r="O2423" i="3" l="1"/>
  <c r="N2423" i="3"/>
  <c r="P2423" i="3"/>
  <c r="Q2423" i="3"/>
  <c r="J2425" i="3"/>
  <c r="L2424" i="3"/>
  <c r="Q2424" i="3" l="1"/>
  <c r="N2424" i="3"/>
  <c r="O2424" i="3"/>
  <c r="P2424" i="3"/>
  <c r="L2425" i="3"/>
  <c r="J2426" i="3"/>
  <c r="J2427" i="3" l="1"/>
  <c r="L2426" i="3"/>
  <c r="Q2425" i="3"/>
  <c r="N2425" i="3"/>
  <c r="P2425" i="3"/>
  <c r="O2425" i="3"/>
  <c r="O2426" i="3" l="1"/>
  <c r="Q2426" i="3"/>
  <c r="P2426" i="3"/>
  <c r="N2426" i="3"/>
  <c r="L2427" i="3"/>
  <c r="J2428" i="3"/>
  <c r="L2428" i="3" l="1"/>
  <c r="J2429" i="3"/>
  <c r="Q2427" i="3"/>
  <c r="P2427" i="3"/>
  <c r="N2427" i="3"/>
  <c r="O2427" i="3"/>
  <c r="L2429" i="3" l="1"/>
  <c r="J2430" i="3"/>
  <c r="Q2428" i="3"/>
  <c r="N2428" i="3"/>
  <c r="P2428" i="3"/>
  <c r="O2428" i="3"/>
  <c r="J2431" i="3" l="1"/>
  <c r="L2430" i="3"/>
  <c r="Q2429" i="3"/>
  <c r="N2429" i="3"/>
  <c r="O2429" i="3"/>
  <c r="P2429" i="3"/>
  <c r="N2430" i="3" l="1"/>
  <c r="O2430" i="3"/>
  <c r="Q2430" i="3"/>
  <c r="P2430" i="3"/>
  <c r="J2432" i="3"/>
  <c r="L2431" i="3"/>
  <c r="N2431" i="3" l="1"/>
  <c r="O2431" i="3"/>
  <c r="P2431" i="3"/>
  <c r="Q2431" i="3"/>
  <c r="L2432" i="3"/>
  <c r="J2433" i="3"/>
  <c r="L2433" i="3" l="1"/>
  <c r="J2434" i="3"/>
  <c r="P2432" i="3"/>
  <c r="O2432" i="3"/>
  <c r="Q2432" i="3"/>
  <c r="N2432" i="3"/>
  <c r="J2435" i="3" l="1"/>
  <c r="L2434" i="3"/>
  <c r="N2433" i="3"/>
  <c r="O2433" i="3"/>
  <c r="Q2433" i="3"/>
  <c r="P2433" i="3"/>
  <c r="Q2434" i="3" l="1"/>
  <c r="N2434" i="3"/>
  <c r="P2434" i="3"/>
  <c r="O2434" i="3"/>
  <c r="L2435" i="3"/>
  <c r="J2436" i="3"/>
  <c r="O2435" i="3" l="1"/>
  <c r="P2435" i="3"/>
  <c r="Q2435" i="3"/>
  <c r="N2435" i="3"/>
  <c r="L2436" i="3"/>
  <c r="J2437" i="3"/>
  <c r="J2438" i="3" l="1"/>
  <c r="L2437" i="3"/>
  <c r="P2436" i="3"/>
  <c r="O2436" i="3"/>
  <c r="Q2436" i="3"/>
  <c r="N2436" i="3"/>
  <c r="O2437" i="3" l="1"/>
  <c r="N2437" i="3"/>
  <c r="Q2437" i="3"/>
  <c r="P2437" i="3"/>
  <c r="L2438" i="3"/>
  <c r="J2439" i="3"/>
  <c r="J2440" i="3" l="1"/>
  <c r="L2439" i="3"/>
  <c r="Q2438" i="3"/>
  <c r="N2438" i="3"/>
  <c r="P2438" i="3"/>
  <c r="O2438" i="3"/>
  <c r="P2439" i="3" l="1"/>
  <c r="Q2439" i="3"/>
  <c r="O2439" i="3"/>
  <c r="N2439" i="3"/>
  <c r="L2440" i="3"/>
  <c r="J2441" i="3"/>
  <c r="L2441" i="3" l="1"/>
  <c r="J2442" i="3"/>
  <c r="P2440" i="3"/>
  <c r="Q2440" i="3"/>
  <c r="N2440" i="3"/>
  <c r="O2440" i="3"/>
  <c r="J2443" i="3" l="1"/>
  <c r="L2442" i="3"/>
  <c r="N2441" i="3"/>
  <c r="O2441" i="3"/>
  <c r="P2441" i="3"/>
  <c r="Q2441" i="3"/>
  <c r="Q2442" i="3" l="1"/>
  <c r="O2442" i="3"/>
  <c r="N2442" i="3"/>
  <c r="P2442" i="3"/>
  <c r="J2444" i="3"/>
  <c r="L2443" i="3"/>
  <c r="N2443" i="3" l="1"/>
  <c r="P2443" i="3"/>
  <c r="Q2443" i="3"/>
  <c r="O2443" i="3"/>
  <c r="J2445" i="3"/>
  <c r="L2444" i="3"/>
  <c r="P2444" i="3" l="1"/>
  <c r="O2444" i="3"/>
  <c r="Q2444" i="3"/>
  <c r="N2444" i="3"/>
  <c r="L2445" i="3"/>
  <c r="J2446" i="3"/>
  <c r="L2446" i="3" l="1"/>
  <c r="J2447" i="3"/>
  <c r="Q2445" i="3"/>
  <c r="N2445" i="3"/>
  <c r="P2445" i="3"/>
  <c r="O2445" i="3"/>
  <c r="L2447" i="3" l="1"/>
  <c r="J2448" i="3"/>
  <c r="N2446" i="3"/>
  <c r="Q2446" i="3"/>
  <c r="O2446" i="3"/>
  <c r="P2446" i="3"/>
  <c r="L2448" i="3" l="1"/>
  <c r="J2449" i="3"/>
  <c r="Q2447" i="3"/>
  <c r="P2447" i="3"/>
  <c r="O2447" i="3"/>
  <c r="N2447" i="3"/>
  <c r="L2449" i="3" l="1"/>
  <c r="J2450" i="3"/>
  <c r="Q2448" i="3"/>
  <c r="N2448" i="3"/>
  <c r="P2448" i="3"/>
  <c r="O2448" i="3"/>
  <c r="L2450" i="3" l="1"/>
  <c r="J2451" i="3"/>
  <c r="N2449" i="3"/>
  <c r="Q2449" i="3"/>
  <c r="P2449" i="3"/>
  <c r="O2449" i="3"/>
  <c r="L2451" i="3" l="1"/>
  <c r="J2452" i="3"/>
  <c r="O2450" i="3"/>
  <c r="N2450" i="3"/>
  <c r="Q2450" i="3"/>
  <c r="P2450" i="3"/>
  <c r="L2452" i="3" l="1"/>
  <c r="J2453" i="3"/>
  <c r="P2451" i="3"/>
  <c r="O2451" i="3"/>
  <c r="Q2451" i="3"/>
  <c r="N2451" i="3"/>
  <c r="J2454" i="3" l="1"/>
  <c r="L2453" i="3"/>
  <c r="O2452" i="3"/>
  <c r="N2452" i="3"/>
  <c r="Q2452" i="3"/>
  <c r="P2452" i="3"/>
  <c r="Q2453" i="3" l="1"/>
  <c r="O2453" i="3"/>
  <c r="P2453" i="3"/>
  <c r="N2453" i="3"/>
  <c r="J2455" i="3"/>
  <c r="L2454" i="3"/>
  <c r="N2454" i="3" l="1"/>
  <c r="Q2454" i="3"/>
  <c r="P2454" i="3"/>
  <c r="O2454" i="3"/>
  <c r="J2456" i="3"/>
  <c r="L2455" i="3"/>
  <c r="N2455" i="3" l="1"/>
  <c r="O2455" i="3"/>
  <c r="Q2455" i="3"/>
  <c r="P2455" i="3"/>
  <c r="J2457" i="3"/>
  <c r="L2456" i="3"/>
  <c r="Q2456" i="3" l="1"/>
  <c r="N2456" i="3"/>
  <c r="P2456" i="3"/>
  <c r="O2456" i="3"/>
  <c r="L2457" i="3"/>
  <c r="J2458" i="3"/>
  <c r="L2458" i="3" l="1"/>
  <c r="J2459" i="3"/>
  <c r="O2457" i="3"/>
  <c r="Q2457" i="3"/>
  <c r="N2457" i="3"/>
  <c r="P2457" i="3"/>
  <c r="J2460" i="3" l="1"/>
  <c r="L2459" i="3"/>
  <c r="P2458" i="3"/>
  <c r="N2458" i="3"/>
  <c r="Q2458" i="3"/>
  <c r="O2458" i="3"/>
  <c r="P2459" i="3" l="1"/>
  <c r="Q2459" i="3"/>
  <c r="N2459" i="3"/>
  <c r="O2459" i="3"/>
  <c r="J2461" i="3"/>
  <c r="L2460" i="3"/>
  <c r="P2460" i="3" l="1"/>
  <c r="N2460" i="3"/>
  <c r="Q2460" i="3"/>
  <c r="O2460" i="3"/>
  <c r="J2462" i="3"/>
  <c r="L2461" i="3"/>
  <c r="N2461" i="3" l="1"/>
  <c r="O2461" i="3"/>
  <c r="Q2461" i="3"/>
  <c r="P2461" i="3"/>
  <c r="L2462" i="3"/>
  <c r="J2463" i="3"/>
  <c r="J2464" i="3" l="1"/>
  <c r="L2463" i="3"/>
  <c r="Q2462" i="3"/>
  <c r="N2462" i="3"/>
  <c r="P2462" i="3"/>
  <c r="O2462" i="3"/>
  <c r="O2463" i="3" l="1"/>
  <c r="N2463" i="3"/>
  <c r="P2463" i="3"/>
  <c r="Q2463" i="3"/>
  <c r="J2465" i="3"/>
  <c r="L2464" i="3"/>
  <c r="Q2464" i="3" l="1"/>
  <c r="P2464" i="3"/>
  <c r="O2464" i="3"/>
  <c r="N2464" i="3"/>
  <c r="L2465" i="3"/>
  <c r="J2466" i="3"/>
  <c r="L2466" i="3" l="1"/>
  <c r="J2467" i="3"/>
  <c r="N2465" i="3"/>
  <c r="O2465" i="3"/>
  <c r="Q2465" i="3"/>
  <c r="P2465" i="3"/>
  <c r="J2468" i="3" l="1"/>
  <c r="L2467" i="3"/>
  <c r="Q2466" i="3"/>
  <c r="N2466" i="3"/>
  <c r="O2466" i="3"/>
  <c r="P2466" i="3"/>
  <c r="N2467" i="3" l="1"/>
  <c r="O2467" i="3"/>
  <c r="P2467" i="3"/>
  <c r="Q2467" i="3"/>
  <c r="L2468" i="3"/>
  <c r="J2469" i="3"/>
  <c r="J2470" i="3" l="1"/>
  <c r="L2469" i="3"/>
  <c r="P2468" i="3"/>
  <c r="O2468" i="3"/>
  <c r="N2468" i="3"/>
  <c r="Q2468" i="3"/>
  <c r="N2469" i="3" l="1"/>
  <c r="Q2469" i="3"/>
  <c r="O2469" i="3"/>
  <c r="P2469" i="3"/>
  <c r="L2470" i="3"/>
  <c r="J2471" i="3"/>
  <c r="J2472" i="3" l="1"/>
  <c r="L2471" i="3"/>
  <c r="O2470" i="3"/>
  <c r="Q2470" i="3"/>
  <c r="P2470" i="3"/>
  <c r="N2470" i="3"/>
  <c r="N2471" i="3" l="1"/>
  <c r="O2471" i="3"/>
  <c r="Q2471" i="3"/>
  <c r="P2471" i="3"/>
  <c r="J2473" i="3"/>
  <c r="L2472" i="3"/>
  <c r="P2472" i="3" l="1"/>
  <c r="O2472" i="3"/>
  <c r="N2472" i="3"/>
  <c r="Q2472" i="3"/>
  <c r="L2473" i="3"/>
  <c r="J2474" i="3"/>
  <c r="J2475" i="3" l="1"/>
  <c r="L2474" i="3"/>
  <c r="Q2473" i="3"/>
  <c r="N2473" i="3"/>
  <c r="P2473" i="3"/>
  <c r="O2473" i="3"/>
  <c r="P2474" i="3" l="1"/>
  <c r="O2474" i="3"/>
  <c r="N2474" i="3"/>
  <c r="Q2474" i="3"/>
  <c r="J2476" i="3"/>
  <c r="L2475" i="3"/>
  <c r="N2475" i="3" l="1"/>
  <c r="P2475" i="3"/>
  <c r="O2475" i="3"/>
  <c r="Q2475" i="3"/>
  <c r="L2476" i="3"/>
  <c r="J2477" i="3"/>
  <c r="J2478" i="3" l="1"/>
  <c r="L2477" i="3"/>
  <c r="P2476" i="3"/>
  <c r="O2476" i="3"/>
  <c r="N2476" i="3"/>
  <c r="Q2476" i="3"/>
  <c r="N2477" i="3" l="1"/>
  <c r="P2477" i="3"/>
  <c r="O2477" i="3"/>
  <c r="Q2477" i="3"/>
  <c r="L2478" i="3"/>
  <c r="J2479" i="3"/>
  <c r="J2480" i="3" l="1"/>
  <c r="L2479" i="3"/>
  <c r="Q2478" i="3"/>
  <c r="P2478" i="3"/>
  <c r="N2478" i="3"/>
  <c r="O2478" i="3"/>
  <c r="P2479" i="3" l="1"/>
  <c r="Q2479" i="3"/>
  <c r="O2479" i="3"/>
  <c r="N2479" i="3"/>
  <c r="J2481" i="3"/>
  <c r="L2480" i="3"/>
  <c r="N2480" i="3" l="1"/>
  <c r="P2480" i="3"/>
  <c r="O2480" i="3"/>
  <c r="Q2480" i="3"/>
  <c r="J2482" i="3"/>
  <c r="L2481" i="3"/>
  <c r="Q2481" i="3" l="1"/>
  <c r="P2481" i="3"/>
  <c r="O2481" i="3"/>
  <c r="N2481" i="3"/>
  <c r="J2483" i="3"/>
  <c r="L2482" i="3"/>
  <c r="O2482" i="3" l="1"/>
  <c r="P2482" i="3"/>
  <c r="Q2482" i="3"/>
  <c r="N2482" i="3"/>
  <c r="J2484" i="3"/>
  <c r="L2483" i="3"/>
  <c r="O2483" i="3" l="1"/>
  <c r="P2483" i="3"/>
  <c r="N2483" i="3"/>
  <c r="Q2483" i="3"/>
  <c r="J2485" i="3"/>
  <c r="L2484" i="3"/>
  <c r="O2484" i="3" l="1"/>
  <c r="P2484" i="3"/>
  <c r="Q2484" i="3"/>
  <c r="N2484" i="3"/>
  <c r="J2486" i="3"/>
  <c r="L2485" i="3"/>
  <c r="L2486" i="3" l="1"/>
  <c r="J2487" i="3"/>
  <c r="O2485" i="3"/>
  <c r="P2485" i="3"/>
  <c r="N2485" i="3"/>
  <c r="Q2485" i="3"/>
  <c r="J2488" i="3" l="1"/>
  <c r="L2487" i="3"/>
  <c r="Q2486" i="3"/>
  <c r="P2486" i="3"/>
  <c r="N2486" i="3"/>
  <c r="O2486" i="3"/>
  <c r="P2487" i="3" l="1"/>
  <c r="O2487" i="3"/>
  <c r="N2487" i="3"/>
  <c r="Q2487" i="3"/>
  <c r="L2488" i="3"/>
  <c r="J2489" i="3"/>
  <c r="L2489" i="3" l="1"/>
  <c r="J2490" i="3"/>
  <c r="P2488" i="3"/>
  <c r="O2488" i="3"/>
  <c r="N2488" i="3"/>
  <c r="Q2488" i="3"/>
  <c r="J2491" i="3" l="1"/>
  <c r="L2490" i="3"/>
  <c r="N2489" i="3"/>
  <c r="Q2489" i="3"/>
  <c r="O2489" i="3"/>
  <c r="P2489" i="3"/>
  <c r="P2490" i="3" l="1"/>
  <c r="O2490" i="3"/>
  <c r="Q2490" i="3"/>
  <c r="N2490" i="3"/>
  <c r="J2492" i="3"/>
  <c r="L2491" i="3"/>
  <c r="P2491" i="3" l="1"/>
  <c r="N2491" i="3"/>
  <c r="Q2491" i="3"/>
  <c r="O2491" i="3"/>
  <c r="L2492" i="3"/>
  <c r="J2493" i="3"/>
  <c r="L2493" i="3" l="1"/>
  <c r="J2494" i="3"/>
  <c r="P2492" i="3"/>
  <c r="O2492" i="3"/>
  <c r="Q2492" i="3"/>
  <c r="N2492" i="3"/>
  <c r="J2495" i="3" l="1"/>
  <c r="L2494" i="3"/>
  <c r="Q2493" i="3"/>
  <c r="O2493" i="3"/>
  <c r="N2493" i="3"/>
  <c r="P2493" i="3"/>
  <c r="Q2494" i="3" l="1"/>
  <c r="P2494" i="3"/>
  <c r="N2494" i="3"/>
  <c r="O2494" i="3"/>
  <c r="J2496" i="3"/>
  <c r="L2495" i="3"/>
  <c r="Q2495" i="3" l="1"/>
  <c r="O2495" i="3"/>
  <c r="N2495" i="3"/>
  <c r="P2495" i="3"/>
  <c r="L2496" i="3"/>
  <c r="J2497" i="3"/>
  <c r="L2497" i="3" l="1"/>
  <c r="J2498" i="3"/>
  <c r="Q2496" i="3"/>
  <c r="O2496" i="3"/>
  <c r="N2496" i="3"/>
  <c r="P2496" i="3"/>
  <c r="L2498" i="3" l="1"/>
  <c r="J2499" i="3"/>
  <c r="N2497" i="3"/>
  <c r="Q2497" i="3"/>
  <c r="P2497" i="3"/>
  <c r="O2497" i="3"/>
  <c r="J2500" i="3" l="1"/>
  <c r="L2499" i="3"/>
  <c r="Q2498" i="3"/>
  <c r="P2498" i="3"/>
  <c r="O2498" i="3"/>
  <c r="N2498" i="3"/>
  <c r="O2499" i="3" l="1"/>
  <c r="Q2499" i="3"/>
  <c r="N2499" i="3"/>
  <c r="P2499" i="3"/>
  <c r="L2500" i="3"/>
  <c r="J2501" i="3"/>
  <c r="J2502" i="3" l="1"/>
  <c r="L2501" i="3"/>
  <c r="P2500" i="3"/>
  <c r="O2500" i="3"/>
  <c r="N2500" i="3"/>
  <c r="Q2500" i="3"/>
  <c r="P2501" i="3" l="1"/>
  <c r="Q2501" i="3"/>
  <c r="N2501" i="3"/>
  <c r="O2501" i="3"/>
  <c r="L2502" i="3"/>
  <c r="J2503" i="3"/>
  <c r="L2503" i="3" l="1"/>
  <c r="J2504" i="3"/>
  <c r="N2502" i="3"/>
  <c r="O2502" i="3"/>
  <c r="P2502" i="3"/>
  <c r="Q2502" i="3"/>
  <c r="J2505" i="3" l="1"/>
  <c r="L2504" i="3"/>
  <c r="Q2503" i="3"/>
  <c r="N2503" i="3"/>
  <c r="P2503" i="3"/>
  <c r="O2503" i="3"/>
  <c r="O2504" i="3" l="1"/>
  <c r="Q2504" i="3"/>
  <c r="N2504" i="3"/>
  <c r="P2504" i="3"/>
  <c r="J2506" i="3"/>
  <c r="L2505" i="3"/>
  <c r="O2505" i="3" l="1"/>
  <c r="N2505" i="3"/>
  <c r="Q2505" i="3"/>
  <c r="P2505" i="3"/>
  <c r="L2506" i="3"/>
  <c r="J2507" i="3"/>
  <c r="J2508" i="3" l="1"/>
  <c r="L2507" i="3"/>
  <c r="Q2506" i="3"/>
  <c r="P2506" i="3"/>
  <c r="O2506" i="3"/>
  <c r="N2506" i="3"/>
  <c r="N2507" i="3" l="1"/>
  <c r="P2507" i="3"/>
  <c r="Q2507" i="3"/>
  <c r="O2507" i="3"/>
  <c r="J2509" i="3"/>
  <c r="L2508" i="3"/>
  <c r="Q2508" i="3" l="1"/>
  <c r="P2508" i="3"/>
  <c r="O2508" i="3"/>
  <c r="N2508" i="3"/>
  <c r="L2509" i="3"/>
  <c r="J2510" i="3"/>
  <c r="N2509" i="3" l="1"/>
  <c r="O2509" i="3"/>
  <c r="P2509" i="3"/>
  <c r="Q2509" i="3"/>
  <c r="J2511" i="3"/>
  <c r="L2510" i="3"/>
  <c r="L2511" i="3" l="1"/>
  <c r="J2512" i="3"/>
  <c r="O2510" i="3"/>
  <c r="N2510" i="3"/>
  <c r="Q2510" i="3"/>
  <c r="P2510" i="3"/>
  <c r="L2512" i="3" l="1"/>
  <c r="J2513" i="3"/>
  <c r="O2511" i="3"/>
  <c r="N2511" i="3"/>
  <c r="Q2511" i="3"/>
  <c r="P2511" i="3"/>
  <c r="P2512" i="3" l="1"/>
  <c r="Q2512" i="3"/>
  <c r="O2512" i="3"/>
  <c r="N2512" i="3"/>
  <c r="L2513" i="3"/>
  <c r="J2514" i="3"/>
  <c r="N2513" i="3" l="1"/>
  <c r="P2513" i="3"/>
  <c r="O2513" i="3"/>
  <c r="Q2513" i="3"/>
  <c r="L2514" i="3"/>
  <c r="J2515" i="3"/>
  <c r="J2516" i="3" l="1"/>
  <c r="L2515" i="3"/>
  <c r="N2514" i="3"/>
  <c r="Q2514" i="3"/>
  <c r="P2514" i="3"/>
  <c r="O2514" i="3"/>
  <c r="N2515" i="3" l="1"/>
  <c r="P2515" i="3"/>
  <c r="O2515" i="3"/>
  <c r="Q2515" i="3"/>
  <c r="J2517" i="3"/>
  <c r="L2516" i="3"/>
  <c r="P2516" i="3" l="1"/>
  <c r="N2516" i="3"/>
  <c r="Q2516" i="3"/>
  <c r="O2516" i="3"/>
  <c r="J2518" i="3"/>
  <c r="L2517" i="3"/>
  <c r="N2517" i="3" l="1"/>
  <c r="P2517" i="3"/>
  <c r="Q2517" i="3"/>
  <c r="O2517" i="3"/>
  <c r="J2519" i="3"/>
  <c r="L2518" i="3"/>
  <c r="Q2518" i="3" l="1"/>
  <c r="P2518" i="3"/>
  <c r="N2518" i="3"/>
  <c r="O2518" i="3"/>
  <c r="L2519" i="3"/>
  <c r="J2520" i="3"/>
  <c r="J2521" i="3" l="1"/>
  <c r="L2520" i="3"/>
  <c r="P2519" i="3"/>
  <c r="O2519" i="3"/>
  <c r="N2519" i="3"/>
  <c r="Q2519" i="3"/>
  <c r="O2520" i="3" l="1"/>
  <c r="N2520" i="3"/>
  <c r="P2520" i="3"/>
  <c r="Q2520" i="3"/>
  <c r="J2522" i="3"/>
  <c r="L2521" i="3"/>
  <c r="Q2521" i="3" l="1"/>
  <c r="O2521" i="3"/>
  <c r="P2521" i="3"/>
  <c r="N2521" i="3"/>
  <c r="J2523" i="3"/>
  <c r="L2522" i="3"/>
  <c r="Q2522" i="3" l="1"/>
  <c r="N2522" i="3"/>
  <c r="P2522" i="3"/>
  <c r="O2522" i="3"/>
  <c r="J2524" i="3"/>
  <c r="L2523" i="3"/>
  <c r="N2523" i="3" l="1"/>
  <c r="P2523" i="3"/>
  <c r="Q2523" i="3"/>
  <c r="O2523" i="3"/>
  <c r="J2525" i="3"/>
  <c r="L2524" i="3"/>
  <c r="J2526" i="3" l="1"/>
  <c r="L2525" i="3"/>
  <c r="P2524" i="3"/>
  <c r="N2524" i="3"/>
  <c r="Q2524" i="3"/>
  <c r="O2524" i="3"/>
  <c r="Q2525" i="3" l="1"/>
  <c r="O2525" i="3"/>
  <c r="P2525" i="3"/>
  <c r="N2525" i="3"/>
  <c r="L2526" i="3"/>
  <c r="J2527" i="3"/>
  <c r="L2527" i="3" l="1"/>
  <c r="J2528" i="3"/>
  <c r="P2526" i="3"/>
  <c r="N2526" i="3"/>
  <c r="O2526" i="3"/>
  <c r="Q2526" i="3"/>
  <c r="L2528" i="3" l="1"/>
  <c r="J2529" i="3"/>
  <c r="Q2527" i="3"/>
  <c r="O2527" i="3"/>
  <c r="N2527" i="3"/>
  <c r="P2527" i="3"/>
  <c r="L2529" i="3" l="1"/>
  <c r="J2530" i="3"/>
  <c r="Q2528" i="3"/>
  <c r="O2528" i="3"/>
  <c r="N2528" i="3"/>
  <c r="P2528" i="3"/>
  <c r="J2531" i="3" l="1"/>
  <c r="L2530" i="3"/>
  <c r="Q2529" i="3"/>
  <c r="N2529" i="3"/>
  <c r="P2529" i="3"/>
  <c r="O2529" i="3"/>
  <c r="Q2530" i="3" l="1"/>
  <c r="O2530" i="3"/>
  <c r="N2530" i="3"/>
  <c r="P2530" i="3"/>
  <c r="L2531" i="3"/>
  <c r="J2532" i="3"/>
  <c r="J2533" i="3" l="1"/>
  <c r="L2532" i="3"/>
  <c r="O2531" i="3"/>
  <c r="Q2531" i="3"/>
  <c r="P2531" i="3"/>
  <c r="N2531" i="3"/>
  <c r="Q2532" i="3" l="1"/>
  <c r="N2532" i="3"/>
  <c r="O2532" i="3"/>
  <c r="P2532" i="3"/>
  <c r="J2534" i="3"/>
  <c r="L2533" i="3"/>
  <c r="Q2533" i="3" l="1"/>
  <c r="P2533" i="3"/>
  <c r="O2533" i="3"/>
  <c r="N2533" i="3"/>
  <c r="L2534" i="3"/>
  <c r="J2535" i="3"/>
  <c r="L2535" i="3" l="1"/>
  <c r="J2536" i="3"/>
  <c r="Q2534" i="3"/>
  <c r="O2534" i="3"/>
  <c r="N2534" i="3"/>
  <c r="P2534" i="3"/>
  <c r="J2537" i="3" l="1"/>
  <c r="L2536" i="3"/>
  <c r="Q2535" i="3"/>
  <c r="O2535" i="3"/>
  <c r="P2535" i="3"/>
  <c r="N2535" i="3"/>
  <c r="O2536" i="3" l="1"/>
  <c r="N2536" i="3"/>
  <c r="Q2536" i="3"/>
  <c r="P2536" i="3"/>
  <c r="L2537" i="3"/>
  <c r="J2538" i="3"/>
  <c r="L2538" i="3" l="1"/>
  <c r="J2539" i="3"/>
  <c r="P2537" i="3"/>
  <c r="Q2537" i="3"/>
  <c r="N2537" i="3"/>
  <c r="O2537" i="3"/>
  <c r="L2539" i="3" l="1"/>
  <c r="J2540" i="3"/>
  <c r="Q2538" i="3"/>
  <c r="N2538" i="3"/>
  <c r="P2538" i="3"/>
  <c r="O2538" i="3"/>
  <c r="L2540" i="3" l="1"/>
  <c r="J2541" i="3"/>
  <c r="Q2539" i="3"/>
  <c r="N2539" i="3"/>
  <c r="O2539" i="3"/>
  <c r="P2539" i="3"/>
  <c r="J2542" i="3" l="1"/>
  <c r="L2541" i="3"/>
  <c r="Q2540" i="3"/>
  <c r="P2540" i="3"/>
  <c r="O2540" i="3"/>
  <c r="N2540" i="3"/>
  <c r="P2541" i="3" l="1"/>
  <c r="Q2541" i="3"/>
  <c r="O2541" i="3"/>
  <c r="N2541" i="3"/>
  <c r="J2543" i="3"/>
  <c r="L2542" i="3"/>
  <c r="Q2542" i="3" l="1"/>
  <c r="N2542" i="3"/>
  <c r="O2542" i="3"/>
  <c r="P2542" i="3"/>
  <c r="J2544" i="3"/>
  <c r="L2543" i="3"/>
  <c r="P2543" i="3" l="1"/>
  <c r="O2543" i="3"/>
  <c r="N2543" i="3"/>
  <c r="Q2543" i="3"/>
  <c r="J2545" i="3"/>
  <c r="L2544" i="3"/>
  <c r="Q2544" i="3" l="1"/>
  <c r="P2544" i="3"/>
  <c r="N2544" i="3"/>
  <c r="O2544" i="3"/>
  <c r="J2546" i="3"/>
  <c r="L2545" i="3"/>
  <c r="O2545" i="3" l="1"/>
  <c r="N2545" i="3"/>
  <c r="Q2545" i="3"/>
  <c r="P2545" i="3"/>
  <c r="L2546" i="3"/>
  <c r="J2547" i="3"/>
  <c r="L2547" i="3" l="1"/>
  <c r="J2548" i="3"/>
  <c r="Q2546" i="3"/>
  <c r="P2546" i="3"/>
  <c r="O2546" i="3"/>
  <c r="N2546" i="3"/>
  <c r="L2548" i="3" l="1"/>
  <c r="J2549" i="3"/>
  <c r="O2547" i="3"/>
  <c r="N2547" i="3"/>
  <c r="Q2547" i="3"/>
  <c r="P2547" i="3"/>
  <c r="J2550" i="3" l="1"/>
  <c r="L2549" i="3"/>
  <c r="Q2548" i="3"/>
  <c r="P2548" i="3"/>
  <c r="O2548" i="3"/>
  <c r="N2548" i="3"/>
  <c r="P2549" i="3" l="1"/>
  <c r="N2549" i="3"/>
  <c r="Q2549" i="3"/>
  <c r="O2549" i="3"/>
  <c r="J2551" i="3"/>
  <c r="L2550" i="3"/>
  <c r="Q2550" i="3" l="1"/>
  <c r="O2550" i="3"/>
  <c r="P2550" i="3"/>
  <c r="N2550" i="3"/>
  <c r="J2552" i="3"/>
  <c r="L2551" i="3"/>
  <c r="P2551" i="3" l="1"/>
  <c r="O2551" i="3"/>
  <c r="Q2551" i="3"/>
  <c r="N2551" i="3"/>
  <c r="J2553" i="3"/>
  <c r="L2552" i="3"/>
  <c r="P2552" i="3" l="1"/>
  <c r="Q2552" i="3"/>
  <c r="O2552" i="3"/>
  <c r="N2552" i="3"/>
  <c r="J2554" i="3"/>
  <c r="L2553" i="3"/>
  <c r="N2553" i="3" l="1"/>
  <c r="P2553" i="3"/>
  <c r="Q2553" i="3"/>
  <c r="O2553" i="3"/>
  <c r="L2554" i="3"/>
  <c r="J2555" i="3"/>
  <c r="L2555" i="3" l="1"/>
  <c r="J2556" i="3"/>
  <c r="Q2554" i="3"/>
  <c r="P2554" i="3"/>
  <c r="O2554" i="3"/>
  <c r="N2554" i="3"/>
  <c r="L2556" i="3" l="1"/>
  <c r="J2557" i="3"/>
  <c r="P2555" i="3"/>
  <c r="O2555" i="3"/>
  <c r="Q2555" i="3"/>
  <c r="N2555" i="3"/>
  <c r="J2558" i="3" l="1"/>
  <c r="L2557" i="3"/>
  <c r="Q2556" i="3"/>
  <c r="P2556" i="3"/>
  <c r="N2556" i="3"/>
  <c r="O2556" i="3"/>
  <c r="Q2557" i="3" l="1"/>
  <c r="N2557" i="3"/>
  <c r="O2557" i="3"/>
  <c r="P2557" i="3"/>
  <c r="L2558" i="3"/>
  <c r="J2559" i="3"/>
  <c r="L2559" i="3" l="1"/>
  <c r="J2560" i="3"/>
  <c r="N2558" i="3"/>
  <c r="O2558" i="3"/>
  <c r="P2558" i="3"/>
  <c r="Q2558" i="3"/>
  <c r="L2560" i="3" l="1"/>
  <c r="J2561" i="3"/>
  <c r="Q2559" i="3"/>
  <c r="O2559" i="3"/>
  <c r="N2559" i="3"/>
  <c r="P2559" i="3"/>
  <c r="P2560" i="3" l="1"/>
  <c r="Q2560" i="3"/>
  <c r="O2560" i="3"/>
  <c r="N2560" i="3"/>
  <c r="L2561" i="3"/>
  <c r="J2562" i="3"/>
  <c r="N2561" i="3" l="1"/>
  <c r="Q2561" i="3"/>
  <c r="P2561" i="3"/>
  <c r="O2561" i="3"/>
  <c r="J2563" i="3"/>
  <c r="L2562" i="3"/>
  <c r="Q2562" i="3" l="1"/>
  <c r="P2562" i="3"/>
  <c r="O2562" i="3"/>
  <c r="N2562" i="3"/>
  <c r="L2563" i="3"/>
  <c r="J2564" i="3"/>
  <c r="J2565" i="3" l="1"/>
  <c r="L2564" i="3"/>
  <c r="P2563" i="3"/>
  <c r="O2563" i="3"/>
  <c r="Q2563" i="3"/>
  <c r="N2563" i="3"/>
  <c r="Q2564" i="3" l="1"/>
  <c r="P2564" i="3"/>
  <c r="O2564" i="3"/>
  <c r="N2564" i="3"/>
  <c r="J2566" i="3"/>
  <c r="L2565" i="3"/>
  <c r="Q2565" i="3" l="1"/>
  <c r="N2565" i="3"/>
  <c r="P2565" i="3"/>
  <c r="O2565" i="3"/>
  <c r="L2566" i="3"/>
  <c r="J2567" i="3"/>
  <c r="J2568" i="3" l="1"/>
  <c r="L2567" i="3"/>
  <c r="Q2566" i="3"/>
  <c r="P2566" i="3"/>
  <c r="N2566" i="3"/>
  <c r="O2566" i="3"/>
  <c r="P2567" i="3" l="1"/>
  <c r="O2567" i="3"/>
  <c r="Q2567" i="3"/>
  <c r="N2567" i="3"/>
  <c r="L2568" i="3"/>
  <c r="J2569" i="3"/>
  <c r="L2569" i="3" l="1"/>
  <c r="J2570" i="3"/>
  <c r="Q2568" i="3"/>
  <c r="O2568" i="3"/>
  <c r="N2568" i="3"/>
  <c r="P2568" i="3"/>
  <c r="L2570" i="3" l="1"/>
  <c r="J2571" i="3"/>
  <c r="Q2569" i="3"/>
  <c r="O2569" i="3"/>
  <c r="N2569" i="3"/>
  <c r="P2569" i="3"/>
  <c r="L2571" i="3" l="1"/>
  <c r="J2572" i="3"/>
  <c r="Q2570" i="3"/>
  <c r="O2570" i="3"/>
  <c r="P2570" i="3"/>
  <c r="N2570" i="3"/>
  <c r="J2573" i="3" l="1"/>
  <c r="L2572" i="3"/>
  <c r="N2571" i="3"/>
  <c r="Q2571" i="3"/>
  <c r="P2571" i="3"/>
  <c r="O2571" i="3"/>
  <c r="Q2572" i="3" l="1"/>
  <c r="O2572" i="3"/>
  <c r="P2572" i="3"/>
  <c r="N2572" i="3"/>
  <c r="L2573" i="3"/>
  <c r="J2574" i="3"/>
  <c r="J2575" i="3" l="1"/>
  <c r="L2574" i="3"/>
  <c r="N2573" i="3"/>
  <c r="Q2573" i="3"/>
  <c r="O2573" i="3"/>
  <c r="P2573" i="3"/>
  <c r="O2574" i="3" l="1"/>
  <c r="P2574" i="3"/>
  <c r="Q2574" i="3"/>
  <c r="N2574" i="3"/>
  <c r="J2576" i="3"/>
  <c r="L2575" i="3"/>
  <c r="Q2575" i="3" l="1"/>
  <c r="P2575" i="3"/>
  <c r="N2575" i="3"/>
  <c r="O2575" i="3"/>
  <c r="L2576" i="3"/>
  <c r="J2577" i="3"/>
  <c r="C9" i="4"/>
  <c r="C6" i="4"/>
  <c r="C8" i="4"/>
  <c r="C7" i="4"/>
  <c r="B8" i="4"/>
  <c r="B6" i="4"/>
  <c r="B7" i="4"/>
  <c r="B3" i="4"/>
  <c r="B9" i="4"/>
  <c r="M28" i="4"/>
  <c r="M31" i="4"/>
  <c r="M30" i="4"/>
  <c r="M33" i="4"/>
  <c r="M35" i="4"/>
  <c r="M36" i="4"/>
  <c r="M29" i="4"/>
  <c r="M32" i="4"/>
  <c r="M34" i="4"/>
  <c r="N29" i="4"/>
  <c r="N31" i="4"/>
  <c r="N28" i="4"/>
  <c r="N35" i="4"/>
  <c r="N34" i="4"/>
  <c r="N36" i="4"/>
  <c r="N32" i="4"/>
  <c r="N30" i="4"/>
  <c r="N33" i="4"/>
  <c r="B28" i="4"/>
  <c r="B30" i="4"/>
  <c r="B29" i="4"/>
  <c r="B33" i="4"/>
  <c r="B31" i="4"/>
  <c r="B32" i="4"/>
  <c r="C28" i="4"/>
  <c r="C32" i="4"/>
  <c r="C30" i="4"/>
  <c r="C31" i="4"/>
  <c r="C29" i="4"/>
  <c r="C16" i="4"/>
  <c r="C20" i="4"/>
  <c r="C21" i="4"/>
  <c r="C26" i="4"/>
  <c r="C22" i="4"/>
  <c r="C10" i="4"/>
  <c r="C25" i="4"/>
  <c r="C24" i="4"/>
  <c r="C11" i="4"/>
  <c r="C19" i="4"/>
  <c r="C27" i="4"/>
  <c r="C23" i="4"/>
  <c r="C15" i="4"/>
  <c r="C17" i="4"/>
  <c r="C18" i="4"/>
  <c r="C14" i="4"/>
  <c r="C13" i="4"/>
  <c r="C12" i="4"/>
  <c r="B25" i="4"/>
  <c r="B26" i="4"/>
  <c r="B10" i="4"/>
  <c r="B17" i="4"/>
  <c r="B15" i="4"/>
  <c r="B27" i="4"/>
  <c r="B18" i="4"/>
  <c r="B14" i="4"/>
  <c r="B21" i="4"/>
  <c r="B19" i="4"/>
  <c r="B24" i="4"/>
  <c r="B23" i="4"/>
  <c r="B11" i="4"/>
  <c r="B12" i="4"/>
  <c r="B20" i="4"/>
  <c r="B16" i="4"/>
  <c r="B13" i="4"/>
  <c r="B22" i="4"/>
  <c r="M20" i="4"/>
  <c r="M27" i="4"/>
  <c r="M26" i="4"/>
  <c r="M18" i="4"/>
  <c r="M24" i="4"/>
  <c r="M14" i="4"/>
  <c r="M10" i="4"/>
  <c r="M9" i="4"/>
  <c r="M11" i="4"/>
  <c r="M12" i="4"/>
  <c r="M13" i="4"/>
  <c r="M17" i="4"/>
  <c r="M25" i="4"/>
  <c r="M19" i="4"/>
  <c r="M23" i="4"/>
  <c r="M22" i="4"/>
  <c r="M16" i="4"/>
  <c r="M15" i="4"/>
  <c r="M21" i="4"/>
  <c r="N14" i="4"/>
  <c r="N13" i="4"/>
  <c r="N24" i="4"/>
  <c r="N23" i="4"/>
  <c r="N19" i="4"/>
  <c r="N21" i="4"/>
  <c r="N18" i="4"/>
  <c r="N12" i="4"/>
  <c r="N27" i="4"/>
  <c r="N20" i="4"/>
  <c r="N26" i="4"/>
  <c r="N11" i="4"/>
  <c r="N25" i="4"/>
  <c r="N10" i="4"/>
  <c r="N15" i="4"/>
  <c r="N17" i="4"/>
  <c r="N9" i="4"/>
  <c r="N16" i="4"/>
  <c r="N22" i="4"/>
  <c r="J2578" i="3" l="1"/>
  <c r="L2577" i="3"/>
  <c r="Q2576" i="3"/>
  <c r="N2576" i="3"/>
  <c r="P2576" i="3"/>
  <c r="O2576" i="3"/>
  <c r="E18" i="4"/>
  <c r="G18" i="4"/>
  <c r="G27" i="4"/>
  <c r="E27" i="4"/>
  <c r="G25" i="4"/>
  <c r="E25" i="4"/>
  <c r="G21" i="4"/>
  <c r="E21" i="4"/>
  <c r="G32" i="4"/>
  <c r="E32" i="4"/>
  <c r="G28" i="4"/>
  <c r="E28" i="4"/>
  <c r="R29" i="4"/>
  <c r="P29" i="4"/>
  <c r="E6" i="4"/>
  <c r="G6" i="4"/>
  <c r="E12" i="4"/>
  <c r="G12" i="4"/>
  <c r="E17" i="4"/>
  <c r="G17" i="4"/>
  <c r="G19" i="4"/>
  <c r="E19" i="4"/>
  <c r="E10" i="4"/>
  <c r="G10" i="4"/>
  <c r="G20" i="4"/>
  <c r="E20" i="4"/>
  <c r="G31" i="4"/>
  <c r="E31" i="4"/>
  <c r="G30" i="4"/>
  <c r="E30" i="4"/>
  <c r="R30" i="4"/>
  <c r="P30" i="4"/>
  <c r="E9" i="4"/>
  <c r="G9" i="4"/>
  <c r="E13" i="4"/>
  <c r="G13" i="4"/>
  <c r="E15" i="4"/>
  <c r="G15" i="4"/>
  <c r="E11" i="4"/>
  <c r="G11" i="4"/>
  <c r="G22" i="4"/>
  <c r="E22" i="4"/>
  <c r="E16" i="4"/>
  <c r="G16" i="4"/>
  <c r="R36" i="4"/>
  <c r="P36" i="4"/>
  <c r="R35" i="4"/>
  <c r="P35" i="4"/>
  <c r="E3" i="4"/>
  <c r="G3" i="4"/>
  <c r="E7" i="4"/>
  <c r="G7" i="4"/>
  <c r="R17" i="4"/>
  <c r="P17" i="4"/>
  <c r="P11" i="4"/>
  <c r="R11" i="4"/>
  <c r="R12" i="4"/>
  <c r="P12" i="4"/>
  <c r="R23" i="4"/>
  <c r="P23" i="4"/>
  <c r="R22" i="4"/>
  <c r="P22" i="4"/>
  <c r="P15" i="4"/>
  <c r="R15" i="4"/>
  <c r="R26" i="4"/>
  <c r="P26" i="4"/>
  <c r="R18" i="4"/>
  <c r="P18" i="4"/>
  <c r="R24" i="4"/>
  <c r="P24" i="4"/>
  <c r="P16" i="4"/>
  <c r="R16" i="4"/>
  <c r="R10" i="4"/>
  <c r="P10" i="4"/>
  <c r="R20" i="4"/>
  <c r="P20" i="4"/>
  <c r="R21" i="4"/>
  <c r="P21" i="4"/>
  <c r="P13" i="4"/>
  <c r="R13" i="4"/>
  <c r="P9" i="4"/>
  <c r="R9" i="4"/>
  <c r="R25" i="4"/>
  <c r="P25" i="4"/>
  <c r="R27" i="4"/>
  <c r="P27" i="4"/>
  <c r="R19" i="4"/>
  <c r="P19" i="4"/>
  <c r="R14" i="4"/>
  <c r="P14" i="4"/>
  <c r="E14" i="4"/>
  <c r="G14" i="4"/>
  <c r="G23" i="4"/>
  <c r="E23" i="4"/>
  <c r="G24" i="4"/>
  <c r="E24" i="4"/>
  <c r="G26" i="4"/>
  <c r="E26" i="4"/>
  <c r="G29" i="4"/>
  <c r="E29" i="4"/>
  <c r="R33" i="4"/>
  <c r="P33" i="4"/>
  <c r="R32" i="4"/>
  <c r="P32" i="4"/>
  <c r="R34" i="4"/>
  <c r="P34" i="4"/>
  <c r="R28" i="4"/>
  <c r="P28" i="4"/>
  <c r="R31" i="4"/>
  <c r="P31" i="4"/>
  <c r="E8" i="4"/>
  <c r="G8" i="4"/>
  <c r="U23" i="4"/>
  <c r="U15" i="4"/>
  <c r="U36" i="4"/>
  <c r="U35" i="4"/>
  <c r="U16" i="4"/>
  <c r="U20" i="4"/>
  <c r="U33" i="4"/>
  <c r="U32" i="4"/>
  <c r="U31" i="4"/>
  <c r="F9" i="4"/>
  <c r="J31" i="4"/>
  <c r="U29" i="4"/>
  <c r="J7" i="4"/>
  <c r="F7" i="4"/>
  <c r="D7" i="4"/>
  <c r="J8" i="4"/>
  <c r="F8" i="4"/>
  <c r="D6" i="4"/>
  <c r="J6" i="4"/>
  <c r="F6" i="4"/>
  <c r="D8" i="4"/>
  <c r="J30" i="4"/>
  <c r="J28" i="4"/>
  <c r="U24" i="4"/>
  <c r="J29" i="4"/>
  <c r="U9" i="4"/>
  <c r="U30" i="4"/>
  <c r="U34" i="4"/>
  <c r="U28" i="4"/>
  <c r="U11" i="4"/>
  <c r="U12" i="4"/>
  <c r="U17" i="4"/>
  <c r="U22" i="4"/>
  <c r="U18" i="4"/>
  <c r="J22" i="4"/>
  <c r="D9" i="4"/>
  <c r="D3" i="4"/>
  <c r="J3" i="4"/>
  <c r="J9" i="4"/>
  <c r="U26" i="4"/>
  <c r="U10" i="4"/>
  <c r="U21" i="4"/>
  <c r="U13" i="4"/>
  <c r="J13" i="4"/>
  <c r="J15" i="4"/>
  <c r="J11" i="4"/>
  <c r="U25" i="4"/>
  <c r="U27" i="4"/>
  <c r="U19" i="4"/>
  <c r="U14" i="4"/>
  <c r="J32" i="4"/>
  <c r="J26" i="4"/>
  <c r="J12" i="4"/>
  <c r="J19" i="4"/>
  <c r="J10" i="4"/>
  <c r="J20" i="4"/>
  <c r="J16" i="4"/>
  <c r="J14" i="4"/>
  <c r="J23" i="4"/>
  <c r="J24" i="4"/>
  <c r="J18" i="4"/>
  <c r="J27" i="4"/>
  <c r="J25" i="4"/>
  <c r="J21" i="4"/>
  <c r="J17" i="4"/>
  <c r="Q36" i="4"/>
  <c r="Q35" i="4"/>
  <c r="Q29" i="4"/>
  <c r="O36" i="4"/>
  <c r="O35" i="4"/>
  <c r="O31" i="4"/>
  <c r="Q30" i="4"/>
  <c r="Q34" i="4"/>
  <c r="Q28" i="4"/>
  <c r="O29" i="4"/>
  <c r="Q31" i="4"/>
  <c r="O32" i="4"/>
  <c r="O33" i="4"/>
  <c r="Q33" i="4"/>
  <c r="Q32" i="4"/>
  <c r="O34" i="4"/>
  <c r="O30" i="4"/>
  <c r="O28" i="4"/>
  <c r="D31" i="4"/>
  <c r="D30" i="4"/>
  <c r="F32" i="4"/>
  <c r="D32" i="4"/>
  <c r="D33" i="4"/>
  <c r="F28" i="4"/>
  <c r="D28" i="4"/>
  <c r="F29" i="4"/>
  <c r="F31" i="4"/>
  <c r="F30" i="4"/>
  <c r="D29" i="4"/>
  <c r="Q9" i="4"/>
  <c r="Q27" i="4"/>
  <c r="Q19" i="4"/>
  <c r="Q14" i="4"/>
  <c r="O22" i="4"/>
  <c r="O17" i="4"/>
  <c r="O9" i="4"/>
  <c r="O18" i="4"/>
  <c r="D22" i="4"/>
  <c r="D12" i="4"/>
  <c r="D19" i="4"/>
  <c r="D27" i="4"/>
  <c r="D26" i="4"/>
  <c r="F14" i="4"/>
  <c r="F23" i="4"/>
  <c r="F24" i="4"/>
  <c r="F26" i="4"/>
  <c r="Q17" i="4"/>
  <c r="Q11" i="4"/>
  <c r="Q12" i="4"/>
  <c r="Q23" i="4"/>
  <c r="O21" i="4"/>
  <c r="O23" i="4"/>
  <c r="O13" i="4"/>
  <c r="O10" i="4"/>
  <c r="O26" i="4"/>
  <c r="D13" i="4"/>
  <c r="D11" i="4"/>
  <c r="D21" i="4"/>
  <c r="D15" i="4"/>
  <c r="D25" i="4"/>
  <c r="F18" i="4"/>
  <c r="F27" i="4"/>
  <c r="F25" i="4"/>
  <c r="F21" i="4"/>
  <c r="Q22" i="4"/>
  <c r="Q15" i="4"/>
  <c r="Q26" i="4"/>
  <c r="Q18" i="4"/>
  <c r="Q24" i="4"/>
  <c r="O15" i="4"/>
  <c r="O19" i="4"/>
  <c r="O12" i="4"/>
  <c r="O14" i="4"/>
  <c r="O27" i="4"/>
  <c r="D16" i="4"/>
  <c r="D23" i="4"/>
  <c r="D14" i="4"/>
  <c r="D17" i="4"/>
  <c r="F12" i="4"/>
  <c r="F17" i="4"/>
  <c r="F19" i="4"/>
  <c r="F10" i="4"/>
  <c r="F20" i="4"/>
  <c r="Q25" i="4"/>
  <c r="Q16" i="4"/>
  <c r="Q10" i="4"/>
  <c r="Q20" i="4"/>
  <c r="Q21" i="4"/>
  <c r="Q13" i="4"/>
  <c r="O16" i="4"/>
  <c r="O25" i="4"/>
  <c r="O11" i="4"/>
  <c r="O24" i="4"/>
  <c r="O20" i="4"/>
  <c r="D20" i="4"/>
  <c r="D24" i="4"/>
  <c r="D18" i="4"/>
  <c r="D10" i="4"/>
  <c r="F13" i="4"/>
  <c r="F15" i="4"/>
  <c r="F11" i="4"/>
  <c r="F22" i="4"/>
  <c r="F16" i="4"/>
  <c r="N2577" i="3" l="1"/>
  <c r="Q2577" i="3"/>
  <c r="P2577" i="3"/>
  <c r="O2577" i="3"/>
  <c r="J2579" i="3"/>
  <c r="L2578" i="3"/>
  <c r="H9" i="4"/>
  <c r="I9" i="4" s="1"/>
  <c r="S21" i="4"/>
  <c r="T21" i="4" s="1"/>
  <c r="S23" i="4"/>
  <c r="T23" i="4" s="1"/>
  <c r="S35" i="4"/>
  <c r="T35" i="4" s="1"/>
  <c r="S36" i="4"/>
  <c r="T36" i="4" s="1"/>
  <c r="S17" i="4"/>
  <c r="T17" i="4" s="1"/>
  <c r="S27" i="4"/>
  <c r="T27" i="4" s="1"/>
  <c r="S18" i="4"/>
  <c r="T18" i="4" s="1"/>
  <c r="S26" i="4"/>
  <c r="T26" i="4" s="1"/>
  <c r="S32" i="4"/>
  <c r="T32" i="4" s="1"/>
  <c r="S30" i="4"/>
  <c r="T30" i="4" s="1"/>
  <c r="S20" i="4"/>
  <c r="T20" i="4" s="1"/>
  <c r="S25" i="4"/>
  <c r="T25" i="4" s="1"/>
  <c r="S24" i="4"/>
  <c r="T24" i="4" s="1"/>
  <c r="S12" i="4"/>
  <c r="T12" i="4" s="1"/>
  <c r="S19" i="4"/>
  <c r="T19" i="4" s="1"/>
  <c r="S9" i="4"/>
  <c r="T9" i="4" s="1"/>
  <c r="S28" i="4"/>
  <c r="T28" i="4" s="1"/>
  <c r="H6" i="4"/>
  <c r="I6" i="4" s="1"/>
  <c r="H3" i="4"/>
  <c r="I3" i="4" s="1"/>
  <c r="S15" i="4"/>
  <c r="T15" i="4" s="1"/>
  <c r="H21" i="4"/>
  <c r="I21" i="4" s="1"/>
  <c r="S11" i="4"/>
  <c r="T11" i="4" s="1"/>
  <c r="S33" i="4"/>
  <c r="T33" i="4" s="1"/>
  <c r="S31" i="4"/>
  <c r="T31" i="4" s="1"/>
  <c r="H16" i="4"/>
  <c r="I16" i="4" s="1"/>
  <c r="H15" i="4"/>
  <c r="I15" i="4" s="1"/>
  <c r="S13" i="4"/>
  <c r="T13" i="4" s="1"/>
  <c r="S10" i="4"/>
  <c r="T10" i="4" s="1"/>
  <c r="H23" i="4"/>
  <c r="I23" i="4" s="1"/>
  <c r="S14" i="4"/>
  <c r="T14" i="4" s="1"/>
  <c r="H29" i="4"/>
  <c r="I29" i="4" s="1"/>
  <c r="H28" i="4"/>
  <c r="I28" i="4" s="1"/>
  <c r="S29" i="4"/>
  <c r="T29" i="4" s="1"/>
  <c r="H22" i="4"/>
  <c r="I22" i="4" s="1"/>
  <c r="S16" i="4"/>
  <c r="T16" i="4" s="1"/>
  <c r="S22" i="4"/>
  <c r="T22" i="4" s="1"/>
  <c r="H31" i="4"/>
  <c r="I31" i="4" s="1"/>
  <c r="S34" i="4"/>
  <c r="T34" i="4" s="1"/>
  <c r="H13" i="4"/>
  <c r="I13" i="4" s="1"/>
  <c r="H24" i="4"/>
  <c r="I24" i="4" s="1"/>
  <c r="H14" i="4"/>
  <c r="I14" i="4" s="1"/>
  <c r="H32" i="4"/>
  <c r="I32" i="4" s="1"/>
  <c r="H11" i="4"/>
  <c r="I11" i="4" s="1"/>
  <c r="H20" i="4"/>
  <c r="I20" i="4" s="1"/>
  <c r="H10" i="4"/>
  <c r="I10" i="4" s="1"/>
  <c r="H17" i="4"/>
  <c r="I17" i="4" s="1"/>
  <c r="H12" i="4"/>
  <c r="I12" i="4" s="1"/>
  <c r="H27" i="4"/>
  <c r="I27" i="4" s="1"/>
  <c r="H8" i="4"/>
  <c r="I8" i="4" s="1"/>
  <c r="H18" i="4"/>
  <c r="I18" i="4" s="1"/>
  <c r="H7" i="4"/>
  <c r="I7" i="4" s="1"/>
  <c r="H19" i="4"/>
  <c r="I19" i="4" s="1"/>
  <c r="H25" i="4"/>
  <c r="I25" i="4" s="1"/>
  <c r="H26" i="4"/>
  <c r="I26" i="4" s="1"/>
  <c r="H30" i="4"/>
  <c r="I30" i="4" s="1"/>
  <c r="Q2578" i="3" l="1"/>
  <c r="O2578" i="3"/>
  <c r="P2578" i="3"/>
  <c r="N2578" i="3"/>
  <c r="J2580" i="3"/>
  <c r="L2579" i="3"/>
  <c r="P2579" i="3" l="1"/>
  <c r="Q2579" i="3"/>
  <c r="O2579" i="3"/>
  <c r="N2579" i="3"/>
  <c r="J2581" i="3"/>
  <c r="L2580" i="3"/>
  <c r="O2580" i="3" l="1"/>
  <c r="P2580" i="3"/>
  <c r="N2580" i="3"/>
  <c r="Q2580" i="3"/>
  <c r="J2582" i="3"/>
  <c r="L2581" i="3"/>
  <c r="C35" i="4"/>
  <c r="B35" i="4"/>
  <c r="D35" i="4" s="1"/>
  <c r="C37" i="4"/>
  <c r="P2581" i="3" l="1"/>
  <c r="N2581" i="3"/>
  <c r="Q2581" i="3"/>
  <c r="O2581" i="3"/>
  <c r="L2582" i="3"/>
  <c r="J2583" i="3"/>
  <c r="N61" i="4"/>
  <c r="Q61" i="4" s="1"/>
  <c r="M67" i="4"/>
  <c r="O67" i="4" s="1"/>
  <c r="C51" i="4"/>
  <c r="F51" i="4" s="1"/>
  <c r="M85" i="4"/>
  <c r="O85" i="4" s="1"/>
  <c r="M43" i="4"/>
  <c r="O43" i="4" s="1"/>
  <c r="M51" i="4"/>
  <c r="O51" i="4" s="1"/>
  <c r="C63" i="4"/>
  <c r="M66" i="4"/>
  <c r="O66" i="4" s="1"/>
  <c r="B42" i="4"/>
  <c r="D42" i="4" s="1"/>
  <c r="F37" i="4"/>
  <c r="G35" i="4"/>
  <c r="E35" i="4"/>
  <c r="J35" i="4"/>
  <c r="F35" i="4"/>
  <c r="C62" i="4"/>
  <c r="F62" i="4" s="1"/>
  <c r="C34" i="4"/>
  <c r="C61" i="4"/>
  <c r="F61" i="4" s="1"/>
  <c r="C5" i="4"/>
  <c r="C4" i="4"/>
  <c r="C64" i="4"/>
  <c r="C53" i="4"/>
  <c r="M61" i="4"/>
  <c r="O61" i="4" s="1"/>
  <c r="M46" i="4"/>
  <c r="O46" i="4" s="1"/>
  <c r="N60" i="4"/>
  <c r="M54" i="4"/>
  <c r="O54" i="4" s="1"/>
  <c r="M48" i="4"/>
  <c r="O48" i="4" s="1"/>
  <c r="M64" i="4"/>
  <c r="O64" i="4" s="1"/>
  <c r="B50" i="4"/>
  <c r="D50" i="4" s="1"/>
  <c r="C36" i="4"/>
  <c r="N62" i="4"/>
  <c r="N48" i="4"/>
  <c r="C40" i="4"/>
  <c r="B51" i="4"/>
  <c r="D51" i="4" s="1"/>
  <c r="M39" i="4"/>
  <c r="O39" i="4" s="1"/>
  <c r="N44" i="4"/>
  <c r="C55" i="4"/>
  <c r="C48" i="4"/>
  <c r="N59" i="4"/>
  <c r="N42" i="4"/>
  <c r="M49" i="4"/>
  <c r="O49" i="4" s="1"/>
  <c r="C43" i="4"/>
  <c r="M45" i="4"/>
  <c r="O45" i="4" s="1"/>
  <c r="M57" i="4"/>
  <c r="O57" i="4" s="1"/>
  <c r="N50" i="4"/>
  <c r="C52" i="4"/>
  <c r="B64" i="4"/>
  <c r="D64" i="4" s="1"/>
  <c r="B34" i="4"/>
  <c r="D34" i="4" s="1"/>
  <c r="M76" i="4"/>
  <c r="O76" i="4" s="1"/>
  <c r="M6" i="4"/>
  <c r="O6" i="4" s="1"/>
  <c r="M5" i="4"/>
  <c r="O5" i="4" s="1"/>
  <c r="M7" i="4"/>
  <c r="O7" i="4" s="1"/>
  <c r="M8" i="4"/>
  <c r="O8" i="4" s="1"/>
  <c r="M56" i="4"/>
  <c r="O56" i="4" s="1"/>
  <c r="M50" i="4"/>
  <c r="O50" i="4" s="1"/>
  <c r="M55" i="4"/>
  <c r="O55" i="4" s="1"/>
  <c r="M44" i="4"/>
  <c r="O44" i="4" s="1"/>
  <c r="N69" i="4"/>
  <c r="C38" i="4"/>
  <c r="B47" i="4"/>
  <c r="D47" i="4" s="1"/>
  <c r="M70" i="4"/>
  <c r="O70" i="4" s="1"/>
  <c r="B45" i="4"/>
  <c r="D45" i="4" s="1"/>
  <c r="N58" i="4"/>
  <c r="C54" i="4"/>
  <c r="B46" i="4"/>
  <c r="D46" i="4" s="1"/>
  <c r="C45" i="4"/>
  <c r="M63" i="4"/>
  <c r="O63" i="4" s="1"/>
  <c r="B39" i="4"/>
  <c r="D39" i="4" s="1"/>
  <c r="N49" i="4"/>
  <c r="N70" i="4"/>
  <c r="N39" i="4"/>
  <c r="N56" i="4"/>
  <c r="C47" i="4"/>
  <c r="B54" i="4"/>
  <c r="D54" i="4" s="1"/>
  <c r="B53" i="4"/>
  <c r="D53" i="4" s="1"/>
  <c r="N37" i="4"/>
  <c r="N46" i="4"/>
  <c r="B55" i="4"/>
  <c r="D55" i="4" s="1"/>
  <c r="M78" i="4"/>
  <c r="O78" i="4" s="1"/>
  <c r="B61" i="4"/>
  <c r="D61" i="4" s="1"/>
  <c r="B5" i="4"/>
  <c r="D5" i="4" s="1"/>
  <c r="B4" i="4"/>
  <c r="D4" i="4" s="1"/>
  <c r="B67" i="4"/>
  <c r="D67" i="4" s="1"/>
  <c r="C66" i="4"/>
  <c r="C33" i="4"/>
  <c r="B48" i="4"/>
  <c r="D48" i="4" s="1"/>
  <c r="M38" i="4"/>
  <c r="O38" i="4" s="1"/>
  <c r="N47" i="4"/>
  <c r="N71" i="4"/>
  <c r="M60" i="4"/>
  <c r="O60" i="4" s="1"/>
  <c r="M71" i="4"/>
  <c r="O71" i="4" s="1"/>
  <c r="M65" i="4"/>
  <c r="O65" i="4" s="1"/>
  <c r="B49" i="4"/>
  <c r="D49" i="4" s="1"/>
  <c r="M58" i="4"/>
  <c r="O58" i="4" s="1"/>
  <c r="M47" i="4"/>
  <c r="O47" i="4" s="1"/>
  <c r="N57" i="4"/>
  <c r="N67" i="4"/>
  <c r="N54" i="4"/>
  <c r="M52" i="4"/>
  <c r="O52" i="4" s="1"/>
  <c r="M37" i="4"/>
  <c r="O37" i="4" s="1"/>
  <c r="N43" i="4"/>
  <c r="N40" i="4"/>
  <c r="B38" i="4"/>
  <c r="D38" i="4" s="1"/>
  <c r="N45" i="4"/>
  <c r="N65" i="4"/>
  <c r="N63" i="4"/>
  <c r="C39" i="4"/>
  <c r="B52" i="4"/>
  <c r="D52" i="4" s="1"/>
  <c r="M68" i="4"/>
  <c r="O68" i="4" s="1"/>
  <c r="M69" i="4"/>
  <c r="O69" i="4" s="1"/>
  <c r="N93" i="4"/>
  <c r="N66" i="4"/>
  <c r="N82" i="4"/>
  <c r="Q82" i="4" s="1"/>
  <c r="N6" i="4"/>
  <c r="N5" i="4"/>
  <c r="N4" i="4"/>
  <c r="N7" i="4"/>
  <c r="N8" i="4"/>
  <c r="N52" i="4"/>
  <c r="N55" i="4"/>
  <c r="M42" i="4"/>
  <c r="O42" i="4" s="1"/>
  <c r="N53" i="4"/>
  <c r="N38" i="4"/>
  <c r="B43" i="4"/>
  <c r="D43" i="4" s="1"/>
  <c r="C42" i="4"/>
  <c r="M62" i="4"/>
  <c r="O62" i="4" s="1"/>
  <c r="B41" i="4"/>
  <c r="D41" i="4" s="1"/>
  <c r="C41" i="4"/>
  <c r="B44" i="4"/>
  <c r="D44" i="4" s="1"/>
  <c r="M53" i="4"/>
  <c r="O53" i="4" s="1"/>
  <c r="M40" i="4"/>
  <c r="O40" i="4" s="1"/>
  <c r="N72" i="4"/>
  <c r="N51" i="4"/>
  <c r="N41" i="4"/>
  <c r="C46" i="4"/>
  <c r="M59" i="4"/>
  <c r="O59" i="4" s="1"/>
  <c r="N68" i="4"/>
  <c r="C50" i="4"/>
  <c r="C49" i="4"/>
  <c r="B37" i="4"/>
  <c r="D37" i="4" s="1"/>
  <c r="M72" i="4"/>
  <c r="O72" i="4" s="1"/>
  <c r="N74" i="4"/>
  <c r="N79" i="4"/>
  <c r="N77" i="4"/>
  <c r="N94" i="4"/>
  <c r="F63" i="4"/>
  <c r="N92" i="4"/>
  <c r="N76" i="4"/>
  <c r="C57" i="4"/>
  <c r="M86" i="4"/>
  <c r="O86" i="4" s="1"/>
  <c r="N87" i="4"/>
  <c r="M87" i="4"/>
  <c r="O87" i="4" s="1"/>
  <c r="N80" i="4"/>
  <c r="B58" i="4"/>
  <c r="D58" i="4" s="1"/>
  <c r="N88" i="4"/>
  <c r="B59" i="4"/>
  <c r="D59" i="4" s="1"/>
  <c r="N78" i="4"/>
  <c r="M92" i="4"/>
  <c r="O92" i="4" s="1"/>
  <c r="F64" i="4"/>
  <c r="N86" i="4"/>
  <c r="N83" i="4"/>
  <c r="N73" i="4"/>
  <c r="M79" i="4"/>
  <c r="O79" i="4" s="1"/>
  <c r="M80" i="4"/>
  <c r="O80" i="4" s="1"/>
  <c r="M91" i="4"/>
  <c r="O91" i="4" s="1"/>
  <c r="M83" i="4"/>
  <c r="O83" i="4" s="1"/>
  <c r="M75" i="4"/>
  <c r="O75" i="4" s="1"/>
  <c r="M89" i="4"/>
  <c r="O89" i="4" s="1"/>
  <c r="M90" i="4"/>
  <c r="O90" i="4" s="1"/>
  <c r="N85" i="4"/>
  <c r="M81" i="4"/>
  <c r="O81" i="4" s="1"/>
  <c r="C74" i="4"/>
  <c r="C59" i="4"/>
  <c r="C65" i="4"/>
  <c r="C56" i="4"/>
  <c r="C60" i="4"/>
  <c r="C58" i="4"/>
  <c r="M77" i="4"/>
  <c r="O77" i="4" s="1"/>
  <c r="M73" i="4"/>
  <c r="O73" i="4" s="1"/>
  <c r="M74" i="4"/>
  <c r="O74" i="4" s="1"/>
  <c r="N89" i="4"/>
  <c r="M95" i="4"/>
  <c r="O95" i="4" s="1"/>
  <c r="N84" i="4"/>
  <c r="M84" i="4"/>
  <c r="O84" i="4" s="1"/>
  <c r="B57" i="4"/>
  <c r="D57" i="4" s="1"/>
  <c r="B60" i="4"/>
  <c r="D60" i="4" s="1"/>
  <c r="B63" i="4"/>
  <c r="D63" i="4" s="1"/>
  <c r="B56" i="4"/>
  <c r="D56" i="4" s="1"/>
  <c r="B62" i="4"/>
  <c r="D62" i="4" s="1"/>
  <c r="B65" i="4"/>
  <c r="D65" i="4" s="1"/>
  <c r="N75" i="4"/>
  <c r="N81" i="4"/>
  <c r="B66" i="4"/>
  <c r="D66" i="4" s="1"/>
  <c r="M82" i="4"/>
  <c r="O82" i="4" s="1"/>
  <c r="N90" i="4"/>
  <c r="M88" i="4"/>
  <c r="O88" i="4" s="1"/>
  <c r="M94" i="4"/>
  <c r="O94" i="4" s="1"/>
  <c r="M93" i="4"/>
  <c r="O93" i="4" s="1"/>
  <c r="N91" i="4"/>
  <c r="C75" i="4"/>
  <c r="C77" i="4"/>
  <c r="B68" i="4"/>
  <c r="D68" i="4" s="1"/>
  <c r="B72" i="4"/>
  <c r="B69" i="4"/>
  <c r="B78" i="4"/>
  <c r="D78" i="4" s="1"/>
  <c r="B70" i="4"/>
  <c r="B81" i="4"/>
  <c r="D81" i="4" s="1"/>
  <c r="B85" i="4"/>
  <c r="D85" i="4" s="1"/>
  <c r="B71" i="4"/>
  <c r="B83" i="4"/>
  <c r="D83" i="4" s="1"/>
  <c r="C72" i="4"/>
  <c r="B86" i="4"/>
  <c r="D86" i="4" s="1"/>
  <c r="C73" i="4"/>
  <c r="C86" i="4"/>
  <c r="C71" i="4"/>
  <c r="C84" i="4"/>
  <c r="C76" i="4"/>
  <c r="C79" i="4"/>
  <c r="C82" i="4"/>
  <c r="C80" i="4"/>
  <c r="B82" i="4"/>
  <c r="D82" i="4" s="1"/>
  <c r="B74" i="4"/>
  <c r="D74" i="4" s="1"/>
  <c r="C78" i="4"/>
  <c r="B76" i="4"/>
  <c r="D76" i="4" s="1"/>
  <c r="C67" i="4"/>
  <c r="C69" i="4"/>
  <c r="B84" i="4"/>
  <c r="D84" i="4" s="1"/>
  <c r="C83" i="4"/>
  <c r="C85" i="4"/>
  <c r="B73" i="4"/>
  <c r="D73" i="4" s="1"/>
  <c r="B77" i="4"/>
  <c r="D77" i="4" s="1"/>
  <c r="B80" i="4"/>
  <c r="D80" i="4" s="1"/>
  <c r="C68" i="4"/>
  <c r="C70" i="4"/>
  <c r="C81" i="4"/>
  <c r="B75" i="4"/>
  <c r="D75" i="4" s="1"/>
  <c r="B79" i="4"/>
  <c r="D79" i="4" s="1"/>
  <c r="J61" i="4" l="1"/>
  <c r="L2583" i="3"/>
  <c r="J2584" i="3"/>
  <c r="Q2582" i="3"/>
  <c r="O2582" i="3"/>
  <c r="N2582" i="3"/>
  <c r="P2582" i="3"/>
  <c r="G61" i="4"/>
  <c r="J74" i="4"/>
  <c r="U93" i="4"/>
  <c r="J64" i="4"/>
  <c r="H35" i="4"/>
  <c r="I35" i="4" s="1"/>
  <c r="P61" i="4"/>
  <c r="U61" i="4"/>
  <c r="J51" i="4"/>
  <c r="G64" i="4"/>
  <c r="J63" i="4"/>
  <c r="E64" i="4"/>
  <c r="J66" i="4"/>
  <c r="J62" i="4"/>
  <c r="F66" i="4"/>
  <c r="U82" i="4"/>
  <c r="J37" i="4"/>
  <c r="E61" i="4"/>
  <c r="H61" i="4" s="1"/>
  <c r="I61" i="4" s="1"/>
  <c r="Q93" i="4"/>
  <c r="R68" i="4"/>
  <c r="U68" i="4"/>
  <c r="P68" i="4"/>
  <c r="Q68" i="4"/>
  <c r="R51" i="4"/>
  <c r="P51" i="4"/>
  <c r="U51" i="4"/>
  <c r="Q51" i="4"/>
  <c r="G42" i="4"/>
  <c r="E42" i="4"/>
  <c r="J42" i="4"/>
  <c r="F42" i="4"/>
  <c r="U7" i="4"/>
  <c r="R7" i="4"/>
  <c r="Q7" i="4"/>
  <c r="P7" i="4"/>
  <c r="U65" i="4"/>
  <c r="P65" i="4"/>
  <c r="R65" i="4"/>
  <c r="Q65" i="4"/>
  <c r="R43" i="4"/>
  <c r="P43" i="4"/>
  <c r="U43" i="4"/>
  <c r="Q43" i="4"/>
  <c r="Q67" i="4"/>
  <c r="R67" i="4"/>
  <c r="P67" i="4"/>
  <c r="U67" i="4"/>
  <c r="U71" i="4"/>
  <c r="P71" i="4"/>
  <c r="R71" i="4"/>
  <c r="Q71" i="4"/>
  <c r="F33" i="4"/>
  <c r="G33" i="4"/>
  <c r="E33" i="4"/>
  <c r="J33" i="4"/>
  <c r="P46" i="4"/>
  <c r="R46" i="4"/>
  <c r="Q46" i="4"/>
  <c r="U46" i="4"/>
  <c r="G47" i="4"/>
  <c r="F47" i="4"/>
  <c r="E47" i="4"/>
  <c r="J47" i="4"/>
  <c r="R49" i="4"/>
  <c r="Q49" i="4"/>
  <c r="P49" i="4"/>
  <c r="U49" i="4"/>
  <c r="G51" i="4"/>
  <c r="R59" i="4"/>
  <c r="P59" i="4"/>
  <c r="Q59" i="4"/>
  <c r="U59" i="4"/>
  <c r="R62" i="4"/>
  <c r="P62" i="4"/>
  <c r="U62" i="4"/>
  <c r="Q62" i="4"/>
  <c r="E5" i="4"/>
  <c r="F5" i="4"/>
  <c r="G5" i="4"/>
  <c r="J5" i="4"/>
  <c r="Q72" i="4"/>
  <c r="U72" i="4"/>
  <c r="P72" i="4"/>
  <c r="R72" i="4"/>
  <c r="G41" i="4"/>
  <c r="F41" i="4"/>
  <c r="E41" i="4"/>
  <c r="J41" i="4"/>
  <c r="U55" i="4"/>
  <c r="R55" i="4"/>
  <c r="Q55" i="4"/>
  <c r="P55" i="4"/>
  <c r="P4" i="4"/>
  <c r="Q4" i="4"/>
  <c r="U4" i="4"/>
  <c r="R4" i="4"/>
  <c r="Q66" i="4"/>
  <c r="P66" i="4"/>
  <c r="R66" i="4"/>
  <c r="U66" i="4"/>
  <c r="U45" i="4"/>
  <c r="Q45" i="4"/>
  <c r="P45" i="4"/>
  <c r="R45" i="4"/>
  <c r="R57" i="4"/>
  <c r="U57" i="4"/>
  <c r="Q57" i="4"/>
  <c r="P57" i="4"/>
  <c r="R47" i="4"/>
  <c r="P47" i="4"/>
  <c r="Q47" i="4"/>
  <c r="U47" i="4"/>
  <c r="U37" i="4"/>
  <c r="P37" i="4"/>
  <c r="R37" i="4"/>
  <c r="Q37" i="4"/>
  <c r="Q56" i="4"/>
  <c r="R56" i="4"/>
  <c r="P56" i="4"/>
  <c r="U56" i="4"/>
  <c r="F54" i="4"/>
  <c r="G54" i="4"/>
  <c r="E54" i="4"/>
  <c r="J54" i="4"/>
  <c r="J52" i="4"/>
  <c r="G52" i="4"/>
  <c r="E52" i="4"/>
  <c r="F52" i="4"/>
  <c r="G43" i="4"/>
  <c r="J43" i="4"/>
  <c r="E43" i="4"/>
  <c r="F43" i="4"/>
  <c r="J48" i="4"/>
  <c r="E48" i="4"/>
  <c r="G48" i="4"/>
  <c r="F48" i="4"/>
  <c r="F36" i="4"/>
  <c r="G53" i="4"/>
  <c r="E53" i="4"/>
  <c r="J53" i="4"/>
  <c r="F53" i="4"/>
  <c r="G37" i="4"/>
  <c r="R61" i="4"/>
  <c r="G50" i="4"/>
  <c r="E50" i="4"/>
  <c r="F50" i="4"/>
  <c r="J50" i="4"/>
  <c r="Q41" i="4"/>
  <c r="U53" i="4"/>
  <c r="Q53" i="4"/>
  <c r="R53" i="4"/>
  <c r="P53" i="4"/>
  <c r="P8" i="4"/>
  <c r="R8" i="4"/>
  <c r="U8" i="4"/>
  <c r="Q8" i="4"/>
  <c r="R6" i="4"/>
  <c r="P6" i="4"/>
  <c r="U6" i="4"/>
  <c r="Q6" i="4"/>
  <c r="R63" i="4"/>
  <c r="P63" i="4"/>
  <c r="Q63" i="4"/>
  <c r="U63" i="4"/>
  <c r="U40" i="4"/>
  <c r="R40" i="4"/>
  <c r="P40" i="4"/>
  <c r="Q40" i="4"/>
  <c r="R54" i="4"/>
  <c r="U54" i="4"/>
  <c r="P54" i="4"/>
  <c r="Q54" i="4"/>
  <c r="U70" i="4"/>
  <c r="Q70" i="4"/>
  <c r="R70" i="4"/>
  <c r="P70" i="4"/>
  <c r="G45" i="4"/>
  <c r="F45" i="4"/>
  <c r="E45" i="4"/>
  <c r="J45" i="4"/>
  <c r="F74" i="4"/>
  <c r="J49" i="4"/>
  <c r="F49" i="4"/>
  <c r="G49" i="4"/>
  <c r="E49" i="4"/>
  <c r="J46" i="4"/>
  <c r="F46" i="4"/>
  <c r="E46" i="4"/>
  <c r="G46" i="4"/>
  <c r="R38" i="4"/>
  <c r="Q38" i="4"/>
  <c r="P38" i="4"/>
  <c r="U38" i="4"/>
  <c r="R52" i="4"/>
  <c r="P52" i="4"/>
  <c r="U52" i="4"/>
  <c r="Q52" i="4"/>
  <c r="P5" i="4"/>
  <c r="Q5" i="4"/>
  <c r="R5" i="4"/>
  <c r="U5" i="4"/>
  <c r="F39" i="4"/>
  <c r="G39" i="4"/>
  <c r="J39" i="4"/>
  <c r="E39" i="4"/>
  <c r="R39" i="4"/>
  <c r="U39" i="4"/>
  <c r="P39" i="4"/>
  <c r="Q39" i="4"/>
  <c r="Q58" i="4"/>
  <c r="R58" i="4"/>
  <c r="U58" i="4"/>
  <c r="P58" i="4"/>
  <c r="F38" i="4"/>
  <c r="G38" i="4"/>
  <c r="E38" i="4"/>
  <c r="J38" i="4"/>
  <c r="E51" i="4"/>
  <c r="R50" i="4"/>
  <c r="Q50" i="4"/>
  <c r="P50" i="4"/>
  <c r="U50" i="4"/>
  <c r="G55" i="4"/>
  <c r="F55" i="4"/>
  <c r="E55" i="4"/>
  <c r="J55" i="4"/>
  <c r="F40" i="4"/>
  <c r="R60" i="4"/>
  <c r="U60" i="4"/>
  <c r="P60" i="4"/>
  <c r="Q60" i="4"/>
  <c r="G34" i="4"/>
  <c r="E34" i="4"/>
  <c r="F34" i="4"/>
  <c r="J34" i="4"/>
  <c r="U69" i="4"/>
  <c r="P69" i="4"/>
  <c r="R69" i="4"/>
  <c r="Q69" i="4"/>
  <c r="P42" i="4"/>
  <c r="R42" i="4"/>
  <c r="Q42" i="4"/>
  <c r="U42" i="4"/>
  <c r="R44" i="4"/>
  <c r="U44" i="4"/>
  <c r="P44" i="4"/>
  <c r="Q44" i="4"/>
  <c r="R48" i="4"/>
  <c r="U48" i="4"/>
  <c r="P48" i="4"/>
  <c r="Q48" i="4"/>
  <c r="E4" i="4"/>
  <c r="F4" i="4"/>
  <c r="J4" i="4"/>
  <c r="G4" i="4"/>
  <c r="E37" i="4"/>
  <c r="F58" i="4"/>
  <c r="E58" i="4"/>
  <c r="G58" i="4"/>
  <c r="J58" i="4"/>
  <c r="G59" i="4"/>
  <c r="F59" i="4"/>
  <c r="E59" i="4"/>
  <c r="J59" i="4"/>
  <c r="G66" i="4"/>
  <c r="P73" i="4"/>
  <c r="U73" i="4"/>
  <c r="Q73" i="4"/>
  <c r="R73" i="4"/>
  <c r="Q88" i="4"/>
  <c r="P88" i="4"/>
  <c r="R88" i="4"/>
  <c r="U88" i="4"/>
  <c r="P87" i="4"/>
  <c r="U87" i="4"/>
  <c r="Q87" i="4"/>
  <c r="R87" i="4"/>
  <c r="U92" i="4"/>
  <c r="R92" i="4"/>
  <c r="Q92" i="4"/>
  <c r="P92" i="4"/>
  <c r="Q79" i="4"/>
  <c r="P79" i="4"/>
  <c r="U79" i="4"/>
  <c r="R79" i="4"/>
  <c r="P91" i="4"/>
  <c r="U91" i="4"/>
  <c r="R91" i="4"/>
  <c r="Q91" i="4"/>
  <c r="U90" i="4"/>
  <c r="R90" i="4"/>
  <c r="P90" i="4"/>
  <c r="Q90" i="4"/>
  <c r="P89" i="4"/>
  <c r="U89" i="4"/>
  <c r="R89" i="4"/>
  <c r="Q89" i="4"/>
  <c r="R81" i="4"/>
  <c r="P81" i="4"/>
  <c r="Q81" i="4"/>
  <c r="U81" i="4"/>
  <c r="F60" i="4"/>
  <c r="G60" i="4"/>
  <c r="J60" i="4"/>
  <c r="E60" i="4"/>
  <c r="P83" i="4"/>
  <c r="U83" i="4"/>
  <c r="R83" i="4"/>
  <c r="Q83" i="4"/>
  <c r="R78" i="4"/>
  <c r="U78" i="4"/>
  <c r="P78" i="4"/>
  <c r="Q78" i="4"/>
  <c r="G63" i="4"/>
  <c r="Q74" i="4"/>
  <c r="P74" i="4"/>
  <c r="U74" i="4"/>
  <c r="R74" i="4"/>
  <c r="G62" i="4"/>
  <c r="P82" i="4"/>
  <c r="U75" i="4"/>
  <c r="R75" i="4"/>
  <c r="Q75" i="4"/>
  <c r="P75" i="4"/>
  <c r="Q84" i="4"/>
  <c r="R84" i="4"/>
  <c r="P84" i="4"/>
  <c r="U84" i="4"/>
  <c r="G56" i="4"/>
  <c r="J56" i="4"/>
  <c r="F56" i="4"/>
  <c r="E56" i="4"/>
  <c r="P86" i="4"/>
  <c r="Q86" i="4"/>
  <c r="U86" i="4"/>
  <c r="R86" i="4"/>
  <c r="R80" i="4"/>
  <c r="P80" i="4"/>
  <c r="U80" i="4"/>
  <c r="Q80" i="4"/>
  <c r="J57" i="4"/>
  <c r="G57" i="4"/>
  <c r="E57" i="4"/>
  <c r="F57" i="4"/>
  <c r="R94" i="4"/>
  <c r="U94" i="4"/>
  <c r="P94" i="4"/>
  <c r="Q94" i="4"/>
  <c r="P93" i="4"/>
  <c r="G65" i="4"/>
  <c r="E65" i="4"/>
  <c r="F65" i="4"/>
  <c r="J65" i="4"/>
  <c r="P85" i="4"/>
  <c r="Q85" i="4"/>
  <c r="U85" i="4"/>
  <c r="R85" i="4"/>
  <c r="E66" i="4"/>
  <c r="U76" i="4"/>
  <c r="P76" i="4"/>
  <c r="Q76" i="4"/>
  <c r="R76" i="4"/>
  <c r="E63" i="4"/>
  <c r="R77" i="4"/>
  <c r="P77" i="4"/>
  <c r="Q77" i="4"/>
  <c r="U77" i="4"/>
  <c r="E62" i="4"/>
  <c r="R93" i="4"/>
  <c r="R82" i="4"/>
  <c r="G68" i="4"/>
  <c r="E68" i="4"/>
  <c r="G85" i="4"/>
  <c r="E85" i="4"/>
  <c r="G78" i="4"/>
  <c r="E78" i="4"/>
  <c r="G81" i="4"/>
  <c r="E81" i="4"/>
  <c r="G67" i="4"/>
  <c r="E67" i="4"/>
  <c r="G82" i="4"/>
  <c r="E82" i="4"/>
  <c r="G73" i="4"/>
  <c r="E73" i="4"/>
  <c r="J75" i="4"/>
  <c r="G75" i="4"/>
  <c r="E75" i="4"/>
  <c r="G70" i="4"/>
  <c r="E70" i="4"/>
  <c r="G79" i="4"/>
  <c r="E79" i="4"/>
  <c r="G76" i="4"/>
  <c r="E76" i="4"/>
  <c r="G71" i="4"/>
  <c r="E71" i="4"/>
  <c r="G72" i="4"/>
  <c r="E72" i="4"/>
  <c r="G83" i="4"/>
  <c r="E83" i="4"/>
  <c r="G69" i="4"/>
  <c r="E69" i="4"/>
  <c r="G80" i="4"/>
  <c r="E80" i="4"/>
  <c r="G84" i="4"/>
  <c r="E84" i="4"/>
  <c r="G86" i="4"/>
  <c r="E86" i="4"/>
  <c r="G77" i="4"/>
  <c r="E77" i="4"/>
  <c r="H77" i="4" s="1"/>
  <c r="E74" i="4"/>
  <c r="G74" i="4"/>
  <c r="F75" i="4"/>
  <c r="F77" i="4"/>
  <c r="J77" i="4"/>
  <c r="J72" i="4"/>
  <c r="F72" i="4"/>
  <c r="D70" i="4"/>
  <c r="F70" i="4"/>
  <c r="J70" i="4"/>
  <c r="F68" i="4"/>
  <c r="J68" i="4"/>
  <c r="F85" i="4"/>
  <c r="J85" i="4"/>
  <c r="F67" i="4"/>
  <c r="J67" i="4"/>
  <c r="J82" i="4"/>
  <c r="F82" i="4"/>
  <c r="J73" i="4"/>
  <c r="F73" i="4"/>
  <c r="D71" i="4"/>
  <c r="D69" i="4"/>
  <c r="F83" i="4"/>
  <c r="J83" i="4"/>
  <c r="J79" i="4"/>
  <c r="F79" i="4"/>
  <c r="D72" i="4"/>
  <c r="F81" i="4"/>
  <c r="J81" i="4"/>
  <c r="F78" i="4"/>
  <c r="J78" i="4"/>
  <c r="F76" i="4"/>
  <c r="J76" i="4"/>
  <c r="J71" i="4"/>
  <c r="F71" i="4"/>
  <c r="J69" i="4"/>
  <c r="F69" i="4"/>
  <c r="F80" i="4"/>
  <c r="J80" i="4"/>
  <c r="J84" i="4"/>
  <c r="F84" i="4"/>
  <c r="J86" i="4"/>
  <c r="F86" i="4"/>
  <c r="H71" i="4" l="1"/>
  <c r="I71" i="4" s="1"/>
  <c r="H86" i="4"/>
  <c r="H80" i="4"/>
  <c r="H83" i="4"/>
  <c r="I83" i="4" s="1"/>
  <c r="H78" i="4"/>
  <c r="S76" i="4"/>
  <c r="S75" i="4"/>
  <c r="S82" i="4"/>
  <c r="T82" i="4" s="1"/>
  <c r="S74" i="4"/>
  <c r="S78" i="4"/>
  <c r="S90" i="4"/>
  <c r="T90" i="4" s="1"/>
  <c r="H74" i="4"/>
  <c r="I74" i="4" s="1"/>
  <c r="H75" i="4"/>
  <c r="I75" i="4" s="1"/>
  <c r="H82" i="4"/>
  <c r="H81" i="4"/>
  <c r="I81" i="4" s="1"/>
  <c r="S69" i="4"/>
  <c r="T69" i="4" s="1"/>
  <c r="S71" i="4"/>
  <c r="T71" i="4" s="1"/>
  <c r="S84" i="4"/>
  <c r="T84" i="4" s="1"/>
  <c r="S81" i="4"/>
  <c r="H49" i="4"/>
  <c r="I49" i="4" s="1"/>
  <c r="S54" i="4"/>
  <c r="T54" i="4" s="1"/>
  <c r="S68" i="4"/>
  <c r="T68" i="4" s="1"/>
  <c r="J2585" i="3"/>
  <c r="L2584" i="3"/>
  <c r="H69" i="4"/>
  <c r="I69" i="4" s="1"/>
  <c r="H72" i="4"/>
  <c r="I72" i="4" s="1"/>
  <c r="S63" i="4"/>
  <c r="T63" i="4" s="1"/>
  <c r="S51" i="4"/>
  <c r="T51" i="4" s="1"/>
  <c r="P2583" i="3"/>
  <c r="O2583" i="3"/>
  <c r="Q2583" i="3"/>
  <c r="N2583" i="3"/>
  <c r="H56" i="4"/>
  <c r="I56" i="4" s="1"/>
  <c r="H55" i="4"/>
  <c r="I55" i="4" s="1"/>
  <c r="H63" i="4"/>
  <c r="I63" i="4" s="1"/>
  <c r="H65" i="4"/>
  <c r="I65" i="4" s="1"/>
  <c r="H57" i="4"/>
  <c r="I57" i="4" s="1"/>
  <c r="H45" i="4"/>
  <c r="I45" i="4" s="1"/>
  <c r="S43" i="4"/>
  <c r="T43" i="4" s="1"/>
  <c r="S67" i="4"/>
  <c r="T67" i="4" s="1"/>
  <c r="S94" i="4"/>
  <c r="T94" i="4" s="1"/>
  <c r="S79" i="4"/>
  <c r="T79" i="4" s="1"/>
  <c r="S72" i="4"/>
  <c r="T72" i="4" s="1"/>
  <c r="S85" i="4"/>
  <c r="T85" i="4" s="1"/>
  <c r="S80" i="4"/>
  <c r="T80" i="4" s="1"/>
  <c r="S87" i="4"/>
  <c r="T87" i="4" s="1"/>
  <c r="S73" i="4"/>
  <c r="T73" i="4" s="1"/>
  <c r="S70" i="4"/>
  <c r="T70" i="4" s="1"/>
  <c r="H53" i="4"/>
  <c r="I53" i="4" s="1"/>
  <c r="S66" i="4"/>
  <c r="T66" i="4" s="1"/>
  <c r="H41" i="4"/>
  <c r="I41" i="4" s="1"/>
  <c r="S88" i="4"/>
  <c r="T88" i="4" s="1"/>
  <c r="I77" i="4"/>
  <c r="H70" i="4"/>
  <c r="I70" i="4" s="1"/>
  <c r="I82" i="4"/>
  <c r="I78" i="4"/>
  <c r="H68" i="4"/>
  <c r="I68" i="4" s="1"/>
  <c r="I86" i="4"/>
  <c r="H67" i="4"/>
  <c r="I67" i="4" s="1"/>
  <c r="H85" i="4"/>
  <c r="I85" i="4" s="1"/>
  <c r="T78" i="4"/>
  <c r="S83" i="4"/>
  <c r="T83" i="4" s="1"/>
  <c r="S89" i="4"/>
  <c r="T89" i="4" s="1"/>
  <c r="S91" i="4"/>
  <c r="T91" i="4" s="1"/>
  <c r="H58" i="4"/>
  <c r="I58" i="4" s="1"/>
  <c r="H84" i="4"/>
  <c r="I84" i="4" s="1"/>
  <c r="H76" i="4"/>
  <c r="I76" i="4" s="1"/>
  <c r="H79" i="4"/>
  <c r="I79" i="4" s="1"/>
  <c r="H73" i="4"/>
  <c r="I73" i="4" s="1"/>
  <c r="S77" i="4"/>
  <c r="T77" i="4" s="1"/>
  <c r="S93" i="4"/>
  <c r="T93" i="4" s="1"/>
  <c r="S86" i="4"/>
  <c r="T86" i="4" s="1"/>
  <c r="H60" i="4"/>
  <c r="I60" i="4" s="1"/>
  <c r="S92" i="4"/>
  <c r="T92" i="4" s="1"/>
  <c r="H39" i="4"/>
  <c r="I39" i="4" s="1"/>
  <c r="S52" i="4"/>
  <c r="T52" i="4" s="1"/>
  <c r="H43" i="4"/>
  <c r="I43" i="4" s="1"/>
  <c r="H52" i="4"/>
  <c r="I52" i="4" s="1"/>
  <c r="H33" i="4"/>
  <c r="I33" i="4" s="1"/>
  <c r="S48" i="4"/>
  <c r="T48" i="4" s="1"/>
  <c r="S60" i="4"/>
  <c r="T60" i="4" s="1"/>
  <c r="S58" i="4"/>
  <c r="T58" i="4" s="1"/>
  <c r="S45" i="4"/>
  <c r="T45" i="4" s="1"/>
  <c r="S55" i="4"/>
  <c r="T55" i="4" s="1"/>
  <c r="S49" i="4"/>
  <c r="T49" i="4" s="1"/>
  <c r="S42" i="4"/>
  <c r="T42" i="4" s="1"/>
  <c r="S56" i="4"/>
  <c r="T56" i="4" s="1"/>
  <c r="S37" i="4"/>
  <c r="T37" i="4" s="1"/>
  <c r="S47" i="4"/>
  <c r="T47" i="4" s="1"/>
  <c r="S46" i="4"/>
  <c r="T46" i="4" s="1"/>
  <c r="S40" i="4"/>
  <c r="T40" i="4" s="1"/>
  <c r="H37" i="4"/>
  <c r="I37" i="4" s="1"/>
  <c r="S44" i="4"/>
  <c r="T44" i="4" s="1"/>
  <c r="S50" i="4"/>
  <c r="T50" i="4" s="1"/>
  <c r="S38" i="4"/>
  <c r="T38" i="4" s="1"/>
  <c r="S57" i="4"/>
  <c r="T57" i="4" s="1"/>
  <c r="S7" i="4"/>
  <c r="T7" i="4" s="1"/>
  <c r="S39" i="4"/>
  <c r="T39" i="4" s="1"/>
  <c r="S53" i="4"/>
  <c r="T53" i="4" s="1"/>
  <c r="S61" i="4"/>
  <c r="T61" i="4" s="1"/>
  <c r="S62" i="4"/>
  <c r="T62" i="4" s="1"/>
  <c r="S59" i="4"/>
  <c r="T59" i="4" s="1"/>
  <c r="S65" i="4"/>
  <c r="T65" i="4" s="1"/>
  <c r="H59" i="4"/>
  <c r="I59" i="4" s="1"/>
  <c r="H54" i="4"/>
  <c r="I54" i="4" s="1"/>
  <c r="H64" i="4"/>
  <c r="I64" i="4" s="1"/>
  <c r="H66" i="4"/>
  <c r="I66" i="4" s="1"/>
  <c r="H62" i="4"/>
  <c r="I62" i="4" s="1"/>
  <c r="H47" i="4"/>
  <c r="I47" i="4" s="1"/>
  <c r="H4" i="4"/>
  <c r="I4" i="4" s="1"/>
  <c r="H34" i="4"/>
  <c r="I34" i="4" s="1"/>
  <c r="H46" i="4"/>
  <c r="I46" i="4" s="1"/>
  <c r="H48" i="4"/>
  <c r="I48" i="4" s="1"/>
  <c r="H51" i="4"/>
  <c r="I51" i="4" s="1"/>
  <c r="H50" i="4"/>
  <c r="I50" i="4" s="1"/>
  <c r="H42" i="4"/>
  <c r="I42" i="4" s="1"/>
  <c r="S6" i="4"/>
  <c r="T6" i="4" s="1"/>
  <c r="S5" i="4"/>
  <c r="T5" i="4" s="1"/>
  <c r="H38" i="4"/>
  <c r="I38" i="4" s="1"/>
  <c r="S4" i="4"/>
  <c r="T4" i="4" s="1"/>
  <c r="H5" i="4"/>
  <c r="I5" i="4" s="1"/>
  <c r="T75" i="4"/>
  <c r="T74" i="4"/>
  <c r="S8" i="4"/>
  <c r="T8" i="4" s="1"/>
  <c r="T76" i="4"/>
  <c r="T81" i="4"/>
  <c r="I80" i="4"/>
  <c r="L2585" i="3" l="1"/>
  <c r="J2586" i="3"/>
  <c r="Q2584" i="3"/>
  <c r="P2584" i="3"/>
  <c r="O2584" i="3"/>
  <c r="N2584" i="3"/>
  <c r="J2587" i="3" l="1"/>
  <c r="L2586" i="3"/>
  <c r="P2585" i="3"/>
  <c r="O2585" i="3"/>
  <c r="Q2585" i="3"/>
  <c r="N2585" i="3"/>
  <c r="Q2586" i="3" l="1"/>
  <c r="P2586" i="3"/>
  <c r="N2586" i="3"/>
  <c r="O2586" i="3"/>
  <c r="L2587" i="3"/>
  <c r="J2588" i="3"/>
  <c r="J2589" i="3" l="1"/>
  <c r="L2588" i="3"/>
  <c r="P2587" i="3"/>
  <c r="Q2587" i="3"/>
  <c r="N95" i="4" s="1"/>
  <c r="O2587" i="3"/>
  <c r="N2587" i="3"/>
  <c r="B87" i="4" l="1"/>
  <c r="D87" i="4" s="1"/>
  <c r="U95" i="4"/>
  <c r="R95" i="4"/>
  <c r="P95" i="4"/>
  <c r="Q95" i="4"/>
  <c r="P2588" i="3"/>
  <c r="N2588" i="3"/>
  <c r="O2588" i="3"/>
  <c r="Q2588" i="3"/>
  <c r="J2590" i="3"/>
  <c r="L2589" i="3"/>
  <c r="S95" i="4" l="1"/>
  <c r="T95" i="4" s="1"/>
  <c r="Q2589" i="3"/>
  <c r="O2589" i="3"/>
  <c r="N2589" i="3"/>
  <c r="P2589" i="3"/>
  <c r="J2591" i="3"/>
  <c r="L2590" i="3"/>
  <c r="P2590" i="3" l="1"/>
  <c r="N2590" i="3"/>
  <c r="O2590" i="3"/>
  <c r="Q2590" i="3"/>
  <c r="L2591" i="3"/>
  <c r="J2592" i="3"/>
  <c r="L2592" i="3" l="1"/>
  <c r="J2593" i="3"/>
  <c r="L2593" i="3" s="1"/>
  <c r="Q2591" i="3"/>
  <c r="O2591" i="3"/>
  <c r="N2591" i="3"/>
  <c r="P2591" i="3"/>
  <c r="P2593" i="3" l="1"/>
  <c r="O2593" i="3"/>
  <c r="Q2593" i="3"/>
  <c r="N2593" i="3"/>
  <c r="N2592" i="3"/>
  <c r="B40" i="4" s="1"/>
  <c r="O2592" i="3"/>
  <c r="C44" i="4" s="1"/>
  <c r="Q2592" i="3"/>
  <c r="N64" i="4" s="1"/>
  <c r="P2592" i="3"/>
  <c r="M41" i="4" s="1"/>
  <c r="C99" i="4" l="1"/>
  <c r="C88" i="4"/>
  <c r="C90" i="4"/>
  <c r="C98" i="4"/>
  <c r="C87" i="4"/>
  <c r="C95" i="4"/>
  <c r="C97" i="4"/>
  <c r="C93" i="4"/>
  <c r="C96" i="4"/>
  <c r="C89" i="4"/>
  <c r="C92" i="4"/>
  <c r="C94" i="4"/>
  <c r="C91" i="4"/>
  <c r="B91" i="4"/>
  <c r="D91" i="4" s="1"/>
  <c r="B93" i="4"/>
  <c r="D93" i="4" s="1"/>
  <c r="B95" i="4"/>
  <c r="D95" i="4" s="1"/>
  <c r="B89" i="4"/>
  <c r="D89" i="4" s="1"/>
  <c r="B90" i="4"/>
  <c r="D90" i="4" s="1"/>
  <c r="B98" i="4"/>
  <c r="D98" i="4" s="1"/>
  <c r="B96" i="4"/>
  <c r="D96" i="4" s="1"/>
  <c r="B92" i="4"/>
  <c r="D92" i="4" s="1"/>
  <c r="B99" i="4"/>
  <c r="D99" i="4" s="1"/>
  <c r="B94" i="4"/>
  <c r="D94" i="4" s="1"/>
  <c r="B97" i="4"/>
  <c r="D97" i="4" s="1"/>
  <c r="B88" i="4"/>
  <c r="D88" i="4" s="1"/>
  <c r="B100" i="4"/>
  <c r="D100" i="4" s="1"/>
  <c r="B36" i="4"/>
  <c r="G36" i="4" s="1"/>
  <c r="B102" i="4"/>
  <c r="D102" i="4" s="1"/>
  <c r="B101" i="4"/>
  <c r="D101" i="4" s="1"/>
  <c r="N102" i="4"/>
  <c r="N96" i="4"/>
  <c r="N101" i="4"/>
  <c r="N98" i="4"/>
  <c r="N97" i="4"/>
  <c r="N99" i="4"/>
  <c r="N100" i="4"/>
  <c r="C100" i="4"/>
  <c r="C102" i="4"/>
  <c r="C101" i="4"/>
  <c r="M98" i="4"/>
  <c r="O98" i="4" s="1"/>
  <c r="M99" i="4"/>
  <c r="O99" i="4" s="1"/>
  <c r="M101" i="4"/>
  <c r="O101" i="4" s="1"/>
  <c r="M96" i="4"/>
  <c r="O96" i="4" s="1"/>
  <c r="M100" i="4"/>
  <c r="O100" i="4" s="1"/>
  <c r="M97" i="4"/>
  <c r="O97" i="4" s="1"/>
  <c r="M102" i="4"/>
  <c r="O102" i="4" s="1"/>
  <c r="O41" i="4"/>
  <c r="P41" i="4"/>
  <c r="U41" i="4"/>
  <c r="R41" i="4"/>
  <c r="D36" i="4"/>
  <c r="E36" i="4"/>
  <c r="Q64" i="4"/>
  <c r="U64" i="4"/>
  <c r="P64" i="4"/>
  <c r="R64" i="4"/>
  <c r="F44" i="4"/>
  <c r="J44" i="4"/>
  <c r="E44" i="4"/>
  <c r="G44" i="4"/>
  <c r="D40" i="4"/>
  <c r="G40" i="4"/>
  <c r="E40" i="4"/>
  <c r="J40" i="4"/>
  <c r="J94" i="4" l="1"/>
  <c r="E94" i="4"/>
  <c r="H94" i="4" s="1"/>
  <c r="G94" i="4"/>
  <c r="I94" i="4" s="1"/>
  <c r="F94" i="4"/>
  <c r="G93" i="4"/>
  <c r="F93" i="4"/>
  <c r="E93" i="4"/>
  <c r="H93" i="4" s="1"/>
  <c r="J93" i="4"/>
  <c r="G98" i="4"/>
  <c r="I98" i="4" s="1"/>
  <c r="E98" i="4"/>
  <c r="H98" i="4" s="1"/>
  <c r="F98" i="4"/>
  <c r="J98" i="4"/>
  <c r="J90" i="4"/>
  <c r="G90" i="4"/>
  <c r="I90" i="4" s="1"/>
  <c r="F90" i="4"/>
  <c r="E90" i="4"/>
  <c r="H90" i="4" s="1"/>
  <c r="J88" i="4"/>
  <c r="G88" i="4"/>
  <c r="F88" i="4"/>
  <c r="E88" i="4"/>
  <c r="H88" i="4" s="1"/>
  <c r="E92" i="4"/>
  <c r="H92" i="4" s="1"/>
  <c r="G92" i="4"/>
  <c r="I92" i="4" s="1"/>
  <c r="F92" i="4"/>
  <c r="J92" i="4"/>
  <c r="J97" i="4"/>
  <c r="G97" i="4"/>
  <c r="F97" i="4"/>
  <c r="E97" i="4"/>
  <c r="H97" i="4" s="1"/>
  <c r="J36" i="4"/>
  <c r="E89" i="4"/>
  <c r="H89" i="4" s="1"/>
  <c r="G89" i="4"/>
  <c r="I89" i="4" s="1"/>
  <c r="F89" i="4"/>
  <c r="J89" i="4"/>
  <c r="E95" i="4"/>
  <c r="H95" i="4" s="1"/>
  <c r="F95" i="4"/>
  <c r="G95" i="4"/>
  <c r="I95" i="4" s="1"/>
  <c r="J95" i="4"/>
  <c r="E91" i="4"/>
  <c r="H91" i="4" s="1"/>
  <c r="G91" i="4"/>
  <c r="I91" i="4" s="1"/>
  <c r="F91" i="4"/>
  <c r="J91" i="4"/>
  <c r="E96" i="4"/>
  <c r="H96" i="4" s="1"/>
  <c r="I96" i="4" s="1"/>
  <c r="J96" i="4"/>
  <c r="F96" i="4"/>
  <c r="G96" i="4"/>
  <c r="F87" i="4"/>
  <c r="E87" i="4"/>
  <c r="H87" i="4" s="1"/>
  <c r="J87" i="4"/>
  <c r="G87" i="4"/>
  <c r="J99" i="4"/>
  <c r="G99" i="4"/>
  <c r="E99" i="4"/>
  <c r="H99" i="4" s="1"/>
  <c r="F99" i="4"/>
  <c r="H44" i="4"/>
  <c r="I44" i="4" s="1"/>
  <c r="S64" i="4"/>
  <c r="T64" i="4" s="1"/>
  <c r="R97" i="4"/>
  <c r="T97" i="4" s="1"/>
  <c r="U97" i="4"/>
  <c r="P97" i="4"/>
  <c r="S97" i="4" s="1"/>
  <c r="Q97" i="4"/>
  <c r="X6" i="4"/>
  <c r="F102" i="4"/>
  <c r="J102" i="4"/>
  <c r="G102" i="4"/>
  <c r="E102" i="4"/>
  <c r="H102" i="4" s="1"/>
  <c r="R102" i="4"/>
  <c r="T102" i="4" s="1"/>
  <c r="P102" i="4"/>
  <c r="S102" i="4" s="1"/>
  <c r="U102" i="4"/>
  <c r="Q102" i="4"/>
  <c r="E100" i="4"/>
  <c r="H100" i="4" s="1"/>
  <c r="J100" i="4"/>
  <c r="G100" i="4"/>
  <c r="F100" i="4"/>
  <c r="R98" i="4"/>
  <c r="T98" i="4" s="1"/>
  <c r="U98" i="4"/>
  <c r="P98" i="4"/>
  <c r="S98" i="4" s="1"/>
  <c r="Q98" i="4"/>
  <c r="U100" i="4"/>
  <c r="R100" i="4"/>
  <c r="Q100" i="4"/>
  <c r="P100" i="4"/>
  <c r="S100" i="4" s="1"/>
  <c r="R101" i="4"/>
  <c r="T101" i="4" s="1"/>
  <c r="U101" i="4"/>
  <c r="P101" i="4"/>
  <c r="S101" i="4" s="1"/>
  <c r="Q101" i="4"/>
  <c r="H40" i="4"/>
  <c r="I40" i="4" s="1"/>
  <c r="J101" i="4"/>
  <c r="F101" i="4"/>
  <c r="E101" i="4"/>
  <c r="G101" i="4"/>
  <c r="R99" i="4"/>
  <c r="T99" i="4" s="1"/>
  <c r="P99" i="4"/>
  <c r="S99" i="4" s="1"/>
  <c r="U99" i="4"/>
  <c r="Q99" i="4"/>
  <c r="U96" i="4"/>
  <c r="Q96" i="4"/>
  <c r="R96" i="4"/>
  <c r="T96" i="4" s="1"/>
  <c r="P96" i="4"/>
  <c r="S96" i="4" s="1"/>
  <c r="H36" i="4"/>
  <c r="S41" i="4"/>
  <c r="I100" i="4" l="1"/>
  <c r="I99" i="4"/>
  <c r="I97" i="4"/>
  <c r="I88" i="4"/>
  <c r="I87" i="4"/>
  <c r="I93" i="4"/>
  <c r="X9" i="4"/>
  <c r="H101" i="4"/>
  <c r="I101" i="4" s="1"/>
  <c r="T100" i="4"/>
  <c r="I102" i="4"/>
  <c r="T41" i="4"/>
  <c r="X7" i="4"/>
  <c r="I36" i="4"/>
  <c r="X10" i="4" l="1"/>
  <c r="X8" i="4"/>
</calcChain>
</file>

<file path=xl/sharedStrings.xml><?xml version="1.0" encoding="utf-8"?>
<sst xmlns="http://schemas.openxmlformats.org/spreadsheetml/2006/main" count="58" uniqueCount="34">
  <si>
    <t>PETR4</t>
  </si>
  <si>
    <t>PETR3</t>
  </si>
  <si>
    <t>Data</t>
  </si>
  <si>
    <t>ITUB4</t>
  </si>
  <si>
    <t>BBDC4</t>
  </si>
  <si>
    <t>Dias</t>
  </si>
  <si>
    <t>Desvios</t>
  </si>
  <si>
    <t>Avg</t>
  </si>
  <si>
    <t>#Desvios</t>
  </si>
  <si>
    <t>Sair Quando</t>
  </si>
  <si>
    <t>Status</t>
  </si>
  <si>
    <t>Compra</t>
  </si>
  <si>
    <t>Entrada Long</t>
  </si>
  <si>
    <t>Saída Long</t>
  </si>
  <si>
    <t>Entrada Short</t>
  </si>
  <si>
    <t>Saída Short</t>
  </si>
  <si>
    <t>Vende</t>
  </si>
  <si>
    <t>Início</t>
  </si>
  <si>
    <t>Fim</t>
  </si>
  <si>
    <t>%Chg</t>
  </si>
  <si>
    <t>LS</t>
  </si>
  <si>
    <t>P&amp;L</t>
  </si>
  <si>
    <t>Tamanho</t>
  </si>
  <si>
    <t>#Dias</t>
  </si>
  <si>
    <t>Numero Trades</t>
  </si>
  <si>
    <t>%Acertos</t>
  </si>
  <si>
    <t>Avg Win</t>
  </si>
  <si>
    <t>Avg Position</t>
  </si>
  <si>
    <t>ndesvios</t>
  </si>
  <si>
    <t>Vender Razao Bater x Desvios</t>
  </si>
  <si>
    <t>Comprar Razao Quando</t>
  </si>
  <si>
    <t xml:space="preserve">Venda </t>
  </si>
  <si>
    <t>Venda Razão</t>
  </si>
  <si>
    <t>Compra Razão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</si>
</sst>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* #,##0.00_-;\-&quot;R$&quot;* #,##0.00_-;_-&quot;R$&quot;* &quot;-&quot;??_-;_-@_-"/>
    <numFmt numFmtId="43" formatCode="_-* #,##0.00_-;\-* #,##0.00_-;_-* &quot;-&quot;??_-;_-@_-"/>
    <numFmt numFmtId="164" formatCode="[$-416]dd\-mmm\-yy;@"/>
    <numFmt numFmtId="165" formatCode="_-* #,##0.000_-;\-* #,##0.000_-;_-* &quot;-&quot;??_-;_-@_-"/>
    <numFmt numFmtId="166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slantDashDot">
        <color indexed="64"/>
      </right>
      <top/>
      <bottom/>
      <diagonal/>
    </border>
    <border>
      <left/>
      <right style="slantDashDot">
        <color indexed="64"/>
      </right>
      <top/>
      <bottom style="medium">
        <color indexed="64"/>
      </bottom>
      <diagonal/>
    </border>
    <border>
      <left/>
      <right style="slantDashDot">
        <color indexed="64"/>
      </right>
      <top style="medium">
        <color indexed="64"/>
      </top>
      <bottom style="slantDashDot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164" fontId="0" fillId="0" borderId="0" xfId="0" applyNumberFormat="1"/>
    <xf numFmtId="164" fontId="2" fillId="2" borderId="0" xfId="0" applyNumberFormat="1" applyFont="1" applyFill="1"/>
    <xf numFmtId="164" fontId="0" fillId="0" borderId="1" xfId="0" applyNumberFormat="1" applyBorder="1"/>
    <xf numFmtId="0" fontId="2" fillId="0" borderId="0" xfId="0" applyFont="1" applyFill="1" applyBorder="1"/>
    <xf numFmtId="0" fontId="0" fillId="0" borderId="0" xfId="0" applyFill="1" applyBorder="1"/>
    <xf numFmtId="43" fontId="2" fillId="2" borderId="0" xfId="1" applyFont="1" applyFill="1"/>
    <xf numFmtId="43" fontId="0" fillId="0" borderId="0" xfId="1" applyFont="1"/>
    <xf numFmtId="43" fontId="2" fillId="2" borderId="0" xfId="1" applyNumberFormat="1" applyFont="1" applyFill="1"/>
    <xf numFmtId="43" fontId="0" fillId="0" borderId="1" xfId="1" applyNumberFormat="1" applyFont="1" applyBorder="1"/>
    <xf numFmtId="43" fontId="0" fillId="0" borderId="0" xfId="1" applyNumberFormat="1" applyFont="1"/>
    <xf numFmtId="165" fontId="2" fillId="2" borderId="0" xfId="1" applyNumberFormat="1" applyFont="1" applyFill="1"/>
    <xf numFmtId="165" fontId="0" fillId="0" borderId="0" xfId="1" applyNumberFormat="1" applyFont="1"/>
    <xf numFmtId="0" fontId="0" fillId="4" borderId="0" xfId="0" applyFill="1"/>
    <xf numFmtId="165" fontId="0" fillId="5" borderId="1" xfId="1" applyNumberFormat="1" applyFont="1" applyFill="1" applyBorder="1"/>
    <xf numFmtId="43" fontId="0" fillId="5" borderId="0" xfId="1" applyFont="1" applyFill="1"/>
    <xf numFmtId="10" fontId="0" fillId="5" borderId="0" xfId="3" applyNumberFormat="1" applyFont="1" applyFill="1"/>
    <xf numFmtId="0" fontId="0" fillId="5" borderId="0" xfId="0" applyFill="1"/>
    <xf numFmtId="165" fontId="0" fillId="5" borderId="0" xfId="1" applyNumberFormat="1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43" fontId="0" fillId="0" borderId="0" xfId="0" applyNumberFormat="1"/>
    <xf numFmtId="0" fontId="0" fillId="6" borderId="0" xfId="0" applyFill="1"/>
    <xf numFmtId="164" fontId="0" fillId="6" borderId="0" xfId="0" applyNumberFormat="1" applyFill="1"/>
    <xf numFmtId="43" fontId="0" fillId="6" borderId="0" xfId="0" applyNumberFormat="1" applyFill="1"/>
    <xf numFmtId="166" fontId="0" fillId="6" borderId="0" xfId="3" applyNumberFormat="1" applyFont="1" applyFill="1"/>
    <xf numFmtId="166" fontId="0" fillId="3" borderId="0" xfId="3" applyNumberFormat="1" applyFont="1" applyFill="1"/>
    <xf numFmtId="166" fontId="4" fillId="6" borderId="0" xfId="0" applyNumberFormat="1" applyFont="1" applyFill="1"/>
    <xf numFmtId="166" fontId="4" fillId="0" borderId="0" xfId="0" applyNumberFormat="1" applyFont="1"/>
    <xf numFmtId="0" fontId="0" fillId="0" borderId="2" xfId="0" applyBorder="1"/>
    <xf numFmtId="43" fontId="4" fillId="6" borderId="0" xfId="1" applyFont="1" applyFill="1"/>
    <xf numFmtId="43" fontId="4" fillId="3" borderId="0" xfId="1" applyFont="1" applyFill="1"/>
    <xf numFmtId="43" fontId="0" fillId="0" borderId="0" xfId="0" applyNumberFormat="1" applyFill="1" applyBorder="1"/>
    <xf numFmtId="1" fontId="0" fillId="6" borderId="0" xfId="3" applyNumberFormat="1" applyFont="1" applyFill="1"/>
    <xf numFmtId="1" fontId="0" fillId="3" borderId="0" xfId="3" applyNumberFormat="1" applyFont="1" applyFill="1"/>
    <xf numFmtId="0" fontId="0" fillId="0" borderId="3" xfId="0" applyBorder="1"/>
    <xf numFmtId="164" fontId="0" fillId="0" borderId="4" xfId="0" applyNumberFormat="1" applyBorder="1"/>
    <xf numFmtId="0" fontId="0" fillId="0" borderId="5" xfId="0" applyBorder="1"/>
    <xf numFmtId="0" fontId="0" fillId="0" borderId="6" xfId="0" applyBorder="1"/>
    <xf numFmtId="164" fontId="0" fillId="0" borderId="7" xfId="0" applyNumberFormat="1" applyBorder="1"/>
    <xf numFmtId="0" fontId="0" fillId="0" borderId="7" xfId="0" applyBorder="1"/>
    <xf numFmtId="166" fontId="0" fillId="0" borderId="7" xfId="0" applyNumberFormat="1" applyBorder="1"/>
    <xf numFmtId="1" fontId="0" fillId="3" borderId="8" xfId="3" applyNumberFormat="1" applyFont="1" applyFill="1" applyBorder="1"/>
    <xf numFmtId="43" fontId="4" fillId="6" borderId="9" xfId="1" applyFont="1" applyFill="1" applyBorder="1"/>
    <xf numFmtId="44" fontId="0" fillId="7" borderId="0" xfId="2" applyFont="1" applyFill="1" applyAlignment="1">
      <alignment horizontal="center"/>
    </xf>
    <xf numFmtId="0" fontId="3" fillId="0" borderId="0" xfId="0" applyFont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0"/>
          <c:tx>
            <c:strRef>
              <c:f>Exemplo_Serie!$E$1</c:f>
              <c:strCache>
                <c:ptCount val="1"/>
                <c:pt idx="0">
                  <c:v> PETR4/PETR3 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[0]!Data</c:f>
              <c:numCache>
                <c:formatCode>[$-416]dd\-mmm\-yy;@</c:formatCode>
                <c:ptCount val="183"/>
                <c:pt idx="0">
                  <c:v>41376</c:v>
                </c:pt>
                <c:pt idx="1">
                  <c:v>41379</c:v>
                </c:pt>
                <c:pt idx="2">
                  <c:v>41380</c:v>
                </c:pt>
                <c:pt idx="3">
                  <c:v>41381</c:v>
                </c:pt>
                <c:pt idx="4">
                  <c:v>41382</c:v>
                </c:pt>
                <c:pt idx="5">
                  <c:v>41383</c:v>
                </c:pt>
                <c:pt idx="6">
                  <c:v>41386</c:v>
                </c:pt>
                <c:pt idx="7">
                  <c:v>41387</c:v>
                </c:pt>
                <c:pt idx="8">
                  <c:v>41388</c:v>
                </c:pt>
                <c:pt idx="9">
                  <c:v>41389</c:v>
                </c:pt>
                <c:pt idx="10">
                  <c:v>41390</c:v>
                </c:pt>
                <c:pt idx="11">
                  <c:v>41393</c:v>
                </c:pt>
                <c:pt idx="12">
                  <c:v>41394</c:v>
                </c:pt>
                <c:pt idx="13">
                  <c:v>41396</c:v>
                </c:pt>
                <c:pt idx="14">
                  <c:v>41397</c:v>
                </c:pt>
                <c:pt idx="15">
                  <c:v>41400</c:v>
                </c:pt>
                <c:pt idx="16">
                  <c:v>41401</c:v>
                </c:pt>
                <c:pt idx="17">
                  <c:v>41402</c:v>
                </c:pt>
                <c:pt idx="18">
                  <c:v>41403</c:v>
                </c:pt>
                <c:pt idx="19">
                  <c:v>41404</c:v>
                </c:pt>
                <c:pt idx="20">
                  <c:v>41407</c:v>
                </c:pt>
                <c:pt idx="21">
                  <c:v>41408</c:v>
                </c:pt>
                <c:pt idx="22">
                  <c:v>41409</c:v>
                </c:pt>
                <c:pt idx="23">
                  <c:v>41410</c:v>
                </c:pt>
                <c:pt idx="24">
                  <c:v>41411</c:v>
                </c:pt>
                <c:pt idx="25">
                  <c:v>41414</c:v>
                </c:pt>
                <c:pt idx="26">
                  <c:v>41415</c:v>
                </c:pt>
                <c:pt idx="27">
                  <c:v>41416</c:v>
                </c:pt>
                <c:pt idx="28">
                  <c:v>41417</c:v>
                </c:pt>
                <c:pt idx="29">
                  <c:v>41418</c:v>
                </c:pt>
                <c:pt idx="30">
                  <c:v>41421</c:v>
                </c:pt>
                <c:pt idx="31">
                  <c:v>41422</c:v>
                </c:pt>
                <c:pt idx="32">
                  <c:v>41423</c:v>
                </c:pt>
                <c:pt idx="33">
                  <c:v>41425</c:v>
                </c:pt>
                <c:pt idx="34">
                  <c:v>41428</c:v>
                </c:pt>
                <c:pt idx="35">
                  <c:v>41429</c:v>
                </c:pt>
                <c:pt idx="36">
                  <c:v>41430</c:v>
                </c:pt>
                <c:pt idx="37">
                  <c:v>41431</c:v>
                </c:pt>
                <c:pt idx="38">
                  <c:v>41432</c:v>
                </c:pt>
                <c:pt idx="39">
                  <c:v>41435</c:v>
                </c:pt>
                <c:pt idx="40">
                  <c:v>41436</c:v>
                </c:pt>
                <c:pt idx="41">
                  <c:v>41437</c:v>
                </c:pt>
                <c:pt idx="42">
                  <c:v>41438</c:v>
                </c:pt>
                <c:pt idx="43">
                  <c:v>41439</c:v>
                </c:pt>
                <c:pt idx="44">
                  <c:v>41442</c:v>
                </c:pt>
                <c:pt idx="45">
                  <c:v>41443</c:v>
                </c:pt>
                <c:pt idx="46">
                  <c:v>41444</c:v>
                </c:pt>
                <c:pt idx="47">
                  <c:v>41445</c:v>
                </c:pt>
                <c:pt idx="48">
                  <c:v>41446</c:v>
                </c:pt>
                <c:pt idx="49">
                  <c:v>41449</c:v>
                </c:pt>
                <c:pt idx="50">
                  <c:v>41450</c:v>
                </c:pt>
                <c:pt idx="51">
                  <c:v>41451</c:v>
                </c:pt>
                <c:pt idx="52">
                  <c:v>41452</c:v>
                </c:pt>
                <c:pt idx="53">
                  <c:v>41453</c:v>
                </c:pt>
                <c:pt idx="54">
                  <c:v>41456</c:v>
                </c:pt>
                <c:pt idx="55">
                  <c:v>41457</c:v>
                </c:pt>
                <c:pt idx="56">
                  <c:v>41458</c:v>
                </c:pt>
                <c:pt idx="57">
                  <c:v>41459</c:v>
                </c:pt>
                <c:pt idx="58">
                  <c:v>41460</c:v>
                </c:pt>
                <c:pt idx="59">
                  <c:v>41463</c:v>
                </c:pt>
                <c:pt idx="60">
                  <c:v>41465</c:v>
                </c:pt>
                <c:pt idx="61">
                  <c:v>41466</c:v>
                </c:pt>
                <c:pt idx="62">
                  <c:v>41467</c:v>
                </c:pt>
                <c:pt idx="63">
                  <c:v>41470</c:v>
                </c:pt>
                <c:pt idx="64">
                  <c:v>41471</c:v>
                </c:pt>
                <c:pt idx="65">
                  <c:v>41472</c:v>
                </c:pt>
                <c:pt idx="66">
                  <c:v>41473</c:v>
                </c:pt>
                <c:pt idx="67">
                  <c:v>41474</c:v>
                </c:pt>
                <c:pt idx="68">
                  <c:v>41477</c:v>
                </c:pt>
                <c:pt idx="69">
                  <c:v>41478</c:v>
                </c:pt>
                <c:pt idx="70">
                  <c:v>41479</c:v>
                </c:pt>
                <c:pt idx="71">
                  <c:v>41480</c:v>
                </c:pt>
                <c:pt idx="72">
                  <c:v>41481</c:v>
                </c:pt>
                <c:pt idx="73">
                  <c:v>41484</c:v>
                </c:pt>
                <c:pt idx="74">
                  <c:v>41485</c:v>
                </c:pt>
                <c:pt idx="75">
                  <c:v>41486</c:v>
                </c:pt>
                <c:pt idx="76">
                  <c:v>41487</c:v>
                </c:pt>
                <c:pt idx="77">
                  <c:v>41488</c:v>
                </c:pt>
                <c:pt idx="78">
                  <c:v>41491</c:v>
                </c:pt>
                <c:pt idx="79">
                  <c:v>41492</c:v>
                </c:pt>
                <c:pt idx="80">
                  <c:v>41493</c:v>
                </c:pt>
                <c:pt idx="81">
                  <c:v>41494</c:v>
                </c:pt>
                <c:pt idx="82">
                  <c:v>41495</c:v>
                </c:pt>
                <c:pt idx="83">
                  <c:v>41498</c:v>
                </c:pt>
                <c:pt idx="84">
                  <c:v>41499</c:v>
                </c:pt>
                <c:pt idx="85">
                  <c:v>41500</c:v>
                </c:pt>
                <c:pt idx="86">
                  <c:v>41501</c:v>
                </c:pt>
                <c:pt idx="87">
                  <c:v>41502</c:v>
                </c:pt>
                <c:pt idx="88">
                  <c:v>41505</c:v>
                </c:pt>
                <c:pt idx="89">
                  <c:v>41506</c:v>
                </c:pt>
                <c:pt idx="90">
                  <c:v>41507</c:v>
                </c:pt>
                <c:pt idx="91">
                  <c:v>41508</c:v>
                </c:pt>
                <c:pt idx="92">
                  <c:v>41509</c:v>
                </c:pt>
                <c:pt idx="93">
                  <c:v>41512</c:v>
                </c:pt>
                <c:pt idx="94">
                  <c:v>41513</c:v>
                </c:pt>
                <c:pt idx="95">
                  <c:v>41514</c:v>
                </c:pt>
                <c:pt idx="96">
                  <c:v>41515</c:v>
                </c:pt>
                <c:pt idx="97">
                  <c:v>41516</c:v>
                </c:pt>
                <c:pt idx="98">
                  <c:v>41519</c:v>
                </c:pt>
                <c:pt idx="99">
                  <c:v>41520</c:v>
                </c:pt>
                <c:pt idx="100">
                  <c:v>41521</c:v>
                </c:pt>
                <c:pt idx="101">
                  <c:v>41522</c:v>
                </c:pt>
                <c:pt idx="102">
                  <c:v>41523</c:v>
                </c:pt>
                <c:pt idx="103">
                  <c:v>41526</c:v>
                </c:pt>
                <c:pt idx="104">
                  <c:v>41527</c:v>
                </c:pt>
                <c:pt idx="105">
                  <c:v>41528</c:v>
                </c:pt>
                <c:pt idx="106">
                  <c:v>41529</c:v>
                </c:pt>
                <c:pt idx="107">
                  <c:v>41530</c:v>
                </c:pt>
                <c:pt idx="108">
                  <c:v>41533</c:v>
                </c:pt>
                <c:pt idx="109">
                  <c:v>41534</c:v>
                </c:pt>
                <c:pt idx="110">
                  <c:v>41535</c:v>
                </c:pt>
                <c:pt idx="111">
                  <c:v>41536</c:v>
                </c:pt>
                <c:pt idx="112">
                  <c:v>41537</c:v>
                </c:pt>
                <c:pt idx="113">
                  <c:v>41540</c:v>
                </c:pt>
                <c:pt idx="114">
                  <c:v>41541</c:v>
                </c:pt>
                <c:pt idx="115">
                  <c:v>41542</c:v>
                </c:pt>
                <c:pt idx="116">
                  <c:v>41543</c:v>
                </c:pt>
                <c:pt idx="117">
                  <c:v>41544</c:v>
                </c:pt>
                <c:pt idx="118">
                  <c:v>41547</c:v>
                </c:pt>
                <c:pt idx="119">
                  <c:v>41548</c:v>
                </c:pt>
                <c:pt idx="120">
                  <c:v>41549</c:v>
                </c:pt>
                <c:pt idx="121">
                  <c:v>41550</c:v>
                </c:pt>
                <c:pt idx="122">
                  <c:v>41551</c:v>
                </c:pt>
                <c:pt idx="123">
                  <c:v>41554</c:v>
                </c:pt>
                <c:pt idx="124">
                  <c:v>41555</c:v>
                </c:pt>
                <c:pt idx="125">
                  <c:v>41556</c:v>
                </c:pt>
                <c:pt idx="126">
                  <c:v>41557</c:v>
                </c:pt>
                <c:pt idx="127">
                  <c:v>41558</c:v>
                </c:pt>
                <c:pt idx="128">
                  <c:v>41561</c:v>
                </c:pt>
                <c:pt idx="129">
                  <c:v>41562</c:v>
                </c:pt>
                <c:pt idx="130">
                  <c:v>41563</c:v>
                </c:pt>
                <c:pt idx="131">
                  <c:v>41564</c:v>
                </c:pt>
                <c:pt idx="132">
                  <c:v>41565</c:v>
                </c:pt>
                <c:pt idx="133">
                  <c:v>41568</c:v>
                </c:pt>
                <c:pt idx="134">
                  <c:v>41569</c:v>
                </c:pt>
                <c:pt idx="135">
                  <c:v>41570</c:v>
                </c:pt>
                <c:pt idx="136">
                  <c:v>41571</c:v>
                </c:pt>
                <c:pt idx="137">
                  <c:v>41572</c:v>
                </c:pt>
                <c:pt idx="138">
                  <c:v>41575</c:v>
                </c:pt>
                <c:pt idx="139">
                  <c:v>41576</c:v>
                </c:pt>
                <c:pt idx="140">
                  <c:v>41577</c:v>
                </c:pt>
                <c:pt idx="141">
                  <c:v>41578</c:v>
                </c:pt>
                <c:pt idx="142">
                  <c:v>41579</c:v>
                </c:pt>
                <c:pt idx="143">
                  <c:v>41582</c:v>
                </c:pt>
                <c:pt idx="144">
                  <c:v>41583</c:v>
                </c:pt>
                <c:pt idx="145">
                  <c:v>41584</c:v>
                </c:pt>
                <c:pt idx="146">
                  <c:v>41585</c:v>
                </c:pt>
                <c:pt idx="147">
                  <c:v>41586</c:v>
                </c:pt>
                <c:pt idx="148">
                  <c:v>41589</c:v>
                </c:pt>
                <c:pt idx="149">
                  <c:v>41590</c:v>
                </c:pt>
                <c:pt idx="150">
                  <c:v>41591</c:v>
                </c:pt>
                <c:pt idx="151">
                  <c:v>41592</c:v>
                </c:pt>
                <c:pt idx="152">
                  <c:v>41596</c:v>
                </c:pt>
                <c:pt idx="153">
                  <c:v>41597</c:v>
                </c:pt>
                <c:pt idx="154">
                  <c:v>41599</c:v>
                </c:pt>
                <c:pt idx="155">
                  <c:v>41600</c:v>
                </c:pt>
                <c:pt idx="156">
                  <c:v>41603</c:v>
                </c:pt>
                <c:pt idx="157">
                  <c:v>41604</c:v>
                </c:pt>
                <c:pt idx="158">
                  <c:v>41605</c:v>
                </c:pt>
                <c:pt idx="159">
                  <c:v>41606</c:v>
                </c:pt>
                <c:pt idx="160">
                  <c:v>41607</c:v>
                </c:pt>
                <c:pt idx="161">
                  <c:v>41610</c:v>
                </c:pt>
                <c:pt idx="162">
                  <c:v>41611</c:v>
                </c:pt>
                <c:pt idx="163">
                  <c:v>41612</c:v>
                </c:pt>
                <c:pt idx="164">
                  <c:v>41613</c:v>
                </c:pt>
                <c:pt idx="165">
                  <c:v>41614</c:v>
                </c:pt>
                <c:pt idx="166">
                  <c:v>41617</c:v>
                </c:pt>
                <c:pt idx="167">
                  <c:v>41618</c:v>
                </c:pt>
                <c:pt idx="168">
                  <c:v>41619</c:v>
                </c:pt>
                <c:pt idx="169">
                  <c:v>41620</c:v>
                </c:pt>
                <c:pt idx="170">
                  <c:v>41621</c:v>
                </c:pt>
                <c:pt idx="171">
                  <c:v>41624</c:v>
                </c:pt>
                <c:pt idx="172">
                  <c:v>41625</c:v>
                </c:pt>
                <c:pt idx="173">
                  <c:v>41626</c:v>
                </c:pt>
                <c:pt idx="174">
                  <c:v>41627</c:v>
                </c:pt>
                <c:pt idx="175">
                  <c:v>41628</c:v>
                </c:pt>
                <c:pt idx="176">
                  <c:v>41631</c:v>
                </c:pt>
                <c:pt idx="177">
                  <c:v>41634</c:v>
                </c:pt>
                <c:pt idx="178">
                  <c:v>41635</c:v>
                </c:pt>
                <c:pt idx="179">
                  <c:v>41638</c:v>
                </c:pt>
                <c:pt idx="180">
                  <c:v>41641</c:v>
                </c:pt>
                <c:pt idx="181">
                  <c:v>41642</c:v>
                </c:pt>
                <c:pt idx="182">
                  <c:v>41645</c:v>
                </c:pt>
              </c:numCache>
            </c:numRef>
          </c:cat>
          <c:val>
            <c:numRef>
              <c:f>[0]!Razao</c:f>
              <c:numCache>
                <c:formatCode>_-* #,##0.000_-;\-* #,##0.000_-;_-* "-"??_-;_-@_-</c:formatCode>
                <c:ptCount val="183"/>
                <c:pt idx="0">
                  <c:v>1.0304112497246818</c:v>
                </c:pt>
                <c:pt idx="1">
                  <c:v>1.0365344339675151</c:v>
                </c:pt>
                <c:pt idx="2">
                  <c:v>1.0447814341244082</c:v>
                </c:pt>
                <c:pt idx="3">
                  <c:v>1.0462959725026737</c:v>
                </c:pt>
                <c:pt idx="4">
                  <c:v>1.042712370492259</c:v>
                </c:pt>
                <c:pt idx="5">
                  <c:v>1.0342824792666612</c:v>
                </c:pt>
                <c:pt idx="6">
                  <c:v>1.0327193847748182</c:v>
                </c:pt>
                <c:pt idx="7">
                  <c:v>1.0227938383537987</c:v>
                </c:pt>
                <c:pt idx="8">
                  <c:v>1.0134243836323145</c:v>
                </c:pt>
                <c:pt idx="9">
                  <c:v>1.0099743905452647</c:v>
                </c:pt>
                <c:pt idx="10">
                  <c:v>1.0099743905452647</c:v>
                </c:pt>
                <c:pt idx="11">
                  <c:v>1.0033976234590707</c:v>
                </c:pt>
                <c:pt idx="12">
                  <c:v>0.99709321329164258</c:v>
                </c:pt>
                <c:pt idx="13">
                  <c:v>1.0019018305374821</c:v>
                </c:pt>
                <c:pt idx="14">
                  <c:v>1.0010488118679597</c:v>
                </c:pt>
                <c:pt idx="15">
                  <c:v>0.99654132972942033</c:v>
                </c:pt>
                <c:pt idx="16">
                  <c:v>1.0025015425443282</c:v>
                </c:pt>
                <c:pt idx="17">
                  <c:v>1.0038807146683826</c:v>
                </c:pt>
                <c:pt idx="18">
                  <c:v>1.0022926270589239</c:v>
                </c:pt>
                <c:pt idx="19">
                  <c:v>0.99012508232851504</c:v>
                </c:pt>
                <c:pt idx="20">
                  <c:v>0.99001401589768401</c:v>
                </c:pt>
                <c:pt idx="21">
                  <c:v>0.9904205640127447</c:v>
                </c:pt>
                <c:pt idx="22">
                  <c:v>0.98566684768422841</c:v>
                </c:pt>
                <c:pt idx="23">
                  <c:v>1.0000207760851314</c:v>
                </c:pt>
                <c:pt idx="24">
                  <c:v>0.99233792207043037</c:v>
                </c:pt>
                <c:pt idx="25">
                  <c:v>0.9952914346810795</c:v>
                </c:pt>
                <c:pt idx="26">
                  <c:v>0.99518129236597752</c:v>
                </c:pt>
                <c:pt idx="27">
                  <c:v>1.0070223489294956</c:v>
                </c:pt>
                <c:pt idx="28">
                  <c:v>1.0115060655706709</c:v>
                </c:pt>
                <c:pt idx="29">
                  <c:v>1.0237678122270089</c:v>
                </c:pt>
                <c:pt idx="30">
                  <c:v>1.0232793542574985</c:v>
                </c:pt>
                <c:pt idx="31">
                  <c:v>1.0088053458445396</c:v>
                </c:pt>
                <c:pt idx="32">
                  <c:v>1.0093772497632105</c:v>
                </c:pt>
                <c:pt idx="33">
                  <c:v>1.0071503431917754</c:v>
                </c:pt>
                <c:pt idx="34">
                  <c:v>1.0160200337760041</c:v>
                </c:pt>
                <c:pt idx="35">
                  <c:v>1.0097816778631112</c:v>
                </c:pt>
                <c:pt idx="36">
                  <c:v>1.0218836598603414</c:v>
                </c:pt>
                <c:pt idx="37">
                  <c:v>1.0228578774719319</c:v>
                </c:pt>
                <c:pt idx="38">
                  <c:v>1.0183703094953969</c:v>
                </c:pt>
                <c:pt idx="39">
                  <c:v>1.0142010484779509</c:v>
                </c:pt>
                <c:pt idx="40">
                  <c:v>1.0254757262829537</c:v>
                </c:pt>
                <c:pt idx="41">
                  <c:v>1.0321736261103041</c:v>
                </c:pt>
                <c:pt idx="42">
                  <c:v>1.032022491582534</c:v>
                </c:pt>
                <c:pt idx="43">
                  <c:v>1.0572897330812783</c:v>
                </c:pt>
                <c:pt idx="44">
                  <c:v>1.0310813730434278</c:v>
                </c:pt>
                <c:pt idx="45">
                  <c:v>1.0316972983326189</c:v>
                </c:pt>
                <c:pt idx="46">
                  <c:v>1.0206674230480806</c:v>
                </c:pt>
                <c:pt idx="47">
                  <c:v>1.0022715313790866</c:v>
                </c:pt>
                <c:pt idx="48">
                  <c:v>1.0221907144827003</c:v>
                </c:pt>
                <c:pt idx="49">
                  <c:v>1.0273277125773248</c:v>
                </c:pt>
                <c:pt idx="50">
                  <c:v>1.0431323461766764</c:v>
                </c:pt>
                <c:pt idx="51">
                  <c:v>1.0393015632666869</c:v>
                </c:pt>
                <c:pt idx="52">
                  <c:v>1.0477314835985079</c:v>
                </c:pt>
                <c:pt idx="53">
                  <c:v>1.0405886913497626</c:v>
                </c:pt>
                <c:pt idx="54">
                  <c:v>1.0430088895310836</c:v>
                </c:pt>
                <c:pt idx="55">
                  <c:v>1.0366209048576913</c:v>
                </c:pt>
                <c:pt idx="56">
                  <c:v>1.0494494698916448</c:v>
                </c:pt>
                <c:pt idx="57">
                  <c:v>1.0432878143747306</c:v>
                </c:pt>
                <c:pt idx="58">
                  <c:v>1.0547688483970203</c:v>
                </c:pt>
                <c:pt idx="59">
                  <c:v>1.049696938109324</c:v>
                </c:pt>
                <c:pt idx="60">
                  <c:v>1.0524985983430146</c:v>
                </c:pt>
                <c:pt idx="61">
                  <c:v>1.0121524192123286</c:v>
                </c:pt>
                <c:pt idx="62">
                  <c:v>1.0100285570414431</c:v>
                </c:pt>
                <c:pt idx="63">
                  <c:v>1.0015323190999383</c:v>
                </c:pt>
                <c:pt idx="64">
                  <c:v>1.0020503359336381</c:v>
                </c:pt>
                <c:pt idx="65">
                  <c:v>0.99647843405452186</c:v>
                </c:pt>
                <c:pt idx="66">
                  <c:v>0.98738215085522285</c:v>
                </c:pt>
                <c:pt idx="67">
                  <c:v>0.97813313837465299</c:v>
                </c:pt>
                <c:pt idx="68">
                  <c:v>0.98256511779234135</c:v>
                </c:pt>
                <c:pt idx="69">
                  <c:v>0.97076373690293671</c:v>
                </c:pt>
                <c:pt idx="70">
                  <c:v>0.97808548421822483</c:v>
                </c:pt>
                <c:pt idx="71">
                  <c:v>0.98822171019076455</c:v>
                </c:pt>
                <c:pt idx="72">
                  <c:v>0.98822171019076455</c:v>
                </c:pt>
                <c:pt idx="73">
                  <c:v>1.0004060905167558</c:v>
                </c:pt>
                <c:pt idx="74">
                  <c:v>1.0120667720775167</c:v>
                </c:pt>
                <c:pt idx="75">
                  <c:v>1.0087778810607364</c:v>
                </c:pt>
                <c:pt idx="76">
                  <c:v>1.0021167300613676</c:v>
                </c:pt>
                <c:pt idx="77">
                  <c:v>1.0006414098290668</c:v>
                </c:pt>
                <c:pt idx="78">
                  <c:v>1.0049351853701742</c:v>
                </c:pt>
                <c:pt idx="79">
                  <c:v>1.0114467933297648</c:v>
                </c:pt>
                <c:pt idx="80">
                  <c:v>1.0102418362379439</c:v>
                </c:pt>
                <c:pt idx="81">
                  <c:v>1.003027971136093</c:v>
                </c:pt>
                <c:pt idx="82">
                  <c:v>1.0116554748620086</c:v>
                </c:pt>
                <c:pt idx="83">
                  <c:v>0.99812205573459933</c:v>
                </c:pt>
                <c:pt idx="84">
                  <c:v>0.98429282827639208</c:v>
                </c:pt>
                <c:pt idx="85">
                  <c:v>1.0014642267776397</c:v>
                </c:pt>
                <c:pt idx="86">
                  <c:v>0.99482944969179221</c:v>
                </c:pt>
                <c:pt idx="87">
                  <c:v>0.9851146136540162</c:v>
                </c:pt>
                <c:pt idx="88">
                  <c:v>1.0030559672702499</c:v>
                </c:pt>
                <c:pt idx="89">
                  <c:v>0.99969594659177474</c:v>
                </c:pt>
                <c:pt idx="90">
                  <c:v>1.0003058586349634</c:v>
                </c:pt>
                <c:pt idx="91">
                  <c:v>1.0000738384931207</c:v>
                </c:pt>
                <c:pt idx="92">
                  <c:v>1.009570190876498</c:v>
                </c:pt>
                <c:pt idx="93">
                  <c:v>1.0107709684310762</c:v>
                </c:pt>
                <c:pt idx="94">
                  <c:v>1.0030064196586075</c:v>
                </c:pt>
                <c:pt idx="95">
                  <c:v>1.010736798123093</c:v>
                </c:pt>
                <c:pt idx="96">
                  <c:v>1.0078885662982295</c:v>
                </c:pt>
                <c:pt idx="97">
                  <c:v>1.0082057493853975</c:v>
                </c:pt>
                <c:pt idx="98">
                  <c:v>0.99665531686339826</c:v>
                </c:pt>
                <c:pt idx="99">
                  <c:v>1.0051376640468646</c:v>
                </c:pt>
                <c:pt idx="100">
                  <c:v>0.99309143640097064</c:v>
                </c:pt>
                <c:pt idx="101">
                  <c:v>1.000930570140806</c:v>
                </c:pt>
                <c:pt idx="102">
                  <c:v>1.0038615637202191</c:v>
                </c:pt>
                <c:pt idx="103">
                  <c:v>1.0003217579360313</c:v>
                </c:pt>
                <c:pt idx="104">
                  <c:v>0.99814137102426637</c:v>
                </c:pt>
                <c:pt idx="105">
                  <c:v>0.99494902721355782</c:v>
                </c:pt>
                <c:pt idx="106">
                  <c:v>1.0083502885332767</c:v>
                </c:pt>
                <c:pt idx="107">
                  <c:v>1.0056762954083551</c:v>
                </c:pt>
                <c:pt idx="108">
                  <c:v>1.0075827433618041</c:v>
                </c:pt>
                <c:pt idx="109">
                  <c:v>1.0027521068719079</c:v>
                </c:pt>
                <c:pt idx="110">
                  <c:v>1.0084499543181071</c:v>
                </c:pt>
                <c:pt idx="111">
                  <c:v>1.0166274393670192</c:v>
                </c:pt>
                <c:pt idx="112">
                  <c:v>1.0179984127242019</c:v>
                </c:pt>
                <c:pt idx="113">
                  <c:v>1.0351266291487597</c:v>
                </c:pt>
                <c:pt idx="114">
                  <c:v>1.0274148196790949</c:v>
                </c:pt>
                <c:pt idx="115">
                  <c:v>1.0308340996147094</c:v>
                </c:pt>
                <c:pt idx="116">
                  <c:v>1.0169773604594179</c:v>
                </c:pt>
                <c:pt idx="117">
                  <c:v>1.0156269759223771</c:v>
                </c:pt>
                <c:pt idx="118">
                  <c:v>1.0310450090571905</c:v>
                </c:pt>
                <c:pt idx="119">
                  <c:v>1.0249279198421803</c:v>
                </c:pt>
                <c:pt idx="120">
                  <c:v>1.0351008536799053</c:v>
                </c:pt>
                <c:pt idx="121">
                  <c:v>1.0284192837334192</c:v>
                </c:pt>
                <c:pt idx="122">
                  <c:v>1.0225289866444234</c:v>
                </c:pt>
                <c:pt idx="123">
                  <c:v>1.0250961065960946</c:v>
                </c:pt>
                <c:pt idx="124">
                  <c:v>1.0306678526052888</c:v>
                </c:pt>
                <c:pt idx="125">
                  <c:v>1.0225980042869813</c:v>
                </c:pt>
                <c:pt idx="126">
                  <c:v>1.0156587743883081</c:v>
                </c:pt>
                <c:pt idx="127">
                  <c:v>1.0140527007670115</c:v>
                </c:pt>
                <c:pt idx="128">
                  <c:v>1.0193795596144033</c:v>
                </c:pt>
                <c:pt idx="129">
                  <c:v>1.0229544296913597</c:v>
                </c:pt>
                <c:pt idx="130">
                  <c:v>1.0292697352019791</c:v>
                </c:pt>
                <c:pt idx="131">
                  <c:v>1.0196156237424696</c:v>
                </c:pt>
                <c:pt idx="132">
                  <c:v>1.0134346085275527</c:v>
                </c:pt>
                <c:pt idx="133">
                  <c:v>1.0164943490378759</c:v>
                </c:pt>
                <c:pt idx="134">
                  <c:v>1.0153724133167061</c:v>
                </c:pt>
                <c:pt idx="135">
                  <c:v>1.0215300141756585</c:v>
                </c:pt>
                <c:pt idx="136">
                  <c:v>1.0183023442238763</c:v>
                </c:pt>
                <c:pt idx="137">
                  <c:v>1.0179386535116921</c:v>
                </c:pt>
                <c:pt idx="138">
                  <c:v>0.9970386793451298</c:v>
                </c:pt>
                <c:pt idx="139">
                  <c:v>0.99431756347071709</c:v>
                </c:pt>
                <c:pt idx="140">
                  <c:v>1.0021559742460904</c:v>
                </c:pt>
                <c:pt idx="141">
                  <c:v>0.98898167650079416</c:v>
                </c:pt>
                <c:pt idx="142">
                  <c:v>0.99344334717810745</c:v>
                </c:pt>
                <c:pt idx="143">
                  <c:v>0.98759146202318771</c:v>
                </c:pt>
                <c:pt idx="144">
                  <c:v>0.9941551244989969</c:v>
                </c:pt>
                <c:pt idx="145">
                  <c:v>0.99178554106888772</c:v>
                </c:pt>
                <c:pt idx="146">
                  <c:v>0.99469983924027061</c:v>
                </c:pt>
                <c:pt idx="147">
                  <c:v>0.99763346352057147</c:v>
                </c:pt>
                <c:pt idx="148">
                  <c:v>0.99141044798891564</c:v>
                </c:pt>
                <c:pt idx="149">
                  <c:v>1.0005321603492598</c:v>
                </c:pt>
                <c:pt idx="150">
                  <c:v>0.99483267478077742</c:v>
                </c:pt>
                <c:pt idx="151">
                  <c:v>0.99372919981868646</c:v>
                </c:pt>
                <c:pt idx="152">
                  <c:v>1.0039328032332566</c:v>
                </c:pt>
                <c:pt idx="153">
                  <c:v>1.003277954587801</c:v>
                </c:pt>
                <c:pt idx="154">
                  <c:v>0.99478665477279005</c:v>
                </c:pt>
                <c:pt idx="155">
                  <c:v>0.99327063506313895</c:v>
                </c:pt>
                <c:pt idx="156">
                  <c:v>0.99698579480667004</c:v>
                </c:pt>
                <c:pt idx="157">
                  <c:v>0.99847611944562653</c:v>
                </c:pt>
                <c:pt idx="158">
                  <c:v>0.99108607328278542</c:v>
                </c:pt>
                <c:pt idx="159">
                  <c:v>1.0023830279167487</c:v>
                </c:pt>
                <c:pt idx="160">
                  <c:v>0.99401568895612546</c:v>
                </c:pt>
                <c:pt idx="161">
                  <c:v>1.0069487713199499</c:v>
                </c:pt>
                <c:pt idx="162">
                  <c:v>1.0064551347293265</c:v>
                </c:pt>
                <c:pt idx="163">
                  <c:v>1.0047939389393541</c:v>
                </c:pt>
                <c:pt idx="164">
                  <c:v>1.01765163225336</c:v>
                </c:pt>
                <c:pt idx="165">
                  <c:v>1.0161164314396554</c:v>
                </c:pt>
                <c:pt idx="166">
                  <c:v>1.0215006666268358</c:v>
                </c:pt>
                <c:pt idx="167">
                  <c:v>1.0221432892786371</c:v>
                </c:pt>
                <c:pt idx="168">
                  <c:v>1.0205421720266492</c:v>
                </c:pt>
                <c:pt idx="169">
                  <c:v>1.022795342745568</c:v>
                </c:pt>
                <c:pt idx="170">
                  <c:v>1.0276164861313648</c:v>
                </c:pt>
                <c:pt idx="171">
                  <c:v>1.0257794087420571</c:v>
                </c:pt>
                <c:pt idx="172">
                  <c:v>1.0276647111838799</c:v>
                </c:pt>
                <c:pt idx="173">
                  <c:v>1.0209316634288692</c:v>
                </c:pt>
                <c:pt idx="174">
                  <c:v>1.0236344297453641</c:v>
                </c:pt>
                <c:pt idx="175">
                  <c:v>1.0193360102472464</c:v>
                </c:pt>
                <c:pt idx="176">
                  <c:v>1.0238418644010043</c:v>
                </c:pt>
                <c:pt idx="177">
                  <c:v>1.0199386345799117</c:v>
                </c:pt>
                <c:pt idx="178">
                  <c:v>1.0134857371208053</c:v>
                </c:pt>
                <c:pt idx="179">
                  <c:v>1.0173495021771939</c:v>
                </c:pt>
                <c:pt idx="180">
                  <c:v>1.0084145192649279</c:v>
                </c:pt>
                <c:pt idx="181">
                  <c:v>1.0138718351419918</c:v>
                </c:pt>
                <c:pt idx="182">
                  <c:v>1.0088784319372661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CE-4CA1-8472-D8E855E6E6A0}"/>
            </c:ext>
          </c:extLst>
        </c:ser>
        <c:ser>
          <c:idx val="4"/>
          <c:order val="1"/>
          <c:tx>
            <c:strRef>
              <c:f>Exemplo_Serie!$F$1</c:f>
              <c:strCache>
                <c:ptCount val="1"/>
                <c:pt idx="0">
                  <c:v> Avg 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[0]!Data</c:f>
              <c:numCache>
                <c:formatCode>[$-416]dd\-mmm\-yy;@</c:formatCode>
                <c:ptCount val="183"/>
                <c:pt idx="0">
                  <c:v>41376</c:v>
                </c:pt>
                <c:pt idx="1">
                  <c:v>41379</c:v>
                </c:pt>
                <c:pt idx="2">
                  <c:v>41380</c:v>
                </c:pt>
                <c:pt idx="3">
                  <c:v>41381</c:v>
                </c:pt>
                <c:pt idx="4">
                  <c:v>41382</c:v>
                </c:pt>
                <c:pt idx="5">
                  <c:v>41383</c:v>
                </c:pt>
                <c:pt idx="6">
                  <c:v>41386</c:v>
                </c:pt>
                <c:pt idx="7">
                  <c:v>41387</c:v>
                </c:pt>
                <c:pt idx="8">
                  <c:v>41388</c:v>
                </c:pt>
                <c:pt idx="9">
                  <c:v>41389</c:v>
                </c:pt>
                <c:pt idx="10">
                  <c:v>41390</c:v>
                </c:pt>
                <c:pt idx="11">
                  <c:v>41393</c:v>
                </c:pt>
                <c:pt idx="12">
                  <c:v>41394</c:v>
                </c:pt>
                <c:pt idx="13">
                  <c:v>41396</c:v>
                </c:pt>
                <c:pt idx="14">
                  <c:v>41397</c:v>
                </c:pt>
                <c:pt idx="15">
                  <c:v>41400</c:v>
                </c:pt>
                <c:pt idx="16">
                  <c:v>41401</c:v>
                </c:pt>
                <c:pt idx="17">
                  <c:v>41402</c:v>
                </c:pt>
                <c:pt idx="18">
                  <c:v>41403</c:v>
                </c:pt>
                <c:pt idx="19">
                  <c:v>41404</c:v>
                </c:pt>
                <c:pt idx="20">
                  <c:v>41407</c:v>
                </c:pt>
                <c:pt idx="21">
                  <c:v>41408</c:v>
                </c:pt>
                <c:pt idx="22">
                  <c:v>41409</c:v>
                </c:pt>
                <c:pt idx="23">
                  <c:v>41410</c:v>
                </c:pt>
                <c:pt idx="24">
                  <c:v>41411</c:v>
                </c:pt>
                <c:pt idx="25">
                  <c:v>41414</c:v>
                </c:pt>
                <c:pt idx="26">
                  <c:v>41415</c:v>
                </c:pt>
                <c:pt idx="27">
                  <c:v>41416</c:v>
                </c:pt>
                <c:pt idx="28">
                  <c:v>41417</c:v>
                </c:pt>
                <c:pt idx="29">
                  <c:v>41418</c:v>
                </c:pt>
                <c:pt idx="30">
                  <c:v>41421</c:v>
                </c:pt>
                <c:pt idx="31">
                  <c:v>41422</c:v>
                </c:pt>
                <c:pt idx="32">
                  <c:v>41423</c:v>
                </c:pt>
                <c:pt idx="33">
                  <c:v>41425</c:v>
                </c:pt>
                <c:pt idx="34">
                  <c:v>41428</c:v>
                </c:pt>
                <c:pt idx="35">
                  <c:v>41429</c:v>
                </c:pt>
                <c:pt idx="36">
                  <c:v>41430</c:v>
                </c:pt>
                <c:pt idx="37">
                  <c:v>41431</c:v>
                </c:pt>
                <c:pt idx="38">
                  <c:v>41432</c:v>
                </c:pt>
                <c:pt idx="39">
                  <c:v>41435</c:v>
                </c:pt>
                <c:pt idx="40">
                  <c:v>41436</c:v>
                </c:pt>
                <c:pt idx="41">
                  <c:v>41437</c:v>
                </c:pt>
                <c:pt idx="42">
                  <c:v>41438</c:v>
                </c:pt>
                <c:pt idx="43">
                  <c:v>41439</c:v>
                </c:pt>
                <c:pt idx="44">
                  <c:v>41442</c:v>
                </c:pt>
                <c:pt idx="45">
                  <c:v>41443</c:v>
                </c:pt>
                <c:pt idx="46">
                  <c:v>41444</c:v>
                </c:pt>
                <c:pt idx="47">
                  <c:v>41445</c:v>
                </c:pt>
                <c:pt idx="48">
                  <c:v>41446</c:v>
                </c:pt>
                <c:pt idx="49">
                  <c:v>41449</c:v>
                </c:pt>
                <c:pt idx="50">
                  <c:v>41450</c:v>
                </c:pt>
                <c:pt idx="51">
                  <c:v>41451</c:v>
                </c:pt>
                <c:pt idx="52">
                  <c:v>41452</c:v>
                </c:pt>
                <c:pt idx="53">
                  <c:v>41453</c:v>
                </c:pt>
                <c:pt idx="54">
                  <c:v>41456</c:v>
                </c:pt>
                <c:pt idx="55">
                  <c:v>41457</c:v>
                </c:pt>
                <c:pt idx="56">
                  <c:v>41458</c:v>
                </c:pt>
                <c:pt idx="57">
                  <c:v>41459</c:v>
                </c:pt>
                <c:pt idx="58">
                  <c:v>41460</c:v>
                </c:pt>
                <c:pt idx="59">
                  <c:v>41463</c:v>
                </c:pt>
                <c:pt idx="60">
                  <c:v>41465</c:v>
                </c:pt>
                <c:pt idx="61">
                  <c:v>41466</c:v>
                </c:pt>
                <c:pt idx="62">
                  <c:v>41467</c:v>
                </c:pt>
                <c:pt idx="63">
                  <c:v>41470</c:v>
                </c:pt>
                <c:pt idx="64">
                  <c:v>41471</c:v>
                </c:pt>
                <c:pt idx="65">
                  <c:v>41472</c:v>
                </c:pt>
                <c:pt idx="66">
                  <c:v>41473</c:v>
                </c:pt>
                <c:pt idx="67">
                  <c:v>41474</c:v>
                </c:pt>
                <c:pt idx="68">
                  <c:v>41477</c:v>
                </c:pt>
                <c:pt idx="69">
                  <c:v>41478</c:v>
                </c:pt>
                <c:pt idx="70">
                  <c:v>41479</c:v>
                </c:pt>
                <c:pt idx="71">
                  <c:v>41480</c:v>
                </c:pt>
                <c:pt idx="72">
                  <c:v>41481</c:v>
                </c:pt>
                <c:pt idx="73">
                  <c:v>41484</c:v>
                </c:pt>
                <c:pt idx="74">
                  <c:v>41485</c:v>
                </c:pt>
                <c:pt idx="75">
                  <c:v>41486</c:v>
                </c:pt>
                <c:pt idx="76">
                  <c:v>41487</c:v>
                </c:pt>
                <c:pt idx="77">
                  <c:v>41488</c:v>
                </c:pt>
                <c:pt idx="78">
                  <c:v>41491</c:v>
                </c:pt>
                <c:pt idx="79">
                  <c:v>41492</c:v>
                </c:pt>
                <c:pt idx="80">
                  <c:v>41493</c:v>
                </c:pt>
                <c:pt idx="81">
                  <c:v>41494</c:v>
                </c:pt>
                <c:pt idx="82">
                  <c:v>41495</c:v>
                </c:pt>
                <c:pt idx="83">
                  <c:v>41498</c:v>
                </c:pt>
                <c:pt idx="84">
                  <c:v>41499</c:v>
                </c:pt>
                <c:pt idx="85">
                  <c:v>41500</c:v>
                </c:pt>
                <c:pt idx="86">
                  <c:v>41501</c:v>
                </c:pt>
                <c:pt idx="87">
                  <c:v>41502</c:v>
                </c:pt>
                <c:pt idx="88">
                  <c:v>41505</c:v>
                </c:pt>
                <c:pt idx="89">
                  <c:v>41506</c:v>
                </c:pt>
                <c:pt idx="90">
                  <c:v>41507</c:v>
                </c:pt>
                <c:pt idx="91">
                  <c:v>41508</c:v>
                </c:pt>
                <c:pt idx="92">
                  <c:v>41509</c:v>
                </c:pt>
                <c:pt idx="93">
                  <c:v>41512</c:v>
                </c:pt>
                <c:pt idx="94">
                  <c:v>41513</c:v>
                </c:pt>
                <c:pt idx="95">
                  <c:v>41514</c:v>
                </c:pt>
                <c:pt idx="96">
                  <c:v>41515</c:v>
                </c:pt>
                <c:pt idx="97">
                  <c:v>41516</c:v>
                </c:pt>
                <c:pt idx="98">
                  <c:v>41519</c:v>
                </c:pt>
                <c:pt idx="99">
                  <c:v>41520</c:v>
                </c:pt>
                <c:pt idx="100">
                  <c:v>41521</c:v>
                </c:pt>
                <c:pt idx="101">
                  <c:v>41522</c:v>
                </c:pt>
                <c:pt idx="102">
                  <c:v>41523</c:v>
                </c:pt>
                <c:pt idx="103">
                  <c:v>41526</c:v>
                </c:pt>
                <c:pt idx="104">
                  <c:v>41527</c:v>
                </c:pt>
                <c:pt idx="105">
                  <c:v>41528</c:v>
                </c:pt>
                <c:pt idx="106">
                  <c:v>41529</c:v>
                </c:pt>
                <c:pt idx="107">
                  <c:v>41530</c:v>
                </c:pt>
                <c:pt idx="108">
                  <c:v>41533</c:v>
                </c:pt>
                <c:pt idx="109">
                  <c:v>41534</c:v>
                </c:pt>
                <c:pt idx="110">
                  <c:v>41535</c:v>
                </c:pt>
                <c:pt idx="111">
                  <c:v>41536</c:v>
                </c:pt>
                <c:pt idx="112">
                  <c:v>41537</c:v>
                </c:pt>
                <c:pt idx="113">
                  <c:v>41540</c:v>
                </c:pt>
                <c:pt idx="114">
                  <c:v>41541</c:v>
                </c:pt>
                <c:pt idx="115">
                  <c:v>41542</c:v>
                </c:pt>
                <c:pt idx="116">
                  <c:v>41543</c:v>
                </c:pt>
                <c:pt idx="117">
                  <c:v>41544</c:v>
                </c:pt>
                <c:pt idx="118">
                  <c:v>41547</c:v>
                </c:pt>
                <c:pt idx="119">
                  <c:v>41548</c:v>
                </c:pt>
                <c:pt idx="120">
                  <c:v>41549</c:v>
                </c:pt>
                <c:pt idx="121">
                  <c:v>41550</c:v>
                </c:pt>
                <c:pt idx="122">
                  <c:v>41551</c:v>
                </c:pt>
                <c:pt idx="123">
                  <c:v>41554</c:v>
                </c:pt>
                <c:pt idx="124">
                  <c:v>41555</c:v>
                </c:pt>
                <c:pt idx="125">
                  <c:v>41556</c:v>
                </c:pt>
                <c:pt idx="126">
                  <c:v>41557</c:v>
                </c:pt>
                <c:pt idx="127">
                  <c:v>41558</c:v>
                </c:pt>
                <c:pt idx="128">
                  <c:v>41561</c:v>
                </c:pt>
                <c:pt idx="129">
                  <c:v>41562</c:v>
                </c:pt>
                <c:pt idx="130">
                  <c:v>41563</c:v>
                </c:pt>
                <c:pt idx="131">
                  <c:v>41564</c:v>
                </c:pt>
                <c:pt idx="132">
                  <c:v>41565</c:v>
                </c:pt>
                <c:pt idx="133">
                  <c:v>41568</c:v>
                </c:pt>
                <c:pt idx="134">
                  <c:v>41569</c:v>
                </c:pt>
                <c:pt idx="135">
                  <c:v>41570</c:v>
                </c:pt>
                <c:pt idx="136">
                  <c:v>41571</c:v>
                </c:pt>
                <c:pt idx="137">
                  <c:v>41572</c:v>
                </c:pt>
                <c:pt idx="138">
                  <c:v>41575</c:v>
                </c:pt>
                <c:pt idx="139">
                  <c:v>41576</c:v>
                </c:pt>
                <c:pt idx="140">
                  <c:v>41577</c:v>
                </c:pt>
                <c:pt idx="141">
                  <c:v>41578</c:v>
                </c:pt>
                <c:pt idx="142">
                  <c:v>41579</c:v>
                </c:pt>
                <c:pt idx="143">
                  <c:v>41582</c:v>
                </c:pt>
                <c:pt idx="144">
                  <c:v>41583</c:v>
                </c:pt>
                <c:pt idx="145">
                  <c:v>41584</c:v>
                </c:pt>
                <c:pt idx="146">
                  <c:v>41585</c:v>
                </c:pt>
                <c:pt idx="147">
                  <c:v>41586</c:v>
                </c:pt>
                <c:pt idx="148">
                  <c:v>41589</c:v>
                </c:pt>
                <c:pt idx="149">
                  <c:v>41590</c:v>
                </c:pt>
                <c:pt idx="150">
                  <c:v>41591</c:v>
                </c:pt>
                <c:pt idx="151">
                  <c:v>41592</c:v>
                </c:pt>
                <c:pt idx="152">
                  <c:v>41596</c:v>
                </c:pt>
                <c:pt idx="153">
                  <c:v>41597</c:v>
                </c:pt>
                <c:pt idx="154">
                  <c:v>41599</c:v>
                </c:pt>
                <c:pt idx="155">
                  <c:v>41600</c:v>
                </c:pt>
                <c:pt idx="156">
                  <c:v>41603</c:v>
                </c:pt>
                <c:pt idx="157">
                  <c:v>41604</c:v>
                </c:pt>
                <c:pt idx="158">
                  <c:v>41605</c:v>
                </c:pt>
                <c:pt idx="159">
                  <c:v>41606</c:v>
                </c:pt>
                <c:pt idx="160">
                  <c:v>41607</c:v>
                </c:pt>
                <c:pt idx="161">
                  <c:v>41610</c:v>
                </c:pt>
                <c:pt idx="162">
                  <c:v>41611</c:v>
                </c:pt>
                <c:pt idx="163">
                  <c:v>41612</c:v>
                </c:pt>
                <c:pt idx="164">
                  <c:v>41613</c:v>
                </c:pt>
                <c:pt idx="165">
                  <c:v>41614</c:v>
                </c:pt>
                <c:pt idx="166">
                  <c:v>41617</c:v>
                </c:pt>
                <c:pt idx="167">
                  <c:v>41618</c:v>
                </c:pt>
                <c:pt idx="168">
                  <c:v>41619</c:v>
                </c:pt>
                <c:pt idx="169">
                  <c:v>41620</c:v>
                </c:pt>
                <c:pt idx="170">
                  <c:v>41621</c:v>
                </c:pt>
                <c:pt idx="171">
                  <c:v>41624</c:v>
                </c:pt>
                <c:pt idx="172">
                  <c:v>41625</c:v>
                </c:pt>
                <c:pt idx="173">
                  <c:v>41626</c:v>
                </c:pt>
                <c:pt idx="174">
                  <c:v>41627</c:v>
                </c:pt>
                <c:pt idx="175">
                  <c:v>41628</c:v>
                </c:pt>
                <c:pt idx="176">
                  <c:v>41631</c:v>
                </c:pt>
                <c:pt idx="177">
                  <c:v>41634</c:v>
                </c:pt>
                <c:pt idx="178">
                  <c:v>41635</c:v>
                </c:pt>
                <c:pt idx="179">
                  <c:v>41638</c:v>
                </c:pt>
                <c:pt idx="180">
                  <c:v>41641</c:v>
                </c:pt>
                <c:pt idx="181">
                  <c:v>41642</c:v>
                </c:pt>
                <c:pt idx="182">
                  <c:v>41645</c:v>
                </c:pt>
              </c:numCache>
            </c:numRef>
          </c:cat>
          <c:val>
            <c:numRef>
              <c:f>[0]!Avg</c:f>
              <c:numCache>
                <c:formatCode>_(* #,##0.00_);_(* \(#,##0.00\);_(* "-"??_);_(@_)</c:formatCode>
                <c:ptCount val="183"/>
                <c:pt idx="0">
                  <c:v>1.0351586536515203</c:v>
                </c:pt>
                <c:pt idx="1">
                  <c:v>1.0335811026812594</c:v>
                </c:pt>
                <c:pt idx="2">
                  <c:v>1.0320180998673805</c:v>
                </c:pt>
                <c:pt idx="3">
                  <c:v>1.030424513527564</c:v>
                </c:pt>
                <c:pt idx="4">
                  <c:v>1.0306624325285041</c:v>
                </c:pt>
                <c:pt idx="5">
                  <c:v>1.0306028494381674</c:v>
                </c:pt>
                <c:pt idx="6">
                  <c:v>1.0305057510313396</c:v>
                </c:pt>
                <c:pt idx="7">
                  <c:v>1.0300394605216558</c:v>
                </c:pt>
                <c:pt idx="8">
                  <c:v>1.0291028265784978</c:v>
                </c:pt>
                <c:pt idx="9">
                  <c:v>1.0279504564261708</c:v>
                </c:pt>
                <c:pt idx="10">
                  <c:v>1.0268845448260049</c:v>
                </c:pt>
                <c:pt idx="11">
                  <c:v>1.0266739683645456</c:v>
                </c:pt>
                <c:pt idx="12">
                  <c:v>1.0257328954742622</c:v>
                </c:pt>
                <c:pt idx="13">
                  <c:v>1.0248187185931943</c:v>
                </c:pt>
                <c:pt idx="14">
                  <c:v>1.0238933458660966</c:v>
                </c:pt>
                <c:pt idx="15">
                  <c:v>1.0228032333944157</c:v>
                </c:pt>
                <c:pt idx="16">
                  <c:v>1.0218483155210676</c:v>
                </c:pt>
                <c:pt idx="17">
                  <c:v>1.0207694903955089</c:v>
                </c:pt>
                <c:pt idx="18">
                  <c:v>1.0196581827927893</c:v>
                </c:pt>
                <c:pt idx="19">
                  <c:v>1.0184569778396906</c:v>
                </c:pt>
                <c:pt idx="20">
                  <c:v>1.0172520706722308</c:v>
                </c:pt>
                <c:pt idx="21">
                  <c:v>1.0160768594811753</c:v>
                </c:pt>
                <c:pt idx="22">
                  <c:v>1.0145589416315557</c:v>
                </c:pt>
                <c:pt idx="23">
                  <c:v>1.0138634337660908</c:v>
                </c:pt>
                <c:pt idx="24">
                  <c:v>1.0128019720700505</c:v>
                </c:pt>
                <c:pt idx="25">
                  <c:v>1.0117495720584846</c:v>
                </c:pt>
                <c:pt idx="26">
                  <c:v>1.0108523410606842</c:v>
                </c:pt>
                <c:pt idx="27">
                  <c:v>1.0106157385050627</c:v>
                </c:pt>
                <c:pt idx="28">
                  <c:v>1.0103284335869838</c:v>
                </c:pt>
                <c:pt idx="29">
                  <c:v>1.0104638727646611</c:v>
                </c:pt>
                <c:pt idx="30">
                  <c:v>1.0102261429157551</c:v>
                </c:pt>
                <c:pt idx="31">
                  <c:v>1.0093018399783227</c:v>
                </c:pt>
                <c:pt idx="32">
                  <c:v>1.0081217004996161</c:v>
                </c:pt>
                <c:pt idx="33">
                  <c:v>1.0068168461892528</c:v>
                </c:pt>
                <c:pt idx="34">
                  <c:v>1.0059271016320441</c:v>
                </c:pt>
                <c:pt idx="35">
                  <c:v>1.005110408251926</c:v>
                </c:pt>
                <c:pt idx="36">
                  <c:v>1.0047492174214434</c:v>
                </c:pt>
                <c:pt idx="37">
                  <c:v>1.0047513520587144</c:v>
                </c:pt>
                <c:pt idx="38">
                  <c:v>1.0049162162541505</c:v>
                </c:pt>
                <c:pt idx="39">
                  <c:v>1.0050571048519066</c:v>
                </c:pt>
                <c:pt idx="40">
                  <c:v>1.0055738160431631</c:v>
                </c:pt>
                <c:pt idx="41">
                  <c:v>1.0065330161315373</c:v>
                </c:pt>
                <c:pt idx="42">
                  <c:v>1.0076973254079005</c:v>
                </c:pt>
                <c:pt idx="43">
                  <c:v>1.0095435888260269</c:v>
                </c:pt>
                <c:pt idx="44">
                  <c:v>1.0105446741985424</c:v>
                </c:pt>
                <c:pt idx="45">
                  <c:v>1.0117165398186492</c:v>
                </c:pt>
                <c:pt idx="46">
                  <c:v>1.0123220691687742</c:v>
                </c:pt>
                <c:pt idx="47">
                  <c:v>1.0122684297257978</c:v>
                </c:pt>
                <c:pt idx="48">
                  <c:v>1.0129316993065902</c:v>
                </c:pt>
                <c:pt idx="49">
                  <c:v>1.0141717869815505</c:v>
                </c:pt>
                <c:pt idx="50">
                  <c:v>1.0159423979908504</c:v>
                </c:pt>
                <c:pt idx="51">
                  <c:v>1.0175717646326483</c:v>
                </c:pt>
                <c:pt idx="52">
                  <c:v>1.019640585829791</c:v>
                </c:pt>
                <c:pt idx="53">
                  <c:v>1.0209928496719454</c:v>
                </c:pt>
                <c:pt idx="54">
                  <c:v>1.022681881920634</c:v>
                </c:pt>
                <c:pt idx="55">
                  <c:v>1.024059530926521</c:v>
                </c:pt>
                <c:pt idx="56">
                  <c:v>1.0258684701773766</c:v>
                </c:pt>
                <c:pt idx="57">
                  <c:v>1.0270773190255511</c:v>
                </c:pt>
                <c:pt idx="58">
                  <c:v>1.0285194117864294</c:v>
                </c:pt>
                <c:pt idx="59">
                  <c:v>1.0293837159825068</c:v>
                </c:pt>
                <c:pt idx="60">
                  <c:v>1.0303576907853571</c:v>
                </c:pt>
                <c:pt idx="61">
                  <c:v>1.0304692598976168</c:v>
                </c:pt>
                <c:pt idx="62">
                  <c:v>1.0304909701402245</c:v>
                </c:pt>
                <c:pt idx="63">
                  <c:v>1.0303037026704966</c:v>
                </c:pt>
                <c:pt idx="64">
                  <c:v>1.0298380460757512</c:v>
                </c:pt>
                <c:pt idx="65">
                  <c:v>1.0293946046154647</c:v>
                </c:pt>
                <c:pt idx="66">
                  <c:v>1.0282445543152943</c:v>
                </c:pt>
                <c:pt idx="67">
                  <c:v>1.0267537296787181</c:v>
                </c:pt>
                <c:pt idx="68">
                  <c:v>1.0255602232886163</c:v>
                </c:pt>
                <c:pt idx="69">
                  <c:v>1.0241123129027825</c:v>
                </c:pt>
                <c:pt idx="70">
                  <c:v>1.0225326381672915</c:v>
                </c:pt>
                <c:pt idx="71">
                  <c:v>1.0210675743033069</c:v>
                </c:pt>
                <c:pt idx="72">
                  <c:v>1.0196075482569145</c:v>
                </c:pt>
                <c:pt idx="73">
                  <c:v>1.0177114268380971</c:v>
                </c:pt>
                <c:pt idx="74">
                  <c:v>1.0170776068059</c:v>
                </c:pt>
                <c:pt idx="75">
                  <c:v>1.0163136262301706</c:v>
                </c:pt>
                <c:pt idx="76">
                  <c:v>1.0156952697972801</c:v>
                </c:pt>
                <c:pt idx="77">
                  <c:v>1.0156409324122795</c:v>
                </c:pt>
                <c:pt idx="78">
                  <c:v>1.0150657481085288</c:v>
                </c:pt>
                <c:pt idx="79">
                  <c:v>1.0145363841336104</c:v>
                </c:pt>
                <c:pt idx="80">
                  <c:v>1.0134400338023193</c:v>
                </c:pt>
                <c:pt idx="81">
                  <c:v>1.0122309140646326</c:v>
                </c:pt>
                <c:pt idx="82">
                  <c:v>1.0110283804400828</c:v>
                </c:pt>
                <c:pt idx="83">
                  <c:v>1.0096128259195774</c:v>
                </c:pt>
                <c:pt idx="84">
                  <c:v>1.0076556238777541</c:v>
                </c:pt>
                <c:pt idx="85">
                  <c:v>1.006483734608419</c:v>
                </c:pt>
                <c:pt idx="86">
                  <c:v>1.004663067268424</c:v>
                </c:pt>
                <c:pt idx="87">
                  <c:v>1.0027239605777336</c:v>
                </c:pt>
                <c:pt idx="88">
                  <c:v>1.0010001978735077</c:v>
                </c:pt>
                <c:pt idx="89">
                  <c:v>0.99933349815625616</c:v>
                </c:pt>
                <c:pt idx="90">
                  <c:v>0.99759374016598756</c:v>
                </c:pt>
                <c:pt idx="91">
                  <c:v>0.99719112080868066</c:v>
                </c:pt>
                <c:pt idx="92">
                  <c:v>0.99717584193651576</c:v>
                </c:pt>
                <c:pt idx="93">
                  <c:v>0.9974837969142204</c:v>
                </c:pt>
                <c:pt idx="94">
                  <c:v>0.99751566637171929</c:v>
                </c:pt>
                <c:pt idx="95">
                  <c:v>0.997990945174005</c:v>
                </c:pt>
                <c:pt idx="96">
                  <c:v>0.99867449235543881</c:v>
                </c:pt>
                <c:pt idx="97">
                  <c:v>0.99967691272246362</c:v>
                </c:pt>
                <c:pt idx="98">
                  <c:v>1.0001465860248322</c:v>
                </c:pt>
                <c:pt idx="99">
                  <c:v>1.0012923835962964</c:v>
                </c:pt>
                <c:pt idx="100">
                  <c:v>1.0017925820023881</c:v>
                </c:pt>
                <c:pt idx="101">
                  <c:v>1.0022162106673893</c:v>
                </c:pt>
                <c:pt idx="102">
                  <c:v>1.0027375391183713</c:v>
                </c:pt>
                <c:pt idx="103">
                  <c:v>1.0027347280323469</c:v>
                </c:pt>
                <c:pt idx="104">
                  <c:v>1.0022705479972387</c:v>
                </c:pt>
                <c:pt idx="105">
                  <c:v>1.0018095862023324</c:v>
                </c:pt>
                <c:pt idx="106">
                  <c:v>1.0020173714847298</c:v>
                </c:pt>
                <c:pt idx="107">
                  <c:v>1.0021852010040395</c:v>
                </c:pt>
                <c:pt idx="108">
                  <c:v>1.0022734529370936</c:v>
                </c:pt>
                <c:pt idx="109">
                  <c:v>1.0019836300551652</c:v>
                </c:pt>
                <c:pt idx="110">
                  <c:v>1.0019239006578373</c:v>
                </c:pt>
                <c:pt idx="111">
                  <c:v>1.0023772162655349</c:v>
                </c:pt>
                <c:pt idx="112">
                  <c:v>1.002588647527608</c:v>
                </c:pt>
                <c:pt idx="113">
                  <c:v>1.0038221333080799</c:v>
                </c:pt>
                <c:pt idx="114">
                  <c:v>1.0052595330215033</c:v>
                </c:pt>
                <c:pt idx="115">
                  <c:v>1.0062385287827389</c:v>
                </c:pt>
                <c:pt idx="116">
                  <c:v>1.0069767924749931</c:v>
                </c:pt>
                <c:pt idx="117">
                  <c:v>1.0079938712172718</c:v>
                </c:pt>
                <c:pt idx="118">
                  <c:v>1.0089268392768365</c:v>
                </c:pt>
                <c:pt idx="119">
                  <c:v>1.00976790505185</c:v>
                </c:pt>
                <c:pt idx="120">
                  <c:v>1.0109277382200148</c:v>
                </c:pt>
                <c:pt idx="121">
                  <c:v>1.0118725863946914</c:v>
                </c:pt>
                <c:pt idx="122">
                  <c:v>1.012304546253622</c:v>
                </c:pt>
                <c:pt idx="123">
                  <c:v>1.0127820508591228</c:v>
                </c:pt>
                <c:pt idx="124">
                  <c:v>1.0137040986240122</c:v>
                </c:pt>
                <c:pt idx="125">
                  <c:v>1.0140994721628087</c:v>
                </c:pt>
                <c:pt idx="126">
                  <c:v>1.0143584790991444</c:v>
                </c:pt>
                <c:pt idx="127">
                  <c:v>1.0145533774785318</c:v>
                </c:pt>
                <c:pt idx="128">
                  <c:v>1.0153108522368983</c:v>
                </c:pt>
                <c:pt idx="129">
                  <c:v>1.0159047444250482</c:v>
                </c:pt>
                <c:pt idx="130">
                  <c:v>1.0171106877184153</c:v>
                </c:pt>
                <c:pt idx="131">
                  <c:v>1.0177335228384707</c:v>
                </c:pt>
                <c:pt idx="132">
                  <c:v>1.0180526243320485</c:v>
                </c:pt>
                <c:pt idx="133">
                  <c:v>1.0185917107021101</c:v>
                </c:pt>
                <c:pt idx="134">
                  <c:v>1.0191660787785246</c:v>
                </c:pt>
                <c:pt idx="135">
                  <c:v>1.0200521116772614</c:v>
                </c:pt>
                <c:pt idx="136">
                  <c:v>1.0203838468669479</c:v>
                </c:pt>
                <c:pt idx="137">
                  <c:v>1.0207925921370591</c:v>
                </c:pt>
                <c:pt idx="138">
                  <c:v>1.0204411233365034</c:v>
                </c:pt>
                <c:pt idx="139">
                  <c:v>1.0201599718897971</c:v>
                </c:pt>
                <c:pt idx="140">
                  <c:v>1.0199501725540632</c:v>
                </c:pt>
                <c:pt idx="141">
                  <c:v>1.019028647125189</c:v>
                </c:pt>
                <c:pt idx="142">
                  <c:v>1.0182101449403194</c:v>
                </c:pt>
                <c:pt idx="143">
                  <c:v>1.0166256393694668</c:v>
                </c:pt>
                <c:pt idx="144">
                  <c:v>1.0155169828634636</c:v>
                </c:pt>
                <c:pt idx="145">
                  <c:v>1.0142153642452696</c:v>
                </c:pt>
                <c:pt idx="146">
                  <c:v>1.0134727802046313</c:v>
                </c:pt>
                <c:pt idx="147">
                  <c:v>1.0128729964579042</c:v>
                </c:pt>
                <c:pt idx="148">
                  <c:v>1.0115518444222951</c:v>
                </c:pt>
                <c:pt idx="149">
                  <c:v>1.0107386524391979</c:v>
                </c:pt>
                <c:pt idx="150">
                  <c:v>1.0093963798092269</c:v>
                </c:pt>
                <c:pt idx="151">
                  <c:v>1.0082400436787358</c:v>
                </c:pt>
                <c:pt idx="152">
                  <c:v>1.0076201708983634</c:v>
                </c:pt>
                <c:pt idx="153">
                  <c:v>1.0068928991647537</c:v>
                </c:pt>
                <c:pt idx="154">
                  <c:v>1.0056968592370039</c:v>
                </c:pt>
                <c:pt idx="155">
                  <c:v>1.0047192802628757</c:v>
                </c:pt>
                <c:pt idx="156">
                  <c:v>1.0040968476101542</c:v>
                </c:pt>
                <c:pt idx="157">
                  <c:v>1.0035776282327751</c:v>
                </c:pt>
                <c:pt idx="158">
                  <c:v>1.002634512021721</c:v>
                </c:pt>
                <c:pt idx="159">
                  <c:v>1.0019487986292339</c:v>
                </c:pt>
                <c:pt idx="160">
                  <c:v>1.0007736637543723</c:v>
                </c:pt>
                <c:pt idx="161">
                  <c:v>1.0003514353402883</c:v>
                </c:pt>
                <c:pt idx="162">
                  <c:v>1.0001187862136807</c:v>
                </c:pt>
                <c:pt idx="163">
                  <c:v>0.99972877254373016</c:v>
                </c:pt>
                <c:pt idx="164">
                  <c:v>0.99980474650828521</c:v>
                </c:pt>
                <c:pt idx="165">
                  <c:v>0.9996242937504185</c:v>
                </c:pt>
                <c:pt idx="166">
                  <c:v>0.99973090449718383</c:v>
                </c:pt>
                <c:pt idx="167">
                  <c:v>0.99987105902274864</c:v>
                </c:pt>
                <c:pt idx="168">
                  <c:v>1.0006545087787992</c:v>
                </c:pt>
                <c:pt idx="169">
                  <c:v>1.001603768087961</c:v>
                </c:pt>
                <c:pt idx="170">
                  <c:v>1.00245245181747</c:v>
                </c:pt>
                <c:pt idx="171">
                  <c:v>1.0036790428921789</c:v>
                </c:pt>
                <c:pt idx="172">
                  <c:v>1.0048197550257045</c:v>
                </c:pt>
                <c:pt idx="173">
                  <c:v>1.0059310950725606</c:v>
                </c:pt>
                <c:pt idx="174">
                  <c:v>1.0069137385807727</c:v>
                </c:pt>
                <c:pt idx="175">
                  <c:v>1.0078320875533848</c:v>
                </c:pt>
                <c:pt idx="176">
                  <c:v>1.0088034883920758</c:v>
                </c:pt>
                <c:pt idx="177">
                  <c:v>1.009546994094054</c:v>
                </c:pt>
                <c:pt idx="178">
                  <c:v>1.0102828370651169</c:v>
                </c:pt>
                <c:pt idx="179">
                  <c:v>1.0108434151260479</c:v>
                </c:pt>
                <c:pt idx="180">
                  <c:v>1.0112961432755196</c:v>
                </c:pt>
                <c:pt idx="181">
                  <c:v>1.0119675644529631</c:v>
                </c:pt>
                <c:pt idx="182">
                  <c:v>1.0121324187430969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CE-4CA1-8472-D8E855E6E6A0}"/>
            </c:ext>
          </c:extLst>
        </c:ser>
        <c:ser>
          <c:idx val="5"/>
          <c:order val="2"/>
          <c:tx>
            <c:strRef>
              <c:f>Exemplo_Serie!$G$1</c:f>
              <c:strCache>
                <c:ptCount val="1"/>
                <c:pt idx="0">
                  <c:v> +1std 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[0]!Data</c:f>
              <c:numCache>
                <c:formatCode>[$-416]dd\-mmm\-yy;@</c:formatCode>
                <c:ptCount val="183"/>
                <c:pt idx="0">
                  <c:v>41376</c:v>
                </c:pt>
                <c:pt idx="1">
                  <c:v>41379</c:v>
                </c:pt>
                <c:pt idx="2">
                  <c:v>41380</c:v>
                </c:pt>
                <c:pt idx="3">
                  <c:v>41381</c:v>
                </c:pt>
                <c:pt idx="4">
                  <c:v>41382</c:v>
                </c:pt>
                <c:pt idx="5">
                  <c:v>41383</c:v>
                </c:pt>
                <c:pt idx="6">
                  <c:v>41386</c:v>
                </c:pt>
                <c:pt idx="7">
                  <c:v>41387</c:v>
                </c:pt>
                <c:pt idx="8">
                  <c:v>41388</c:v>
                </c:pt>
                <c:pt idx="9">
                  <c:v>41389</c:v>
                </c:pt>
                <c:pt idx="10">
                  <c:v>41390</c:v>
                </c:pt>
                <c:pt idx="11">
                  <c:v>41393</c:v>
                </c:pt>
                <c:pt idx="12">
                  <c:v>41394</c:v>
                </c:pt>
                <c:pt idx="13">
                  <c:v>41396</c:v>
                </c:pt>
                <c:pt idx="14">
                  <c:v>41397</c:v>
                </c:pt>
                <c:pt idx="15">
                  <c:v>41400</c:v>
                </c:pt>
                <c:pt idx="16">
                  <c:v>41401</c:v>
                </c:pt>
                <c:pt idx="17">
                  <c:v>41402</c:v>
                </c:pt>
                <c:pt idx="18">
                  <c:v>41403</c:v>
                </c:pt>
                <c:pt idx="19">
                  <c:v>41404</c:v>
                </c:pt>
                <c:pt idx="20">
                  <c:v>41407</c:v>
                </c:pt>
                <c:pt idx="21">
                  <c:v>41408</c:v>
                </c:pt>
                <c:pt idx="22">
                  <c:v>41409</c:v>
                </c:pt>
                <c:pt idx="23">
                  <c:v>41410</c:v>
                </c:pt>
                <c:pt idx="24">
                  <c:v>41411</c:v>
                </c:pt>
                <c:pt idx="25">
                  <c:v>41414</c:v>
                </c:pt>
                <c:pt idx="26">
                  <c:v>41415</c:v>
                </c:pt>
                <c:pt idx="27">
                  <c:v>41416</c:v>
                </c:pt>
                <c:pt idx="28">
                  <c:v>41417</c:v>
                </c:pt>
                <c:pt idx="29">
                  <c:v>41418</c:v>
                </c:pt>
                <c:pt idx="30">
                  <c:v>41421</c:v>
                </c:pt>
                <c:pt idx="31">
                  <c:v>41422</c:v>
                </c:pt>
                <c:pt idx="32">
                  <c:v>41423</c:v>
                </c:pt>
                <c:pt idx="33">
                  <c:v>41425</c:v>
                </c:pt>
                <c:pt idx="34">
                  <c:v>41428</c:v>
                </c:pt>
                <c:pt idx="35">
                  <c:v>41429</c:v>
                </c:pt>
                <c:pt idx="36">
                  <c:v>41430</c:v>
                </c:pt>
                <c:pt idx="37">
                  <c:v>41431</c:v>
                </c:pt>
                <c:pt idx="38">
                  <c:v>41432</c:v>
                </c:pt>
                <c:pt idx="39">
                  <c:v>41435</c:v>
                </c:pt>
                <c:pt idx="40">
                  <c:v>41436</c:v>
                </c:pt>
                <c:pt idx="41">
                  <c:v>41437</c:v>
                </c:pt>
                <c:pt idx="42">
                  <c:v>41438</c:v>
                </c:pt>
                <c:pt idx="43">
                  <c:v>41439</c:v>
                </c:pt>
                <c:pt idx="44">
                  <c:v>41442</c:v>
                </c:pt>
                <c:pt idx="45">
                  <c:v>41443</c:v>
                </c:pt>
                <c:pt idx="46">
                  <c:v>41444</c:v>
                </c:pt>
                <c:pt idx="47">
                  <c:v>41445</c:v>
                </c:pt>
                <c:pt idx="48">
                  <c:v>41446</c:v>
                </c:pt>
                <c:pt idx="49">
                  <c:v>41449</c:v>
                </c:pt>
                <c:pt idx="50">
                  <c:v>41450</c:v>
                </c:pt>
                <c:pt idx="51">
                  <c:v>41451</c:v>
                </c:pt>
                <c:pt idx="52">
                  <c:v>41452</c:v>
                </c:pt>
                <c:pt idx="53">
                  <c:v>41453</c:v>
                </c:pt>
                <c:pt idx="54">
                  <c:v>41456</c:v>
                </c:pt>
                <c:pt idx="55">
                  <c:v>41457</c:v>
                </c:pt>
                <c:pt idx="56">
                  <c:v>41458</c:v>
                </c:pt>
                <c:pt idx="57">
                  <c:v>41459</c:v>
                </c:pt>
                <c:pt idx="58">
                  <c:v>41460</c:v>
                </c:pt>
                <c:pt idx="59">
                  <c:v>41463</c:v>
                </c:pt>
                <c:pt idx="60">
                  <c:v>41465</c:v>
                </c:pt>
                <c:pt idx="61">
                  <c:v>41466</c:v>
                </c:pt>
                <c:pt idx="62">
                  <c:v>41467</c:v>
                </c:pt>
                <c:pt idx="63">
                  <c:v>41470</c:v>
                </c:pt>
                <c:pt idx="64">
                  <c:v>41471</c:v>
                </c:pt>
                <c:pt idx="65">
                  <c:v>41472</c:v>
                </c:pt>
                <c:pt idx="66">
                  <c:v>41473</c:v>
                </c:pt>
                <c:pt idx="67">
                  <c:v>41474</c:v>
                </c:pt>
                <c:pt idx="68">
                  <c:v>41477</c:v>
                </c:pt>
                <c:pt idx="69">
                  <c:v>41478</c:v>
                </c:pt>
                <c:pt idx="70">
                  <c:v>41479</c:v>
                </c:pt>
                <c:pt idx="71">
                  <c:v>41480</c:v>
                </c:pt>
                <c:pt idx="72">
                  <c:v>41481</c:v>
                </c:pt>
                <c:pt idx="73">
                  <c:v>41484</c:v>
                </c:pt>
                <c:pt idx="74">
                  <c:v>41485</c:v>
                </c:pt>
                <c:pt idx="75">
                  <c:v>41486</c:v>
                </c:pt>
                <c:pt idx="76">
                  <c:v>41487</c:v>
                </c:pt>
                <c:pt idx="77">
                  <c:v>41488</c:v>
                </c:pt>
                <c:pt idx="78">
                  <c:v>41491</c:v>
                </c:pt>
                <c:pt idx="79">
                  <c:v>41492</c:v>
                </c:pt>
                <c:pt idx="80">
                  <c:v>41493</c:v>
                </c:pt>
                <c:pt idx="81">
                  <c:v>41494</c:v>
                </c:pt>
                <c:pt idx="82">
                  <c:v>41495</c:v>
                </c:pt>
                <c:pt idx="83">
                  <c:v>41498</c:v>
                </c:pt>
                <c:pt idx="84">
                  <c:v>41499</c:v>
                </c:pt>
                <c:pt idx="85">
                  <c:v>41500</c:v>
                </c:pt>
                <c:pt idx="86">
                  <c:v>41501</c:v>
                </c:pt>
                <c:pt idx="87">
                  <c:v>41502</c:v>
                </c:pt>
                <c:pt idx="88">
                  <c:v>41505</c:v>
                </c:pt>
                <c:pt idx="89">
                  <c:v>41506</c:v>
                </c:pt>
                <c:pt idx="90">
                  <c:v>41507</c:v>
                </c:pt>
                <c:pt idx="91">
                  <c:v>41508</c:v>
                </c:pt>
                <c:pt idx="92">
                  <c:v>41509</c:v>
                </c:pt>
                <c:pt idx="93">
                  <c:v>41512</c:v>
                </c:pt>
                <c:pt idx="94">
                  <c:v>41513</c:v>
                </c:pt>
                <c:pt idx="95">
                  <c:v>41514</c:v>
                </c:pt>
                <c:pt idx="96">
                  <c:v>41515</c:v>
                </c:pt>
                <c:pt idx="97">
                  <c:v>41516</c:v>
                </c:pt>
                <c:pt idx="98">
                  <c:v>41519</c:v>
                </c:pt>
                <c:pt idx="99">
                  <c:v>41520</c:v>
                </c:pt>
                <c:pt idx="100">
                  <c:v>41521</c:v>
                </c:pt>
                <c:pt idx="101">
                  <c:v>41522</c:v>
                </c:pt>
                <c:pt idx="102">
                  <c:v>41523</c:v>
                </c:pt>
                <c:pt idx="103">
                  <c:v>41526</c:v>
                </c:pt>
                <c:pt idx="104">
                  <c:v>41527</c:v>
                </c:pt>
                <c:pt idx="105">
                  <c:v>41528</c:v>
                </c:pt>
                <c:pt idx="106">
                  <c:v>41529</c:v>
                </c:pt>
                <c:pt idx="107">
                  <c:v>41530</c:v>
                </c:pt>
                <c:pt idx="108">
                  <c:v>41533</c:v>
                </c:pt>
                <c:pt idx="109">
                  <c:v>41534</c:v>
                </c:pt>
                <c:pt idx="110">
                  <c:v>41535</c:v>
                </c:pt>
                <c:pt idx="111">
                  <c:v>41536</c:v>
                </c:pt>
                <c:pt idx="112">
                  <c:v>41537</c:v>
                </c:pt>
                <c:pt idx="113">
                  <c:v>41540</c:v>
                </c:pt>
                <c:pt idx="114">
                  <c:v>41541</c:v>
                </c:pt>
                <c:pt idx="115">
                  <c:v>41542</c:v>
                </c:pt>
                <c:pt idx="116">
                  <c:v>41543</c:v>
                </c:pt>
                <c:pt idx="117">
                  <c:v>41544</c:v>
                </c:pt>
                <c:pt idx="118">
                  <c:v>41547</c:v>
                </c:pt>
                <c:pt idx="119">
                  <c:v>41548</c:v>
                </c:pt>
                <c:pt idx="120">
                  <c:v>41549</c:v>
                </c:pt>
                <c:pt idx="121">
                  <c:v>41550</c:v>
                </c:pt>
                <c:pt idx="122">
                  <c:v>41551</c:v>
                </c:pt>
                <c:pt idx="123">
                  <c:v>41554</c:v>
                </c:pt>
                <c:pt idx="124">
                  <c:v>41555</c:v>
                </c:pt>
                <c:pt idx="125">
                  <c:v>41556</c:v>
                </c:pt>
                <c:pt idx="126">
                  <c:v>41557</c:v>
                </c:pt>
                <c:pt idx="127">
                  <c:v>41558</c:v>
                </c:pt>
                <c:pt idx="128">
                  <c:v>41561</c:v>
                </c:pt>
                <c:pt idx="129">
                  <c:v>41562</c:v>
                </c:pt>
                <c:pt idx="130">
                  <c:v>41563</c:v>
                </c:pt>
                <c:pt idx="131">
                  <c:v>41564</c:v>
                </c:pt>
                <c:pt idx="132">
                  <c:v>41565</c:v>
                </c:pt>
                <c:pt idx="133">
                  <c:v>41568</c:v>
                </c:pt>
                <c:pt idx="134">
                  <c:v>41569</c:v>
                </c:pt>
                <c:pt idx="135">
                  <c:v>41570</c:v>
                </c:pt>
                <c:pt idx="136">
                  <c:v>41571</c:v>
                </c:pt>
                <c:pt idx="137">
                  <c:v>41572</c:v>
                </c:pt>
                <c:pt idx="138">
                  <c:v>41575</c:v>
                </c:pt>
                <c:pt idx="139">
                  <c:v>41576</c:v>
                </c:pt>
                <c:pt idx="140">
                  <c:v>41577</c:v>
                </c:pt>
                <c:pt idx="141">
                  <c:v>41578</c:v>
                </c:pt>
                <c:pt idx="142">
                  <c:v>41579</c:v>
                </c:pt>
                <c:pt idx="143">
                  <c:v>41582</c:v>
                </c:pt>
                <c:pt idx="144">
                  <c:v>41583</c:v>
                </c:pt>
                <c:pt idx="145">
                  <c:v>41584</c:v>
                </c:pt>
                <c:pt idx="146">
                  <c:v>41585</c:v>
                </c:pt>
                <c:pt idx="147">
                  <c:v>41586</c:v>
                </c:pt>
                <c:pt idx="148">
                  <c:v>41589</c:v>
                </c:pt>
                <c:pt idx="149">
                  <c:v>41590</c:v>
                </c:pt>
                <c:pt idx="150">
                  <c:v>41591</c:v>
                </c:pt>
                <c:pt idx="151">
                  <c:v>41592</c:v>
                </c:pt>
                <c:pt idx="152">
                  <c:v>41596</c:v>
                </c:pt>
                <c:pt idx="153">
                  <c:v>41597</c:v>
                </c:pt>
                <c:pt idx="154">
                  <c:v>41599</c:v>
                </c:pt>
                <c:pt idx="155">
                  <c:v>41600</c:v>
                </c:pt>
                <c:pt idx="156">
                  <c:v>41603</c:v>
                </c:pt>
                <c:pt idx="157">
                  <c:v>41604</c:v>
                </c:pt>
                <c:pt idx="158">
                  <c:v>41605</c:v>
                </c:pt>
                <c:pt idx="159">
                  <c:v>41606</c:v>
                </c:pt>
                <c:pt idx="160">
                  <c:v>41607</c:v>
                </c:pt>
                <c:pt idx="161">
                  <c:v>41610</c:v>
                </c:pt>
                <c:pt idx="162">
                  <c:v>41611</c:v>
                </c:pt>
                <c:pt idx="163">
                  <c:v>41612</c:v>
                </c:pt>
                <c:pt idx="164">
                  <c:v>41613</c:v>
                </c:pt>
                <c:pt idx="165">
                  <c:v>41614</c:v>
                </c:pt>
                <c:pt idx="166">
                  <c:v>41617</c:v>
                </c:pt>
                <c:pt idx="167">
                  <c:v>41618</c:v>
                </c:pt>
                <c:pt idx="168">
                  <c:v>41619</c:v>
                </c:pt>
                <c:pt idx="169">
                  <c:v>41620</c:v>
                </c:pt>
                <c:pt idx="170">
                  <c:v>41621</c:v>
                </c:pt>
                <c:pt idx="171">
                  <c:v>41624</c:v>
                </c:pt>
                <c:pt idx="172">
                  <c:v>41625</c:v>
                </c:pt>
                <c:pt idx="173">
                  <c:v>41626</c:v>
                </c:pt>
                <c:pt idx="174">
                  <c:v>41627</c:v>
                </c:pt>
                <c:pt idx="175">
                  <c:v>41628</c:v>
                </c:pt>
                <c:pt idx="176">
                  <c:v>41631</c:v>
                </c:pt>
                <c:pt idx="177">
                  <c:v>41634</c:v>
                </c:pt>
                <c:pt idx="178">
                  <c:v>41635</c:v>
                </c:pt>
                <c:pt idx="179">
                  <c:v>41638</c:v>
                </c:pt>
                <c:pt idx="180">
                  <c:v>41641</c:v>
                </c:pt>
                <c:pt idx="181">
                  <c:v>41642</c:v>
                </c:pt>
                <c:pt idx="182">
                  <c:v>41645</c:v>
                </c:pt>
              </c:numCache>
            </c:numRef>
          </c:cat>
          <c:val>
            <c:numRef>
              <c:f>[0]!Desvio_Mais</c:f>
              <c:numCache>
                <c:formatCode>_(* #,##0.00_);_(* \(#,##0.00\);_(* "-"??_);_(@_)</c:formatCode>
                <c:ptCount val="183"/>
                <c:pt idx="0">
                  <c:v>1.0550337712901745</c:v>
                </c:pt>
                <c:pt idx="1">
                  <c:v>1.051287906317961</c:v>
                </c:pt>
                <c:pt idx="2">
                  <c:v>1.0462584047876655</c:v>
                </c:pt>
                <c:pt idx="3">
                  <c:v>1.0392876505873323</c:v>
                </c:pt>
                <c:pt idx="4">
                  <c:v>1.0397534973101703</c:v>
                </c:pt>
                <c:pt idx="5">
                  <c:v>1.0396640865080453</c:v>
                </c:pt>
                <c:pt idx="6">
                  <c:v>1.0395280967185376</c:v>
                </c:pt>
                <c:pt idx="7">
                  <c:v>1.0390868067106409</c:v>
                </c:pt>
                <c:pt idx="8">
                  <c:v>1.0383647478468454</c:v>
                </c:pt>
                <c:pt idx="9">
                  <c:v>1.0373686620442621</c:v>
                </c:pt>
                <c:pt idx="10">
                  <c:v>1.0364659433481336</c:v>
                </c:pt>
                <c:pt idx="11">
                  <c:v>1.036689963941329</c:v>
                </c:pt>
                <c:pt idx="12">
                  <c:v>1.0370705009097576</c:v>
                </c:pt>
                <c:pt idx="13">
                  <c:v>1.0369102699319426</c:v>
                </c:pt>
                <c:pt idx="14">
                  <c:v>1.0366859963104034</c:v>
                </c:pt>
                <c:pt idx="15">
                  <c:v>1.0364577839909859</c:v>
                </c:pt>
                <c:pt idx="16">
                  <c:v>1.0358822648728407</c:v>
                </c:pt>
                <c:pt idx="17">
                  <c:v>1.0348988838609865</c:v>
                </c:pt>
                <c:pt idx="18">
                  <c:v>1.033885676418838</c:v>
                </c:pt>
                <c:pt idx="19">
                  <c:v>1.0335779068612665</c:v>
                </c:pt>
                <c:pt idx="20">
                  <c:v>1.0331322127415852</c:v>
                </c:pt>
                <c:pt idx="21">
                  <c:v>1.032582298714654</c:v>
                </c:pt>
                <c:pt idx="22">
                  <c:v>1.0316856170583133</c:v>
                </c:pt>
                <c:pt idx="23">
                  <c:v>1.0311420379119358</c:v>
                </c:pt>
                <c:pt idx="24">
                  <c:v>1.0303894518393935</c:v>
                </c:pt>
                <c:pt idx="25">
                  <c:v>1.0294086123728317</c:v>
                </c:pt>
                <c:pt idx="26">
                  <c:v>1.0286460794452563</c:v>
                </c:pt>
                <c:pt idx="27">
                  <c:v>1.0284116395415928</c:v>
                </c:pt>
                <c:pt idx="28">
                  <c:v>1.0280378558084498</c:v>
                </c:pt>
                <c:pt idx="29">
                  <c:v>1.0282598109333783</c:v>
                </c:pt>
                <c:pt idx="30">
                  <c:v>1.0278002770461756</c:v>
                </c:pt>
                <c:pt idx="31">
                  <c:v>1.0261835540714566</c:v>
                </c:pt>
                <c:pt idx="32">
                  <c:v>1.0236664641751629</c:v>
                </c:pt>
                <c:pt idx="33">
                  <c:v>1.0206513194122995</c:v>
                </c:pt>
                <c:pt idx="34">
                  <c:v>1.0181939133833138</c:v>
                </c:pt>
                <c:pt idx="35">
                  <c:v>1.0162235548076022</c:v>
                </c:pt>
                <c:pt idx="36">
                  <c:v>1.0151097730877434</c:v>
                </c:pt>
                <c:pt idx="37">
                  <c:v>1.0151156312569454</c:v>
                </c:pt>
                <c:pt idx="38">
                  <c:v>1.0154550138102665</c:v>
                </c:pt>
                <c:pt idx="39">
                  <c:v>1.0156904096254618</c:v>
                </c:pt>
                <c:pt idx="40">
                  <c:v>1.0167939553784813</c:v>
                </c:pt>
                <c:pt idx="41">
                  <c:v>1.0187149124511823</c:v>
                </c:pt>
                <c:pt idx="42">
                  <c:v>1.0205709326939432</c:v>
                </c:pt>
                <c:pt idx="43">
                  <c:v>1.025137873480384</c:v>
                </c:pt>
                <c:pt idx="44">
                  <c:v>1.0265208034462354</c:v>
                </c:pt>
                <c:pt idx="45">
                  <c:v>1.0279104100094123</c:v>
                </c:pt>
                <c:pt idx="46">
                  <c:v>1.0284996721171551</c:v>
                </c:pt>
                <c:pt idx="47">
                  <c:v>1.0284765713456023</c:v>
                </c:pt>
                <c:pt idx="48">
                  <c:v>1.0291251680958622</c:v>
                </c:pt>
                <c:pt idx="49">
                  <c:v>1.0299914180768412</c:v>
                </c:pt>
                <c:pt idx="50">
                  <c:v>1.0319308167416201</c:v>
                </c:pt>
                <c:pt idx="51">
                  <c:v>1.0333657798996987</c:v>
                </c:pt>
                <c:pt idx="52">
                  <c:v>1.0351827991384077</c:v>
                </c:pt>
                <c:pt idx="53">
                  <c:v>1.036534020264291</c:v>
                </c:pt>
                <c:pt idx="54">
                  <c:v>1.0377637206000185</c:v>
                </c:pt>
                <c:pt idx="55">
                  <c:v>1.0384481583749421</c:v>
                </c:pt>
                <c:pt idx="56">
                  <c:v>1.0399201681736785</c:v>
                </c:pt>
                <c:pt idx="57">
                  <c:v>1.0410151862672565</c:v>
                </c:pt>
                <c:pt idx="58">
                  <c:v>1.0429991588103105</c:v>
                </c:pt>
                <c:pt idx="59">
                  <c:v>1.0443206852051556</c:v>
                </c:pt>
                <c:pt idx="60">
                  <c:v>1.0458086532513047</c:v>
                </c:pt>
                <c:pt idx="61">
                  <c:v>1.0457756007888064</c:v>
                </c:pt>
                <c:pt idx="62">
                  <c:v>1.0457678125779628</c:v>
                </c:pt>
                <c:pt idx="63">
                  <c:v>1.0458966754217014</c:v>
                </c:pt>
                <c:pt idx="64">
                  <c:v>1.046047044018815</c:v>
                </c:pt>
                <c:pt idx="65">
                  <c:v>1.0463126965370462</c:v>
                </c:pt>
                <c:pt idx="66">
                  <c:v>1.046733838181962</c:v>
                </c:pt>
                <c:pt idx="67">
                  <c:v>1.0473053472260201</c:v>
                </c:pt>
                <c:pt idx="68">
                  <c:v>1.0475531672144116</c:v>
                </c:pt>
                <c:pt idx="69">
                  <c:v>1.0481410583333217</c:v>
                </c:pt>
                <c:pt idx="70">
                  <c:v>1.0479381277995106</c:v>
                </c:pt>
                <c:pt idx="71">
                  <c:v>1.0471335584396677</c:v>
                </c:pt>
                <c:pt idx="72">
                  <c:v>1.0462395817034558</c:v>
                </c:pt>
                <c:pt idx="73">
                  <c:v>1.0436079174614059</c:v>
                </c:pt>
                <c:pt idx="74">
                  <c:v>1.042871599406846</c:v>
                </c:pt>
                <c:pt idx="75">
                  <c:v>1.0420024965222092</c:v>
                </c:pt>
                <c:pt idx="76">
                  <c:v>1.0414949255315393</c:v>
                </c:pt>
                <c:pt idx="77">
                  <c:v>1.0414705023212483</c:v>
                </c:pt>
                <c:pt idx="78">
                  <c:v>1.0409351564998637</c:v>
                </c:pt>
                <c:pt idx="79">
                  <c:v>1.0403117748451971</c:v>
                </c:pt>
                <c:pt idx="80">
                  <c:v>1.038669499092624</c:v>
                </c:pt>
                <c:pt idx="81">
                  <c:v>1.0370579898701371</c:v>
                </c:pt>
                <c:pt idx="82">
                  <c:v>1.0349645238714915</c:v>
                </c:pt>
                <c:pt idx="83">
                  <c:v>1.0330085636149924</c:v>
                </c:pt>
                <c:pt idx="84">
                  <c:v>1.0306278551511208</c:v>
                </c:pt>
                <c:pt idx="85">
                  <c:v>1.0288368465858957</c:v>
                </c:pt>
                <c:pt idx="86">
                  <c:v>1.0256234835444513</c:v>
                </c:pt>
                <c:pt idx="87">
                  <c:v>1.0226886280521181</c:v>
                </c:pt>
                <c:pt idx="88">
                  <c:v>1.0184739282187907</c:v>
                </c:pt>
                <c:pt idx="89">
                  <c:v>1.0142855654478569</c:v>
                </c:pt>
                <c:pt idx="90">
                  <c:v>1.0088343575272478</c:v>
                </c:pt>
                <c:pt idx="91">
                  <c:v>1.008114912948775</c:v>
                </c:pt>
                <c:pt idx="92">
                  <c:v>1.0080819742252716</c:v>
                </c:pt>
                <c:pt idx="93">
                  <c:v>1.0086362482562261</c:v>
                </c:pt>
                <c:pt idx="94">
                  <c:v>1.0086824784228605</c:v>
                </c:pt>
                <c:pt idx="95">
                  <c:v>1.0094042072219849</c:v>
                </c:pt>
                <c:pt idx="96">
                  <c:v>1.0100459123808341</c:v>
                </c:pt>
                <c:pt idx="97">
                  <c:v>1.010505929361813</c:v>
                </c:pt>
                <c:pt idx="98">
                  <c:v>1.0105191889876624</c:v>
                </c:pt>
                <c:pt idx="99">
                  <c:v>1.010142807770301</c:v>
                </c:pt>
                <c:pt idx="100">
                  <c:v>1.0096900280971435</c:v>
                </c:pt>
                <c:pt idx="101">
                  <c:v>1.0097046023726326</c:v>
                </c:pt>
                <c:pt idx="102">
                  <c:v>1.0097636522031401</c:v>
                </c:pt>
                <c:pt idx="103">
                  <c:v>1.0097617901531093</c:v>
                </c:pt>
                <c:pt idx="104">
                  <c:v>1.00912361556066</c:v>
                </c:pt>
                <c:pt idx="105">
                  <c:v>1.0086745231055632</c:v>
                </c:pt>
                <c:pt idx="106">
                  <c:v>1.0089820728865242</c:v>
                </c:pt>
                <c:pt idx="107">
                  <c:v>1.0091753402965455</c:v>
                </c:pt>
                <c:pt idx="108">
                  <c:v>1.0093142834213438</c:v>
                </c:pt>
                <c:pt idx="109">
                  <c:v>1.0088167792407683</c:v>
                </c:pt>
                <c:pt idx="110">
                  <c:v>1.0086921258951016</c:v>
                </c:pt>
                <c:pt idx="111">
                  <c:v>1.009641458399936</c:v>
                </c:pt>
                <c:pt idx="112">
                  <c:v>1.0102037006341771</c:v>
                </c:pt>
                <c:pt idx="113">
                  <c:v>1.0133664094375903</c:v>
                </c:pt>
                <c:pt idx="114">
                  <c:v>1.014999542881502</c:v>
                </c:pt>
                <c:pt idx="115">
                  <c:v>1.0169731066941992</c:v>
                </c:pt>
                <c:pt idx="116">
                  <c:v>1.0176628258984448</c:v>
                </c:pt>
                <c:pt idx="117">
                  <c:v>1.0179798224249217</c:v>
                </c:pt>
                <c:pt idx="118">
                  <c:v>1.0196854572549456</c:v>
                </c:pt>
                <c:pt idx="119">
                  <c:v>1.0207558367260785</c:v>
                </c:pt>
                <c:pt idx="120">
                  <c:v>1.0226664361159805</c:v>
                </c:pt>
                <c:pt idx="121">
                  <c:v>1.0238381978594304</c:v>
                </c:pt>
                <c:pt idx="122">
                  <c:v>1.0244123067034621</c:v>
                </c:pt>
                <c:pt idx="123">
                  <c:v>1.0251005568953411</c:v>
                </c:pt>
                <c:pt idx="124">
                  <c:v>1.0262887473480766</c:v>
                </c:pt>
                <c:pt idx="125">
                  <c:v>1.0267707107024655</c:v>
                </c:pt>
                <c:pt idx="126">
                  <c:v>1.0269794300905797</c:v>
                </c:pt>
                <c:pt idx="127">
                  <c:v>1.0271228510474018</c:v>
                </c:pt>
                <c:pt idx="128">
                  <c:v>1.0274564802485113</c:v>
                </c:pt>
                <c:pt idx="129">
                  <c:v>1.0279737649242608</c:v>
                </c:pt>
                <c:pt idx="130">
                  <c:v>1.0286351322501832</c:v>
                </c:pt>
                <c:pt idx="131">
                  <c:v>1.0288648980829918</c:v>
                </c:pt>
                <c:pt idx="132">
                  <c:v>1.0289157424949089</c:v>
                </c:pt>
                <c:pt idx="133">
                  <c:v>1.0289511609158288</c:v>
                </c:pt>
                <c:pt idx="134">
                  <c:v>1.028830095859111</c:v>
                </c:pt>
                <c:pt idx="135">
                  <c:v>1.0286104755379304</c:v>
                </c:pt>
                <c:pt idx="136">
                  <c:v>1.0286707749936499</c:v>
                </c:pt>
                <c:pt idx="137">
                  <c:v>1.0286344670257066</c:v>
                </c:pt>
                <c:pt idx="138">
                  <c:v>1.0290645263998819</c:v>
                </c:pt>
                <c:pt idx="139">
                  <c:v>1.0294659916338509</c:v>
                </c:pt>
                <c:pt idx="140">
                  <c:v>1.0295830313389527</c:v>
                </c:pt>
                <c:pt idx="141">
                  <c:v>1.0301436369581067</c:v>
                </c:pt>
                <c:pt idx="142">
                  <c:v>1.0302375272895505</c:v>
                </c:pt>
                <c:pt idx="143">
                  <c:v>1.0294263611638572</c:v>
                </c:pt>
                <c:pt idx="144">
                  <c:v>1.02876764121574</c:v>
                </c:pt>
                <c:pt idx="145">
                  <c:v>1.0278108773976835</c:v>
                </c:pt>
                <c:pt idx="146">
                  <c:v>1.0274987364973234</c:v>
                </c:pt>
                <c:pt idx="147">
                  <c:v>1.0271759969301568</c:v>
                </c:pt>
                <c:pt idx="148">
                  <c:v>1.0259455124041046</c:v>
                </c:pt>
                <c:pt idx="149">
                  <c:v>1.0250425050047445</c:v>
                </c:pt>
                <c:pt idx="150">
                  <c:v>1.0232328513585891</c:v>
                </c:pt>
                <c:pt idx="151">
                  <c:v>1.0218866728178746</c:v>
                </c:pt>
                <c:pt idx="152">
                  <c:v>1.0210238591558281</c:v>
                </c:pt>
                <c:pt idx="153">
                  <c:v>1.0199151167893112</c:v>
                </c:pt>
                <c:pt idx="154">
                  <c:v>1.018114242150693</c:v>
                </c:pt>
                <c:pt idx="155">
                  <c:v>1.0169201470031997</c:v>
                </c:pt>
                <c:pt idx="156">
                  <c:v>1.0161996655600094</c:v>
                </c:pt>
                <c:pt idx="157">
                  <c:v>1.0155758669646102</c:v>
                </c:pt>
                <c:pt idx="158">
                  <c:v>1.014464397684786</c:v>
                </c:pt>
                <c:pt idx="159">
                  <c:v>1.0131610596983949</c:v>
                </c:pt>
                <c:pt idx="160">
                  <c:v>1.0108508927768447</c:v>
                </c:pt>
                <c:pt idx="161">
                  <c:v>1.0098808294017951</c:v>
                </c:pt>
                <c:pt idx="162">
                  <c:v>1.009408103541459</c:v>
                </c:pt>
                <c:pt idx="163">
                  <c:v>1.0085565264441696</c:v>
                </c:pt>
                <c:pt idx="164">
                  <c:v>1.0087754570153373</c:v>
                </c:pt>
                <c:pt idx="165">
                  <c:v>1.0082020096938515</c:v>
                </c:pt>
                <c:pt idx="166">
                  <c:v>1.0085564006482717</c:v>
                </c:pt>
                <c:pt idx="167">
                  <c:v>1.0090123299739011</c:v>
                </c:pt>
                <c:pt idx="168">
                  <c:v>1.0104995477505279</c:v>
                </c:pt>
                <c:pt idx="169">
                  <c:v>1.0121406408474205</c:v>
                </c:pt>
                <c:pt idx="170">
                  <c:v>1.0139785371208934</c:v>
                </c:pt>
                <c:pt idx="171">
                  <c:v>1.0156555040200834</c:v>
                </c:pt>
                <c:pt idx="172">
                  <c:v>1.0173823645289719</c:v>
                </c:pt>
                <c:pt idx="173">
                  <c:v>1.018394778232802</c:v>
                </c:pt>
                <c:pt idx="174">
                  <c:v>1.0195708431275314</c:v>
                </c:pt>
                <c:pt idx="175">
                  <c:v>1.0203570205453008</c:v>
                </c:pt>
                <c:pt idx="176">
                  <c:v>1.0214021216709022</c:v>
                </c:pt>
                <c:pt idx="177">
                  <c:v>1.022122638302813</c:v>
                </c:pt>
                <c:pt idx="178">
                  <c:v>1.0224137071405675</c:v>
                </c:pt>
                <c:pt idx="179">
                  <c:v>1.0228990844564791</c:v>
                </c:pt>
                <c:pt idx="180">
                  <c:v>1.0229917004597981</c:v>
                </c:pt>
                <c:pt idx="181">
                  <c:v>1.0232045483747749</c:v>
                </c:pt>
                <c:pt idx="182">
                  <c:v>1.0232862884355762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CE-4CA1-8472-D8E855E6E6A0}"/>
            </c:ext>
          </c:extLst>
        </c:ser>
        <c:ser>
          <c:idx val="6"/>
          <c:order val="3"/>
          <c:tx>
            <c:strRef>
              <c:f>Exemplo_Serie!$H$1</c:f>
              <c:strCache>
                <c:ptCount val="1"/>
                <c:pt idx="0">
                  <c:v> -1std </c:v>
                </c:pt>
              </c:strCache>
            </c:strRef>
          </c:tx>
          <c:spPr>
            <a:ln w="317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[0]!Data</c:f>
              <c:numCache>
                <c:formatCode>[$-416]dd\-mmm\-yy;@</c:formatCode>
                <c:ptCount val="183"/>
                <c:pt idx="0">
                  <c:v>41376</c:v>
                </c:pt>
                <c:pt idx="1">
                  <c:v>41379</c:v>
                </c:pt>
                <c:pt idx="2">
                  <c:v>41380</c:v>
                </c:pt>
                <c:pt idx="3">
                  <c:v>41381</c:v>
                </c:pt>
                <c:pt idx="4">
                  <c:v>41382</c:v>
                </c:pt>
                <c:pt idx="5">
                  <c:v>41383</c:v>
                </c:pt>
                <c:pt idx="6">
                  <c:v>41386</c:v>
                </c:pt>
                <c:pt idx="7">
                  <c:v>41387</c:v>
                </c:pt>
                <c:pt idx="8">
                  <c:v>41388</c:v>
                </c:pt>
                <c:pt idx="9">
                  <c:v>41389</c:v>
                </c:pt>
                <c:pt idx="10">
                  <c:v>41390</c:v>
                </c:pt>
                <c:pt idx="11">
                  <c:v>41393</c:v>
                </c:pt>
                <c:pt idx="12">
                  <c:v>41394</c:v>
                </c:pt>
                <c:pt idx="13">
                  <c:v>41396</c:v>
                </c:pt>
                <c:pt idx="14">
                  <c:v>41397</c:v>
                </c:pt>
                <c:pt idx="15">
                  <c:v>41400</c:v>
                </c:pt>
                <c:pt idx="16">
                  <c:v>41401</c:v>
                </c:pt>
                <c:pt idx="17">
                  <c:v>41402</c:v>
                </c:pt>
                <c:pt idx="18">
                  <c:v>41403</c:v>
                </c:pt>
                <c:pt idx="19">
                  <c:v>41404</c:v>
                </c:pt>
                <c:pt idx="20">
                  <c:v>41407</c:v>
                </c:pt>
                <c:pt idx="21">
                  <c:v>41408</c:v>
                </c:pt>
                <c:pt idx="22">
                  <c:v>41409</c:v>
                </c:pt>
                <c:pt idx="23">
                  <c:v>41410</c:v>
                </c:pt>
                <c:pt idx="24">
                  <c:v>41411</c:v>
                </c:pt>
                <c:pt idx="25">
                  <c:v>41414</c:v>
                </c:pt>
                <c:pt idx="26">
                  <c:v>41415</c:v>
                </c:pt>
                <c:pt idx="27">
                  <c:v>41416</c:v>
                </c:pt>
                <c:pt idx="28">
                  <c:v>41417</c:v>
                </c:pt>
                <c:pt idx="29">
                  <c:v>41418</c:v>
                </c:pt>
                <c:pt idx="30">
                  <c:v>41421</c:v>
                </c:pt>
                <c:pt idx="31">
                  <c:v>41422</c:v>
                </c:pt>
                <c:pt idx="32">
                  <c:v>41423</c:v>
                </c:pt>
                <c:pt idx="33">
                  <c:v>41425</c:v>
                </c:pt>
                <c:pt idx="34">
                  <c:v>41428</c:v>
                </c:pt>
                <c:pt idx="35">
                  <c:v>41429</c:v>
                </c:pt>
                <c:pt idx="36">
                  <c:v>41430</c:v>
                </c:pt>
                <c:pt idx="37">
                  <c:v>41431</c:v>
                </c:pt>
                <c:pt idx="38">
                  <c:v>41432</c:v>
                </c:pt>
                <c:pt idx="39">
                  <c:v>41435</c:v>
                </c:pt>
                <c:pt idx="40">
                  <c:v>41436</c:v>
                </c:pt>
                <c:pt idx="41">
                  <c:v>41437</c:v>
                </c:pt>
                <c:pt idx="42">
                  <c:v>41438</c:v>
                </c:pt>
                <c:pt idx="43">
                  <c:v>41439</c:v>
                </c:pt>
                <c:pt idx="44">
                  <c:v>41442</c:v>
                </c:pt>
                <c:pt idx="45">
                  <c:v>41443</c:v>
                </c:pt>
                <c:pt idx="46">
                  <c:v>41444</c:v>
                </c:pt>
                <c:pt idx="47">
                  <c:v>41445</c:v>
                </c:pt>
                <c:pt idx="48">
                  <c:v>41446</c:v>
                </c:pt>
                <c:pt idx="49">
                  <c:v>41449</c:v>
                </c:pt>
                <c:pt idx="50">
                  <c:v>41450</c:v>
                </c:pt>
                <c:pt idx="51">
                  <c:v>41451</c:v>
                </c:pt>
                <c:pt idx="52">
                  <c:v>41452</c:v>
                </c:pt>
                <c:pt idx="53">
                  <c:v>41453</c:v>
                </c:pt>
                <c:pt idx="54">
                  <c:v>41456</c:v>
                </c:pt>
                <c:pt idx="55">
                  <c:v>41457</c:v>
                </c:pt>
                <c:pt idx="56">
                  <c:v>41458</c:v>
                </c:pt>
                <c:pt idx="57">
                  <c:v>41459</c:v>
                </c:pt>
                <c:pt idx="58">
                  <c:v>41460</c:v>
                </c:pt>
                <c:pt idx="59">
                  <c:v>41463</c:v>
                </c:pt>
                <c:pt idx="60">
                  <c:v>41465</c:v>
                </c:pt>
                <c:pt idx="61">
                  <c:v>41466</c:v>
                </c:pt>
                <c:pt idx="62">
                  <c:v>41467</c:v>
                </c:pt>
                <c:pt idx="63">
                  <c:v>41470</c:v>
                </c:pt>
                <c:pt idx="64">
                  <c:v>41471</c:v>
                </c:pt>
                <c:pt idx="65">
                  <c:v>41472</c:v>
                </c:pt>
                <c:pt idx="66">
                  <c:v>41473</c:v>
                </c:pt>
                <c:pt idx="67">
                  <c:v>41474</c:v>
                </c:pt>
                <c:pt idx="68">
                  <c:v>41477</c:v>
                </c:pt>
                <c:pt idx="69">
                  <c:v>41478</c:v>
                </c:pt>
                <c:pt idx="70">
                  <c:v>41479</c:v>
                </c:pt>
                <c:pt idx="71">
                  <c:v>41480</c:v>
                </c:pt>
                <c:pt idx="72">
                  <c:v>41481</c:v>
                </c:pt>
                <c:pt idx="73">
                  <c:v>41484</c:v>
                </c:pt>
                <c:pt idx="74">
                  <c:v>41485</c:v>
                </c:pt>
                <c:pt idx="75">
                  <c:v>41486</c:v>
                </c:pt>
                <c:pt idx="76">
                  <c:v>41487</c:v>
                </c:pt>
                <c:pt idx="77">
                  <c:v>41488</c:v>
                </c:pt>
                <c:pt idx="78">
                  <c:v>41491</c:v>
                </c:pt>
                <c:pt idx="79">
                  <c:v>41492</c:v>
                </c:pt>
                <c:pt idx="80">
                  <c:v>41493</c:v>
                </c:pt>
                <c:pt idx="81">
                  <c:v>41494</c:v>
                </c:pt>
                <c:pt idx="82">
                  <c:v>41495</c:v>
                </c:pt>
                <c:pt idx="83">
                  <c:v>41498</c:v>
                </c:pt>
                <c:pt idx="84">
                  <c:v>41499</c:v>
                </c:pt>
                <c:pt idx="85">
                  <c:v>41500</c:v>
                </c:pt>
                <c:pt idx="86">
                  <c:v>41501</c:v>
                </c:pt>
                <c:pt idx="87">
                  <c:v>41502</c:v>
                </c:pt>
                <c:pt idx="88">
                  <c:v>41505</c:v>
                </c:pt>
                <c:pt idx="89">
                  <c:v>41506</c:v>
                </c:pt>
                <c:pt idx="90">
                  <c:v>41507</c:v>
                </c:pt>
                <c:pt idx="91">
                  <c:v>41508</c:v>
                </c:pt>
                <c:pt idx="92">
                  <c:v>41509</c:v>
                </c:pt>
                <c:pt idx="93">
                  <c:v>41512</c:v>
                </c:pt>
                <c:pt idx="94">
                  <c:v>41513</c:v>
                </c:pt>
                <c:pt idx="95">
                  <c:v>41514</c:v>
                </c:pt>
                <c:pt idx="96">
                  <c:v>41515</c:v>
                </c:pt>
                <c:pt idx="97">
                  <c:v>41516</c:v>
                </c:pt>
                <c:pt idx="98">
                  <c:v>41519</c:v>
                </c:pt>
                <c:pt idx="99">
                  <c:v>41520</c:v>
                </c:pt>
                <c:pt idx="100">
                  <c:v>41521</c:v>
                </c:pt>
                <c:pt idx="101">
                  <c:v>41522</c:v>
                </c:pt>
                <c:pt idx="102">
                  <c:v>41523</c:v>
                </c:pt>
                <c:pt idx="103">
                  <c:v>41526</c:v>
                </c:pt>
                <c:pt idx="104">
                  <c:v>41527</c:v>
                </c:pt>
                <c:pt idx="105">
                  <c:v>41528</c:v>
                </c:pt>
                <c:pt idx="106">
                  <c:v>41529</c:v>
                </c:pt>
                <c:pt idx="107">
                  <c:v>41530</c:v>
                </c:pt>
                <c:pt idx="108">
                  <c:v>41533</c:v>
                </c:pt>
                <c:pt idx="109">
                  <c:v>41534</c:v>
                </c:pt>
                <c:pt idx="110">
                  <c:v>41535</c:v>
                </c:pt>
                <c:pt idx="111">
                  <c:v>41536</c:v>
                </c:pt>
                <c:pt idx="112">
                  <c:v>41537</c:v>
                </c:pt>
                <c:pt idx="113">
                  <c:v>41540</c:v>
                </c:pt>
                <c:pt idx="114">
                  <c:v>41541</c:v>
                </c:pt>
                <c:pt idx="115">
                  <c:v>41542</c:v>
                </c:pt>
                <c:pt idx="116">
                  <c:v>41543</c:v>
                </c:pt>
                <c:pt idx="117">
                  <c:v>41544</c:v>
                </c:pt>
                <c:pt idx="118">
                  <c:v>41547</c:v>
                </c:pt>
                <c:pt idx="119">
                  <c:v>41548</c:v>
                </c:pt>
                <c:pt idx="120">
                  <c:v>41549</c:v>
                </c:pt>
                <c:pt idx="121">
                  <c:v>41550</c:v>
                </c:pt>
                <c:pt idx="122">
                  <c:v>41551</c:v>
                </c:pt>
                <c:pt idx="123">
                  <c:v>41554</c:v>
                </c:pt>
                <c:pt idx="124">
                  <c:v>41555</c:v>
                </c:pt>
                <c:pt idx="125">
                  <c:v>41556</c:v>
                </c:pt>
                <c:pt idx="126">
                  <c:v>41557</c:v>
                </c:pt>
                <c:pt idx="127">
                  <c:v>41558</c:v>
                </c:pt>
                <c:pt idx="128">
                  <c:v>41561</c:v>
                </c:pt>
                <c:pt idx="129">
                  <c:v>41562</c:v>
                </c:pt>
                <c:pt idx="130">
                  <c:v>41563</c:v>
                </c:pt>
                <c:pt idx="131">
                  <c:v>41564</c:v>
                </c:pt>
                <c:pt idx="132">
                  <c:v>41565</c:v>
                </c:pt>
                <c:pt idx="133">
                  <c:v>41568</c:v>
                </c:pt>
                <c:pt idx="134">
                  <c:v>41569</c:v>
                </c:pt>
                <c:pt idx="135">
                  <c:v>41570</c:v>
                </c:pt>
                <c:pt idx="136">
                  <c:v>41571</c:v>
                </c:pt>
                <c:pt idx="137">
                  <c:v>41572</c:v>
                </c:pt>
                <c:pt idx="138">
                  <c:v>41575</c:v>
                </c:pt>
                <c:pt idx="139">
                  <c:v>41576</c:v>
                </c:pt>
                <c:pt idx="140">
                  <c:v>41577</c:v>
                </c:pt>
                <c:pt idx="141">
                  <c:v>41578</c:v>
                </c:pt>
                <c:pt idx="142">
                  <c:v>41579</c:v>
                </c:pt>
                <c:pt idx="143">
                  <c:v>41582</c:v>
                </c:pt>
                <c:pt idx="144">
                  <c:v>41583</c:v>
                </c:pt>
                <c:pt idx="145">
                  <c:v>41584</c:v>
                </c:pt>
                <c:pt idx="146">
                  <c:v>41585</c:v>
                </c:pt>
                <c:pt idx="147">
                  <c:v>41586</c:v>
                </c:pt>
                <c:pt idx="148">
                  <c:v>41589</c:v>
                </c:pt>
                <c:pt idx="149">
                  <c:v>41590</c:v>
                </c:pt>
                <c:pt idx="150">
                  <c:v>41591</c:v>
                </c:pt>
                <c:pt idx="151">
                  <c:v>41592</c:v>
                </c:pt>
                <c:pt idx="152">
                  <c:v>41596</c:v>
                </c:pt>
                <c:pt idx="153">
                  <c:v>41597</c:v>
                </c:pt>
                <c:pt idx="154">
                  <c:v>41599</c:v>
                </c:pt>
                <c:pt idx="155">
                  <c:v>41600</c:v>
                </c:pt>
                <c:pt idx="156">
                  <c:v>41603</c:v>
                </c:pt>
                <c:pt idx="157">
                  <c:v>41604</c:v>
                </c:pt>
                <c:pt idx="158">
                  <c:v>41605</c:v>
                </c:pt>
                <c:pt idx="159">
                  <c:v>41606</c:v>
                </c:pt>
                <c:pt idx="160">
                  <c:v>41607</c:v>
                </c:pt>
                <c:pt idx="161">
                  <c:v>41610</c:v>
                </c:pt>
                <c:pt idx="162">
                  <c:v>41611</c:v>
                </c:pt>
                <c:pt idx="163">
                  <c:v>41612</c:v>
                </c:pt>
                <c:pt idx="164">
                  <c:v>41613</c:v>
                </c:pt>
                <c:pt idx="165">
                  <c:v>41614</c:v>
                </c:pt>
                <c:pt idx="166">
                  <c:v>41617</c:v>
                </c:pt>
                <c:pt idx="167">
                  <c:v>41618</c:v>
                </c:pt>
                <c:pt idx="168">
                  <c:v>41619</c:v>
                </c:pt>
                <c:pt idx="169">
                  <c:v>41620</c:v>
                </c:pt>
                <c:pt idx="170">
                  <c:v>41621</c:v>
                </c:pt>
                <c:pt idx="171">
                  <c:v>41624</c:v>
                </c:pt>
                <c:pt idx="172">
                  <c:v>41625</c:v>
                </c:pt>
                <c:pt idx="173">
                  <c:v>41626</c:v>
                </c:pt>
                <c:pt idx="174">
                  <c:v>41627</c:v>
                </c:pt>
                <c:pt idx="175">
                  <c:v>41628</c:v>
                </c:pt>
                <c:pt idx="176">
                  <c:v>41631</c:v>
                </c:pt>
                <c:pt idx="177">
                  <c:v>41634</c:v>
                </c:pt>
                <c:pt idx="178">
                  <c:v>41635</c:v>
                </c:pt>
                <c:pt idx="179">
                  <c:v>41638</c:v>
                </c:pt>
                <c:pt idx="180">
                  <c:v>41641</c:v>
                </c:pt>
                <c:pt idx="181">
                  <c:v>41642</c:v>
                </c:pt>
                <c:pt idx="182">
                  <c:v>41645</c:v>
                </c:pt>
              </c:numCache>
            </c:numRef>
          </c:cat>
          <c:val>
            <c:numRef>
              <c:f>[0]!Desvio_menos</c:f>
              <c:numCache>
                <c:formatCode>_(* #,##0.00_);_(* \(#,##0.00\);_(* "-"??_);_(@_)</c:formatCode>
                <c:ptCount val="183"/>
                <c:pt idx="0">
                  <c:v>1.015283536012866</c:v>
                </c:pt>
                <c:pt idx="1">
                  <c:v>1.0158742990445577</c:v>
                </c:pt>
                <c:pt idx="2">
                  <c:v>1.0177777949470954</c:v>
                </c:pt>
                <c:pt idx="3">
                  <c:v>1.0215613764677958</c:v>
                </c:pt>
                <c:pt idx="4">
                  <c:v>1.0215713677468379</c:v>
                </c:pt>
                <c:pt idx="5">
                  <c:v>1.0215416123682894</c:v>
                </c:pt>
                <c:pt idx="6">
                  <c:v>1.0214834053441415</c:v>
                </c:pt>
                <c:pt idx="7">
                  <c:v>1.0209921143326708</c:v>
                </c:pt>
                <c:pt idx="8">
                  <c:v>1.0198409053101503</c:v>
                </c:pt>
                <c:pt idx="9">
                  <c:v>1.0185322508080794</c:v>
                </c:pt>
                <c:pt idx="10">
                  <c:v>1.0173031463038762</c:v>
                </c:pt>
                <c:pt idx="11">
                  <c:v>1.0166579727877623</c:v>
                </c:pt>
                <c:pt idx="12">
                  <c:v>1.0143952900387667</c:v>
                </c:pt>
                <c:pt idx="13">
                  <c:v>1.012727167254446</c:v>
                </c:pt>
                <c:pt idx="14">
                  <c:v>1.0111006954217898</c:v>
                </c:pt>
                <c:pt idx="15">
                  <c:v>1.0091486827978455</c:v>
                </c:pt>
                <c:pt idx="16">
                  <c:v>1.0078143661692944</c:v>
                </c:pt>
                <c:pt idx="17">
                  <c:v>1.0066400969300313</c:v>
                </c:pt>
                <c:pt idx="18">
                  <c:v>1.0054306891667406</c:v>
                </c:pt>
                <c:pt idx="19">
                  <c:v>1.0033360488181147</c:v>
                </c:pt>
                <c:pt idx="20">
                  <c:v>1.0013719286028764</c:v>
                </c:pt>
                <c:pt idx="21">
                  <c:v>0.99957142024769674</c:v>
                </c:pt>
                <c:pt idx="22">
                  <c:v>0.99743226620479808</c:v>
                </c:pt>
                <c:pt idx="23">
                  <c:v>0.99658482962024575</c:v>
                </c:pt>
                <c:pt idx="24">
                  <c:v>0.99521449230070747</c:v>
                </c:pt>
                <c:pt idx="25">
                  <c:v>0.99409053174413753</c:v>
                </c:pt>
                <c:pt idx="26">
                  <c:v>0.99305860267611212</c:v>
                </c:pt>
                <c:pt idx="27">
                  <c:v>0.99281983746853264</c:v>
                </c:pt>
                <c:pt idx="28">
                  <c:v>0.99261901136551789</c:v>
                </c:pt>
                <c:pt idx="29">
                  <c:v>0.99266793459594405</c:v>
                </c:pt>
                <c:pt idx="30">
                  <c:v>0.99265200878533455</c:v>
                </c:pt>
                <c:pt idx="31">
                  <c:v>0.9924201258851888</c:v>
                </c:pt>
                <c:pt idx="32">
                  <c:v>0.99257693682406922</c:v>
                </c:pt>
                <c:pt idx="33">
                  <c:v>0.99298237296620606</c:v>
                </c:pt>
                <c:pt idx="34">
                  <c:v>0.99366028988077437</c:v>
                </c:pt>
                <c:pt idx="35">
                  <c:v>0.9939972616962498</c:v>
                </c:pt>
                <c:pt idx="36">
                  <c:v>0.9943886617551434</c:v>
                </c:pt>
                <c:pt idx="37">
                  <c:v>0.99438707286048345</c:v>
                </c:pt>
                <c:pt idx="38">
                  <c:v>0.99437741869803453</c:v>
                </c:pt>
                <c:pt idx="39">
                  <c:v>0.99442380007835129</c:v>
                </c:pt>
                <c:pt idx="40">
                  <c:v>0.99435367670784491</c:v>
                </c:pt>
                <c:pt idx="41">
                  <c:v>0.99435111981189239</c:v>
                </c:pt>
                <c:pt idx="42">
                  <c:v>0.99482371812185777</c:v>
                </c:pt>
                <c:pt idx="43">
                  <c:v>0.99394930417166971</c:v>
                </c:pt>
                <c:pt idx="44">
                  <c:v>0.99456854495084956</c:v>
                </c:pt>
                <c:pt idx="45">
                  <c:v>0.99552266962788605</c:v>
                </c:pt>
                <c:pt idx="46">
                  <c:v>0.99614446622039321</c:v>
                </c:pt>
                <c:pt idx="47">
                  <c:v>0.99606028810599312</c:v>
                </c:pt>
                <c:pt idx="48">
                  <c:v>0.99673823051731825</c:v>
                </c:pt>
                <c:pt idx="49">
                  <c:v>0.99835215588625981</c:v>
                </c:pt>
                <c:pt idx="50">
                  <c:v>0.99995397924008067</c:v>
                </c:pt>
                <c:pt idx="51">
                  <c:v>1.0017777493655979</c:v>
                </c:pt>
                <c:pt idx="52">
                  <c:v>1.0040983725211743</c:v>
                </c:pt>
                <c:pt idx="53">
                  <c:v>1.0054516790795998</c:v>
                </c:pt>
                <c:pt idx="54">
                  <c:v>1.0076000432412495</c:v>
                </c:pt>
                <c:pt idx="55">
                  <c:v>1.0096709034781</c:v>
                </c:pt>
                <c:pt idx="56">
                  <c:v>1.0118167721810747</c:v>
                </c:pt>
                <c:pt idx="57">
                  <c:v>1.0131394517838457</c:v>
                </c:pt>
                <c:pt idx="58">
                  <c:v>1.0140396647625483</c:v>
                </c:pt>
                <c:pt idx="59">
                  <c:v>1.0144467467598579</c:v>
                </c:pt>
                <c:pt idx="60">
                  <c:v>1.0149067283194095</c:v>
                </c:pt>
                <c:pt idx="61">
                  <c:v>1.0151629190064273</c:v>
                </c:pt>
                <c:pt idx="62">
                  <c:v>1.0152141277024862</c:v>
                </c:pt>
                <c:pt idx="63">
                  <c:v>1.0147107299192919</c:v>
                </c:pt>
                <c:pt idx="64">
                  <c:v>1.0136290481326875</c:v>
                </c:pt>
                <c:pt idx="65">
                  <c:v>1.0124765126938833</c:v>
                </c:pt>
                <c:pt idx="66">
                  <c:v>1.0097552704486266</c:v>
                </c:pt>
                <c:pt idx="67">
                  <c:v>1.0062021121314162</c:v>
                </c:pt>
                <c:pt idx="68">
                  <c:v>1.003567279362821</c:v>
                </c:pt>
                <c:pt idx="69">
                  <c:v>1.0000835674722433</c:v>
                </c:pt>
                <c:pt idx="70">
                  <c:v>0.99712714853507234</c:v>
                </c:pt>
                <c:pt idx="71">
                  <c:v>0.99500159016694611</c:v>
                </c:pt>
                <c:pt idx="72">
                  <c:v>0.99297551481037316</c:v>
                </c:pt>
                <c:pt idx="73">
                  <c:v>0.99181493621478833</c:v>
                </c:pt>
                <c:pt idx="74">
                  <c:v>0.99128361420495392</c:v>
                </c:pt>
                <c:pt idx="75">
                  <c:v>0.99062475593813193</c:v>
                </c:pt>
                <c:pt idx="76">
                  <c:v>0.98989561406302085</c:v>
                </c:pt>
                <c:pt idx="77">
                  <c:v>0.98981136250331081</c:v>
                </c:pt>
                <c:pt idx="78">
                  <c:v>0.98919633971719378</c:v>
                </c:pt>
                <c:pt idx="79">
                  <c:v>0.9887609934220235</c:v>
                </c:pt>
                <c:pt idx="80">
                  <c:v>0.98821056851201461</c:v>
                </c:pt>
                <c:pt idx="81">
                  <c:v>0.98740383825912825</c:v>
                </c:pt>
                <c:pt idx="82">
                  <c:v>0.9870922370086741</c:v>
                </c:pt>
                <c:pt idx="83">
                  <c:v>0.98621708822416243</c:v>
                </c:pt>
                <c:pt idx="84">
                  <c:v>0.98468339260438742</c:v>
                </c:pt>
                <c:pt idx="85">
                  <c:v>0.9841306226309422</c:v>
                </c:pt>
                <c:pt idx="86">
                  <c:v>0.98370265099239673</c:v>
                </c:pt>
                <c:pt idx="87">
                  <c:v>0.98275929310334897</c:v>
                </c:pt>
                <c:pt idx="88">
                  <c:v>0.9835264675282247</c:v>
                </c:pt>
                <c:pt idx="89">
                  <c:v>0.98438143086465557</c:v>
                </c:pt>
                <c:pt idx="90">
                  <c:v>0.9863531228047272</c:v>
                </c:pt>
                <c:pt idx="91">
                  <c:v>0.98626732866858635</c:v>
                </c:pt>
                <c:pt idx="92">
                  <c:v>0.98626970964776006</c:v>
                </c:pt>
                <c:pt idx="93">
                  <c:v>0.9863313455722148</c:v>
                </c:pt>
                <c:pt idx="94">
                  <c:v>0.98634885432057806</c:v>
                </c:pt>
                <c:pt idx="95">
                  <c:v>0.98657768312602523</c:v>
                </c:pt>
                <c:pt idx="96">
                  <c:v>0.98730307233004366</c:v>
                </c:pt>
                <c:pt idx="97">
                  <c:v>0.9888478960831143</c:v>
                </c:pt>
                <c:pt idx="98">
                  <c:v>0.98977398306200204</c:v>
                </c:pt>
                <c:pt idx="99">
                  <c:v>0.99244195942229174</c:v>
                </c:pt>
                <c:pt idx="100">
                  <c:v>0.99389513590763268</c:v>
                </c:pt>
                <c:pt idx="101">
                  <c:v>0.99472781896214602</c:v>
                </c:pt>
                <c:pt idx="102">
                  <c:v>0.99571142603360241</c:v>
                </c:pt>
                <c:pt idx="103">
                  <c:v>0.99570766591158444</c:v>
                </c:pt>
                <c:pt idx="104">
                  <c:v>0.99541748043381739</c:v>
                </c:pt>
                <c:pt idx="105">
                  <c:v>0.99494464929910154</c:v>
                </c:pt>
                <c:pt idx="106">
                  <c:v>0.99505267008293552</c:v>
                </c:pt>
                <c:pt idx="107">
                  <c:v>0.99519506171153338</c:v>
                </c:pt>
                <c:pt idx="108">
                  <c:v>0.99523262245284339</c:v>
                </c:pt>
                <c:pt idx="109">
                  <c:v>0.99515048086956226</c:v>
                </c:pt>
                <c:pt idx="110">
                  <c:v>0.99515567542057293</c:v>
                </c:pt>
                <c:pt idx="111">
                  <c:v>0.99511297413113375</c:v>
                </c:pt>
                <c:pt idx="112">
                  <c:v>0.99497359442103883</c:v>
                </c:pt>
                <c:pt idx="113">
                  <c:v>0.99427785717856942</c:v>
                </c:pt>
                <c:pt idx="114">
                  <c:v>0.9955195231615046</c:v>
                </c:pt>
                <c:pt idx="115">
                  <c:v>0.99550395087127874</c:v>
                </c:pt>
                <c:pt idx="116">
                  <c:v>0.9962907590515413</c:v>
                </c:pt>
                <c:pt idx="117">
                  <c:v>0.9980079200096218</c:v>
                </c:pt>
                <c:pt idx="118">
                  <c:v>0.99816822129872718</c:v>
                </c:pt>
                <c:pt idx="119">
                  <c:v>0.99877997337762159</c:v>
                </c:pt>
                <c:pt idx="120">
                  <c:v>0.99918904032404909</c:v>
                </c:pt>
                <c:pt idx="121">
                  <c:v>0.99990697492995229</c:v>
                </c:pt>
                <c:pt idx="122">
                  <c:v>1.0001967858037819</c:v>
                </c:pt>
                <c:pt idx="123">
                  <c:v>1.0004635448229044</c:v>
                </c:pt>
                <c:pt idx="124">
                  <c:v>1.0011194498999478</c:v>
                </c:pt>
                <c:pt idx="125">
                  <c:v>1.0014282336231519</c:v>
                </c:pt>
                <c:pt idx="126">
                  <c:v>1.0017375281077092</c:v>
                </c:pt>
                <c:pt idx="127">
                  <c:v>1.0019839039096619</c:v>
                </c:pt>
                <c:pt idx="128">
                  <c:v>1.0031652242252853</c:v>
                </c:pt>
                <c:pt idx="129">
                  <c:v>1.0038357239258355</c:v>
                </c:pt>
                <c:pt idx="130">
                  <c:v>1.0055862431866474</c:v>
                </c:pt>
                <c:pt idx="131">
                  <c:v>1.0066021475939497</c:v>
                </c:pt>
                <c:pt idx="132">
                  <c:v>1.007189506169188</c:v>
                </c:pt>
                <c:pt idx="133">
                  <c:v>1.0082322604883913</c:v>
                </c:pt>
                <c:pt idx="134">
                  <c:v>1.0095020616979382</c:v>
                </c:pt>
                <c:pt idx="135">
                  <c:v>1.0114937478165924</c:v>
                </c:pt>
                <c:pt idx="136">
                  <c:v>1.012096918740246</c:v>
                </c:pt>
                <c:pt idx="137">
                  <c:v>1.0129507172484116</c:v>
                </c:pt>
                <c:pt idx="138">
                  <c:v>1.0118177202731249</c:v>
                </c:pt>
                <c:pt idx="139">
                  <c:v>1.0108539521457434</c:v>
                </c:pt>
                <c:pt idx="140">
                  <c:v>1.0103173137691737</c:v>
                </c:pt>
                <c:pt idx="141">
                  <c:v>1.0079136572922713</c:v>
                </c:pt>
                <c:pt idx="142">
                  <c:v>1.0061827625910882</c:v>
                </c:pt>
                <c:pt idx="143">
                  <c:v>1.0038249175750764</c:v>
                </c:pt>
                <c:pt idx="144">
                  <c:v>1.0022663245111871</c:v>
                </c:pt>
                <c:pt idx="145">
                  <c:v>1.0006198510928557</c:v>
                </c:pt>
                <c:pt idx="146">
                  <c:v>0.99944682391193918</c:v>
                </c:pt>
                <c:pt idx="147">
                  <c:v>0.99856999598565155</c:v>
                </c:pt>
                <c:pt idx="148">
                  <c:v>0.99715817644048566</c:v>
                </c:pt>
                <c:pt idx="149">
                  <c:v>0.99643479987365136</c:v>
                </c:pt>
                <c:pt idx="150">
                  <c:v>0.99555990825986485</c:v>
                </c:pt>
                <c:pt idx="151">
                  <c:v>0.99459341453959693</c:v>
                </c:pt>
                <c:pt idx="152">
                  <c:v>0.99421648264089879</c:v>
                </c:pt>
                <c:pt idx="153">
                  <c:v>0.99387068154019609</c:v>
                </c:pt>
                <c:pt idx="154">
                  <c:v>0.99327947632331492</c:v>
                </c:pt>
                <c:pt idx="155">
                  <c:v>0.99251841352255166</c:v>
                </c:pt>
                <c:pt idx="156">
                  <c:v>0.99199402966029904</c:v>
                </c:pt>
                <c:pt idx="157">
                  <c:v>0.99157938950093982</c:v>
                </c:pt>
                <c:pt idx="158">
                  <c:v>0.99080462635865618</c:v>
                </c:pt>
                <c:pt idx="159">
                  <c:v>0.99073653756007285</c:v>
                </c:pt>
                <c:pt idx="160">
                  <c:v>0.99069643473189972</c:v>
                </c:pt>
                <c:pt idx="161">
                  <c:v>0.99082204127878137</c:v>
                </c:pt>
                <c:pt idx="162">
                  <c:v>0.99082946888590229</c:v>
                </c:pt>
                <c:pt idx="163">
                  <c:v>0.99090101864329083</c:v>
                </c:pt>
                <c:pt idx="164">
                  <c:v>0.99083403600123299</c:v>
                </c:pt>
                <c:pt idx="165">
                  <c:v>0.99104657780698557</c:v>
                </c:pt>
                <c:pt idx="166">
                  <c:v>0.99090540834609608</c:v>
                </c:pt>
                <c:pt idx="167">
                  <c:v>0.99072978807159628</c:v>
                </c:pt>
                <c:pt idx="168">
                  <c:v>0.99080946980707063</c:v>
                </c:pt>
                <c:pt idx="169">
                  <c:v>0.99106689532850156</c:v>
                </c:pt>
                <c:pt idx="170">
                  <c:v>0.99092636651404675</c:v>
                </c:pt>
                <c:pt idx="171">
                  <c:v>0.99170258176427439</c:v>
                </c:pt>
                <c:pt idx="172">
                  <c:v>0.99225714552243716</c:v>
                </c:pt>
                <c:pt idx="173">
                  <c:v>0.99346741191231924</c:v>
                </c:pt>
                <c:pt idx="174">
                  <c:v>0.99425663403401399</c:v>
                </c:pt>
                <c:pt idx="175">
                  <c:v>0.99530715456146879</c:v>
                </c:pt>
                <c:pt idx="176">
                  <c:v>0.99620485511324941</c:v>
                </c:pt>
                <c:pt idx="177">
                  <c:v>0.99697134988529501</c:v>
                </c:pt>
                <c:pt idx="178">
                  <c:v>0.99815196698966635</c:v>
                </c:pt>
                <c:pt idx="179">
                  <c:v>0.99878774579561658</c:v>
                </c:pt>
                <c:pt idx="180">
                  <c:v>0.99960058609124114</c:v>
                </c:pt>
                <c:pt idx="181">
                  <c:v>1.0007305805311513</c:v>
                </c:pt>
                <c:pt idx="182">
                  <c:v>1.0009785490506176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CE-4CA1-8472-D8E855E6E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5088264"/>
        <c:axId val="705086296"/>
      </c:lineChart>
      <c:dateAx>
        <c:axId val="705088264"/>
        <c:scaling>
          <c:orientation val="minMax"/>
        </c:scaling>
        <c:delete val="0"/>
        <c:axPos val="b"/>
        <c:numFmt formatCode="[$-416]d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5086296"/>
        <c:crosses val="autoZero"/>
        <c:auto val="1"/>
        <c:lblOffset val="100"/>
        <c:baseTimeUnit val="days"/>
      </c:dateAx>
      <c:valAx>
        <c:axId val="705086296"/>
        <c:scaling>
          <c:orientation val="minMax"/>
          <c:min val="0.93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0_-;\-* #,##0.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5088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121920</xdr:rowOff>
    </xdr:from>
    <xdr:to>
      <xdr:col>23</xdr:col>
      <xdr:colOff>594360</xdr:colOff>
      <xdr:row>32</xdr:row>
      <xdr:rowOff>99060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FA917F7-2A44-4D25-9C22-0D13FD5A9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27756-23E4-45E2-BA0D-F5F8FB9BF1AE}">
  <dimension ref="A1:M2593"/>
  <sheetViews>
    <sheetView showGridLines="0" tabSelected="1" zoomScale="85" zoomScaleNormal="85" workbookViewId="0">
      <selection activeCell="M1" sqref="M1"/>
    </sheetView>
  </sheetViews>
  <sheetFormatPr defaultRowHeight="14.4" x14ac:dyDescent="0.3"/>
  <cols>
    <col min="1" max="1" width="9.5546875" style="1" bestFit="1" customWidth="1"/>
    <col min="2" max="3" width="8.88671875" style="10"/>
    <col min="4" max="4" width="8.88671875" style="5"/>
    <col min="5" max="5" width="8.88671875" style="12"/>
    <col min="6" max="6" width="13.44140625" bestFit="1" customWidth="1"/>
    <col min="7" max="9" width="12.44140625" customWidth="1"/>
  </cols>
  <sheetData>
    <row r="1" spans="1:13" x14ac:dyDescent="0.3">
      <c r="A1" s="2" t="s">
        <v>2</v>
      </c>
      <c r="B1" s="8" t="s">
        <v>0</v>
      </c>
      <c r="C1" s="8" t="s">
        <v>1</v>
      </c>
      <c r="D1" s="4"/>
      <c r="E1" s="11" t="str">
        <f>B1 &amp; "/" &amp; C1</f>
        <v>PETR4/PETR3</v>
      </c>
      <c r="F1" s="11" t="s">
        <v>7</v>
      </c>
      <c r="G1" s="11" t="str">
        <f>"+" &amp;M1 &amp; "std"</f>
        <v>+1std</v>
      </c>
      <c r="H1" s="11" t="str">
        <f>"-" &amp;M1 &amp; "std"</f>
        <v>-1std</v>
      </c>
      <c r="I1" s="11" t="s">
        <v>6</v>
      </c>
      <c r="J1" t="s">
        <v>5</v>
      </c>
      <c r="K1" s="13">
        <v>30</v>
      </c>
      <c r="L1" t="s">
        <v>28</v>
      </c>
      <c r="M1" s="17">
        <v>1</v>
      </c>
    </row>
    <row r="2" spans="1:13" x14ac:dyDescent="0.3">
      <c r="A2" s="3">
        <v>41334</v>
      </c>
      <c r="B2" s="9">
        <v>14.430294</v>
      </c>
      <c r="C2" s="9">
        <v>13.313787</v>
      </c>
      <c r="E2" s="14">
        <f>IF(ISNUMBER(B2),B2/C2,"")</f>
        <v>1.0838609630753444</v>
      </c>
      <c r="F2" s="15" t="str">
        <f t="shared" ref="F2:F15" ca="1" si="0">IF(ISNUMBER(E2),IF(ROW(E2)&gt;$K$1,AVERAGE(OFFSET(E2,0,0,-$K$1)),""),"")</f>
        <v/>
      </c>
      <c r="G2" s="15" t="str">
        <f t="shared" ref="G2:G15" ca="1" si="1">IF(ISNUMBER(I2),F2+I2*$M$1,"")</f>
        <v/>
      </c>
      <c r="H2" s="15" t="str">
        <f t="shared" ref="H2:H15" ca="1" si="2">IF(ISNUMBER(I2),F2-I2*$M$1,"")</f>
        <v/>
      </c>
      <c r="I2" s="16" t="str">
        <f t="shared" ref="I2:I15" ca="1" si="3">IF(ISNUMBER(E2),IF(ROW(E2)&gt;$K$1,_xlfn.STDEV.P(OFFSET(E2,0,0,-$K$1)),""),"")</f>
        <v/>
      </c>
    </row>
    <row r="3" spans="1:13" x14ac:dyDescent="0.3">
      <c r="A3" s="3">
        <v>41337</v>
      </c>
      <c r="B3" s="9">
        <v>14.088748000000001</v>
      </c>
      <c r="C3" s="9">
        <v>12.905666</v>
      </c>
      <c r="E3" s="14">
        <f t="shared" ref="E3:E66" si="4">IF(ISNUMBER(B3),B3/C3,"")</f>
        <v>1.0916715185407713</v>
      </c>
      <c r="F3" s="15" t="str">
        <f t="shared" ca="1" si="0"/>
        <v/>
      </c>
      <c r="G3" s="15" t="str">
        <f t="shared" ca="1" si="1"/>
        <v/>
      </c>
      <c r="H3" s="15" t="str">
        <f t="shared" ca="1" si="2"/>
        <v/>
      </c>
      <c r="I3" s="16" t="str">
        <f t="shared" ca="1" si="3"/>
        <v/>
      </c>
    </row>
    <row r="4" spans="1:13" x14ac:dyDescent="0.3">
      <c r="A4" s="3">
        <v>41338</v>
      </c>
      <c r="B4" s="9">
        <v>14.13998</v>
      </c>
      <c r="C4" s="9">
        <v>12.923804000000001</v>
      </c>
      <c r="E4" s="14">
        <f t="shared" si="4"/>
        <v>1.0941035626971749</v>
      </c>
      <c r="F4" s="15" t="str">
        <f t="shared" ca="1" si="0"/>
        <v/>
      </c>
      <c r="G4" s="15" t="str">
        <f t="shared" ca="1" si="1"/>
        <v/>
      </c>
      <c r="H4" s="15" t="str">
        <f t="shared" ca="1" si="2"/>
        <v/>
      </c>
      <c r="I4" s="16" t="str">
        <f t="shared" ca="1" si="3"/>
        <v/>
      </c>
    </row>
    <row r="5" spans="1:13" x14ac:dyDescent="0.3">
      <c r="A5" s="3">
        <v>41339</v>
      </c>
      <c r="B5" s="9">
        <v>15.412234</v>
      </c>
      <c r="C5" s="9">
        <v>14.882782000000001</v>
      </c>
      <c r="E5" s="14">
        <f t="shared" si="4"/>
        <v>1.035574800464053</v>
      </c>
      <c r="F5" s="15" t="str">
        <f t="shared" ca="1" si="0"/>
        <v/>
      </c>
      <c r="G5" s="15" t="str">
        <f t="shared" ca="1" si="1"/>
        <v/>
      </c>
      <c r="H5" s="15" t="str">
        <f t="shared" ca="1" si="2"/>
        <v/>
      </c>
      <c r="I5" s="16" t="str">
        <f t="shared" ca="1" si="3"/>
        <v/>
      </c>
    </row>
    <row r="6" spans="1:13" x14ac:dyDescent="0.3">
      <c r="A6" s="3">
        <v>41340</v>
      </c>
      <c r="B6" s="9">
        <v>16.180713999999998</v>
      </c>
      <c r="C6" s="9">
        <v>15.617395</v>
      </c>
      <c r="E6" s="14">
        <f t="shared" si="4"/>
        <v>1.0360699719767603</v>
      </c>
      <c r="F6" s="15" t="str">
        <f t="shared" ca="1" si="0"/>
        <v/>
      </c>
      <c r="G6" s="15" t="str">
        <f t="shared" ca="1" si="1"/>
        <v/>
      </c>
      <c r="H6" s="15" t="str">
        <f t="shared" ca="1" si="2"/>
        <v/>
      </c>
      <c r="I6" s="16" t="str">
        <f t="shared" ca="1" si="3"/>
        <v/>
      </c>
    </row>
    <row r="7" spans="1:13" x14ac:dyDescent="0.3">
      <c r="A7" s="3">
        <v>41341</v>
      </c>
      <c r="B7" s="9">
        <v>15.685473</v>
      </c>
      <c r="C7" s="9">
        <v>15.145792999999999</v>
      </c>
      <c r="E7" s="14">
        <f t="shared" si="4"/>
        <v>1.0356323369796485</v>
      </c>
      <c r="F7" s="15" t="str">
        <f t="shared" ca="1" si="0"/>
        <v/>
      </c>
      <c r="G7" s="15" t="str">
        <f t="shared" ca="1" si="1"/>
        <v/>
      </c>
      <c r="H7" s="15" t="str">
        <f ca="1">IF(ISNUMBER(I7),F7-I7*$M$1,"")</f>
        <v/>
      </c>
      <c r="I7" s="16" t="str">
        <f t="shared" ca="1" si="3"/>
        <v/>
      </c>
    </row>
    <row r="8" spans="1:13" x14ac:dyDescent="0.3">
      <c r="A8" s="3">
        <v>41344</v>
      </c>
      <c r="B8" s="9">
        <v>16.163637000000001</v>
      </c>
      <c r="C8" s="9">
        <v>15.59019</v>
      </c>
      <c r="E8" s="14">
        <f t="shared" si="4"/>
        <v>1.0367825536443109</v>
      </c>
      <c r="F8" s="15" t="str">
        <f t="shared" ca="1" si="0"/>
        <v/>
      </c>
      <c r="G8" s="15" t="str">
        <f t="shared" ca="1" si="1"/>
        <v/>
      </c>
      <c r="H8" s="15" t="str">
        <f t="shared" ca="1" si="2"/>
        <v/>
      </c>
      <c r="I8" s="16" t="str">
        <f t="shared" ca="1" si="3"/>
        <v/>
      </c>
    </row>
    <row r="9" spans="1:13" x14ac:dyDescent="0.3">
      <c r="A9" s="3">
        <v>41345</v>
      </c>
      <c r="B9" s="9">
        <v>16.0014</v>
      </c>
      <c r="C9" s="9">
        <v>15.363457</v>
      </c>
      <c r="E9" s="14">
        <f t="shared" si="4"/>
        <v>1.0415234019270532</v>
      </c>
      <c r="F9" s="15" t="str">
        <f t="shared" ca="1" si="0"/>
        <v/>
      </c>
      <c r="G9" s="15" t="str">
        <f t="shared" ca="1" si="1"/>
        <v/>
      </c>
      <c r="H9" s="15" t="str">
        <f t="shared" ca="1" si="2"/>
        <v/>
      </c>
      <c r="I9" s="16" t="str">
        <f t="shared" ca="1" si="3"/>
        <v/>
      </c>
    </row>
    <row r="10" spans="1:13" x14ac:dyDescent="0.3">
      <c r="A10" s="3">
        <v>41346</v>
      </c>
      <c r="B10" s="9">
        <v>16.009941000000001</v>
      </c>
      <c r="C10" s="9">
        <v>15.327184000000001</v>
      </c>
      <c r="E10" s="14">
        <f t="shared" si="4"/>
        <v>1.0445454951150845</v>
      </c>
      <c r="F10" s="15" t="str">
        <f t="shared" ca="1" si="0"/>
        <v/>
      </c>
      <c r="G10" s="15" t="str">
        <f t="shared" ca="1" si="1"/>
        <v/>
      </c>
      <c r="H10" s="15" t="str">
        <f t="shared" ca="1" si="2"/>
        <v/>
      </c>
      <c r="I10" s="16" t="str">
        <f t="shared" ca="1" si="3"/>
        <v/>
      </c>
    </row>
    <row r="11" spans="1:13" x14ac:dyDescent="0.3">
      <c r="A11" s="3">
        <v>41347</v>
      </c>
      <c r="B11" s="9">
        <v>16.471022000000001</v>
      </c>
      <c r="C11" s="9">
        <v>15.807855</v>
      </c>
      <c r="E11" s="14">
        <f t="shared" si="4"/>
        <v>1.0419517385502335</v>
      </c>
      <c r="F11" s="15" t="str">
        <f t="shared" ca="1" si="0"/>
        <v/>
      </c>
      <c r="G11" s="15" t="str">
        <f t="shared" ca="1" si="1"/>
        <v/>
      </c>
      <c r="H11" s="15" t="str">
        <f t="shared" ca="1" si="2"/>
        <v/>
      </c>
      <c r="I11" s="16" t="str">
        <f t="shared" ca="1" si="3"/>
        <v/>
      </c>
    </row>
    <row r="12" spans="1:13" x14ac:dyDescent="0.3">
      <c r="A12" s="3">
        <v>41348</v>
      </c>
      <c r="B12" s="9">
        <v>16.300253000000001</v>
      </c>
      <c r="C12" s="9">
        <v>16.143421</v>
      </c>
      <c r="E12" s="14">
        <f t="shared" si="4"/>
        <v>1.0097149173028444</v>
      </c>
      <c r="F12" s="15" t="str">
        <f t="shared" ca="1" si="0"/>
        <v/>
      </c>
      <c r="G12" s="15" t="str">
        <f t="shared" ca="1" si="1"/>
        <v/>
      </c>
      <c r="H12" s="15" t="str">
        <f t="shared" ca="1" si="2"/>
        <v/>
      </c>
      <c r="I12" s="16" t="str">
        <f t="shared" ca="1" si="3"/>
        <v/>
      </c>
    </row>
    <row r="13" spans="1:13" x14ac:dyDescent="0.3">
      <c r="A13" s="3">
        <v>41351</v>
      </c>
      <c r="B13" s="9">
        <v>16.394178</v>
      </c>
      <c r="C13" s="9">
        <v>15.989243999999999</v>
      </c>
      <c r="E13" s="14">
        <f t="shared" si="4"/>
        <v>1.0253254000001502</v>
      </c>
      <c r="F13" s="15" t="str">
        <f t="shared" ca="1" si="0"/>
        <v/>
      </c>
      <c r="G13" s="15" t="str">
        <f t="shared" ca="1" si="1"/>
        <v/>
      </c>
      <c r="H13" s="15" t="str">
        <f t="shared" ca="1" si="2"/>
        <v/>
      </c>
      <c r="I13" s="16" t="str">
        <f t="shared" ca="1" si="3"/>
        <v/>
      </c>
    </row>
    <row r="14" spans="1:13" x14ac:dyDescent="0.3">
      <c r="A14" s="3">
        <v>41352</v>
      </c>
      <c r="B14" s="9">
        <v>16.308793999999999</v>
      </c>
      <c r="C14" s="9">
        <v>15.844131000000001</v>
      </c>
      <c r="E14" s="14">
        <f t="shared" si="4"/>
        <v>1.0293271369695187</v>
      </c>
      <c r="F14" s="15" t="str">
        <f t="shared" ca="1" si="0"/>
        <v/>
      </c>
      <c r="G14" s="15" t="str">
        <f t="shared" ca="1" si="1"/>
        <v/>
      </c>
      <c r="H14" s="15" t="str">
        <f t="shared" ca="1" si="2"/>
        <v/>
      </c>
      <c r="I14" s="16" t="str">
        <f t="shared" ca="1" si="3"/>
        <v/>
      </c>
    </row>
    <row r="15" spans="1:13" x14ac:dyDescent="0.3">
      <c r="A15" s="3">
        <v>41353</v>
      </c>
      <c r="B15" s="9">
        <v>16.095327000000001</v>
      </c>
      <c r="C15" s="9">
        <v>15.644606</v>
      </c>
      <c r="E15" s="14">
        <f t="shared" si="4"/>
        <v>1.0288099936808892</v>
      </c>
      <c r="F15" s="15" t="str">
        <f t="shared" ca="1" si="0"/>
        <v/>
      </c>
      <c r="G15" s="15" t="str">
        <f t="shared" ca="1" si="1"/>
        <v/>
      </c>
      <c r="H15" s="15" t="str">
        <f t="shared" ca="1" si="2"/>
        <v/>
      </c>
      <c r="I15" s="16" t="str">
        <f t="shared" ca="1" si="3"/>
        <v/>
      </c>
    </row>
    <row r="16" spans="1:13" x14ac:dyDescent="0.3">
      <c r="A16" s="3">
        <v>41354</v>
      </c>
      <c r="B16" s="9">
        <v>15.822092</v>
      </c>
      <c r="C16" s="9">
        <v>15.372527</v>
      </c>
      <c r="E16" s="14">
        <f t="shared" si="4"/>
        <v>1.02924470387985</v>
      </c>
      <c r="F16" s="15" t="str">
        <f ca="1">IF(ISNUMBER(E16),IF(ROW(E16)&gt;$K$1,AVERAGE(OFFSET(E16,0,0,-$K$1)),""),"")</f>
        <v/>
      </c>
      <c r="G16" s="15" t="str">
        <f ca="1">IF(ISNUMBER(I16),F16+I16*$M$1,"")</f>
        <v/>
      </c>
      <c r="H16" s="15" t="str">
        <f ca="1">IF(ISNUMBER(I16),F16-I16*$M$1,"")</f>
        <v/>
      </c>
      <c r="I16" s="16" t="str">
        <f ca="1">IF(ISNUMBER(E16),IF(ROW(E16)&gt;$K$1,_xlfn.STDEV.P(OFFSET(E16,0,0,-$K$1)),""),"")</f>
        <v/>
      </c>
    </row>
    <row r="17" spans="1:9" x14ac:dyDescent="0.3">
      <c r="A17" s="3">
        <v>41355</v>
      </c>
      <c r="B17" s="9">
        <v>15.907476000000001</v>
      </c>
      <c r="C17" s="9">
        <v>15.426940999999999</v>
      </c>
      <c r="E17" s="14">
        <f t="shared" si="4"/>
        <v>1.0311490787447752</v>
      </c>
      <c r="F17" s="15" t="str">
        <f t="shared" ref="F17:F80" ca="1" si="5">IF(ISNUMBER(E17),IF(ROW(E17)&gt;$K$1,AVERAGE(OFFSET(E17,0,0,-$K$1)),""),"")</f>
        <v/>
      </c>
      <c r="G17" s="15" t="str">
        <f t="shared" ref="G17:G80" ca="1" si="6">IF(ISNUMBER(I17),F17+I17*$M$1,"")</f>
        <v/>
      </c>
      <c r="H17" s="15" t="str">
        <f t="shared" ref="H17:H80" ca="1" si="7">IF(ISNUMBER(I17),F17-I17*$M$1,"")</f>
        <v/>
      </c>
      <c r="I17" s="16" t="str">
        <f t="shared" ref="I17:I80" ca="1" si="8">IF(ISNUMBER(E17),IF(ROW(E17)&gt;$K$1,_xlfn.STDEV.P(OFFSET(E17,0,0,-$K$1)),""),"")</f>
        <v/>
      </c>
    </row>
    <row r="18" spans="1:9" x14ac:dyDescent="0.3">
      <c r="A18" s="3">
        <v>41358</v>
      </c>
      <c r="B18" s="9">
        <v>15.87332</v>
      </c>
      <c r="C18" s="9">
        <v>15.318108000000001</v>
      </c>
      <c r="E18" s="14">
        <f t="shared" si="4"/>
        <v>1.0362454684351357</v>
      </c>
      <c r="F18" s="15" t="str">
        <f t="shared" ca="1" si="5"/>
        <v/>
      </c>
      <c r="G18" s="15" t="str">
        <f t="shared" ca="1" si="6"/>
        <v/>
      </c>
      <c r="H18" s="15" t="str">
        <f t="shared" ca="1" si="7"/>
        <v/>
      </c>
      <c r="I18" s="16" t="str">
        <f t="shared" ca="1" si="8"/>
        <v/>
      </c>
    </row>
    <row r="19" spans="1:9" x14ac:dyDescent="0.3">
      <c r="A19" s="3">
        <v>41359</v>
      </c>
      <c r="B19" s="9">
        <v>15.87332</v>
      </c>
      <c r="C19" s="9">
        <v>15.327184000000001</v>
      </c>
      <c r="E19" s="14">
        <f t="shared" si="4"/>
        <v>1.0356318551405137</v>
      </c>
      <c r="F19" s="15" t="str">
        <f t="shared" ca="1" si="5"/>
        <v/>
      </c>
      <c r="G19" s="15" t="str">
        <f t="shared" ca="1" si="6"/>
        <v/>
      </c>
      <c r="H19" s="15" t="str">
        <f t="shared" ca="1" si="7"/>
        <v/>
      </c>
      <c r="I19" s="16" t="str">
        <f t="shared" ca="1" si="8"/>
        <v/>
      </c>
    </row>
    <row r="20" spans="1:9" x14ac:dyDescent="0.3">
      <c r="A20" s="3">
        <v>41360</v>
      </c>
      <c r="B20" s="9">
        <v>15.728161999999999</v>
      </c>
      <c r="C20" s="9">
        <v>15.327184000000001</v>
      </c>
      <c r="E20" s="14">
        <f t="shared" si="4"/>
        <v>1.0261612309214789</v>
      </c>
      <c r="F20" s="15" t="str">
        <f t="shared" ca="1" si="5"/>
        <v/>
      </c>
      <c r="G20" s="15" t="str">
        <f t="shared" ca="1" si="6"/>
        <v/>
      </c>
      <c r="H20" s="15" t="str">
        <f t="shared" ca="1" si="7"/>
        <v/>
      </c>
      <c r="I20" s="16" t="str">
        <f t="shared" ca="1" si="8"/>
        <v/>
      </c>
    </row>
    <row r="21" spans="1:9" x14ac:dyDescent="0.3">
      <c r="A21" s="3">
        <v>41361</v>
      </c>
      <c r="B21" s="9">
        <v>15.728161999999999</v>
      </c>
      <c r="C21" s="9">
        <v>15.327184000000001</v>
      </c>
      <c r="E21" s="14">
        <f t="shared" si="4"/>
        <v>1.0261612309214789</v>
      </c>
      <c r="F21" s="15" t="str">
        <f t="shared" ca="1" si="5"/>
        <v/>
      </c>
      <c r="G21" s="15" t="str">
        <f t="shared" ca="1" si="6"/>
        <v/>
      </c>
      <c r="H21" s="15" t="str">
        <f t="shared" ca="1" si="7"/>
        <v/>
      </c>
      <c r="I21" s="16" t="str">
        <f t="shared" ca="1" si="8"/>
        <v/>
      </c>
    </row>
    <row r="22" spans="1:9" x14ac:dyDescent="0.3">
      <c r="A22" s="3">
        <v>41365</v>
      </c>
      <c r="B22" s="9">
        <v>15.395160000000001</v>
      </c>
      <c r="C22" s="9">
        <v>15.009755999999999</v>
      </c>
      <c r="E22" s="14">
        <f t="shared" si="4"/>
        <v>1.0256768997444063</v>
      </c>
      <c r="F22" s="15" t="str">
        <f t="shared" ca="1" si="5"/>
        <v/>
      </c>
      <c r="G22" s="15" t="str">
        <f t="shared" ca="1" si="6"/>
        <v/>
      </c>
      <c r="H22" s="15" t="str">
        <f t="shared" ca="1" si="7"/>
        <v/>
      </c>
      <c r="I22" s="16" t="str">
        <f t="shared" ca="1" si="8"/>
        <v/>
      </c>
    </row>
    <row r="23" spans="1:9" x14ac:dyDescent="0.3">
      <c r="A23" s="3">
        <v>41366</v>
      </c>
      <c r="B23" s="9">
        <v>15.113383000000001</v>
      </c>
      <c r="C23" s="9">
        <v>14.65605</v>
      </c>
      <c r="E23" s="14">
        <f t="shared" si="4"/>
        <v>1.0312043831728195</v>
      </c>
      <c r="F23" s="15" t="str">
        <f t="shared" ca="1" si="5"/>
        <v/>
      </c>
      <c r="G23" s="15" t="str">
        <f t="shared" ca="1" si="6"/>
        <v/>
      </c>
      <c r="H23" s="15" t="str">
        <f t="shared" ca="1" si="7"/>
        <v/>
      </c>
      <c r="I23" s="16" t="str">
        <f t="shared" ca="1" si="8"/>
        <v/>
      </c>
    </row>
    <row r="24" spans="1:9" x14ac:dyDescent="0.3">
      <c r="A24" s="3">
        <v>41367</v>
      </c>
      <c r="B24" s="9">
        <v>15.369541</v>
      </c>
      <c r="C24" s="9">
        <v>15.055099999999999</v>
      </c>
      <c r="E24" s="14">
        <f t="shared" si="4"/>
        <v>1.020886012049073</v>
      </c>
      <c r="F24" s="15" t="str">
        <f t="shared" ca="1" si="5"/>
        <v/>
      </c>
      <c r="G24" s="15" t="str">
        <f t="shared" ca="1" si="6"/>
        <v/>
      </c>
      <c r="H24" s="15" t="str">
        <f t="shared" ca="1" si="7"/>
        <v/>
      </c>
      <c r="I24" s="16" t="str">
        <f t="shared" ca="1" si="8"/>
        <v/>
      </c>
    </row>
    <row r="25" spans="1:9" x14ac:dyDescent="0.3">
      <c r="A25" s="3">
        <v>41368</v>
      </c>
      <c r="B25" s="9">
        <v>15.121922</v>
      </c>
      <c r="C25" s="9">
        <v>14.764881000000001</v>
      </c>
      <c r="E25" s="14">
        <f t="shared" si="4"/>
        <v>1.0241817729516411</v>
      </c>
      <c r="F25" s="15" t="str">
        <f t="shared" ca="1" si="5"/>
        <v/>
      </c>
      <c r="G25" s="15" t="str">
        <f t="shared" ca="1" si="6"/>
        <v/>
      </c>
      <c r="H25" s="15" t="str">
        <f t="shared" ca="1" si="7"/>
        <v/>
      </c>
      <c r="I25" s="16" t="str">
        <f t="shared" ca="1" si="8"/>
        <v/>
      </c>
    </row>
    <row r="26" spans="1:9" x14ac:dyDescent="0.3">
      <c r="A26" s="3">
        <v>41369</v>
      </c>
      <c r="B26" s="9">
        <v>15.19877</v>
      </c>
      <c r="C26" s="9">
        <v>14.801159999999999</v>
      </c>
      <c r="E26" s="14">
        <f t="shared" si="4"/>
        <v>1.0268634350280654</v>
      </c>
      <c r="F26" s="15" t="str">
        <f t="shared" ca="1" si="5"/>
        <v/>
      </c>
      <c r="G26" s="15" t="str">
        <f t="shared" ca="1" si="6"/>
        <v/>
      </c>
      <c r="H26" s="15" t="str">
        <f t="shared" ca="1" si="7"/>
        <v/>
      </c>
      <c r="I26" s="16" t="str">
        <f t="shared" ca="1" si="8"/>
        <v/>
      </c>
    </row>
    <row r="27" spans="1:9" x14ac:dyDescent="0.3">
      <c r="A27" s="3">
        <v>41372</v>
      </c>
      <c r="B27" s="9">
        <v>14.831607</v>
      </c>
      <c r="C27" s="9">
        <v>14.510941000000001</v>
      </c>
      <c r="E27" s="14">
        <f t="shared" si="4"/>
        <v>1.0220982222999873</v>
      </c>
      <c r="F27" s="15" t="str">
        <f t="shared" ca="1" si="5"/>
        <v/>
      </c>
      <c r="G27" s="15" t="str">
        <f t="shared" ca="1" si="6"/>
        <v/>
      </c>
      <c r="H27" s="15" t="str">
        <f t="shared" ca="1" si="7"/>
        <v/>
      </c>
      <c r="I27" s="16" t="str">
        <f t="shared" ca="1" si="8"/>
        <v/>
      </c>
    </row>
    <row r="28" spans="1:9" x14ac:dyDescent="0.3">
      <c r="A28" s="3">
        <v>41373</v>
      </c>
      <c r="B28" s="9">
        <v>15.49762</v>
      </c>
      <c r="C28" s="9">
        <v>15.281834</v>
      </c>
      <c r="E28" s="14">
        <f t="shared" si="4"/>
        <v>1.0141204255981318</v>
      </c>
      <c r="F28" s="15" t="str">
        <f t="shared" ca="1" si="5"/>
        <v/>
      </c>
      <c r="G28" s="15" t="str">
        <f t="shared" ca="1" si="6"/>
        <v/>
      </c>
      <c r="H28" s="15" t="str">
        <f t="shared" ca="1" si="7"/>
        <v/>
      </c>
      <c r="I28" s="16" t="str">
        <f t="shared" ca="1" si="8"/>
        <v/>
      </c>
    </row>
    <row r="29" spans="1:9" x14ac:dyDescent="0.3">
      <c r="A29" s="3">
        <v>41374</v>
      </c>
      <c r="B29" s="9">
        <v>15.728161999999999</v>
      </c>
      <c r="C29" s="9">
        <v>15.417873999999999</v>
      </c>
      <c r="E29" s="14">
        <f t="shared" si="4"/>
        <v>1.0201252131130401</v>
      </c>
      <c r="F29" s="15" t="str">
        <f t="shared" ca="1" si="5"/>
        <v/>
      </c>
      <c r="G29" s="15" t="str">
        <f t="shared" ca="1" si="6"/>
        <v/>
      </c>
      <c r="H29" s="15" t="str">
        <f t="shared" ca="1" si="7"/>
        <v/>
      </c>
      <c r="I29" s="16" t="str">
        <f t="shared" ca="1" si="8"/>
        <v/>
      </c>
    </row>
    <row r="30" spans="1:9" x14ac:dyDescent="0.3">
      <c r="A30" s="3">
        <v>41375</v>
      </c>
      <c r="B30" s="9">
        <v>15.361003999999999</v>
      </c>
      <c r="C30" s="9">
        <v>15.064170000000001</v>
      </c>
      <c r="E30" s="14">
        <f t="shared" si="4"/>
        <v>1.0197046368966891</v>
      </c>
      <c r="F30" s="15" t="str">
        <f t="shared" ca="1" si="5"/>
        <v/>
      </c>
      <c r="G30" s="15" t="str">
        <f t="shared" ca="1" si="6"/>
        <v/>
      </c>
      <c r="H30" s="15" t="str">
        <f t="shared" ca="1" si="7"/>
        <v/>
      </c>
      <c r="I30" s="16" t="str">
        <f t="shared" ca="1" si="8"/>
        <v/>
      </c>
    </row>
    <row r="31" spans="1:9" x14ac:dyDescent="0.3">
      <c r="A31" s="3">
        <v>41376</v>
      </c>
      <c r="B31" s="9">
        <v>15.335386</v>
      </c>
      <c r="C31" s="9">
        <v>14.882782000000001</v>
      </c>
      <c r="E31" s="14">
        <f t="shared" si="4"/>
        <v>1.0304112497246818</v>
      </c>
      <c r="F31" s="15">
        <f t="shared" ca="1" si="5"/>
        <v>1.0351586536515203</v>
      </c>
      <c r="G31" s="15">
        <f t="shared" ca="1" si="6"/>
        <v>1.0550337712901745</v>
      </c>
      <c r="H31" s="15">
        <f t="shared" ca="1" si="7"/>
        <v>1.015283536012866</v>
      </c>
      <c r="I31" s="16">
        <f t="shared" ca="1" si="8"/>
        <v>1.9875117638654342E-2</v>
      </c>
    </row>
    <row r="32" spans="1:9" x14ac:dyDescent="0.3">
      <c r="A32" s="3">
        <v>41379</v>
      </c>
      <c r="B32" s="9">
        <v>14.712066</v>
      </c>
      <c r="C32" s="9">
        <v>14.193514</v>
      </c>
      <c r="E32" s="14">
        <f t="shared" si="4"/>
        <v>1.0365344339675151</v>
      </c>
      <c r="F32" s="15">
        <f t="shared" ca="1" si="5"/>
        <v>1.0335811026812594</v>
      </c>
      <c r="G32" s="15">
        <f t="shared" ca="1" si="6"/>
        <v>1.051287906317961</v>
      </c>
      <c r="H32" s="15">
        <f t="shared" ca="1" si="7"/>
        <v>1.0158742990445577</v>
      </c>
      <c r="I32" s="16">
        <f t="shared" ca="1" si="8"/>
        <v>1.7706803636701612E-2</v>
      </c>
    </row>
    <row r="33" spans="1:9" x14ac:dyDescent="0.3">
      <c r="A33" s="3">
        <v>41380</v>
      </c>
      <c r="B33" s="9">
        <v>15.113383000000001</v>
      </c>
      <c r="C33" s="9">
        <v>14.465593</v>
      </c>
      <c r="E33" s="14">
        <f t="shared" si="4"/>
        <v>1.0447814341244082</v>
      </c>
      <c r="F33" s="15">
        <f t="shared" ca="1" si="5"/>
        <v>1.0320180998673805</v>
      </c>
      <c r="G33" s="15">
        <f t="shared" ca="1" si="6"/>
        <v>1.0462584047876655</v>
      </c>
      <c r="H33" s="15">
        <f t="shared" ca="1" si="7"/>
        <v>1.0177777949470954</v>
      </c>
      <c r="I33" s="16">
        <f t="shared" ca="1" si="8"/>
        <v>1.4240304920285047E-2</v>
      </c>
    </row>
    <row r="34" spans="1:9" x14ac:dyDescent="0.3">
      <c r="A34" s="3">
        <v>41381</v>
      </c>
      <c r="B34" s="9">
        <v>14.660831</v>
      </c>
      <c r="C34" s="9">
        <v>14.012126</v>
      </c>
      <c r="E34" s="14">
        <f t="shared" si="4"/>
        <v>1.0462959725026737</v>
      </c>
      <c r="F34" s="15">
        <f t="shared" ca="1" si="5"/>
        <v>1.030424513527564</v>
      </c>
      <c r="G34" s="15">
        <f t="shared" ca="1" si="6"/>
        <v>1.0392876505873323</v>
      </c>
      <c r="H34" s="15">
        <f t="shared" ca="1" si="7"/>
        <v>1.0215613764677958</v>
      </c>
      <c r="I34" s="16">
        <f t="shared" ca="1" si="8"/>
        <v>8.8631370597683744E-3</v>
      </c>
    </row>
    <row r="35" spans="1:9" x14ac:dyDescent="0.3">
      <c r="A35" s="3">
        <v>41382</v>
      </c>
      <c r="B35" s="9">
        <v>15.215847</v>
      </c>
      <c r="C35" s="9">
        <v>14.592563999999999</v>
      </c>
      <c r="E35" s="14">
        <f t="shared" si="4"/>
        <v>1.042712370492259</v>
      </c>
      <c r="F35" s="15">
        <f t="shared" ca="1" si="5"/>
        <v>1.0306624325285041</v>
      </c>
      <c r="G35" s="15">
        <f t="shared" ca="1" si="6"/>
        <v>1.0397534973101703</v>
      </c>
      <c r="H35" s="15">
        <f t="shared" ca="1" si="7"/>
        <v>1.0215713677468379</v>
      </c>
      <c r="I35" s="16">
        <f t="shared" ca="1" si="8"/>
        <v>9.0910647816662502E-3</v>
      </c>
    </row>
    <row r="36" spans="1:9" x14ac:dyDescent="0.3">
      <c r="A36" s="3">
        <v>41383</v>
      </c>
      <c r="B36" s="9">
        <v>15.702548999999999</v>
      </c>
      <c r="C36" s="9">
        <v>15.18207</v>
      </c>
      <c r="E36" s="14">
        <f t="shared" si="4"/>
        <v>1.0342824792666612</v>
      </c>
      <c r="F36" s="15">
        <f t="shared" ca="1" si="5"/>
        <v>1.0306028494381674</v>
      </c>
      <c r="G36" s="15">
        <f t="shared" ca="1" si="6"/>
        <v>1.0396640865080453</v>
      </c>
      <c r="H36" s="15">
        <f t="shared" ca="1" si="7"/>
        <v>1.0215416123682894</v>
      </c>
      <c r="I36" s="16">
        <f t="shared" ca="1" si="8"/>
        <v>9.0612370698780129E-3</v>
      </c>
    </row>
    <row r="37" spans="1:9" x14ac:dyDescent="0.3">
      <c r="A37" s="3">
        <v>41386</v>
      </c>
      <c r="B37" s="9">
        <v>16.044096</v>
      </c>
      <c r="C37" s="9">
        <v>15.535774999999999</v>
      </c>
      <c r="E37" s="14">
        <f t="shared" si="4"/>
        <v>1.0327193847748182</v>
      </c>
      <c r="F37" s="15">
        <f t="shared" ca="1" si="5"/>
        <v>1.0305057510313396</v>
      </c>
      <c r="G37" s="15">
        <f t="shared" ca="1" si="6"/>
        <v>1.0395280967185376</v>
      </c>
      <c r="H37" s="15">
        <f t="shared" ca="1" si="7"/>
        <v>1.0214834053441415</v>
      </c>
      <c r="I37" s="16">
        <f t="shared" ca="1" si="8"/>
        <v>9.022345687198105E-3</v>
      </c>
    </row>
    <row r="38" spans="1:9" x14ac:dyDescent="0.3">
      <c r="A38" s="3">
        <v>41387</v>
      </c>
      <c r="B38" s="9">
        <v>16.325869000000001</v>
      </c>
      <c r="C38" s="9">
        <v>15.962033</v>
      </c>
      <c r="E38" s="14">
        <f t="shared" si="4"/>
        <v>1.0227938383537987</v>
      </c>
      <c r="F38" s="15">
        <f t="shared" ca="1" si="5"/>
        <v>1.0300394605216558</v>
      </c>
      <c r="G38" s="15">
        <f t="shared" ca="1" si="6"/>
        <v>1.0390868067106409</v>
      </c>
      <c r="H38" s="15">
        <f t="shared" ca="1" si="7"/>
        <v>1.0209921143326708</v>
      </c>
      <c r="I38" s="16">
        <f t="shared" ca="1" si="8"/>
        <v>9.0473461889850077E-3</v>
      </c>
    </row>
    <row r="39" spans="1:9" x14ac:dyDescent="0.3">
      <c r="A39" s="3">
        <v>41388</v>
      </c>
      <c r="B39" s="9">
        <v>16.599105999999999</v>
      </c>
      <c r="C39" s="9">
        <v>16.379225000000002</v>
      </c>
      <c r="E39" s="14">
        <f t="shared" si="4"/>
        <v>1.0134243836323145</v>
      </c>
      <c r="F39" s="15">
        <f t="shared" ca="1" si="5"/>
        <v>1.0291028265784978</v>
      </c>
      <c r="G39" s="15">
        <f t="shared" ca="1" si="6"/>
        <v>1.0383647478468454</v>
      </c>
      <c r="H39" s="15">
        <f t="shared" ca="1" si="7"/>
        <v>1.0198409053101503</v>
      </c>
      <c r="I39" s="16">
        <f t="shared" ca="1" si="8"/>
        <v>9.2619212683476282E-3</v>
      </c>
    </row>
    <row r="40" spans="1:9" x14ac:dyDescent="0.3">
      <c r="A40" s="3">
        <v>41389</v>
      </c>
      <c r="B40" s="9">
        <v>16.368559000000001</v>
      </c>
      <c r="C40" s="9">
        <v>16.206904999999999</v>
      </c>
      <c r="E40" s="14">
        <f t="shared" si="4"/>
        <v>1.0099743905452647</v>
      </c>
      <c r="F40" s="15">
        <f t="shared" ca="1" si="5"/>
        <v>1.0279504564261708</v>
      </c>
      <c r="G40" s="15">
        <f t="shared" ca="1" si="6"/>
        <v>1.0373686620442621</v>
      </c>
      <c r="H40" s="15">
        <f t="shared" ca="1" si="7"/>
        <v>1.0185322508080794</v>
      </c>
      <c r="I40" s="16">
        <f t="shared" ca="1" si="8"/>
        <v>9.4182056180914259E-3</v>
      </c>
    </row>
    <row r="41" spans="1:9" x14ac:dyDescent="0.3">
      <c r="A41" s="3">
        <v>41390</v>
      </c>
      <c r="B41" s="9">
        <v>16.368559000000001</v>
      </c>
      <c r="C41" s="9">
        <v>16.206904999999999</v>
      </c>
      <c r="E41" s="14">
        <f t="shared" si="4"/>
        <v>1.0099743905452647</v>
      </c>
      <c r="F41" s="15">
        <f t="shared" ca="1" si="5"/>
        <v>1.0268845448260049</v>
      </c>
      <c r="G41" s="15">
        <f t="shared" ca="1" si="6"/>
        <v>1.0364659433481336</v>
      </c>
      <c r="H41" s="15">
        <f t="shared" ca="1" si="7"/>
        <v>1.0173031463038762</v>
      </c>
      <c r="I41" s="16">
        <f t="shared" ca="1" si="8"/>
        <v>9.581398522128701E-3</v>
      </c>
    </row>
    <row r="42" spans="1:9" x14ac:dyDescent="0.3">
      <c r="A42" s="3">
        <v>41393</v>
      </c>
      <c r="B42" s="9">
        <v>17.435891999999999</v>
      </c>
      <c r="C42" s="9">
        <v>17.376852</v>
      </c>
      <c r="E42" s="14">
        <f t="shared" si="4"/>
        <v>1.0033976234590707</v>
      </c>
      <c r="F42" s="15">
        <f t="shared" ca="1" si="5"/>
        <v>1.0266739683645456</v>
      </c>
      <c r="G42" s="15">
        <f t="shared" ca="1" si="6"/>
        <v>1.036689963941329</v>
      </c>
      <c r="H42" s="15">
        <f t="shared" ca="1" si="7"/>
        <v>1.0166579727877623</v>
      </c>
      <c r="I42" s="16">
        <f t="shared" ca="1" si="8"/>
        <v>1.0015995576783437E-2</v>
      </c>
    </row>
    <row r="43" spans="1:9" x14ac:dyDescent="0.3">
      <c r="A43" s="3">
        <v>41394</v>
      </c>
      <c r="B43" s="9">
        <v>17.479396999999999</v>
      </c>
      <c r="C43" s="9">
        <v>17.530353999999999</v>
      </c>
      <c r="E43" s="14">
        <f t="shared" si="4"/>
        <v>0.99709321329164258</v>
      </c>
      <c r="F43" s="15">
        <f t="shared" ca="1" si="5"/>
        <v>1.0257328954742622</v>
      </c>
      <c r="G43" s="15">
        <f t="shared" ca="1" si="6"/>
        <v>1.0370705009097576</v>
      </c>
      <c r="H43" s="15">
        <f t="shared" ca="1" si="7"/>
        <v>1.0143952900387667</v>
      </c>
      <c r="I43" s="16">
        <f t="shared" ca="1" si="8"/>
        <v>1.1337605435495335E-2</v>
      </c>
    </row>
    <row r="44" spans="1:9" x14ac:dyDescent="0.3">
      <c r="A44" s="3">
        <v>41396</v>
      </c>
      <c r="B44" s="9">
        <v>17.618607000000001</v>
      </c>
      <c r="C44" s="9">
        <v>17.585163000000001</v>
      </c>
      <c r="E44" s="14">
        <f t="shared" si="4"/>
        <v>1.0019018305374821</v>
      </c>
      <c r="F44" s="15">
        <f t="shared" ca="1" si="5"/>
        <v>1.0248187185931943</v>
      </c>
      <c r="G44" s="15">
        <f t="shared" ca="1" si="6"/>
        <v>1.0369102699319426</v>
      </c>
      <c r="H44" s="15">
        <f t="shared" ca="1" si="7"/>
        <v>1.012727167254446</v>
      </c>
      <c r="I44" s="16">
        <f t="shared" ca="1" si="8"/>
        <v>1.2091551338748393E-2</v>
      </c>
    </row>
    <row r="45" spans="1:9" x14ac:dyDescent="0.3">
      <c r="A45" s="3">
        <v>41397</v>
      </c>
      <c r="B45" s="9">
        <v>17.374987000000001</v>
      </c>
      <c r="C45" s="9">
        <v>17.356783</v>
      </c>
      <c r="E45" s="14">
        <f t="shared" si="4"/>
        <v>1.0010488118679597</v>
      </c>
      <c r="F45" s="15">
        <f t="shared" ca="1" si="5"/>
        <v>1.0238933458660966</v>
      </c>
      <c r="G45" s="15">
        <f t="shared" ca="1" si="6"/>
        <v>1.0366859963104034</v>
      </c>
      <c r="H45" s="15">
        <f t="shared" ca="1" si="7"/>
        <v>1.0111006954217898</v>
      </c>
      <c r="I45" s="16">
        <f t="shared" ca="1" si="8"/>
        <v>1.2792650444306761E-2</v>
      </c>
    </row>
    <row r="46" spans="1:9" x14ac:dyDescent="0.3">
      <c r="A46" s="3">
        <v>41400</v>
      </c>
      <c r="B46" s="9">
        <v>17.688206000000001</v>
      </c>
      <c r="C46" s="9">
        <v>17.749596</v>
      </c>
      <c r="E46" s="14">
        <f t="shared" si="4"/>
        <v>0.99654132972942033</v>
      </c>
      <c r="F46" s="15">
        <f t="shared" ca="1" si="5"/>
        <v>1.0228032333944157</v>
      </c>
      <c r="G46" s="15">
        <f t="shared" ca="1" si="6"/>
        <v>1.0364577839909859</v>
      </c>
      <c r="H46" s="15">
        <f t="shared" ca="1" si="7"/>
        <v>1.0091486827978455</v>
      </c>
      <c r="I46" s="16">
        <f t="shared" ca="1" si="8"/>
        <v>1.3654550596570201E-2</v>
      </c>
    </row>
    <row r="47" spans="1:9" x14ac:dyDescent="0.3">
      <c r="A47" s="3">
        <v>41401</v>
      </c>
      <c r="B47" s="9">
        <v>17.940525000000001</v>
      </c>
      <c r="C47" s="9">
        <v>17.895758000000001</v>
      </c>
      <c r="E47" s="14">
        <f t="shared" si="4"/>
        <v>1.0025015425443282</v>
      </c>
      <c r="F47" s="15">
        <f t="shared" ca="1" si="5"/>
        <v>1.0218483155210676</v>
      </c>
      <c r="G47" s="15">
        <f t="shared" ca="1" si="6"/>
        <v>1.0358822648728407</v>
      </c>
      <c r="H47" s="15">
        <f t="shared" ca="1" si="7"/>
        <v>1.0078143661692944</v>
      </c>
      <c r="I47" s="16">
        <f t="shared" ca="1" si="8"/>
        <v>1.4033949351773219E-2</v>
      </c>
    </row>
    <row r="48" spans="1:9" x14ac:dyDescent="0.3">
      <c r="A48" s="3">
        <v>41402</v>
      </c>
      <c r="B48" s="9">
        <v>17.653406</v>
      </c>
      <c r="C48" s="9">
        <v>17.585163000000001</v>
      </c>
      <c r="E48" s="14">
        <f t="shared" si="4"/>
        <v>1.0038807146683826</v>
      </c>
      <c r="F48" s="15">
        <f t="shared" ca="1" si="5"/>
        <v>1.0207694903955089</v>
      </c>
      <c r="G48" s="15">
        <f t="shared" ca="1" si="6"/>
        <v>1.0348988838609865</v>
      </c>
      <c r="H48" s="15">
        <f t="shared" ca="1" si="7"/>
        <v>1.0066400969300313</v>
      </c>
      <c r="I48" s="16">
        <f t="shared" ca="1" si="8"/>
        <v>1.4129393465477482E-2</v>
      </c>
    </row>
    <row r="49" spans="1:9" x14ac:dyDescent="0.3">
      <c r="A49" s="3">
        <v>41403</v>
      </c>
      <c r="B49" s="9">
        <v>17.662106000000001</v>
      </c>
      <c r="C49" s="9">
        <v>17.621706</v>
      </c>
      <c r="E49" s="14">
        <f t="shared" si="4"/>
        <v>1.0022926270589239</v>
      </c>
      <c r="F49" s="15">
        <f t="shared" ca="1" si="5"/>
        <v>1.0196581827927893</v>
      </c>
      <c r="G49" s="15">
        <f t="shared" ca="1" si="6"/>
        <v>1.033885676418838</v>
      </c>
      <c r="H49" s="15">
        <f t="shared" ca="1" si="7"/>
        <v>1.0054306891667406</v>
      </c>
      <c r="I49" s="16">
        <f t="shared" ca="1" si="8"/>
        <v>1.4227493626048764E-2</v>
      </c>
    </row>
    <row r="50" spans="1:9" x14ac:dyDescent="0.3">
      <c r="A50" s="3">
        <v>41404</v>
      </c>
      <c r="B50" s="9">
        <v>17.366287</v>
      </c>
      <c r="C50" s="9">
        <v>17.539487999999999</v>
      </c>
      <c r="E50" s="14">
        <f t="shared" si="4"/>
        <v>0.99012508232851504</v>
      </c>
      <c r="F50" s="15">
        <f t="shared" ca="1" si="5"/>
        <v>1.0184569778396906</v>
      </c>
      <c r="G50" s="15">
        <f t="shared" ca="1" si="6"/>
        <v>1.0335779068612665</v>
      </c>
      <c r="H50" s="15">
        <f t="shared" ca="1" si="7"/>
        <v>1.0033360488181147</v>
      </c>
      <c r="I50" s="16">
        <f t="shared" ca="1" si="8"/>
        <v>1.5120929021575956E-2</v>
      </c>
    </row>
    <row r="51" spans="1:9" x14ac:dyDescent="0.3">
      <c r="A51" s="3">
        <v>41407</v>
      </c>
      <c r="B51" s="9">
        <v>16.957363000000001</v>
      </c>
      <c r="C51" s="9">
        <v>17.128406999999999</v>
      </c>
      <c r="E51" s="14">
        <f t="shared" si="4"/>
        <v>0.99001401589768401</v>
      </c>
      <c r="F51" s="15">
        <f t="shared" ca="1" si="5"/>
        <v>1.0172520706722308</v>
      </c>
      <c r="G51" s="15">
        <f t="shared" ca="1" si="6"/>
        <v>1.0331322127415852</v>
      </c>
      <c r="H51" s="15">
        <f t="shared" ca="1" si="7"/>
        <v>1.0013719286028764</v>
      </c>
      <c r="I51" s="16">
        <f t="shared" ca="1" si="8"/>
        <v>1.5880142069354466E-2</v>
      </c>
    </row>
    <row r="52" spans="1:9" x14ac:dyDescent="0.3">
      <c r="A52" s="3">
        <v>41408</v>
      </c>
      <c r="B52" s="9">
        <v>17.009561999999999</v>
      </c>
      <c r="C52" s="9">
        <v>17.17408</v>
      </c>
      <c r="E52" s="14">
        <f t="shared" si="4"/>
        <v>0.9904205640127447</v>
      </c>
      <c r="F52" s="15">
        <f t="shared" ca="1" si="5"/>
        <v>1.0160768594811753</v>
      </c>
      <c r="G52" s="15">
        <f t="shared" ca="1" si="6"/>
        <v>1.032582298714654</v>
      </c>
      <c r="H52" s="15">
        <f t="shared" ca="1" si="7"/>
        <v>0.99957142024769674</v>
      </c>
      <c r="I52" s="16">
        <f t="shared" ca="1" si="8"/>
        <v>1.6505439233478619E-2</v>
      </c>
    </row>
    <row r="53" spans="1:9" x14ac:dyDescent="0.3">
      <c r="A53" s="3">
        <v>41409</v>
      </c>
      <c r="B53" s="9">
        <v>17.026968</v>
      </c>
      <c r="C53" s="9">
        <v>17.274567000000001</v>
      </c>
      <c r="E53" s="14">
        <f t="shared" si="4"/>
        <v>0.98566684768422841</v>
      </c>
      <c r="F53" s="15">
        <f t="shared" ca="1" si="5"/>
        <v>1.0145589416315557</v>
      </c>
      <c r="G53" s="15">
        <f t="shared" ca="1" si="6"/>
        <v>1.0316856170583133</v>
      </c>
      <c r="H53" s="15">
        <f t="shared" ca="1" si="7"/>
        <v>0.99743226620479808</v>
      </c>
      <c r="I53" s="16">
        <f t="shared" ca="1" si="8"/>
        <v>1.7126675426757557E-2</v>
      </c>
    </row>
    <row r="54" spans="1:9" x14ac:dyDescent="0.3">
      <c r="A54" s="3">
        <v>41410</v>
      </c>
      <c r="B54" s="9">
        <v>17.183575000000001</v>
      </c>
      <c r="C54" s="9">
        <v>17.183218</v>
      </c>
      <c r="E54" s="14">
        <f t="shared" si="4"/>
        <v>1.0000207760851314</v>
      </c>
      <c r="F54" s="15">
        <f t="shared" ca="1" si="5"/>
        <v>1.0138634337660908</v>
      </c>
      <c r="G54" s="15">
        <f t="shared" ca="1" si="6"/>
        <v>1.0311420379119358</v>
      </c>
      <c r="H54" s="15">
        <f t="shared" ca="1" si="7"/>
        <v>0.99658482962024575</v>
      </c>
      <c r="I54" s="16">
        <f t="shared" ca="1" si="8"/>
        <v>1.7278604145844992E-2</v>
      </c>
    </row>
    <row r="55" spans="1:9" x14ac:dyDescent="0.3">
      <c r="A55" s="3">
        <v>41411</v>
      </c>
      <c r="B55" s="9">
        <v>17.305384</v>
      </c>
      <c r="C55" s="9">
        <v>17.439003</v>
      </c>
      <c r="E55" s="14">
        <f t="shared" si="4"/>
        <v>0.99233792207043037</v>
      </c>
      <c r="F55" s="15">
        <f t="shared" ca="1" si="5"/>
        <v>1.0128019720700505</v>
      </c>
      <c r="G55" s="15">
        <f t="shared" ca="1" si="6"/>
        <v>1.0303894518393935</v>
      </c>
      <c r="H55" s="15">
        <f t="shared" ca="1" si="7"/>
        <v>0.99521449230070747</v>
      </c>
      <c r="I55" s="16">
        <f t="shared" ca="1" si="8"/>
        <v>1.7587479769343006E-2</v>
      </c>
    </row>
    <row r="56" spans="1:9" x14ac:dyDescent="0.3">
      <c r="A56" s="3">
        <v>41414</v>
      </c>
      <c r="B56" s="9">
        <v>17.575099999999999</v>
      </c>
      <c r="C56" s="9">
        <v>17.658245000000001</v>
      </c>
      <c r="E56" s="14">
        <f t="shared" si="4"/>
        <v>0.9952914346810795</v>
      </c>
      <c r="F56" s="15">
        <f t="shared" ca="1" si="5"/>
        <v>1.0117495720584846</v>
      </c>
      <c r="G56" s="15">
        <f t="shared" ca="1" si="6"/>
        <v>1.0294086123728317</v>
      </c>
      <c r="H56" s="15">
        <f t="shared" ca="1" si="7"/>
        <v>0.99409053174413753</v>
      </c>
      <c r="I56" s="16">
        <f t="shared" ca="1" si="8"/>
        <v>1.7659040314347094E-2</v>
      </c>
    </row>
    <row r="57" spans="1:9" x14ac:dyDescent="0.3">
      <c r="A57" s="3">
        <v>41415</v>
      </c>
      <c r="B57" s="9">
        <v>17.618607000000001</v>
      </c>
      <c r="C57" s="9">
        <v>17.703917000000001</v>
      </c>
      <c r="E57" s="14">
        <f t="shared" si="4"/>
        <v>0.99518129236597752</v>
      </c>
      <c r="F57" s="15">
        <f t="shared" ca="1" si="5"/>
        <v>1.0108523410606842</v>
      </c>
      <c r="G57" s="15">
        <f t="shared" ca="1" si="6"/>
        <v>1.0286460794452563</v>
      </c>
      <c r="H57" s="15">
        <f t="shared" ca="1" si="7"/>
        <v>0.99305860267611212</v>
      </c>
      <c r="I57" s="16">
        <f t="shared" ca="1" si="8"/>
        <v>1.7793738384572107E-2</v>
      </c>
    </row>
    <row r="58" spans="1:9" x14ac:dyDescent="0.3">
      <c r="A58" s="3">
        <v>41416</v>
      </c>
      <c r="B58" s="9">
        <v>17.331482000000001</v>
      </c>
      <c r="C58" s="9">
        <v>17.210622999999998</v>
      </c>
      <c r="E58" s="14">
        <f t="shared" si="4"/>
        <v>1.0070223489294956</v>
      </c>
      <c r="F58" s="15">
        <f t="shared" ca="1" si="5"/>
        <v>1.0106157385050627</v>
      </c>
      <c r="G58" s="15">
        <f t="shared" ca="1" si="6"/>
        <v>1.0284116395415928</v>
      </c>
      <c r="H58" s="15">
        <f t="shared" ca="1" si="7"/>
        <v>0.99281983746853264</v>
      </c>
      <c r="I58" s="16">
        <f t="shared" ca="1" si="8"/>
        <v>1.7795901036530021E-2</v>
      </c>
    </row>
    <row r="59" spans="1:9" x14ac:dyDescent="0.3">
      <c r="A59" s="3">
        <v>41417</v>
      </c>
      <c r="B59" s="9">
        <v>17.279284000000001</v>
      </c>
      <c r="C59" s="9">
        <v>17.082729</v>
      </c>
      <c r="E59" s="14">
        <f t="shared" si="4"/>
        <v>1.0115060655706709</v>
      </c>
      <c r="F59" s="15">
        <f t="shared" ca="1" si="5"/>
        <v>1.0103284335869838</v>
      </c>
      <c r="G59" s="15">
        <f t="shared" ca="1" si="6"/>
        <v>1.0280378558084498</v>
      </c>
      <c r="H59" s="15">
        <f t="shared" ca="1" si="7"/>
        <v>0.99261901136551789</v>
      </c>
      <c r="I59" s="16">
        <f t="shared" ca="1" si="8"/>
        <v>1.7709422221465921E-2</v>
      </c>
    </row>
    <row r="60" spans="1:9" x14ac:dyDescent="0.3">
      <c r="A60" s="3">
        <v>41418</v>
      </c>
      <c r="B60" s="9">
        <v>17.479396999999999</v>
      </c>
      <c r="C60" s="9">
        <v>17.073595000000001</v>
      </c>
      <c r="E60" s="14">
        <f t="shared" si="4"/>
        <v>1.0237678122270089</v>
      </c>
      <c r="F60" s="15">
        <f t="shared" ca="1" si="5"/>
        <v>1.0104638727646611</v>
      </c>
      <c r="G60" s="15">
        <f t="shared" ca="1" si="6"/>
        <v>1.0282598109333783</v>
      </c>
      <c r="H60" s="15">
        <f t="shared" ca="1" si="7"/>
        <v>0.99266793459594405</v>
      </c>
      <c r="I60" s="16">
        <f t="shared" ca="1" si="8"/>
        <v>1.77959381687171E-2</v>
      </c>
    </row>
    <row r="61" spans="1:9" x14ac:dyDescent="0.3">
      <c r="A61" s="3">
        <v>41421</v>
      </c>
      <c r="B61" s="9">
        <v>17.340187</v>
      </c>
      <c r="C61" s="9">
        <v>16.945702000000001</v>
      </c>
      <c r="E61" s="14">
        <f t="shared" si="4"/>
        <v>1.0232793542574985</v>
      </c>
      <c r="F61" s="15">
        <f t="shared" ca="1" si="5"/>
        <v>1.0102261429157551</v>
      </c>
      <c r="G61" s="15">
        <f t="shared" ca="1" si="6"/>
        <v>1.0278002770461756</v>
      </c>
      <c r="H61" s="15">
        <f t="shared" ca="1" si="7"/>
        <v>0.99265200878533455</v>
      </c>
      <c r="I61" s="16">
        <f t="shared" ca="1" si="8"/>
        <v>1.7574134130420509E-2</v>
      </c>
    </row>
    <row r="62" spans="1:9" x14ac:dyDescent="0.3">
      <c r="A62" s="3">
        <v>41422</v>
      </c>
      <c r="B62" s="9">
        <v>17.435894000000001</v>
      </c>
      <c r="C62" s="9">
        <v>17.283705000000001</v>
      </c>
      <c r="E62" s="14">
        <f t="shared" si="4"/>
        <v>1.0088053458445396</v>
      </c>
      <c r="F62" s="15">
        <f t="shared" ca="1" si="5"/>
        <v>1.0093018399783227</v>
      </c>
      <c r="G62" s="15">
        <f t="shared" ca="1" si="6"/>
        <v>1.0261835540714566</v>
      </c>
      <c r="H62" s="15">
        <f t="shared" ca="1" si="7"/>
        <v>0.9924201258851888</v>
      </c>
      <c r="I62" s="16">
        <f t="shared" ca="1" si="8"/>
        <v>1.6881714093133826E-2</v>
      </c>
    </row>
    <row r="63" spans="1:9" x14ac:dyDescent="0.3">
      <c r="A63" s="3">
        <v>41423</v>
      </c>
      <c r="B63" s="9">
        <v>17.270579999999999</v>
      </c>
      <c r="C63" s="9">
        <v>17.110133999999999</v>
      </c>
      <c r="E63" s="14">
        <f t="shared" si="4"/>
        <v>1.0093772497632105</v>
      </c>
      <c r="F63" s="15">
        <f t="shared" ca="1" si="5"/>
        <v>1.0081217004996161</v>
      </c>
      <c r="G63" s="15">
        <f t="shared" ca="1" si="6"/>
        <v>1.0236664641751629</v>
      </c>
      <c r="H63" s="15">
        <f t="shared" ca="1" si="7"/>
        <v>0.99257693682406922</v>
      </c>
      <c r="I63" s="16">
        <f t="shared" ca="1" si="8"/>
        <v>1.5544763675546877E-2</v>
      </c>
    </row>
    <row r="64" spans="1:9" x14ac:dyDescent="0.3">
      <c r="A64" s="3">
        <v>41425</v>
      </c>
      <c r="B64" s="9">
        <v>17.453289000000002</v>
      </c>
      <c r="C64" s="9">
        <v>17.329377999999998</v>
      </c>
      <c r="E64" s="14">
        <f t="shared" si="4"/>
        <v>1.0071503431917754</v>
      </c>
      <c r="F64" s="15">
        <f t="shared" ca="1" si="5"/>
        <v>1.0068168461892528</v>
      </c>
      <c r="G64" s="15">
        <f t="shared" ca="1" si="6"/>
        <v>1.0206513194122995</v>
      </c>
      <c r="H64" s="15">
        <f t="shared" ca="1" si="7"/>
        <v>0.99298237296620606</v>
      </c>
      <c r="I64" s="16">
        <f t="shared" ca="1" si="8"/>
        <v>1.3834473223046716E-2</v>
      </c>
    </row>
    <row r="65" spans="1:9" x14ac:dyDescent="0.3">
      <c r="A65" s="3">
        <v>41428</v>
      </c>
      <c r="B65" s="9">
        <v>17.653406</v>
      </c>
      <c r="C65" s="9">
        <v>17.375057000000002</v>
      </c>
      <c r="E65" s="14">
        <f t="shared" si="4"/>
        <v>1.0160200337760041</v>
      </c>
      <c r="F65" s="15">
        <f t="shared" ca="1" si="5"/>
        <v>1.0059271016320441</v>
      </c>
      <c r="G65" s="15">
        <f t="shared" ca="1" si="6"/>
        <v>1.0181939133833138</v>
      </c>
      <c r="H65" s="15">
        <f t="shared" ca="1" si="7"/>
        <v>0.99366028988077437</v>
      </c>
      <c r="I65" s="16">
        <f t="shared" ca="1" si="8"/>
        <v>1.2266811751269707E-2</v>
      </c>
    </row>
    <row r="66" spans="1:9" x14ac:dyDescent="0.3">
      <c r="A66" s="3">
        <v>41429</v>
      </c>
      <c r="B66" s="9">
        <v>17.461994000000001</v>
      </c>
      <c r="C66" s="9">
        <v>17.292840999999999</v>
      </c>
      <c r="E66" s="14">
        <f t="shared" si="4"/>
        <v>1.0097816778631112</v>
      </c>
      <c r="F66" s="15">
        <f t="shared" ca="1" si="5"/>
        <v>1.005110408251926</v>
      </c>
      <c r="G66" s="15">
        <f t="shared" ca="1" si="6"/>
        <v>1.0162235548076022</v>
      </c>
      <c r="H66" s="15">
        <f t="shared" ca="1" si="7"/>
        <v>0.9939972616962498</v>
      </c>
      <c r="I66" s="16">
        <f t="shared" ca="1" si="8"/>
        <v>1.1113146555676233E-2</v>
      </c>
    </row>
    <row r="67" spans="1:9" x14ac:dyDescent="0.3">
      <c r="A67" s="3">
        <v>41430</v>
      </c>
      <c r="B67" s="9">
        <v>16.896457999999999</v>
      </c>
      <c r="C67" s="9">
        <v>16.53462</v>
      </c>
      <c r="E67" s="14">
        <f t="shared" ref="E67:E130" si="9">IF(ISNUMBER(B67),B67/C67,"")</f>
        <v>1.0218836598603414</v>
      </c>
      <c r="F67" s="15">
        <f t="shared" ca="1" si="5"/>
        <v>1.0047492174214434</v>
      </c>
      <c r="G67" s="15">
        <f t="shared" ca="1" si="6"/>
        <v>1.0151097730877434</v>
      </c>
      <c r="H67" s="15">
        <f t="shared" ca="1" si="7"/>
        <v>0.9943886617551434</v>
      </c>
      <c r="I67" s="16">
        <f t="shared" ca="1" si="8"/>
        <v>1.0360555666299967E-2</v>
      </c>
    </row>
    <row r="68" spans="1:9" x14ac:dyDescent="0.3">
      <c r="A68" s="3">
        <v>41431</v>
      </c>
      <c r="B68" s="9">
        <v>16.931256999999999</v>
      </c>
      <c r="C68" s="9">
        <v>16.552893000000001</v>
      </c>
      <c r="E68" s="14">
        <f t="shared" si="9"/>
        <v>1.0228578774719319</v>
      </c>
      <c r="F68" s="15">
        <f t="shared" ca="1" si="5"/>
        <v>1.0047513520587144</v>
      </c>
      <c r="G68" s="15">
        <f t="shared" ca="1" si="6"/>
        <v>1.0151156312569454</v>
      </c>
      <c r="H68" s="15">
        <f t="shared" ca="1" si="7"/>
        <v>0.99438707286048345</v>
      </c>
      <c r="I68" s="16">
        <f t="shared" ca="1" si="8"/>
        <v>1.0364279198230955E-2</v>
      </c>
    </row>
    <row r="69" spans="1:9" x14ac:dyDescent="0.3">
      <c r="A69" s="3">
        <v>41432</v>
      </c>
      <c r="B69" s="9">
        <v>16.391826999999999</v>
      </c>
      <c r="C69" s="9">
        <v>16.096136000000001</v>
      </c>
      <c r="E69" s="14">
        <f t="shared" si="9"/>
        <v>1.0183703094953969</v>
      </c>
      <c r="F69" s="15">
        <f t="shared" ca="1" si="5"/>
        <v>1.0049162162541505</v>
      </c>
      <c r="G69" s="15">
        <f t="shared" ca="1" si="6"/>
        <v>1.0154550138102665</v>
      </c>
      <c r="H69" s="15">
        <f t="shared" ca="1" si="7"/>
        <v>0.99437741869803453</v>
      </c>
      <c r="I69" s="16">
        <f t="shared" ca="1" si="8"/>
        <v>1.0538797556115984E-2</v>
      </c>
    </row>
    <row r="70" spans="1:9" x14ac:dyDescent="0.3">
      <c r="A70" s="3">
        <v>41435</v>
      </c>
      <c r="B70" s="9">
        <v>16.426629999999999</v>
      </c>
      <c r="C70" s="9">
        <v>16.196621</v>
      </c>
      <c r="E70" s="14">
        <f t="shared" si="9"/>
        <v>1.0142010484779509</v>
      </c>
      <c r="F70" s="15">
        <f t="shared" ca="1" si="5"/>
        <v>1.0050571048519066</v>
      </c>
      <c r="G70" s="15">
        <f t="shared" ca="1" si="6"/>
        <v>1.0156904096254618</v>
      </c>
      <c r="H70" s="15">
        <f t="shared" ca="1" si="7"/>
        <v>0.99442380007835129</v>
      </c>
      <c r="I70" s="16">
        <f t="shared" ca="1" si="8"/>
        <v>1.0633304773555256E-2</v>
      </c>
    </row>
    <row r="71" spans="1:9" x14ac:dyDescent="0.3">
      <c r="A71" s="3">
        <v>41436</v>
      </c>
      <c r="B71" s="9">
        <v>16.122112000000001</v>
      </c>
      <c r="C71" s="9">
        <v>15.721593</v>
      </c>
      <c r="E71" s="14">
        <f t="shared" si="9"/>
        <v>1.0254757262829537</v>
      </c>
      <c r="F71" s="15">
        <f t="shared" ca="1" si="5"/>
        <v>1.0055738160431631</v>
      </c>
      <c r="G71" s="15">
        <f t="shared" ca="1" si="6"/>
        <v>1.0167939553784813</v>
      </c>
      <c r="H71" s="15">
        <f t="shared" ca="1" si="7"/>
        <v>0.99435367670784491</v>
      </c>
      <c r="I71" s="16">
        <f t="shared" ca="1" si="8"/>
        <v>1.1220139335318154E-2</v>
      </c>
    </row>
    <row r="72" spans="1:9" x14ac:dyDescent="0.3">
      <c r="A72" s="3">
        <v>41437</v>
      </c>
      <c r="B72" s="9">
        <v>15.765389000000001</v>
      </c>
      <c r="C72" s="9">
        <v>15.27397</v>
      </c>
      <c r="E72" s="14">
        <f t="shared" si="9"/>
        <v>1.0321736261103041</v>
      </c>
      <c r="F72" s="15">
        <f t="shared" ca="1" si="5"/>
        <v>1.0065330161315373</v>
      </c>
      <c r="G72" s="15">
        <f t="shared" ca="1" si="6"/>
        <v>1.0187149124511823</v>
      </c>
      <c r="H72" s="15">
        <f t="shared" ca="1" si="7"/>
        <v>0.99435111981189239</v>
      </c>
      <c r="I72" s="16">
        <f t="shared" ca="1" si="8"/>
        <v>1.218189631964499E-2</v>
      </c>
    </row>
    <row r="73" spans="1:9" x14ac:dyDescent="0.3">
      <c r="A73" s="3">
        <v>41438</v>
      </c>
      <c r="B73" s="9">
        <v>16.357025</v>
      </c>
      <c r="C73" s="9">
        <v>15.849485</v>
      </c>
      <c r="E73" s="14">
        <f t="shared" si="9"/>
        <v>1.032022491582534</v>
      </c>
      <c r="F73" s="15">
        <f t="shared" ca="1" si="5"/>
        <v>1.0076973254079005</v>
      </c>
      <c r="G73" s="15">
        <f t="shared" ca="1" si="6"/>
        <v>1.0205709326939432</v>
      </c>
      <c r="H73" s="15">
        <f t="shared" ca="1" si="7"/>
        <v>0.99482371812185777</v>
      </c>
      <c r="I73" s="16">
        <f t="shared" ca="1" si="8"/>
        <v>1.2873607286042662E-2</v>
      </c>
    </row>
    <row r="74" spans="1:9" x14ac:dyDescent="0.3">
      <c r="A74" s="3">
        <v>41439</v>
      </c>
      <c r="B74" s="9">
        <v>15.9655</v>
      </c>
      <c r="C74" s="9">
        <v>15.100402000000001</v>
      </c>
      <c r="E74" s="14">
        <f t="shared" si="9"/>
        <v>1.0572897330812783</v>
      </c>
      <c r="F74" s="15">
        <f t="shared" ca="1" si="5"/>
        <v>1.0095435888260269</v>
      </c>
      <c r="G74" s="15">
        <f t="shared" ca="1" si="6"/>
        <v>1.025137873480384</v>
      </c>
      <c r="H74" s="15">
        <f t="shared" ca="1" si="7"/>
        <v>0.99394930417166971</v>
      </c>
      <c r="I74" s="16">
        <f t="shared" ca="1" si="8"/>
        <v>1.559428465435719E-2</v>
      </c>
    </row>
    <row r="75" spans="1:9" x14ac:dyDescent="0.3">
      <c r="A75" s="3">
        <v>41442</v>
      </c>
      <c r="B75" s="9">
        <v>15.739286</v>
      </c>
      <c r="C75" s="9">
        <v>15.264834</v>
      </c>
      <c r="E75" s="14">
        <f t="shared" si="9"/>
        <v>1.0310813730434278</v>
      </c>
      <c r="F75" s="15">
        <f t="shared" ca="1" si="5"/>
        <v>1.0105446741985424</v>
      </c>
      <c r="G75" s="15">
        <f t="shared" ca="1" si="6"/>
        <v>1.0265208034462354</v>
      </c>
      <c r="H75" s="15">
        <f t="shared" ca="1" si="7"/>
        <v>0.99456854495084956</v>
      </c>
      <c r="I75" s="16">
        <f t="shared" ca="1" si="8"/>
        <v>1.5976129247692913E-2</v>
      </c>
    </row>
    <row r="76" spans="1:9" x14ac:dyDescent="0.3">
      <c r="A76" s="3">
        <v>41443</v>
      </c>
      <c r="B76" s="9">
        <v>15.513070000000001</v>
      </c>
      <c r="C76" s="9">
        <v>15.036455</v>
      </c>
      <c r="E76" s="14">
        <f t="shared" si="9"/>
        <v>1.0316972983326189</v>
      </c>
      <c r="F76" s="15">
        <f t="shared" ca="1" si="5"/>
        <v>1.0117165398186492</v>
      </c>
      <c r="G76" s="15">
        <f t="shared" ca="1" si="6"/>
        <v>1.0279104100094123</v>
      </c>
      <c r="H76" s="15">
        <f t="shared" ca="1" si="7"/>
        <v>0.99552266962788605</v>
      </c>
      <c r="I76" s="16">
        <f t="shared" ca="1" si="8"/>
        <v>1.6193870190763168E-2</v>
      </c>
    </row>
    <row r="77" spans="1:9" x14ac:dyDescent="0.3">
      <c r="A77" s="3">
        <v>41444</v>
      </c>
      <c r="B77" s="9">
        <v>14.964938999999999</v>
      </c>
      <c r="C77" s="9">
        <v>14.661915</v>
      </c>
      <c r="E77" s="14">
        <f t="shared" si="9"/>
        <v>1.0206674230480806</v>
      </c>
      <c r="F77" s="15">
        <f t="shared" ca="1" si="5"/>
        <v>1.0123220691687742</v>
      </c>
      <c r="G77" s="15">
        <f t="shared" ca="1" si="6"/>
        <v>1.0284996721171551</v>
      </c>
      <c r="H77" s="15">
        <f t="shared" ca="1" si="7"/>
        <v>0.99614446622039321</v>
      </c>
      <c r="I77" s="16">
        <f t="shared" ca="1" si="8"/>
        <v>1.6177602948380953E-2</v>
      </c>
    </row>
    <row r="78" spans="1:9" x14ac:dyDescent="0.3">
      <c r="A78" s="3">
        <v>41445</v>
      </c>
      <c r="B78" s="9">
        <v>14.695220000000001</v>
      </c>
      <c r="C78" s="9">
        <v>14.661915</v>
      </c>
      <c r="E78" s="14">
        <f t="shared" si="9"/>
        <v>1.0022715313790866</v>
      </c>
      <c r="F78" s="15">
        <f t="shared" ca="1" si="5"/>
        <v>1.0122684297257978</v>
      </c>
      <c r="G78" s="15">
        <f t="shared" ca="1" si="6"/>
        <v>1.0284765713456023</v>
      </c>
      <c r="H78" s="15">
        <f t="shared" ca="1" si="7"/>
        <v>0.99606028810599312</v>
      </c>
      <c r="I78" s="16">
        <f t="shared" ca="1" si="8"/>
        <v>1.6208141619804634E-2</v>
      </c>
    </row>
    <row r="79" spans="1:9" x14ac:dyDescent="0.3">
      <c r="A79" s="3">
        <v>41446</v>
      </c>
      <c r="B79" s="9">
        <v>14.277596000000001</v>
      </c>
      <c r="C79" s="9">
        <v>13.967644</v>
      </c>
      <c r="E79" s="14">
        <f t="shared" si="9"/>
        <v>1.0221907144827003</v>
      </c>
      <c r="F79" s="15">
        <f t="shared" ca="1" si="5"/>
        <v>1.0129316993065902</v>
      </c>
      <c r="G79" s="15">
        <f t="shared" ca="1" si="6"/>
        <v>1.0291251680958622</v>
      </c>
      <c r="H79" s="15">
        <f t="shared" ca="1" si="7"/>
        <v>0.99673823051731825</v>
      </c>
      <c r="I79" s="16">
        <f t="shared" ca="1" si="8"/>
        <v>1.6193468789272008E-2</v>
      </c>
    </row>
    <row r="80" spans="1:9" x14ac:dyDescent="0.3">
      <c r="A80" s="3">
        <v>41449</v>
      </c>
      <c r="B80" s="9">
        <v>13.842567000000001</v>
      </c>
      <c r="C80" s="9">
        <v>13.474344</v>
      </c>
      <c r="E80" s="14">
        <f t="shared" si="9"/>
        <v>1.0273277125773248</v>
      </c>
      <c r="F80" s="15">
        <f t="shared" ca="1" si="5"/>
        <v>1.0141717869815505</v>
      </c>
      <c r="G80" s="15">
        <f t="shared" ca="1" si="6"/>
        <v>1.0299914180768412</v>
      </c>
      <c r="H80" s="15">
        <f t="shared" ca="1" si="7"/>
        <v>0.99835215588625981</v>
      </c>
      <c r="I80" s="16">
        <f t="shared" ca="1" si="8"/>
        <v>1.581963109529072E-2</v>
      </c>
    </row>
    <row r="81" spans="1:9" x14ac:dyDescent="0.3">
      <c r="A81" s="3">
        <v>41450</v>
      </c>
      <c r="B81" s="9">
        <v>14.007879000000001</v>
      </c>
      <c r="C81" s="9">
        <v>13.428668999999999</v>
      </c>
      <c r="E81" s="14">
        <f t="shared" si="9"/>
        <v>1.0431323461766764</v>
      </c>
      <c r="F81" s="15">
        <f t="shared" ref="F81:F144" ca="1" si="10">IF(ISNUMBER(E81),IF(ROW(E81)&gt;$K$1,AVERAGE(OFFSET(E81,0,0,-$K$1)),""),"")</f>
        <v>1.0159423979908504</v>
      </c>
      <c r="G81" s="15">
        <f t="shared" ref="G81:G144" ca="1" si="11">IF(ISNUMBER(I81),F81+I81*$M$1,"")</f>
        <v>1.0319308167416201</v>
      </c>
      <c r="H81" s="15">
        <f t="shared" ref="H81:H144" ca="1" si="12">IF(ISNUMBER(I81),F81-I81*$M$1,"")</f>
        <v>0.99995397924008067</v>
      </c>
      <c r="I81" s="16">
        <f t="shared" ref="I81:I144" ca="1" si="13">IF(ISNUMBER(E81),IF(ROW(E81)&gt;$K$1,_xlfn.STDEV.P(OFFSET(E81,0,0,-$K$1)),""),"")</f>
        <v>1.5988418750769721E-2</v>
      </c>
    </row>
    <row r="82" spans="1:9" x14ac:dyDescent="0.3">
      <c r="A82" s="3">
        <v>41451</v>
      </c>
      <c r="B82" s="9">
        <v>14.05138</v>
      </c>
      <c r="C82" s="9">
        <v>13.520022000000001</v>
      </c>
      <c r="E82" s="14">
        <f t="shared" si="9"/>
        <v>1.0393015632666869</v>
      </c>
      <c r="F82" s="15">
        <f t="shared" ca="1" si="10"/>
        <v>1.0175717646326483</v>
      </c>
      <c r="G82" s="15">
        <f t="shared" ca="1" si="11"/>
        <v>1.0333657798996987</v>
      </c>
      <c r="H82" s="15">
        <f t="shared" ca="1" si="12"/>
        <v>1.0017777493655979</v>
      </c>
      <c r="I82" s="16">
        <f t="shared" ca="1" si="13"/>
        <v>1.5794015267050432E-2</v>
      </c>
    </row>
    <row r="83" spans="1:9" x14ac:dyDescent="0.3">
      <c r="A83" s="3">
        <v>41452</v>
      </c>
      <c r="B83" s="9">
        <v>14.251493</v>
      </c>
      <c r="C83" s="9">
        <v>13.602238</v>
      </c>
      <c r="E83" s="14">
        <f t="shared" si="9"/>
        <v>1.0477314835985079</v>
      </c>
      <c r="F83" s="15">
        <f t="shared" ca="1" si="10"/>
        <v>1.019640585829791</v>
      </c>
      <c r="G83" s="15">
        <f t="shared" ca="1" si="11"/>
        <v>1.0351827991384077</v>
      </c>
      <c r="H83" s="15">
        <f t="shared" ca="1" si="12"/>
        <v>1.0040983725211743</v>
      </c>
      <c r="I83" s="16">
        <f t="shared" ca="1" si="13"/>
        <v>1.5542213308616734E-2</v>
      </c>
    </row>
    <row r="84" spans="1:9" x14ac:dyDescent="0.3">
      <c r="A84" s="3">
        <v>41453</v>
      </c>
      <c r="B84" s="9">
        <v>14.068782000000001</v>
      </c>
      <c r="C84" s="9">
        <v>13.520022000000001</v>
      </c>
      <c r="E84" s="14">
        <f t="shared" si="9"/>
        <v>1.0405886913497626</v>
      </c>
      <c r="F84" s="15">
        <f t="shared" ca="1" si="10"/>
        <v>1.0209928496719454</v>
      </c>
      <c r="G84" s="15">
        <f t="shared" ca="1" si="11"/>
        <v>1.036534020264291</v>
      </c>
      <c r="H84" s="15">
        <f t="shared" ca="1" si="12"/>
        <v>1.0054516790795998</v>
      </c>
      <c r="I84" s="16">
        <f t="shared" ca="1" si="13"/>
        <v>1.5541170592345529E-2</v>
      </c>
    </row>
    <row r="85" spans="1:9" x14ac:dyDescent="0.3">
      <c r="A85" s="3">
        <v>41456</v>
      </c>
      <c r="B85" s="9">
        <v>14.025278999999999</v>
      </c>
      <c r="C85" s="9">
        <v>13.446941000000001</v>
      </c>
      <c r="E85" s="14">
        <f t="shared" si="9"/>
        <v>1.0430088895310836</v>
      </c>
      <c r="F85" s="15">
        <f t="shared" ca="1" si="10"/>
        <v>1.022681881920634</v>
      </c>
      <c r="G85" s="15">
        <f t="shared" ca="1" si="11"/>
        <v>1.0377637206000185</v>
      </c>
      <c r="H85" s="15">
        <f t="shared" ca="1" si="12"/>
        <v>1.0076000432412495</v>
      </c>
      <c r="I85" s="16">
        <f t="shared" ca="1" si="13"/>
        <v>1.5081838679384505E-2</v>
      </c>
    </row>
    <row r="86" spans="1:9" x14ac:dyDescent="0.3">
      <c r="A86" s="3">
        <v>41457</v>
      </c>
      <c r="B86" s="9">
        <v>13.390139</v>
      </c>
      <c r="C86" s="9">
        <v>12.917102999999999</v>
      </c>
      <c r="E86" s="14">
        <f t="shared" si="9"/>
        <v>1.0366209048576913</v>
      </c>
      <c r="F86" s="15">
        <f t="shared" ca="1" si="10"/>
        <v>1.024059530926521</v>
      </c>
      <c r="G86" s="15">
        <f t="shared" ca="1" si="11"/>
        <v>1.0384481583749421</v>
      </c>
      <c r="H86" s="15">
        <f t="shared" ca="1" si="12"/>
        <v>1.0096709034781</v>
      </c>
      <c r="I86" s="16">
        <f t="shared" ca="1" si="13"/>
        <v>1.438862744842109E-2</v>
      </c>
    </row>
    <row r="87" spans="1:9" x14ac:dyDescent="0.3">
      <c r="A87" s="3">
        <v>41458</v>
      </c>
      <c r="B87" s="9">
        <v>13.833866</v>
      </c>
      <c r="C87" s="9">
        <v>13.182022</v>
      </c>
      <c r="E87" s="14">
        <f t="shared" si="9"/>
        <v>1.0494494698916448</v>
      </c>
      <c r="F87" s="15">
        <f t="shared" ca="1" si="10"/>
        <v>1.0258684701773766</v>
      </c>
      <c r="G87" s="15">
        <f t="shared" ca="1" si="11"/>
        <v>1.0399201681736785</v>
      </c>
      <c r="H87" s="15">
        <f t="shared" ca="1" si="12"/>
        <v>1.0118167721810747</v>
      </c>
      <c r="I87" s="16">
        <f t="shared" ca="1" si="13"/>
        <v>1.4051697996301812E-2</v>
      </c>
    </row>
    <row r="88" spans="1:9" x14ac:dyDescent="0.3">
      <c r="A88" s="3">
        <v>41459</v>
      </c>
      <c r="B88" s="9">
        <v>13.886069000000001</v>
      </c>
      <c r="C88" s="9">
        <v>13.309912000000001</v>
      </c>
      <c r="E88" s="14">
        <f t="shared" si="9"/>
        <v>1.0432878143747306</v>
      </c>
      <c r="F88" s="15">
        <f t="shared" ca="1" si="10"/>
        <v>1.0270773190255511</v>
      </c>
      <c r="G88" s="15">
        <f t="shared" ca="1" si="11"/>
        <v>1.0410151862672565</v>
      </c>
      <c r="H88" s="15">
        <f t="shared" ca="1" si="12"/>
        <v>1.0131394517838457</v>
      </c>
      <c r="I88" s="16">
        <f t="shared" ca="1" si="13"/>
        <v>1.3937867241705532E-2</v>
      </c>
    </row>
    <row r="89" spans="1:9" x14ac:dyDescent="0.3">
      <c r="A89" s="3">
        <v>41460</v>
      </c>
      <c r="B89" s="9">
        <v>13.181324999999999</v>
      </c>
      <c r="C89" s="9">
        <v>12.496885000000001</v>
      </c>
      <c r="E89" s="14">
        <f t="shared" si="9"/>
        <v>1.0547688483970203</v>
      </c>
      <c r="F89" s="15">
        <f t="shared" ca="1" si="10"/>
        <v>1.0285194117864294</v>
      </c>
      <c r="G89" s="15">
        <f t="shared" ca="1" si="11"/>
        <v>1.0429991588103105</v>
      </c>
      <c r="H89" s="15">
        <f t="shared" ca="1" si="12"/>
        <v>1.0140396647625483</v>
      </c>
      <c r="I89" s="16">
        <f t="shared" ca="1" si="13"/>
        <v>1.4479747023881023E-2</v>
      </c>
    </row>
    <row r="90" spans="1:9" x14ac:dyDescent="0.3">
      <c r="A90" s="3">
        <v>41463</v>
      </c>
      <c r="B90" s="9">
        <v>13.050818</v>
      </c>
      <c r="C90" s="9">
        <v>12.432938999999999</v>
      </c>
      <c r="E90" s="14">
        <f t="shared" si="9"/>
        <v>1.049696938109324</v>
      </c>
      <c r="F90" s="15">
        <f t="shared" ca="1" si="10"/>
        <v>1.0293837159825068</v>
      </c>
      <c r="G90" s="15">
        <f t="shared" ca="1" si="11"/>
        <v>1.0443206852051556</v>
      </c>
      <c r="H90" s="15">
        <f t="shared" ca="1" si="12"/>
        <v>1.0144467467598579</v>
      </c>
      <c r="I90" s="16">
        <f t="shared" ca="1" si="13"/>
        <v>1.4936969222648939E-2</v>
      </c>
    </row>
    <row r="91" spans="1:9" x14ac:dyDescent="0.3">
      <c r="A91" s="3">
        <v>41465</v>
      </c>
      <c r="B91" s="9">
        <v>13.268331999999999</v>
      </c>
      <c r="C91" s="9">
        <v>12.606508</v>
      </c>
      <c r="E91" s="14">
        <f t="shared" si="9"/>
        <v>1.0524985983430146</v>
      </c>
      <c r="F91" s="15">
        <f t="shared" ca="1" si="10"/>
        <v>1.0303576907853571</v>
      </c>
      <c r="G91" s="15">
        <f t="shared" ca="1" si="11"/>
        <v>1.0458086532513047</v>
      </c>
      <c r="H91" s="15">
        <f t="shared" ca="1" si="12"/>
        <v>1.0149067283194095</v>
      </c>
      <c r="I91" s="16">
        <f t="shared" ca="1" si="13"/>
        <v>1.5450962465947548E-2</v>
      </c>
    </row>
    <row r="92" spans="1:9" x14ac:dyDescent="0.3">
      <c r="A92" s="3">
        <v>41466</v>
      </c>
      <c r="B92" s="9">
        <v>13.712059999999999</v>
      </c>
      <c r="C92" s="9">
        <v>13.547426</v>
      </c>
      <c r="E92" s="14">
        <f t="shared" si="9"/>
        <v>1.0121524192123286</v>
      </c>
      <c r="F92" s="15">
        <f t="shared" ca="1" si="10"/>
        <v>1.0304692598976168</v>
      </c>
      <c r="G92" s="15">
        <f t="shared" ca="1" si="11"/>
        <v>1.0457756007888064</v>
      </c>
      <c r="H92" s="15">
        <f t="shared" ca="1" si="12"/>
        <v>1.0151629190064273</v>
      </c>
      <c r="I92" s="16">
        <f t="shared" ca="1" si="13"/>
        <v>1.5306340891189535E-2</v>
      </c>
    </row>
    <row r="93" spans="1:9" x14ac:dyDescent="0.3">
      <c r="A93" s="3">
        <v>41467</v>
      </c>
      <c r="B93" s="9">
        <v>13.424939</v>
      </c>
      <c r="C93" s="9">
        <v>13.291643000000001</v>
      </c>
      <c r="E93" s="14">
        <f t="shared" si="9"/>
        <v>1.0100285570414431</v>
      </c>
      <c r="F93" s="15">
        <f t="shared" ca="1" si="10"/>
        <v>1.0304909701402245</v>
      </c>
      <c r="G93" s="15">
        <f t="shared" ca="1" si="11"/>
        <v>1.0457678125779628</v>
      </c>
      <c r="H93" s="15">
        <f t="shared" ca="1" si="12"/>
        <v>1.0152141277024862</v>
      </c>
      <c r="I93" s="16">
        <f t="shared" ca="1" si="13"/>
        <v>1.5276842437738337E-2</v>
      </c>
    </row>
    <row r="94" spans="1:9" x14ac:dyDescent="0.3">
      <c r="A94" s="3">
        <v>41470</v>
      </c>
      <c r="B94" s="9">
        <v>13.485844</v>
      </c>
      <c r="C94" s="9">
        <v>13.465211</v>
      </c>
      <c r="E94" s="14">
        <f t="shared" si="9"/>
        <v>1.0015323190999383</v>
      </c>
      <c r="F94" s="15">
        <f t="shared" ca="1" si="10"/>
        <v>1.0303037026704966</v>
      </c>
      <c r="G94" s="15">
        <f t="shared" ca="1" si="11"/>
        <v>1.0458966754217014</v>
      </c>
      <c r="H94" s="15">
        <f t="shared" ca="1" si="12"/>
        <v>1.0147107299192919</v>
      </c>
      <c r="I94" s="16">
        <f t="shared" ca="1" si="13"/>
        <v>1.5592972751204673E-2</v>
      </c>
    </row>
    <row r="95" spans="1:9" x14ac:dyDescent="0.3">
      <c r="A95" s="3">
        <v>41471</v>
      </c>
      <c r="B95" s="9">
        <v>13.703359000000001</v>
      </c>
      <c r="C95" s="9">
        <v>13.675319999999999</v>
      </c>
      <c r="E95" s="14">
        <f t="shared" si="9"/>
        <v>1.0020503359336381</v>
      </c>
      <c r="F95" s="15">
        <f t="shared" ca="1" si="10"/>
        <v>1.0298380460757512</v>
      </c>
      <c r="G95" s="15">
        <f t="shared" ca="1" si="11"/>
        <v>1.046047044018815</v>
      </c>
      <c r="H95" s="15">
        <f t="shared" ca="1" si="12"/>
        <v>1.0136290481326875</v>
      </c>
      <c r="I95" s="16">
        <f t="shared" ca="1" si="13"/>
        <v>1.6208997943063779E-2</v>
      </c>
    </row>
    <row r="96" spans="1:9" x14ac:dyDescent="0.3">
      <c r="A96" s="3">
        <v>41472</v>
      </c>
      <c r="B96" s="9">
        <v>13.973074</v>
      </c>
      <c r="C96" s="9">
        <v>14.022455000000001</v>
      </c>
      <c r="E96" s="14">
        <f t="shared" si="9"/>
        <v>0.99647843405452186</v>
      </c>
      <c r="F96" s="15">
        <f t="shared" ca="1" si="10"/>
        <v>1.0293946046154647</v>
      </c>
      <c r="G96" s="15">
        <f t="shared" ca="1" si="11"/>
        <v>1.0463126965370462</v>
      </c>
      <c r="H96" s="15">
        <f t="shared" ca="1" si="12"/>
        <v>1.0124765126938833</v>
      </c>
      <c r="I96" s="16">
        <f t="shared" ca="1" si="13"/>
        <v>1.6918091921581363E-2</v>
      </c>
    </row>
    <row r="97" spans="1:9" x14ac:dyDescent="0.3">
      <c r="A97" s="3">
        <v>41473</v>
      </c>
      <c r="B97" s="9">
        <v>14.007879000000001</v>
      </c>
      <c r="C97" s="9">
        <v>14.186887</v>
      </c>
      <c r="E97" s="14">
        <f t="shared" si="9"/>
        <v>0.98738215085522285</v>
      </c>
      <c r="F97" s="15">
        <f t="shared" ca="1" si="10"/>
        <v>1.0282445543152943</v>
      </c>
      <c r="G97" s="15">
        <f t="shared" ca="1" si="11"/>
        <v>1.046733838181962</v>
      </c>
      <c r="H97" s="15">
        <f t="shared" ca="1" si="12"/>
        <v>1.0097552704486266</v>
      </c>
      <c r="I97" s="16">
        <f t="shared" ca="1" si="13"/>
        <v>1.8489283866667715E-2</v>
      </c>
    </row>
    <row r="98" spans="1:9" x14ac:dyDescent="0.3">
      <c r="A98" s="3">
        <v>41474</v>
      </c>
      <c r="B98" s="9">
        <v>13.903472000000001</v>
      </c>
      <c r="C98" s="9">
        <v>14.214294000000001</v>
      </c>
      <c r="E98" s="14">
        <f t="shared" si="9"/>
        <v>0.97813313837465299</v>
      </c>
      <c r="F98" s="15">
        <f t="shared" ca="1" si="10"/>
        <v>1.0267537296787181</v>
      </c>
      <c r="G98" s="15">
        <f t="shared" ca="1" si="11"/>
        <v>1.0473053472260201</v>
      </c>
      <c r="H98" s="15">
        <f t="shared" ca="1" si="12"/>
        <v>1.0062021121314162</v>
      </c>
      <c r="I98" s="16">
        <f t="shared" ca="1" si="13"/>
        <v>2.0551617547301924E-2</v>
      </c>
    </row>
    <row r="99" spans="1:9" x14ac:dyDescent="0.3">
      <c r="A99" s="3">
        <v>41477</v>
      </c>
      <c r="B99" s="9">
        <v>14.181889</v>
      </c>
      <c r="C99" s="9">
        <v>14.433536</v>
      </c>
      <c r="E99" s="14">
        <f t="shared" si="9"/>
        <v>0.98256511779234135</v>
      </c>
      <c r="F99" s="15">
        <f t="shared" ca="1" si="10"/>
        <v>1.0255602232886163</v>
      </c>
      <c r="G99" s="15">
        <f t="shared" ca="1" si="11"/>
        <v>1.0475531672144116</v>
      </c>
      <c r="H99" s="15">
        <f t="shared" ca="1" si="12"/>
        <v>1.003567279362821</v>
      </c>
      <c r="I99" s="16">
        <f t="shared" ca="1" si="13"/>
        <v>2.1992943925795348E-2</v>
      </c>
    </row>
    <row r="100" spans="1:9" x14ac:dyDescent="0.3">
      <c r="A100" s="3">
        <v>41478</v>
      </c>
      <c r="B100" s="9">
        <v>14.277596000000001</v>
      </c>
      <c r="C100" s="9">
        <v>14.707591000000001</v>
      </c>
      <c r="E100" s="14">
        <f t="shared" si="9"/>
        <v>0.97076373690293671</v>
      </c>
      <c r="F100" s="15">
        <f t="shared" ca="1" si="10"/>
        <v>1.0241123129027825</v>
      </c>
      <c r="G100" s="15">
        <f t="shared" ca="1" si="11"/>
        <v>1.0481410583333217</v>
      </c>
      <c r="H100" s="15">
        <f t="shared" ca="1" si="12"/>
        <v>1.0000835674722433</v>
      </c>
      <c r="I100" s="16">
        <f t="shared" ca="1" si="13"/>
        <v>2.4028745430539306E-2</v>
      </c>
    </row>
    <row r="101" spans="1:9" x14ac:dyDescent="0.3">
      <c r="A101" s="3">
        <v>41479</v>
      </c>
      <c r="B101" s="9">
        <v>14.26019</v>
      </c>
      <c r="C101" s="9">
        <v>14.579696999999999</v>
      </c>
      <c r="E101" s="14">
        <f t="shared" si="9"/>
        <v>0.97808548421822483</v>
      </c>
      <c r="F101" s="15">
        <f t="shared" ca="1" si="10"/>
        <v>1.0225326381672915</v>
      </c>
      <c r="G101" s="15">
        <f t="shared" ca="1" si="11"/>
        <v>1.0479381277995106</v>
      </c>
      <c r="H101" s="15">
        <f t="shared" ca="1" si="12"/>
        <v>0.99712714853507234</v>
      </c>
      <c r="I101" s="16">
        <f t="shared" ca="1" si="13"/>
        <v>2.5405489632219155E-2</v>
      </c>
    </row>
    <row r="102" spans="1:9" x14ac:dyDescent="0.3">
      <c r="A102" s="3">
        <v>41480</v>
      </c>
      <c r="B102" s="9">
        <v>14.651717</v>
      </c>
      <c r="C102" s="9">
        <v>14.826345999999999</v>
      </c>
      <c r="E102" s="14">
        <f t="shared" si="9"/>
        <v>0.98822171019076455</v>
      </c>
      <c r="F102" s="15">
        <f t="shared" ca="1" si="10"/>
        <v>1.0210675743033069</v>
      </c>
      <c r="G102" s="15">
        <f t="shared" ca="1" si="11"/>
        <v>1.0471335584396677</v>
      </c>
      <c r="H102" s="15">
        <f t="shared" ca="1" si="12"/>
        <v>0.99500159016694611</v>
      </c>
      <c r="I102" s="16">
        <f t="shared" ca="1" si="13"/>
        <v>2.6065984136360781E-2</v>
      </c>
    </row>
    <row r="103" spans="1:9" x14ac:dyDescent="0.3">
      <c r="A103" s="3">
        <v>41481</v>
      </c>
      <c r="B103" s="9">
        <v>14.651717</v>
      </c>
      <c r="C103" s="9">
        <v>14.826345999999999</v>
      </c>
      <c r="E103" s="14">
        <f t="shared" si="9"/>
        <v>0.98822171019076455</v>
      </c>
      <c r="F103" s="15">
        <f t="shared" ca="1" si="10"/>
        <v>1.0196075482569145</v>
      </c>
      <c r="G103" s="15">
        <f t="shared" ca="1" si="11"/>
        <v>1.0462395817034558</v>
      </c>
      <c r="H103" s="15">
        <f t="shared" ca="1" si="12"/>
        <v>0.99297551481037316</v>
      </c>
      <c r="I103" s="16">
        <f t="shared" ca="1" si="13"/>
        <v>2.6632033446541355E-2</v>
      </c>
    </row>
    <row r="104" spans="1:9" x14ac:dyDescent="0.3">
      <c r="A104" s="3">
        <v>41484</v>
      </c>
      <c r="B104" s="9">
        <v>14.512509</v>
      </c>
      <c r="C104" s="9">
        <v>14.506618</v>
      </c>
      <c r="E104" s="14">
        <f t="shared" si="9"/>
        <v>1.0004060905167558</v>
      </c>
      <c r="F104" s="15">
        <f t="shared" ca="1" si="10"/>
        <v>1.0177114268380971</v>
      </c>
      <c r="G104" s="15">
        <f t="shared" ca="1" si="11"/>
        <v>1.0436079174614059</v>
      </c>
      <c r="H104" s="15">
        <f t="shared" ca="1" si="12"/>
        <v>0.99181493621478833</v>
      </c>
      <c r="I104" s="16">
        <f t="shared" ca="1" si="13"/>
        <v>2.5896490623308777E-2</v>
      </c>
    </row>
    <row r="105" spans="1:9" x14ac:dyDescent="0.3">
      <c r="A105" s="3">
        <v>41485</v>
      </c>
      <c r="B105" s="9">
        <v>14.321095</v>
      </c>
      <c r="C105" s="9">
        <v>14.150346000000001</v>
      </c>
      <c r="E105" s="14">
        <f t="shared" si="9"/>
        <v>1.0120667720775167</v>
      </c>
      <c r="F105" s="15">
        <f t="shared" ca="1" si="10"/>
        <v>1.0170776068059</v>
      </c>
      <c r="G105" s="15">
        <f t="shared" ca="1" si="11"/>
        <v>1.042871599406846</v>
      </c>
      <c r="H105" s="15">
        <f t="shared" ca="1" si="12"/>
        <v>0.99128361420495392</v>
      </c>
      <c r="I105" s="16">
        <f t="shared" ca="1" si="13"/>
        <v>2.5793992600946097E-2</v>
      </c>
    </row>
    <row r="106" spans="1:9" x14ac:dyDescent="0.3">
      <c r="A106" s="3">
        <v>41486</v>
      </c>
      <c r="B106" s="9">
        <v>14.173188</v>
      </c>
      <c r="C106" s="9">
        <v>14.049860000000001</v>
      </c>
      <c r="E106" s="14">
        <f t="shared" si="9"/>
        <v>1.0087778810607364</v>
      </c>
      <c r="F106" s="15">
        <f t="shared" ca="1" si="10"/>
        <v>1.0163136262301706</v>
      </c>
      <c r="G106" s="15">
        <f t="shared" ca="1" si="11"/>
        <v>1.0420024965222092</v>
      </c>
      <c r="H106" s="15">
        <f t="shared" ca="1" si="12"/>
        <v>0.99062475593813193</v>
      </c>
      <c r="I106" s="16">
        <f t="shared" ca="1" si="13"/>
        <v>2.5688870292038687E-2</v>
      </c>
    </row>
    <row r="107" spans="1:9" x14ac:dyDescent="0.3">
      <c r="A107" s="3">
        <v>41487</v>
      </c>
      <c r="B107" s="9">
        <v>14.738723</v>
      </c>
      <c r="C107" s="9">
        <v>14.707591000000001</v>
      </c>
      <c r="E107" s="14">
        <f t="shared" si="9"/>
        <v>1.0021167300613676</v>
      </c>
      <c r="F107" s="15">
        <f t="shared" ca="1" si="10"/>
        <v>1.0156952697972801</v>
      </c>
      <c r="G107" s="15">
        <f t="shared" ca="1" si="11"/>
        <v>1.0414949255315393</v>
      </c>
      <c r="H107" s="15">
        <f t="shared" ca="1" si="12"/>
        <v>0.98989561406302085</v>
      </c>
      <c r="I107" s="16">
        <f t="shared" ca="1" si="13"/>
        <v>2.5799655734259231E-2</v>
      </c>
    </row>
    <row r="108" spans="1:9" x14ac:dyDescent="0.3">
      <c r="A108" s="3">
        <v>41488</v>
      </c>
      <c r="B108" s="9">
        <v>14.625615</v>
      </c>
      <c r="C108" s="9">
        <v>14.616239999999999</v>
      </c>
      <c r="E108" s="14">
        <f t="shared" si="9"/>
        <v>1.0006414098290668</v>
      </c>
      <c r="F108" s="15">
        <f t="shared" ca="1" si="10"/>
        <v>1.0156409324122795</v>
      </c>
      <c r="G108" s="15">
        <f t="shared" ca="1" si="11"/>
        <v>1.0414705023212483</v>
      </c>
      <c r="H108" s="15">
        <f t="shared" ca="1" si="12"/>
        <v>0.98981136250331081</v>
      </c>
      <c r="I108" s="16">
        <f t="shared" ca="1" si="13"/>
        <v>2.5829569908968727E-2</v>
      </c>
    </row>
    <row r="109" spans="1:9" x14ac:dyDescent="0.3">
      <c r="A109" s="3">
        <v>41491</v>
      </c>
      <c r="B109" s="9">
        <v>14.486406000000001</v>
      </c>
      <c r="C109" s="9">
        <v>14.415264000000001</v>
      </c>
      <c r="E109" s="14">
        <f t="shared" si="9"/>
        <v>1.0049351853701742</v>
      </c>
      <c r="F109" s="15">
        <f t="shared" ca="1" si="10"/>
        <v>1.0150657481085288</v>
      </c>
      <c r="G109" s="15">
        <f t="shared" ca="1" si="11"/>
        <v>1.0409351564998637</v>
      </c>
      <c r="H109" s="15">
        <f t="shared" ca="1" si="12"/>
        <v>0.98919633971719378</v>
      </c>
      <c r="I109" s="16">
        <f t="shared" ca="1" si="13"/>
        <v>2.5869408391334982E-2</v>
      </c>
    </row>
    <row r="110" spans="1:9" x14ac:dyDescent="0.3">
      <c r="A110" s="3">
        <v>41492</v>
      </c>
      <c r="B110" s="9">
        <v>14.164486999999999</v>
      </c>
      <c r="C110" s="9">
        <v>14.004184</v>
      </c>
      <c r="E110" s="14">
        <f t="shared" si="9"/>
        <v>1.0114467933297648</v>
      </c>
      <c r="F110" s="15">
        <f t="shared" ca="1" si="10"/>
        <v>1.0145363841336104</v>
      </c>
      <c r="G110" s="15">
        <f t="shared" ca="1" si="11"/>
        <v>1.0403117748451971</v>
      </c>
      <c r="H110" s="15">
        <f t="shared" ca="1" si="12"/>
        <v>0.9887609934220235</v>
      </c>
      <c r="I110" s="16">
        <f t="shared" ca="1" si="13"/>
        <v>2.5775390711586806E-2</v>
      </c>
    </row>
    <row r="111" spans="1:9" x14ac:dyDescent="0.3">
      <c r="A111" s="3">
        <v>41493</v>
      </c>
      <c r="B111" s="9">
        <v>14.138384</v>
      </c>
      <c r="C111" s="9">
        <v>13.995049</v>
      </c>
      <c r="E111" s="14">
        <f t="shared" si="9"/>
        <v>1.0102418362379439</v>
      </c>
      <c r="F111" s="15">
        <f t="shared" ca="1" si="10"/>
        <v>1.0134400338023193</v>
      </c>
      <c r="G111" s="15">
        <f t="shared" ca="1" si="11"/>
        <v>1.038669499092624</v>
      </c>
      <c r="H111" s="15">
        <f t="shared" ca="1" si="12"/>
        <v>0.98821056851201461</v>
      </c>
      <c r="I111" s="16">
        <f t="shared" ca="1" si="13"/>
        <v>2.5229465290304693E-2</v>
      </c>
    </row>
    <row r="112" spans="1:9" x14ac:dyDescent="0.3">
      <c r="A112" s="3">
        <v>41494</v>
      </c>
      <c r="B112" s="9">
        <v>14.486406000000001</v>
      </c>
      <c r="C112" s="9">
        <v>14.442674</v>
      </c>
      <c r="E112" s="14">
        <f t="shared" si="9"/>
        <v>1.003027971136093</v>
      </c>
      <c r="F112" s="15">
        <f t="shared" ca="1" si="10"/>
        <v>1.0122309140646326</v>
      </c>
      <c r="G112" s="15">
        <f t="shared" ca="1" si="11"/>
        <v>1.0370579898701371</v>
      </c>
      <c r="H112" s="15">
        <f t="shared" ca="1" si="12"/>
        <v>0.98740383825912825</v>
      </c>
      <c r="I112" s="16">
        <f t="shared" ca="1" si="13"/>
        <v>2.4827075805504386E-2</v>
      </c>
    </row>
    <row r="113" spans="1:9" x14ac:dyDescent="0.3">
      <c r="A113" s="3">
        <v>41495</v>
      </c>
      <c r="B113" s="9">
        <v>14.860531</v>
      </c>
      <c r="C113" s="9">
        <v>14.68932</v>
      </c>
      <c r="E113" s="14">
        <f t="shared" si="9"/>
        <v>1.0116554748620086</v>
      </c>
      <c r="F113" s="15">
        <f t="shared" ca="1" si="10"/>
        <v>1.0110283804400828</v>
      </c>
      <c r="G113" s="15">
        <f t="shared" ca="1" si="11"/>
        <v>1.0349645238714915</v>
      </c>
      <c r="H113" s="15">
        <f t="shared" ca="1" si="12"/>
        <v>0.9870922370086741</v>
      </c>
      <c r="I113" s="16">
        <f t="shared" ca="1" si="13"/>
        <v>2.3936143431408662E-2</v>
      </c>
    </row>
    <row r="114" spans="1:9" x14ac:dyDescent="0.3">
      <c r="A114" s="3">
        <v>41498</v>
      </c>
      <c r="B114" s="9">
        <v>14.442904</v>
      </c>
      <c r="C114" s="9">
        <v>14.470078000000001</v>
      </c>
      <c r="E114" s="14">
        <f t="shared" si="9"/>
        <v>0.99812205573459933</v>
      </c>
      <c r="F114" s="15">
        <f t="shared" ca="1" si="10"/>
        <v>1.0096128259195774</v>
      </c>
      <c r="G114" s="15">
        <f t="shared" ca="1" si="11"/>
        <v>1.0330085636149924</v>
      </c>
      <c r="H114" s="15">
        <f t="shared" ca="1" si="12"/>
        <v>0.98621708822416243</v>
      </c>
      <c r="I114" s="16">
        <f t="shared" ca="1" si="13"/>
        <v>2.3395737695414923E-2</v>
      </c>
    </row>
    <row r="115" spans="1:9" x14ac:dyDescent="0.3">
      <c r="A115" s="3">
        <v>41499</v>
      </c>
      <c r="B115" s="9">
        <v>14.242794</v>
      </c>
      <c r="C115" s="9">
        <v>14.470078000000001</v>
      </c>
      <c r="E115" s="14">
        <f t="shared" si="9"/>
        <v>0.98429282827639208</v>
      </c>
      <c r="F115" s="15">
        <f t="shared" ca="1" si="10"/>
        <v>1.0076556238777541</v>
      </c>
      <c r="G115" s="15">
        <f t="shared" ca="1" si="11"/>
        <v>1.0306278551511208</v>
      </c>
      <c r="H115" s="15">
        <f t="shared" ca="1" si="12"/>
        <v>0.98468339260438742</v>
      </c>
      <c r="I115" s="16">
        <f t="shared" ca="1" si="13"/>
        <v>2.2972231273366683E-2</v>
      </c>
    </row>
    <row r="116" spans="1:9" x14ac:dyDescent="0.3">
      <c r="A116" s="3">
        <v>41500</v>
      </c>
      <c r="B116" s="9">
        <v>14.747423</v>
      </c>
      <c r="C116" s="9">
        <v>14.725861</v>
      </c>
      <c r="E116" s="14">
        <f t="shared" si="9"/>
        <v>1.0014642267776397</v>
      </c>
      <c r="F116" s="15">
        <f t="shared" ca="1" si="10"/>
        <v>1.006483734608419</v>
      </c>
      <c r="G116" s="15">
        <f t="shared" ca="1" si="11"/>
        <v>1.0288368465858957</v>
      </c>
      <c r="H116" s="15">
        <f t="shared" ca="1" si="12"/>
        <v>0.9841306226309422</v>
      </c>
      <c r="I116" s="16">
        <f t="shared" ca="1" si="13"/>
        <v>2.2353111977476796E-2</v>
      </c>
    </row>
    <row r="117" spans="1:9" x14ac:dyDescent="0.3">
      <c r="A117" s="3">
        <v>41501</v>
      </c>
      <c r="B117" s="9">
        <v>15.513070000000001</v>
      </c>
      <c r="C117" s="9">
        <v>15.593698</v>
      </c>
      <c r="E117" s="14">
        <f t="shared" si="9"/>
        <v>0.99482944969179221</v>
      </c>
      <c r="F117" s="15">
        <f t="shared" ca="1" si="10"/>
        <v>1.004663067268424</v>
      </c>
      <c r="G117" s="15">
        <f t="shared" ca="1" si="11"/>
        <v>1.0256234835444513</v>
      </c>
      <c r="H117" s="15">
        <f t="shared" ca="1" si="12"/>
        <v>0.98370265099239673</v>
      </c>
      <c r="I117" s="16">
        <f t="shared" ca="1" si="13"/>
        <v>2.0960416276027249E-2</v>
      </c>
    </row>
    <row r="118" spans="1:9" x14ac:dyDescent="0.3">
      <c r="A118" s="3">
        <v>41502</v>
      </c>
      <c r="B118" s="9">
        <v>15.469571</v>
      </c>
      <c r="C118" s="9">
        <v>15.703321000000001</v>
      </c>
      <c r="E118" s="14">
        <f t="shared" si="9"/>
        <v>0.9851146136540162</v>
      </c>
      <c r="F118" s="15">
        <f t="shared" ca="1" si="10"/>
        <v>1.0027239605777336</v>
      </c>
      <c r="G118" s="15">
        <f t="shared" ca="1" si="11"/>
        <v>1.0226886280521181</v>
      </c>
      <c r="H118" s="15">
        <f t="shared" ca="1" si="12"/>
        <v>0.98275929310334897</v>
      </c>
      <c r="I118" s="16">
        <f t="shared" ca="1" si="13"/>
        <v>1.9964667474384617E-2</v>
      </c>
    </row>
    <row r="119" spans="1:9" x14ac:dyDescent="0.3">
      <c r="A119" s="3">
        <v>41505</v>
      </c>
      <c r="B119" s="9">
        <v>15.513070000000001</v>
      </c>
      <c r="C119" s="9">
        <v>15.465807</v>
      </c>
      <c r="E119" s="14">
        <f t="shared" si="9"/>
        <v>1.0030559672702499</v>
      </c>
      <c r="F119" s="15">
        <f t="shared" ca="1" si="10"/>
        <v>1.0010001978735077</v>
      </c>
      <c r="G119" s="15">
        <f t="shared" ca="1" si="11"/>
        <v>1.0184739282187907</v>
      </c>
      <c r="H119" s="15">
        <f t="shared" ca="1" si="12"/>
        <v>0.9835264675282247</v>
      </c>
      <c r="I119" s="16">
        <f t="shared" ca="1" si="13"/>
        <v>1.7473730345282948E-2</v>
      </c>
    </row>
    <row r="120" spans="1:9" x14ac:dyDescent="0.3">
      <c r="A120" s="3">
        <v>41506</v>
      </c>
      <c r="B120" s="9">
        <v>14.904032000000001</v>
      </c>
      <c r="C120" s="9">
        <v>14.908564999999999</v>
      </c>
      <c r="E120" s="14">
        <f t="shared" si="9"/>
        <v>0.99969594659177474</v>
      </c>
      <c r="F120" s="15">
        <f t="shared" ca="1" si="10"/>
        <v>0.99933349815625616</v>
      </c>
      <c r="G120" s="15">
        <f t="shared" ca="1" si="11"/>
        <v>1.0142855654478569</v>
      </c>
      <c r="H120" s="15">
        <f t="shared" ca="1" si="12"/>
        <v>0.98438143086465557</v>
      </c>
      <c r="I120" s="16">
        <f t="shared" ca="1" si="13"/>
        <v>1.4952067291600639E-2</v>
      </c>
    </row>
    <row r="121" spans="1:9" x14ac:dyDescent="0.3">
      <c r="A121" s="3">
        <v>41507</v>
      </c>
      <c r="B121" s="9">
        <v>15.086743999999999</v>
      </c>
      <c r="C121" s="9">
        <v>15.082131</v>
      </c>
      <c r="E121" s="14">
        <f t="shared" si="9"/>
        <v>1.0003058586349634</v>
      </c>
      <c r="F121" s="15">
        <f t="shared" ca="1" si="10"/>
        <v>0.99759374016598756</v>
      </c>
      <c r="G121" s="15">
        <f t="shared" ca="1" si="11"/>
        <v>1.0088343575272478</v>
      </c>
      <c r="H121" s="15">
        <f t="shared" ca="1" si="12"/>
        <v>0.9863531228047272</v>
      </c>
      <c r="I121" s="16">
        <f t="shared" ca="1" si="13"/>
        <v>1.1240617361260329E-2</v>
      </c>
    </row>
    <row r="122" spans="1:9" x14ac:dyDescent="0.3">
      <c r="A122" s="3">
        <v>41508</v>
      </c>
      <c r="B122" s="9">
        <v>15.887195999999999</v>
      </c>
      <c r="C122" s="9">
        <v>15.886023</v>
      </c>
      <c r="E122" s="14">
        <f t="shared" si="9"/>
        <v>1.0000738384931207</v>
      </c>
      <c r="F122" s="15">
        <f t="shared" ca="1" si="10"/>
        <v>0.99719112080868066</v>
      </c>
      <c r="G122" s="15">
        <f t="shared" ca="1" si="11"/>
        <v>1.008114912948775</v>
      </c>
      <c r="H122" s="15">
        <f t="shared" ca="1" si="12"/>
        <v>0.98626732866858635</v>
      </c>
      <c r="I122" s="16">
        <f t="shared" ca="1" si="13"/>
        <v>1.0923792140094257E-2</v>
      </c>
    </row>
    <row r="123" spans="1:9" x14ac:dyDescent="0.3">
      <c r="A123" s="3">
        <v>41509</v>
      </c>
      <c r="B123" s="9">
        <v>16.139509</v>
      </c>
      <c r="C123" s="9">
        <v>15.986515000000001</v>
      </c>
      <c r="E123" s="14">
        <f t="shared" si="9"/>
        <v>1.009570190876498</v>
      </c>
      <c r="F123" s="15">
        <f t="shared" ca="1" si="10"/>
        <v>0.99717584193651576</v>
      </c>
      <c r="G123" s="15">
        <f t="shared" ca="1" si="11"/>
        <v>1.0080819742252716</v>
      </c>
      <c r="H123" s="15">
        <f t="shared" ca="1" si="12"/>
        <v>0.98626970964776006</v>
      </c>
      <c r="I123" s="16">
        <f t="shared" ca="1" si="13"/>
        <v>1.0906132288755721E-2</v>
      </c>
    </row>
    <row r="124" spans="1:9" x14ac:dyDescent="0.3">
      <c r="A124" s="3">
        <v>41512</v>
      </c>
      <c r="B124" s="9">
        <v>15.826293</v>
      </c>
      <c r="C124" s="9">
        <v>15.657645</v>
      </c>
      <c r="E124" s="14">
        <f t="shared" si="9"/>
        <v>1.0107709684310762</v>
      </c>
      <c r="F124" s="15">
        <f t="shared" ca="1" si="10"/>
        <v>0.9974837969142204</v>
      </c>
      <c r="G124" s="15">
        <f t="shared" ca="1" si="11"/>
        <v>1.0086362482562261</v>
      </c>
      <c r="H124" s="15">
        <f t="shared" ca="1" si="12"/>
        <v>0.9863313455722148</v>
      </c>
      <c r="I124" s="16">
        <f t="shared" ca="1" si="13"/>
        <v>1.1152451342005614E-2</v>
      </c>
    </row>
    <row r="125" spans="1:9" x14ac:dyDescent="0.3">
      <c r="A125" s="3">
        <v>41513</v>
      </c>
      <c r="B125" s="9">
        <v>15.182449999999999</v>
      </c>
      <c r="C125" s="9">
        <v>15.136941999999999</v>
      </c>
      <c r="E125" s="14">
        <f t="shared" si="9"/>
        <v>1.0030064196586075</v>
      </c>
      <c r="F125" s="15">
        <f t="shared" ca="1" si="10"/>
        <v>0.99751566637171929</v>
      </c>
      <c r="G125" s="15">
        <f t="shared" ca="1" si="11"/>
        <v>1.0086824784228605</v>
      </c>
      <c r="H125" s="15">
        <f t="shared" ca="1" si="12"/>
        <v>0.98634885432057806</v>
      </c>
      <c r="I125" s="16">
        <f t="shared" ca="1" si="13"/>
        <v>1.1166812051141247E-2</v>
      </c>
    </row>
    <row r="126" spans="1:9" x14ac:dyDescent="0.3">
      <c r="A126" s="3">
        <v>41514</v>
      </c>
      <c r="B126" s="9">
        <v>14.930135</v>
      </c>
      <c r="C126" s="9">
        <v>14.771535999999999</v>
      </c>
      <c r="E126" s="14">
        <f t="shared" si="9"/>
        <v>1.010736798123093</v>
      </c>
      <c r="F126" s="15">
        <f t="shared" ca="1" si="10"/>
        <v>0.997990945174005</v>
      </c>
      <c r="G126" s="15">
        <f t="shared" ca="1" si="11"/>
        <v>1.0094042072219849</v>
      </c>
      <c r="H126" s="15">
        <f t="shared" ca="1" si="12"/>
        <v>0.98657768312602523</v>
      </c>
      <c r="I126" s="16">
        <f t="shared" ca="1" si="13"/>
        <v>1.1413262047979787E-2</v>
      </c>
    </row>
    <row r="127" spans="1:9" x14ac:dyDescent="0.3">
      <c r="A127" s="3">
        <v>41515</v>
      </c>
      <c r="B127" s="9">
        <v>14.703920999999999</v>
      </c>
      <c r="C127" s="9">
        <v>14.588836000000001</v>
      </c>
      <c r="E127" s="14">
        <f t="shared" si="9"/>
        <v>1.0078885662982295</v>
      </c>
      <c r="F127" s="15">
        <f t="shared" ca="1" si="10"/>
        <v>0.99867449235543881</v>
      </c>
      <c r="G127" s="15">
        <f t="shared" ca="1" si="11"/>
        <v>1.0100459123808341</v>
      </c>
      <c r="H127" s="15">
        <f t="shared" ca="1" si="12"/>
        <v>0.98730307233004366</v>
      </c>
      <c r="I127" s="16">
        <f t="shared" ca="1" si="13"/>
        <v>1.1371420025395188E-2</v>
      </c>
    </row>
    <row r="128" spans="1:9" x14ac:dyDescent="0.3">
      <c r="A128" s="3">
        <v>41516</v>
      </c>
      <c r="B128" s="9">
        <v>14.782227000000001</v>
      </c>
      <c r="C128" s="9">
        <v>14.661915</v>
      </c>
      <c r="E128" s="14">
        <f t="shared" si="9"/>
        <v>1.0082057493853975</v>
      </c>
      <c r="F128" s="15">
        <f t="shared" ca="1" si="10"/>
        <v>0.99967691272246362</v>
      </c>
      <c r="G128" s="15">
        <f t="shared" ca="1" si="11"/>
        <v>1.010505929361813</v>
      </c>
      <c r="H128" s="15">
        <f t="shared" ca="1" si="12"/>
        <v>0.9888478960831143</v>
      </c>
      <c r="I128" s="16">
        <f t="shared" ca="1" si="13"/>
        <v>1.0829016639349367E-2</v>
      </c>
    </row>
    <row r="129" spans="1:9" x14ac:dyDescent="0.3">
      <c r="A129" s="3">
        <v>41519</v>
      </c>
      <c r="B129" s="9">
        <v>14.703920999999999</v>
      </c>
      <c r="C129" s="9">
        <v>14.753266</v>
      </c>
      <c r="E129" s="14">
        <f t="shared" si="9"/>
        <v>0.99665531686339826</v>
      </c>
      <c r="F129" s="15">
        <f t="shared" ca="1" si="10"/>
        <v>1.0001465860248322</v>
      </c>
      <c r="G129" s="15">
        <f t="shared" ca="1" si="11"/>
        <v>1.0105191889876624</v>
      </c>
      <c r="H129" s="15">
        <f t="shared" ca="1" si="12"/>
        <v>0.98977398306200204</v>
      </c>
      <c r="I129" s="16">
        <f t="shared" ca="1" si="13"/>
        <v>1.0372602962830163E-2</v>
      </c>
    </row>
    <row r="130" spans="1:9" x14ac:dyDescent="0.3">
      <c r="A130" s="3">
        <v>41520</v>
      </c>
      <c r="B130" s="9">
        <v>14.599513</v>
      </c>
      <c r="C130" s="9">
        <v>14.524889</v>
      </c>
      <c r="E130" s="14">
        <f t="shared" si="9"/>
        <v>1.0051376640468646</v>
      </c>
      <c r="F130" s="15">
        <f t="shared" ca="1" si="10"/>
        <v>1.0012923835962964</v>
      </c>
      <c r="G130" s="15">
        <f t="shared" ca="1" si="11"/>
        <v>1.010142807770301</v>
      </c>
      <c r="H130" s="15">
        <f t="shared" ca="1" si="12"/>
        <v>0.99244195942229174</v>
      </c>
      <c r="I130" s="16">
        <f t="shared" ca="1" si="13"/>
        <v>8.8504241740045581E-3</v>
      </c>
    </row>
    <row r="131" spans="1:9" x14ac:dyDescent="0.3">
      <c r="A131" s="3">
        <v>41521</v>
      </c>
      <c r="B131" s="9">
        <v>14.660416</v>
      </c>
      <c r="C131" s="9">
        <v>14.762403000000001</v>
      </c>
      <c r="E131" s="14">
        <f t="shared" ref="E131:E194" si="14">IF(ISNUMBER(B131),B131/C131,"")</f>
        <v>0.99309143640097064</v>
      </c>
      <c r="F131" s="15">
        <f t="shared" ca="1" si="10"/>
        <v>1.0017925820023881</v>
      </c>
      <c r="G131" s="15">
        <f t="shared" ca="1" si="11"/>
        <v>1.0096900280971435</v>
      </c>
      <c r="H131" s="15">
        <f t="shared" ca="1" si="12"/>
        <v>0.99389513590763268</v>
      </c>
      <c r="I131" s="16">
        <f t="shared" ca="1" si="13"/>
        <v>7.8974460947553882E-3</v>
      </c>
    </row>
    <row r="132" spans="1:9" x14ac:dyDescent="0.3">
      <c r="A132" s="3">
        <v>41522</v>
      </c>
      <c r="B132" s="9">
        <v>15.260755</v>
      </c>
      <c r="C132" s="9">
        <v>15.246567000000001</v>
      </c>
      <c r="E132" s="14">
        <f t="shared" si="14"/>
        <v>1.000930570140806</v>
      </c>
      <c r="F132" s="15">
        <f t="shared" ca="1" si="10"/>
        <v>1.0022162106673893</v>
      </c>
      <c r="G132" s="15">
        <f t="shared" ca="1" si="11"/>
        <v>1.0097046023726326</v>
      </c>
      <c r="H132" s="15">
        <f t="shared" ca="1" si="12"/>
        <v>0.99472781896214602</v>
      </c>
      <c r="I132" s="16">
        <f t="shared" ca="1" si="13"/>
        <v>7.4883917052432566E-3</v>
      </c>
    </row>
    <row r="133" spans="1:9" x14ac:dyDescent="0.3">
      <c r="A133" s="3">
        <v>41523</v>
      </c>
      <c r="B133" s="9">
        <v>15.452168</v>
      </c>
      <c r="C133" s="9">
        <v>15.392728</v>
      </c>
      <c r="E133" s="14">
        <f t="shared" si="14"/>
        <v>1.0038615637202191</v>
      </c>
      <c r="F133" s="15">
        <f t="shared" ca="1" si="10"/>
        <v>1.0027375391183713</v>
      </c>
      <c r="G133" s="15">
        <f t="shared" ca="1" si="11"/>
        <v>1.0097636522031401</v>
      </c>
      <c r="H133" s="15">
        <f t="shared" ca="1" si="12"/>
        <v>0.99571142603360241</v>
      </c>
      <c r="I133" s="16">
        <f t="shared" ca="1" si="13"/>
        <v>7.0261130847688227E-3</v>
      </c>
    </row>
    <row r="134" spans="1:9" x14ac:dyDescent="0.3">
      <c r="A134" s="3">
        <v>41526</v>
      </c>
      <c r="B134" s="9">
        <v>15.808890999999999</v>
      </c>
      <c r="C134" s="9">
        <v>15.803806</v>
      </c>
      <c r="E134" s="14">
        <f t="shared" si="14"/>
        <v>1.0003217579360313</v>
      </c>
      <c r="F134" s="15">
        <f t="shared" ca="1" si="10"/>
        <v>1.0027347280323469</v>
      </c>
      <c r="G134" s="15">
        <f t="shared" ca="1" si="11"/>
        <v>1.0097617901531093</v>
      </c>
      <c r="H134" s="15">
        <f t="shared" ca="1" si="12"/>
        <v>0.99570766591158444</v>
      </c>
      <c r="I134" s="16">
        <f t="shared" ca="1" si="13"/>
        <v>7.0270621207624258E-3</v>
      </c>
    </row>
    <row r="135" spans="1:9" x14ac:dyDescent="0.3">
      <c r="A135" s="3">
        <v>41527</v>
      </c>
      <c r="B135" s="9">
        <v>15.956802</v>
      </c>
      <c r="C135" s="9">
        <v>15.986515000000001</v>
      </c>
      <c r="E135" s="14">
        <f t="shared" si="14"/>
        <v>0.99814137102426637</v>
      </c>
      <c r="F135" s="15">
        <f t="shared" ca="1" si="10"/>
        <v>1.0022705479972387</v>
      </c>
      <c r="G135" s="15">
        <f t="shared" ca="1" si="11"/>
        <v>1.00912361556066</v>
      </c>
      <c r="H135" s="15">
        <f t="shared" ca="1" si="12"/>
        <v>0.99541748043381739</v>
      </c>
      <c r="I135" s="16">
        <f t="shared" ca="1" si="13"/>
        <v>6.8530675634213287E-3</v>
      </c>
    </row>
    <row r="136" spans="1:9" x14ac:dyDescent="0.3">
      <c r="A136" s="3">
        <v>41528</v>
      </c>
      <c r="B136" s="9">
        <v>15.878494999999999</v>
      </c>
      <c r="C136" s="9">
        <v>15.959104</v>
      </c>
      <c r="E136" s="14">
        <f t="shared" si="14"/>
        <v>0.99494902721355782</v>
      </c>
      <c r="F136" s="15">
        <f t="shared" ca="1" si="10"/>
        <v>1.0018095862023324</v>
      </c>
      <c r="G136" s="15">
        <f t="shared" ca="1" si="11"/>
        <v>1.0086745231055632</v>
      </c>
      <c r="H136" s="15">
        <f t="shared" ca="1" si="12"/>
        <v>0.99494464929910154</v>
      </c>
      <c r="I136" s="16">
        <f t="shared" ca="1" si="13"/>
        <v>6.864936903230842E-3</v>
      </c>
    </row>
    <row r="137" spans="1:9" x14ac:dyDescent="0.3">
      <c r="A137" s="3">
        <v>41529</v>
      </c>
      <c r="B137" s="9">
        <v>15.530473000000001</v>
      </c>
      <c r="C137" s="9">
        <v>15.401863000000001</v>
      </c>
      <c r="E137" s="14">
        <f t="shared" si="14"/>
        <v>1.0083502885332767</v>
      </c>
      <c r="F137" s="15">
        <f t="shared" ca="1" si="10"/>
        <v>1.0020173714847298</v>
      </c>
      <c r="G137" s="15">
        <f t="shared" ca="1" si="11"/>
        <v>1.0089820728865242</v>
      </c>
      <c r="H137" s="15">
        <f t="shared" ca="1" si="12"/>
        <v>0.99505267008293552</v>
      </c>
      <c r="I137" s="16">
        <f t="shared" ca="1" si="13"/>
        <v>6.964701401794309E-3</v>
      </c>
    </row>
    <row r="138" spans="1:9" x14ac:dyDescent="0.3">
      <c r="A138" s="3">
        <v>41530</v>
      </c>
      <c r="B138" s="9">
        <v>15.774087</v>
      </c>
      <c r="C138" s="9">
        <v>15.685053999999999</v>
      </c>
      <c r="E138" s="14">
        <f t="shared" si="14"/>
        <v>1.0056762954083551</v>
      </c>
      <c r="F138" s="15">
        <f t="shared" ca="1" si="10"/>
        <v>1.0021852010040395</v>
      </c>
      <c r="G138" s="15">
        <f t="shared" ca="1" si="11"/>
        <v>1.0091753402965455</v>
      </c>
      <c r="H138" s="15">
        <f t="shared" ca="1" si="12"/>
        <v>0.99519506171153338</v>
      </c>
      <c r="I138" s="16">
        <f t="shared" ca="1" si="13"/>
        <v>6.9901392925061255E-3</v>
      </c>
    </row>
    <row r="139" spans="1:9" x14ac:dyDescent="0.3">
      <c r="A139" s="3">
        <v>41533</v>
      </c>
      <c r="B139" s="9">
        <v>16.052506999999999</v>
      </c>
      <c r="C139" s="9">
        <v>15.931701</v>
      </c>
      <c r="E139" s="14">
        <f t="shared" si="14"/>
        <v>1.0075827433618041</v>
      </c>
      <c r="F139" s="15">
        <f t="shared" ca="1" si="10"/>
        <v>1.0022734529370936</v>
      </c>
      <c r="G139" s="15">
        <f t="shared" ca="1" si="11"/>
        <v>1.0093142834213438</v>
      </c>
      <c r="H139" s="15">
        <f t="shared" ca="1" si="12"/>
        <v>0.99523262245284339</v>
      </c>
      <c r="I139" s="16">
        <f t="shared" ca="1" si="13"/>
        <v>7.0408304842501466E-3</v>
      </c>
    </row>
    <row r="140" spans="1:9" x14ac:dyDescent="0.3">
      <c r="A140" s="3">
        <v>41534</v>
      </c>
      <c r="B140" s="9">
        <v>16.122112000000001</v>
      </c>
      <c r="C140" s="9">
        <v>16.077864000000002</v>
      </c>
      <c r="E140" s="14">
        <f t="shared" si="14"/>
        <v>1.0027521068719079</v>
      </c>
      <c r="F140" s="15">
        <f t="shared" ca="1" si="10"/>
        <v>1.0019836300551652</v>
      </c>
      <c r="G140" s="15">
        <f t="shared" ca="1" si="11"/>
        <v>1.0088167792407683</v>
      </c>
      <c r="H140" s="15">
        <f t="shared" ca="1" si="12"/>
        <v>0.99515048086956226</v>
      </c>
      <c r="I140" s="16">
        <f t="shared" ca="1" si="13"/>
        <v>6.8331491856029897E-3</v>
      </c>
    </row>
    <row r="141" spans="1:9" x14ac:dyDescent="0.3">
      <c r="A141" s="3">
        <v>41535</v>
      </c>
      <c r="B141" s="9">
        <v>16.444029</v>
      </c>
      <c r="C141" s="9">
        <v>16.306242000000001</v>
      </c>
      <c r="E141" s="14">
        <f t="shared" si="14"/>
        <v>1.0084499543181071</v>
      </c>
      <c r="F141" s="15">
        <f t="shared" ca="1" si="10"/>
        <v>1.0019239006578373</v>
      </c>
      <c r="G141" s="15">
        <f t="shared" ca="1" si="11"/>
        <v>1.0086921258951016</v>
      </c>
      <c r="H141" s="15">
        <f t="shared" ca="1" si="12"/>
        <v>0.99515567542057293</v>
      </c>
      <c r="I141" s="16">
        <f t="shared" ca="1" si="13"/>
        <v>6.7682252372643819E-3</v>
      </c>
    </row>
    <row r="142" spans="1:9" x14ac:dyDescent="0.3">
      <c r="A142" s="3">
        <v>41536</v>
      </c>
      <c r="B142" s="9">
        <v>16.670244</v>
      </c>
      <c r="C142" s="9">
        <v>16.397594000000002</v>
      </c>
      <c r="E142" s="14">
        <f t="shared" si="14"/>
        <v>1.0166274393670192</v>
      </c>
      <c r="F142" s="15">
        <f t="shared" ca="1" si="10"/>
        <v>1.0023772162655349</v>
      </c>
      <c r="G142" s="15">
        <f t="shared" ca="1" si="11"/>
        <v>1.009641458399936</v>
      </c>
      <c r="H142" s="15">
        <f t="shared" ca="1" si="12"/>
        <v>0.99511297413113375</v>
      </c>
      <c r="I142" s="16">
        <f t="shared" ca="1" si="13"/>
        <v>7.2642421344011427E-3</v>
      </c>
    </row>
    <row r="143" spans="1:9" x14ac:dyDescent="0.3">
      <c r="A143" s="3">
        <v>41537</v>
      </c>
      <c r="B143" s="9">
        <v>16.478832000000001</v>
      </c>
      <c r="C143" s="9">
        <v>16.187483</v>
      </c>
      <c r="E143" s="14">
        <f t="shared" si="14"/>
        <v>1.0179984127242019</v>
      </c>
      <c r="F143" s="15">
        <f t="shared" ca="1" si="10"/>
        <v>1.002588647527608</v>
      </c>
      <c r="G143" s="15">
        <f t="shared" ca="1" si="11"/>
        <v>1.0102037006341771</v>
      </c>
      <c r="H143" s="15">
        <f t="shared" ca="1" si="12"/>
        <v>0.99497359442103883</v>
      </c>
      <c r="I143" s="16">
        <f t="shared" ca="1" si="13"/>
        <v>7.6150531065691304E-3</v>
      </c>
    </row>
    <row r="144" spans="1:9" x14ac:dyDescent="0.3">
      <c r="A144" s="3">
        <v>41540</v>
      </c>
      <c r="B144" s="9">
        <v>16.661539000000001</v>
      </c>
      <c r="C144" s="9">
        <v>16.096136000000001</v>
      </c>
      <c r="E144" s="14">
        <f t="shared" si="14"/>
        <v>1.0351266291487597</v>
      </c>
      <c r="F144" s="15">
        <f t="shared" ca="1" si="10"/>
        <v>1.0038221333080799</v>
      </c>
      <c r="G144" s="15">
        <f t="shared" ca="1" si="11"/>
        <v>1.0133664094375903</v>
      </c>
      <c r="H144" s="15">
        <f t="shared" ca="1" si="12"/>
        <v>0.99427785717856942</v>
      </c>
      <c r="I144" s="16">
        <f t="shared" ca="1" si="13"/>
        <v>9.5442761295104536E-3</v>
      </c>
    </row>
    <row r="145" spans="1:9" x14ac:dyDescent="0.3">
      <c r="A145" s="3">
        <v>41541</v>
      </c>
      <c r="B145" s="9">
        <v>16.330925000000001</v>
      </c>
      <c r="C145" s="9">
        <v>15.895161999999999</v>
      </c>
      <c r="E145" s="14">
        <f t="shared" si="14"/>
        <v>1.0274148196790949</v>
      </c>
      <c r="F145" s="15">
        <f t="shared" ref="F145:F208" ca="1" si="15">IF(ISNUMBER(E145),IF(ROW(E145)&gt;$K$1,AVERAGE(OFFSET(E145,0,0,-$K$1)),""),"")</f>
        <v>1.0052595330215033</v>
      </c>
      <c r="G145" s="15">
        <f t="shared" ref="G145:G208" ca="1" si="16">IF(ISNUMBER(I145),F145+I145*$M$1,"")</f>
        <v>1.014999542881502</v>
      </c>
      <c r="H145" s="15">
        <f t="shared" ref="H145:H208" ca="1" si="17">IF(ISNUMBER(I145),F145-I145*$M$1,"")</f>
        <v>0.9955195231615046</v>
      </c>
      <c r="I145" s="16">
        <f t="shared" ref="I145:I208" ca="1" si="18">IF(ISNUMBER(E145),IF(ROW(E145)&gt;$K$1,_xlfn.STDEV.P(OFFSET(E145,0,0,-$K$1)),""),"")</f>
        <v>9.7400098599987224E-3</v>
      </c>
    </row>
    <row r="146" spans="1:9" x14ac:dyDescent="0.3">
      <c r="A146" s="3">
        <v>41542</v>
      </c>
      <c r="B146" s="9">
        <v>16.357025</v>
      </c>
      <c r="C146" s="9">
        <v>15.867756999999999</v>
      </c>
      <c r="E146" s="14">
        <f t="shared" si="14"/>
        <v>1.0308340996147094</v>
      </c>
      <c r="F146" s="15">
        <f t="shared" ca="1" si="15"/>
        <v>1.0062385287827389</v>
      </c>
      <c r="G146" s="15">
        <f t="shared" ca="1" si="16"/>
        <v>1.0169731066941992</v>
      </c>
      <c r="H146" s="15">
        <f t="shared" ca="1" si="17"/>
        <v>0.99550395087127874</v>
      </c>
      <c r="I146" s="16">
        <f t="shared" ca="1" si="18"/>
        <v>1.0734577911460192E-2</v>
      </c>
    </row>
    <row r="147" spans="1:9" x14ac:dyDescent="0.3">
      <c r="A147" s="3">
        <v>41543</v>
      </c>
      <c r="B147" s="9">
        <v>16.174310999999999</v>
      </c>
      <c r="C147" s="9">
        <v>15.904298000000001</v>
      </c>
      <c r="E147" s="14">
        <f t="shared" si="14"/>
        <v>1.0169773604594179</v>
      </c>
      <c r="F147" s="15">
        <f t="shared" ca="1" si="15"/>
        <v>1.0069767924749931</v>
      </c>
      <c r="G147" s="15">
        <f t="shared" ca="1" si="16"/>
        <v>1.0176628258984448</v>
      </c>
      <c r="H147" s="15">
        <f t="shared" ca="1" si="17"/>
        <v>0.9962907590515413</v>
      </c>
      <c r="I147" s="16">
        <f t="shared" ca="1" si="18"/>
        <v>1.068603342345171E-2</v>
      </c>
    </row>
    <row r="148" spans="1:9" x14ac:dyDescent="0.3">
      <c r="A148" s="3">
        <v>41544</v>
      </c>
      <c r="B148" s="9">
        <v>16.078607999999999</v>
      </c>
      <c r="C148" s="9">
        <v>15.831213999999999</v>
      </c>
      <c r="E148" s="14">
        <f t="shared" si="14"/>
        <v>1.0156269759223771</v>
      </c>
      <c r="F148" s="15">
        <f t="shared" ca="1" si="15"/>
        <v>1.0079938712172718</v>
      </c>
      <c r="G148" s="15">
        <f t="shared" ca="1" si="16"/>
        <v>1.0179798224249217</v>
      </c>
      <c r="H148" s="15">
        <f t="shared" ca="1" si="17"/>
        <v>0.9980079200096218</v>
      </c>
      <c r="I148" s="16">
        <f t="shared" ca="1" si="18"/>
        <v>9.9859512076499717E-3</v>
      </c>
    </row>
    <row r="149" spans="1:9" x14ac:dyDescent="0.3">
      <c r="A149" s="3">
        <v>41547</v>
      </c>
      <c r="B149" s="9">
        <v>15.974202</v>
      </c>
      <c r="C149" s="9">
        <v>15.493214999999999</v>
      </c>
      <c r="E149" s="14">
        <f t="shared" si="14"/>
        <v>1.0310450090571905</v>
      </c>
      <c r="F149" s="15">
        <f t="shared" ca="1" si="15"/>
        <v>1.0089268392768365</v>
      </c>
      <c r="G149" s="15">
        <f t="shared" ca="1" si="16"/>
        <v>1.0196854572549456</v>
      </c>
      <c r="H149" s="15">
        <f t="shared" ca="1" si="17"/>
        <v>0.99816822129872718</v>
      </c>
      <c r="I149" s="16">
        <f t="shared" ca="1" si="18"/>
        <v>1.0758617978109236E-2</v>
      </c>
    </row>
    <row r="150" spans="1:9" x14ac:dyDescent="0.3">
      <c r="A150" s="3">
        <v>41548</v>
      </c>
      <c r="B150" s="9">
        <v>16.235218</v>
      </c>
      <c r="C150" s="9">
        <v>15.840351</v>
      </c>
      <c r="E150" s="14">
        <f t="shared" si="14"/>
        <v>1.0249279198421803</v>
      </c>
      <c r="F150" s="15">
        <f t="shared" ca="1" si="15"/>
        <v>1.00976790505185</v>
      </c>
      <c r="G150" s="15">
        <f t="shared" ca="1" si="16"/>
        <v>1.0207558367260785</v>
      </c>
      <c r="H150" s="15">
        <f t="shared" ca="1" si="17"/>
        <v>0.99877997337762159</v>
      </c>
      <c r="I150" s="16">
        <f t="shared" ca="1" si="18"/>
        <v>1.0987931674228443E-2</v>
      </c>
    </row>
    <row r="151" spans="1:9" x14ac:dyDescent="0.3">
      <c r="A151" s="3">
        <v>41549</v>
      </c>
      <c r="B151" s="9">
        <v>16.339628000000001</v>
      </c>
      <c r="C151" s="9">
        <v>15.785542</v>
      </c>
      <c r="E151" s="14">
        <f t="shared" si="14"/>
        <v>1.0351008536799053</v>
      </c>
      <c r="F151" s="15">
        <f t="shared" ca="1" si="15"/>
        <v>1.0109277382200148</v>
      </c>
      <c r="G151" s="15">
        <f t="shared" ca="1" si="16"/>
        <v>1.0226664361159805</v>
      </c>
      <c r="H151" s="15">
        <f t="shared" ca="1" si="17"/>
        <v>0.99918904032404909</v>
      </c>
      <c r="I151" s="16">
        <f t="shared" ca="1" si="18"/>
        <v>1.1738697895965719E-2</v>
      </c>
    </row>
    <row r="152" spans="1:9" x14ac:dyDescent="0.3">
      <c r="A152" s="3">
        <v>41550</v>
      </c>
      <c r="B152" s="9">
        <v>16.130811999999999</v>
      </c>
      <c r="C152" s="9">
        <v>15.685053999999999</v>
      </c>
      <c r="E152" s="14">
        <f t="shared" si="14"/>
        <v>1.0284192837334192</v>
      </c>
      <c r="F152" s="15">
        <f t="shared" ca="1" si="15"/>
        <v>1.0118725863946914</v>
      </c>
      <c r="G152" s="15">
        <f t="shared" ca="1" si="16"/>
        <v>1.0238381978594304</v>
      </c>
      <c r="H152" s="15">
        <f t="shared" ca="1" si="17"/>
        <v>0.99990697492995229</v>
      </c>
      <c r="I152" s="16">
        <f t="shared" ca="1" si="18"/>
        <v>1.1965611464739043E-2</v>
      </c>
    </row>
    <row r="153" spans="1:9" x14ac:dyDescent="0.3">
      <c r="A153" s="3">
        <v>41551</v>
      </c>
      <c r="B153" s="9">
        <v>16.243919000000002</v>
      </c>
      <c r="C153" s="9">
        <v>15.886023</v>
      </c>
      <c r="E153" s="14">
        <f t="shared" si="14"/>
        <v>1.0225289866444234</v>
      </c>
      <c r="F153" s="15">
        <f t="shared" ca="1" si="15"/>
        <v>1.012304546253622</v>
      </c>
      <c r="G153" s="15">
        <f t="shared" ca="1" si="16"/>
        <v>1.0244123067034621</v>
      </c>
      <c r="H153" s="15">
        <f t="shared" ca="1" si="17"/>
        <v>1.0001967858037819</v>
      </c>
      <c r="I153" s="16">
        <f t="shared" ca="1" si="18"/>
        <v>1.2107760449840006E-2</v>
      </c>
    </row>
    <row r="154" spans="1:9" x14ac:dyDescent="0.3">
      <c r="A154" s="3">
        <v>41554</v>
      </c>
      <c r="B154" s="9">
        <v>16.200420000000001</v>
      </c>
      <c r="C154" s="9">
        <v>15.803806</v>
      </c>
      <c r="E154" s="14">
        <f t="shared" si="14"/>
        <v>1.0250961065960946</v>
      </c>
      <c r="F154" s="15">
        <f t="shared" ca="1" si="15"/>
        <v>1.0127820508591228</v>
      </c>
      <c r="G154" s="15">
        <f t="shared" ca="1" si="16"/>
        <v>1.0251005568953411</v>
      </c>
      <c r="H154" s="15">
        <f t="shared" ca="1" si="17"/>
        <v>1.0004635448229044</v>
      </c>
      <c r="I154" s="16">
        <f t="shared" ca="1" si="18"/>
        <v>1.2318506036218266E-2</v>
      </c>
    </row>
    <row r="155" spans="1:9" x14ac:dyDescent="0.3">
      <c r="A155" s="3">
        <v>41555</v>
      </c>
      <c r="B155" s="9">
        <v>15.930697</v>
      </c>
      <c r="C155" s="9">
        <v>15.456674</v>
      </c>
      <c r="E155" s="14">
        <f t="shared" si="14"/>
        <v>1.0306678526052888</v>
      </c>
      <c r="F155" s="15">
        <f t="shared" ca="1" si="15"/>
        <v>1.0137040986240122</v>
      </c>
      <c r="G155" s="15">
        <f t="shared" ca="1" si="16"/>
        <v>1.0262887473480766</v>
      </c>
      <c r="H155" s="15">
        <f t="shared" ca="1" si="17"/>
        <v>1.0011194498999478</v>
      </c>
      <c r="I155" s="16">
        <f t="shared" ca="1" si="18"/>
        <v>1.2584648724064455E-2</v>
      </c>
    </row>
    <row r="156" spans="1:9" x14ac:dyDescent="0.3">
      <c r="A156" s="3">
        <v>41556</v>
      </c>
      <c r="B156" s="9">
        <v>15.721887000000001</v>
      </c>
      <c r="C156" s="9">
        <v>15.374454999999999</v>
      </c>
      <c r="E156" s="14">
        <f t="shared" si="14"/>
        <v>1.0225980042869813</v>
      </c>
      <c r="F156" s="15">
        <f t="shared" ca="1" si="15"/>
        <v>1.0140994721628087</v>
      </c>
      <c r="G156" s="15">
        <f t="shared" ca="1" si="16"/>
        <v>1.0267707107024655</v>
      </c>
      <c r="H156" s="15">
        <f t="shared" ca="1" si="17"/>
        <v>1.0014282336231519</v>
      </c>
      <c r="I156" s="16">
        <f t="shared" ca="1" si="18"/>
        <v>1.267123853965684E-2</v>
      </c>
    </row>
    <row r="157" spans="1:9" x14ac:dyDescent="0.3">
      <c r="A157" s="3">
        <v>41557</v>
      </c>
      <c r="B157" s="9">
        <v>15.791487</v>
      </c>
      <c r="C157" s="9">
        <v>15.548024</v>
      </c>
      <c r="E157" s="14">
        <f t="shared" si="14"/>
        <v>1.0156587743883081</v>
      </c>
      <c r="F157" s="15">
        <f t="shared" ca="1" si="15"/>
        <v>1.0143584790991444</v>
      </c>
      <c r="G157" s="15">
        <f t="shared" ca="1" si="16"/>
        <v>1.0269794300905797</v>
      </c>
      <c r="H157" s="15">
        <f t="shared" ca="1" si="17"/>
        <v>1.0017375281077092</v>
      </c>
      <c r="I157" s="16">
        <f t="shared" ca="1" si="18"/>
        <v>1.2620950991435136E-2</v>
      </c>
    </row>
    <row r="158" spans="1:9" x14ac:dyDescent="0.3">
      <c r="A158" s="3">
        <v>41558</v>
      </c>
      <c r="B158" s="9">
        <v>15.74799</v>
      </c>
      <c r="C158" s="9">
        <v>15.529755</v>
      </c>
      <c r="E158" s="14">
        <f t="shared" si="14"/>
        <v>1.0140527007670115</v>
      </c>
      <c r="F158" s="15">
        <f t="shared" ca="1" si="15"/>
        <v>1.0145533774785318</v>
      </c>
      <c r="G158" s="15">
        <f t="shared" ca="1" si="16"/>
        <v>1.0271228510474018</v>
      </c>
      <c r="H158" s="15">
        <f t="shared" ca="1" si="17"/>
        <v>1.0019839039096619</v>
      </c>
      <c r="I158" s="16">
        <f t="shared" ca="1" si="18"/>
        <v>1.2569473568869902E-2</v>
      </c>
    </row>
    <row r="159" spans="1:9" x14ac:dyDescent="0.3">
      <c r="A159" s="3">
        <v>41561</v>
      </c>
      <c r="B159" s="9">
        <v>15.895897</v>
      </c>
      <c r="C159" s="9">
        <v>15.593698</v>
      </c>
      <c r="E159" s="14">
        <f t="shared" si="14"/>
        <v>1.0193795596144033</v>
      </c>
      <c r="F159" s="15">
        <f t="shared" ca="1" si="15"/>
        <v>1.0153108522368983</v>
      </c>
      <c r="G159" s="15">
        <f t="shared" ca="1" si="16"/>
        <v>1.0274564802485113</v>
      </c>
      <c r="H159" s="15">
        <f t="shared" ca="1" si="17"/>
        <v>1.0031652242252853</v>
      </c>
      <c r="I159" s="16">
        <f t="shared" ca="1" si="18"/>
        <v>1.2145628011612935E-2</v>
      </c>
    </row>
    <row r="160" spans="1:9" x14ac:dyDescent="0.3">
      <c r="A160" s="3">
        <v>41562</v>
      </c>
      <c r="B160" s="9">
        <v>16.026402000000001</v>
      </c>
      <c r="C160" s="9">
        <v>15.666779999999999</v>
      </c>
      <c r="E160" s="14">
        <f t="shared" si="14"/>
        <v>1.0229544296913597</v>
      </c>
      <c r="F160" s="15">
        <f t="shared" ca="1" si="15"/>
        <v>1.0159047444250482</v>
      </c>
      <c r="G160" s="15">
        <f t="shared" ca="1" si="16"/>
        <v>1.0279737649242608</v>
      </c>
      <c r="H160" s="15">
        <f t="shared" ca="1" si="17"/>
        <v>1.0038357239258355</v>
      </c>
      <c r="I160" s="16">
        <f t="shared" ca="1" si="18"/>
        <v>1.206902049921264E-2</v>
      </c>
    </row>
    <row r="161" spans="1:9" x14ac:dyDescent="0.3">
      <c r="A161" s="3">
        <v>41563</v>
      </c>
      <c r="B161" s="9">
        <v>15.9655</v>
      </c>
      <c r="C161" s="9">
        <v>15.511483</v>
      </c>
      <c r="E161" s="14">
        <f t="shared" si="14"/>
        <v>1.0292697352019791</v>
      </c>
      <c r="F161" s="15">
        <f t="shared" ca="1" si="15"/>
        <v>1.0171106877184153</v>
      </c>
      <c r="G161" s="15">
        <f t="shared" ca="1" si="16"/>
        <v>1.0286351322501832</v>
      </c>
      <c r="H161" s="15">
        <f t="shared" ca="1" si="17"/>
        <v>1.0055862431866474</v>
      </c>
      <c r="I161" s="16">
        <f t="shared" ca="1" si="18"/>
        <v>1.1524444531768036E-2</v>
      </c>
    </row>
    <row r="162" spans="1:9" x14ac:dyDescent="0.3">
      <c r="A162" s="3">
        <v>41564</v>
      </c>
      <c r="B162" s="9">
        <v>15.843693999999999</v>
      </c>
      <c r="C162" s="9">
        <v>15.538888999999999</v>
      </c>
      <c r="E162" s="14">
        <f t="shared" si="14"/>
        <v>1.0196156237424696</v>
      </c>
      <c r="F162" s="15">
        <f t="shared" ca="1" si="15"/>
        <v>1.0177335228384707</v>
      </c>
      <c r="G162" s="15">
        <f t="shared" ca="1" si="16"/>
        <v>1.0288648980829918</v>
      </c>
      <c r="H162" s="15">
        <f t="shared" ca="1" si="17"/>
        <v>1.0066021475939497</v>
      </c>
      <c r="I162" s="16">
        <f t="shared" ca="1" si="18"/>
        <v>1.113137524452101E-2</v>
      </c>
    </row>
    <row r="163" spans="1:9" x14ac:dyDescent="0.3">
      <c r="A163" s="3">
        <v>41565</v>
      </c>
      <c r="B163" s="9">
        <v>15.608781</v>
      </c>
      <c r="C163" s="9">
        <v>15.401863000000001</v>
      </c>
      <c r="E163" s="14">
        <f t="shared" si="14"/>
        <v>1.0134346085275527</v>
      </c>
      <c r="F163" s="15">
        <f t="shared" ca="1" si="15"/>
        <v>1.0180526243320485</v>
      </c>
      <c r="G163" s="15">
        <f t="shared" ca="1" si="16"/>
        <v>1.0289157424949089</v>
      </c>
      <c r="H163" s="15">
        <f t="shared" ca="1" si="17"/>
        <v>1.007189506169188</v>
      </c>
      <c r="I163" s="16">
        <f t="shared" ca="1" si="18"/>
        <v>1.0863118162860546E-2</v>
      </c>
    </row>
    <row r="164" spans="1:9" x14ac:dyDescent="0.3">
      <c r="A164" s="3">
        <v>41568</v>
      </c>
      <c r="B164" s="9">
        <v>16.426629999999999</v>
      </c>
      <c r="C164" s="9">
        <v>16.160080000000001</v>
      </c>
      <c r="E164" s="14">
        <f t="shared" si="14"/>
        <v>1.0164943490378759</v>
      </c>
      <c r="F164" s="15">
        <f t="shared" ca="1" si="15"/>
        <v>1.0185917107021101</v>
      </c>
      <c r="G164" s="15">
        <f t="shared" ca="1" si="16"/>
        <v>1.0289511609158288</v>
      </c>
      <c r="H164" s="15">
        <f t="shared" ca="1" si="17"/>
        <v>1.0082322604883913</v>
      </c>
      <c r="I164" s="16">
        <f t="shared" ca="1" si="18"/>
        <v>1.0359450213718801E-2</v>
      </c>
    </row>
    <row r="165" spans="1:9" x14ac:dyDescent="0.3">
      <c r="A165" s="3">
        <v>41569</v>
      </c>
      <c r="B165" s="9">
        <v>16.139509</v>
      </c>
      <c r="C165" s="9">
        <v>15.895161999999999</v>
      </c>
      <c r="E165" s="14">
        <f t="shared" si="14"/>
        <v>1.0153724133167061</v>
      </c>
      <c r="F165" s="15">
        <f t="shared" ca="1" si="15"/>
        <v>1.0191660787785246</v>
      </c>
      <c r="G165" s="15">
        <f t="shared" ca="1" si="16"/>
        <v>1.028830095859111</v>
      </c>
      <c r="H165" s="15">
        <f t="shared" ca="1" si="17"/>
        <v>1.0095020616979382</v>
      </c>
      <c r="I165" s="16">
        <f t="shared" ca="1" si="18"/>
        <v>9.6640170805862968E-3</v>
      </c>
    </row>
    <row r="166" spans="1:9" x14ac:dyDescent="0.3">
      <c r="A166" s="3">
        <v>41570</v>
      </c>
      <c r="B166" s="9">
        <v>15.948098999999999</v>
      </c>
      <c r="C166" s="9">
        <v>15.611973000000001</v>
      </c>
      <c r="E166" s="14">
        <f t="shared" si="14"/>
        <v>1.0215300141756585</v>
      </c>
      <c r="F166" s="15">
        <f t="shared" ca="1" si="15"/>
        <v>1.0200521116772614</v>
      </c>
      <c r="G166" s="15">
        <f t="shared" ca="1" si="16"/>
        <v>1.0286104755379304</v>
      </c>
      <c r="H166" s="15">
        <f t="shared" ca="1" si="17"/>
        <v>1.0114937478165924</v>
      </c>
      <c r="I166" s="16">
        <f t="shared" ca="1" si="18"/>
        <v>8.5583638606690094E-3</v>
      </c>
    </row>
    <row r="167" spans="1:9" x14ac:dyDescent="0.3">
      <c r="A167" s="3">
        <v>41571</v>
      </c>
      <c r="B167" s="9">
        <v>15.869795</v>
      </c>
      <c r="C167" s="9">
        <v>15.584561000000001</v>
      </c>
      <c r="E167" s="14">
        <f t="shared" si="14"/>
        <v>1.0183023442238763</v>
      </c>
      <c r="F167" s="15">
        <f t="shared" ca="1" si="15"/>
        <v>1.0203838468669479</v>
      </c>
      <c r="G167" s="15">
        <f t="shared" ca="1" si="16"/>
        <v>1.0286707749936499</v>
      </c>
      <c r="H167" s="15">
        <f t="shared" ca="1" si="17"/>
        <v>1.012096918740246</v>
      </c>
      <c r="I167" s="16">
        <f t="shared" ca="1" si="18"/>
        <v>8.2869281267019135E-3</v>
      </c>
    </row>
    <row r="168" spans="1:9" x14ac:dyDescent="0.3">
      <c r="A168" s="3">
        <v>41572</v>
      </c>
      <c r="B168" s="9">
        <v>16.087305000000001</v>
      </c>
      <c r="C168" s="9">
        <v>15.803806</v>
      </c>
      <c r="E168" s="14">
        <f t="shared" si="14"/>
        <v>1.0179386535116921</v>
      </c>
      <c r="F168" s="15">
        <f t="shared" ca="1" si="15"/>
        <v>1.0207925921370591</v>
      </c>
      <c r="G168" s="15">
        <f t="shared" ca="1" si="16"/>
        <v>1.0286344670257066</v>
      </c>
      <c r="H168" s="15">
        <f t="shared" ca="1" si="17"/>
        <v>1.0129507172484116</v>
      </c>
      <c r="I168" s="16">
        <f t="shared" ca="1" si="18"/>
        <v>7.8418748886474442E-3</v>
      </c>
    </row>
    <row r="169" spans="1:9" x14ac:dyDescent="0.3">
      <c r="A169" s="3">
        <v>41575</v>
      </c>
      <c r="B169" s="9">
        <v>17.305384</v>
      </c>
      <c r="C169" s="9">
        <v>17.356783</v>
      </c>
      <c r="E169" s="14">
        <f t="shared" si="14"/>
        <v>0.9970386793451298</v>
      </c>
      <c r="F169" s="15">
        <f t="shared" ca="1" si="15"/>
        <v>1.0204411233365034</v>
      </c>
      <c r="G169" s="15">
        <f t="shared" ca="1" si="16"/>
        <v>1.0290645263998819</v>
      </c>
      <c r="H169" s="15">
        <f t="shared" ca="1" si="17"/>
        <v>1.0118177202731249</v>
      </c>
      <c r="I169" s="16">
        <f t="shared" ca="1" si="18"/>
        <v>8.6234030633784309E-3</v>
      </c>
    </row>
    <row r="170" spans="1:9" x14ac:dyDescent="0.3">
      <c r="A170" s="3">
        <v>41576</v>
      </c>
      <c r="B170" s="9">
        <v>17.140073999999998</v>
      </c>
      <c r="C170" s="9">
        <v>17.238028</v>
      </c>
      <c r="E170" s="14">
        <f t="shared" si="14"/>
        <v>0.99431756347071709</v>
      </c>
      <c r="F170" s="15">
        <f t="shared" ca="1" si="15"/>
        <v>1.0201599718897971</v>
      </c>
      <c r="G170" s="15">
        <f t="shared" ca="1" si="16"/>
        <v>1.0294659916338509</v>
      </c>
      <c r="H170" s="15">
        <f t="shared" ca="1" si="17"/>
        <v>1.0108539521457434</v>
      </c>
      <c r="I170" s="16">
        <f t="shared" ca="1" si="18"/>
        <v>9.306019744053793E-3</v>
      </c>
    </row>
    <row r="171" spans="1:9" x14ac:dyDescent="0.3">
      <c r="A171" s="3">
        <v>41577</v>
      </c>
      <c r="B171" s="9">
        <v>17.357586000000001</v>
      </c>
      <c r="C171" s="9">
        <v>17.320243999999999</v>
      </c>
      <c r="E171" s="14">
        <f t="shared" si="14"/>
        <v>1.0021559742460904</v>
      </c>
      <c r="F171" s="15">
        <f t="shared" ca="1" si="15"/>
        <v>1.0199501725540632</v>
      </c>
      <c r="G171" s="15">
        <f t="shared" ca="1" si="16"/>
        <v>1.0295830313389527</v>
      </c>
      <c r="H171" s="15">
        <f t="shared" ca="1" si="17"/>
        <v>1.0103173137691737</v>
      </c>
      <c r="I171" s="16">
        <f t="shared" ca="1" si="18"/>
        <v>9.6328587848894358E-3</v>
      </c>
    </row>
    <row r="172" spans="1:9" x14ac:dyDescent="0.3">
      <c r="A172" s="3">
        <v>41578</v>
      </c>
      <c r="B172" s="9">
        <v>17.653406</v>
      </c>
      <c r="C172" s="9">
        <v>17.850083999999999</v>
      </c>
      <c r="E172" s="14">
        <f t="shared" si="14"/>
        <v>0.98898167650079416</v>
      </c>
      <c r="F172" s="15">
        <f t="shared" ca="1" si="15"/>
        <v>1.019028647125189</v>
      </c>
      <c r="G172" s="15">
        <f t="shared" ca="1" si="16"/>
        <v>1.0301436369581067</v>
      </c>
      <c r="H172" s="15">
        <f t="shared" ca="1" si="17"/>
        <v>1.0079136572922713</v>
      </c>
      <c r="I172" s="16">
        <f t="shared" ca="1" si="18"/>
        <v>1.11149898329176E-2</v>
      </c>
    </row>
    <row r="173" spans="1:9" x14ac:dyDescent="0.3">
      <c r="A173" s="3">
        <v>41579</v>
      </c>
      <c r="B173" s="9">
        <v>17.279284000000001</v>
      </c>
      <c r="C173" s="9">
        <v>17.393325999999998</v>
      </c>
      <c r="E173" s="14">
        <f t="shared" si="14"/>
        <v>0.99344334717810745</v>
      </c>
      <c r="F173" s="15">
        <f t="shared" ca="1" si="15"/>
        <v>1.0182101449403194</v>
      </c>
      <c r="G173" s="15">
        <f t="shared" ca="1" si="16"/>
        <v>1.0302375272895505</v>
      </c>
      <c r="H173" s="15">
        <f t="shared" ca="1" si="17"/>
        <v>1.0061827625910882</v>
      </c>
      <c r="I173" s="16">
        <f t="shared" ca="1" si="18"/>
        <v>1.2027382349231135E-2</v>
      </c>
    </row>
    <row r="174" spans="1:9" x14ac:dyDescent="0.3">
      <c r="A174" s="3">
        <v>41582</v>
      </c>
      <c r="B174" s="9">
        <v>17.592500999999999</v>
      </c>
      <c r="C174" s="9">
        <v>17.813541000000001</v>
      </c>
      <c r="E174" s="14">
        <f t="shared" si="14"/>
        <v>0.98759146202318771</v>
      </c>
      <c r="F174" s="15">
        <f t="shared" ca="1" si="15"/>
        <v>1.0166256393694668</v>
      </c>
      <c r="G174" s="15">
        <f t="shared" ca="1" si="16"/>
        <v>1.0294263611638572</v>
      </c>
      <c r="H174" s="15">
        <f t="shared" ca="1" si="17"/>
        <v>1.0038249175750764</v>
      </c>
      <c r="I174" s="16">
        <f t="shared" ca="1" si="18"/>
        <v>1.280072179439041E-2</v>
      </c>
    </row>
    <row r="175" spans="1:9" x14ac:dyDescent="0.3">
      <c r="A175" s="3">
        <v>41583</v>
      </c>
      <c r="B175" s="9">
        <v>17.618607000000001</v>
      </c>
      <c r="C175" s="9">
        <v>17.722190999999999</v>
      </c>
      <c r="E175" s="14">
        <f t="shared" si="14"/>
        <v>0.9941551244989969</v>
      </c>
      <c r="F175" s="15">
        <f t="shared" ca="1" si="15"/>
        <v>1.0155169828634636</v>
      </c>
      <c r="G175" s="15">
        <f t="shared" ca="1" si="16"/>
        <v>1.02876764121574</v>
      </c>
      <c r="H175" s="15">
        <f t="shared" ca="1" si="17"/>
        <v>1.0022663245111871</v>
      </c>
      <c r="I175" s="16">
        <f t="shared" ca="1" si="18"/>
        <v>1.3250658352276548E-2</v>
      </c>
    </row>
    <row r="176" spans="1:9" x14ac:dyDescent="0.3">
      <c r="A176" s="3">
        <v>41584</v>
      </c>
      <c r="B176" s="9">
        <v>17.757812999999999</v>
      </c>
      <c r="C176" s="9">
        <v>17.904892</v>
      </c>
      <c r="E176" s="14">
        <f t="shared" si="14"/>
        <v>0.99178554106888772</v>
      </c>
      <c r="F176" s="15">
        <f t="shared" ca="1" si="15"/>
        <v>1.0142153642452696</v>
      </c>
      <c r="G176" s="15">
        <f t="shared" ca="1" si="16"/>
        <v>1.0278108773976835</v>
      </c>
      <c r="H176" s="15">
        <f t="shared" ca="1" si="17"/>
        <v>1.0006198510928557</v>
      </c>
      <c r="I176" s="16">
        <f t="shared" ca="1" si="18"/>
        <v>1.3595513152413977E-2</v>
      </c>
    </row>
    <row r="177" spans="1:9" x14ac:dyDescent="0.3">
      <c r="A177" s="3">
        <v>41585</v>
      </c>
      <c r="B177" s="9">
        <v>17.401088999999999</v>
      </c>
      <c r="C177" s="9">
        <v>17.493808999999999</v>
      </c>
      <c r="E177" s="14">
        <f t="shared" si="14"/>
        <v>0.99469983924027061</v>
      </c>
      <c r="F177" s="15">
        <f t="shared" ca="1" si="15"/>
        <v>1.0134727802046313</v>
      </c>
      <c r="G177" s="15">
        <f t="shared" ca="1" si="16"/>
        <v>1.0274987364973234</v>
      </c>
      <c r="H177" s="15">
        <f t="shared" ca="1" si="17"/>
        <v>0.99944682391193918</v>
      </c>
      <c r="I177" s="16">
        <f t="shared" ca="1" si="18"/>
        <v>1.402595629269212E-2</v>
      </c>
    </row>
    <row r="178" spans="1:9" x14ac:dyDescent="0.3">
      <c r="A178" s="3">
        <v>41586</v>
      </c>
      <c r="B178" s="9">
        <v>17.087872000000001</v>
      </c>
      <c r="C178" s="9">
        <v>17.128406999999999</v>
      </c>
      <c r="E178" s="14">
        <f t="shared" si="14"/>
        <v>0.99763346352057147</v>
      </c>
      <c r="F178" s="15">
        <f t="shared" ca="1" si="15"/>
        <v>1.0128729964579042</v>
      </c>
      <c r="G178" s="15">
        <f t="shared" ca="1" si="16"/>
        <v>1.0271759969301568</v>
      </c>
      <c r="H178" s="15">
        <f t="shared" ca="1" si="17"/>
        <v>0.99856999598565155</v>
      </c>
      <c r="I178" s="16">
        <f t="shared" ca="1" si="18"/>
        <v>1.4303000472252591E-2</v>
      </c>
    </row>
    <row r="179" spans="1:9" x14ac:dyDescent="0.3">
      <c r="A179" s="3">
        <v>41589</v>
      </c>
      <c r="B179" s="9">
        <v>17.479396999999999</v>
      </c>
      <c r="C179" s="9">
        <v>17.630838000000001</v>
      </c>
      <c r="E179" s="14">
        <f t="shared" si="14"/>
        <v>0.99141044798891564</v>
      </c>
      <c r="F179" s="15">
        <f t="shared" ca="1" si="15"/>
        <v>1.0115518444222951</v>
      </c>
      <c r="G179" s="15">
        <f t="shared" ca="1" si="16"/>
        <v>1.0259455124041046</v>
      </c>
      <c r="H179" s="15">
        <f t="shared" ca="1" si="17"/>
        <v>0.99715817644048566</v>
      </c>
      <c r="I179" s="16">
        <f t="shared" ca="1" si="18"/>
        <v>1.439366798180943E-2</v>
      </c>
    </row>
    <row r="180" spans="1:9" x14ac:dyDescent="0.3">
      <c r="A180" s="3">
        <v>41590</v>
      </c>
      <c r="B180" s="9">
        <v>17.009561999999999</v>
      </c>
      <c r="C180" s="9">
        <v>17.000515</v>
      </c>
      <c r="E180" s="14">
        <f t="shared" si="14"/>
        <v>1.0005321603492598</v>
      </c>
      <c r="F180" s="15">
        <f t="shared" ca="1" si="15"/>
        <v>1.0107386524391979</v>
      </c>
      <c r="G180" s="15">
        <f t="shared" ca="1" si="16"/>
        <v>1.0250425050047445</v>
      </c>
      <c r="H180" s="15">
        <f t="shared" ca="1" si="17"/>
        <v>0.99643479987365136</v>
      </c>
      <c r="I180" s="16">
        <f t="shared" ca="1" si="18"/>
        <v>1.4303852565546596E-2</v>
      </c>
    </row>
    <row r="181" spans="1:9" x14ac:dyDescent="0.3">
      <c r="A181" s="3">
        <v>41591</v>
      </c>
      <c r="B181" s="9">
        <v>17.348890000000001</v>
      </c>
      <c r="C181" s="9">
        <v>17.439003</v>
      </c>
      <c r="E181" s="14">
        <f t="shared" si="14"/>
        <v>0.99483267478077742</v>
      </c>
      <c r="F181" s="15">
        <f t="shared" ca="1" si="15"/>
        <v>1.0093963798092269</v>
      </c>
      <c r="G181" s="15">
        <f t="shared" ca="1" si="16"/>
        <v>1.0232328513585891</v>
      </c>
      <c r="H181" s="15">
        <f t="shared" ca="1" si="17"/>
        <v>0.99555990825986485</v>
      </c>
      <c r="I181" s="16">
        <f t="shared" ca="1" si="18"/>
        <v>1.3836471549362073E-2</v>
      </c>
    </row>
    <row r="182" spans="1:9" x14ac:dyDescent="0.3">
      <c r="A182" s="3">
        <v>41592</v>
      </c>
      <c r="B182" s="9">
        <v>17.792614</v>
      </c>
      <c r="C182" s="9">
        <v>17.904892</v>
      </c>
      <c r="E182" s="14">
        <f t="shared" si="14"/>
        <v>0.99372919981868646</v>
      </c>
      <c r="F182" s="15">
        <f t="shared" ca="1" si="15"/>
        <v>1.0082400436787358</v>
      </c>
      <c r="G182" s="15">
        <f t="shared" ca="1" si="16"/>
        <v>1.0218866728178746</v>
      </c>
      <c r="H182" s="15">
        <f t="shared" ca="1" si="17"/>
        <v>0.99459341453959693</v>
      </c>
      <c r="I182" s="16">
        <f t="shared" ca="1" si="18"/>
        <v>1.3646629139138779E-2</v>
      </c>
    </row>
    <row r="183" spans="1:9" x14ac:dyDescent="0.3">
      <c r="A183" s="3">
        <v>41596</v>
      </c>
      <c r="B183" s="9">
        <v>18.653969</v>
      </c>
      <c r="C183" s="9">
        <v>18.580894000000001</v>
      </c>
      <c r="E183" s="14">
        <f t="shared" si="14"/>
        <v>1.0039328032332566</v>
      </c>
      <c r="F183" s="15">
        <f t="shared" ca="1" si="15"/>
        <v>1.0076201708983634</v>
      </c>
      <c r="G183" s="15">
        <f t="shared" ca="1" si="16"/>
        <v>1.0210238591558281</v>
      </c>
      <c r="H183" s="15">
        <f t="shared" ca="1" si="17"/>
        <v>0.99421648264089879</v>
      </c>
      <c r="I183" s="16">
        <f t="shared" ca="1" si="18"/>
        <v>1.3403688257464632E-2</v>
      </c>
    </row>
    <row r="184" spans="1:9" x14ac:dyDescent="0.3">
      <c r="A184" s="3">
        <v>41597</v>
      </c>
      <c r="B184" s="9">
        <v>18.366852000000002</v>
      </c>
      <c r="C184" s="9">
        <v>18.306843000000001</v>
      </c>
      <c r="E184" s="14">
        <f t="shared" si="14"/>
        <v>1.003277954587801</v>
      </c>
      <c r="F184" s="15">
        <f t="shared" ca="1" si="15"/>
        <v>1.0068928991647537</v>
      </c>
      <c r="G184" s="15">
        <f t="shared" ca="1" si="16"/>
        <v>1.0199151167893112</v>
      </c>
      <c r="H184" s="15">
        <f t="shared" ca="1" si="17"/>
        <v>0.99387068154019609</v>
      </c>
      <c r="I184" s="16">
        <f t="shared" ca="1" si="18"/>
        <v>1.3022217624557535E-2</v>
      </c>
    </row>
    <row r="185" spans="1:9" x14ac:dyDescent="0.3">
      <c r="A185" s="3">
        <v>41599</v>
      </c>
      <c r="B185" s="9">
        <v>18.184137</v>
      </c>
      <c r="C185" s="9">
        <v>18.279433999999998</v>
      </c>
      <c r="E185" s="14">
        <f t="shared" si="14"/>
        <v>0.99478665477279005</v>
      </c>
      <c r="F185" s="15">
        <f t="shared" ca="1" si="15"/>
        <v>1.0056968592370039</v>
      </c>
      <c r="G185" s="15">
        <f t="shared" ca="1" si="16"/>
        <v>1.018114242150693</v>
      </c>
      <c r="H185" s="15">
        <f t="shared" ca="1" si="17"/>
        <v>0.99327947632331492</v>
      </c>
      <c r="I185" s="16">
        <f t="shared" ca="1" si="18"/>
        <v>1.241738291368903E-2</v>
      </c>
    </row>
    <row r="186" spans="1:9" x14ac:dyDescent="0.3">
      <c r="A186" s="3">
        <v>41600</v>
      </c>
      <c r="B186" s="9">
        <v>17.984027999999999</v>
      </c>
      <c r="C186" s="9">
        <v>18.105868999999998</v>
      </c>
      <c r="E186" s="14">
        <f t="shared" si="14"/>
        <v>0.99327063506313895</v>
      </c>
      <c r="F186" s="15">
        <f t="shared" ca="1" si="15"/>
        <v>1.0047192802628757</v>
      </c>
      <c r="G186" s="15">
        <f t="shared" ca="1" si="16"/>
        <v>1.0169201470031997</v>
      </c>
      <c r="H186" s="15">
        <f t="shared" ca="1" si="17"/>
        <v>0.99251841352255166</v>
      </c>
      <c r="I186" s="16">
        <f t="shared" ca="1" si="18"/>
        <v>1.2200866740324003E-2</v>
      </c>
    </row>
    <row r="187" spans="1:9" x14ac:dyDescent="0.3">
      <c r="A187" s="3">
        <v>41603</v>
      </c>
      <c r="B187" s="9">
        <v>17.714312</v>
      </c>
      <c r="C187" s="9">
        <v>17.767868</v>
      </c>
      <c r="E187" s="14">
        <f t="shared" si="14"/>
        <v>0.99698579480667004</v>
      </c>
      <c r="F187" s="15">
        <f t="shared" ca="1" si="15"/>
        <v>1.0040968476101542</v>
      </c>
      <c r="G187" s="15">
        <f t="shared" ca="1" si="16"/>
        <v>1.0161996655600094</v>
      </c>
      <c r="H187" s="15">
        <f t="shared" ca="1" si="17"/>
        <v>0.99199402966029904</v>
      </c>
      <c r="I187" s="16">
        <f t="shared" ca="1" si="18"/>
        <v>1.2102817949855179E-2</v>
      </c>
    </row>
    <row r="188" spans="1:9" x14ac:dyDescent="0.3">
      <c r="A188" s="3">
        <v>41604</v>
      </c>
      <c r="B188" s="9">
        <v>16.600639000000001</v>
      </c>
      <c r="C188" s="9">
        <v>16.625975</v>
      </c>
      <c r="E188" s="14">
        <f t="shared" si="14"/>
        <v>0.99847611944562653</v>
      </c>
      <c r="F188" s="15">
        <f t="shared" ca="1" si="15"/>
        <v>1.0035776282327751</v>
      </c>
      <c r="G188" s="15">
        <f t="shared" ca="1" si="16"/>
        <v>1.0155758669646102</v>
      </c>
      <c r="H188" s="15">
        <f t="shared" ca="1" si="17"/>
        <v>0.99157938950093982</v>
      </c>
      <c r="I188" s="16">
        <f t="shared" ca="1" si="18"/>
        <v>1.1998238731835224E-2</v>
      </c>
    </row>
    <row r="189" spans="1:9" x14ac:dyDescent="0.3">
      <c r="A189" s="3">
        <v>41605</v>
      </c>
      <c r="B189" s="9">
        <v>16.504932</v>
      </c>
      <c r="C189" s="9">
        <v>16.653379000000001</v>
      </c>
      <c r="E189" s="14">
        <f t="shared" si="14"/>
        <v>0.99108607328278542</v>
      </c>
      <c r="F189" s="15">
        <f t="shared" ca="1" si="15"/>
        <v>1.002634512021721</v>
      </c>
      <c r="G189" s="15">
        <f t="shared" ca="1" si="16"/>
        <v>1.014464397684786</v>
      </c>
      <c r="H189" s="15">
        <f t="shared" ca="1" si="17"/>
        <v>0.99080462635865618</v>
      </c>
      <c r="I189" s="16">
        <f t="shared" ca="1" si="18"/>
        <v>1.1829885663064917E-2</v>
      </c>
    </row>
    <row r="190" spans="1:9" x14ac:dyDescent="0.3">
      <c r="A190" s="3">
        <v>41606</v>
      </c>
      <c r="B190" s="9">
        <v>16.235218</v>
      </c>
      <c r="C190" s="9">
        <v>16.196621</v>
      </c>
      <c r="E190" s="14">
        <f t="shared" si="14"/>
        <v>1.0023830279167487</v>
      </c>
      <c r="F190" s="15">
        <f t="shared" ca="1" si="15"/>
        <v>1.0019487986292339</v>
      </c>
      <c r="G190" s="15">
        <f t="shared" ca="1" si="16"/>
        <v>1.0131610596983949</v>
      </c>
      <c r="H190" s="15">
        <f t="shared" ca="1" si="17"/>
        <v>0.99073653756007285</v>
      </c>
      <c r="I190" s="16">
        <f t="shared" ca="1" si="18"/>
        <v>1.121226106916106E-2</v>
      </c>
    </row>
    <row r="191" spans="1:9" x14ac:dyDescent="0.3">
      <c r="A191" s="3">
        <v>41607</v>
      </c>
      <c r="B191" s="9">
        <v>16.635442999999999</v>
      </c>
      <c r="C191" s="9">
        <v>16.735593999999999</v>
      </c>
      <c r="E191" s="14">
        <f t="shared" si="14"/>
        <v>0.99401568895612546</v>
      </c>
      <c r="F191" s="15">
        <f t="shared" ca="1" si="15"/>
        <v>1.0007736637543723</v>
      </c>
      <c r="G191" s="15">
        <f t="shared" ca="1" si="16"/>
        <v>1.0108508927768447</v>
      </c>
      <c r="H191" s="15">
        <f t="shared" ca="1" si="17"/>
        <v>0.99069643473189972</v>
      </c>
      <c r="I191" s="16">
        <f t="shared" ca="1" si="18"/>
        <v>1.0077229022472494E-2</v>
      </c>
    </row>
    <row r="192" spans="1:9" x14ac:dyDescent="0.3">
      <c r="A192" s="3">
        <v>41610</v>
      </c>
      <c r="B192" s="9">
        <v>15.104149</v>
      </c>
      <c r="C192" s="9">
        <v>14.999917999999999</v>
      </c>
      <c r="E192" s="14">
        <f t="shared" si="14"/>
        <v>1.0069487713199499</v>
      </c>
      <c r="F192" s="15">
        <f t="shared" ca="1" si="15"/>
        <v>1.0003514353402883</v>
      </c>
      <c r="G192" s="15">
        <f t="shared" ca="1" si="16"/>
        <v>1.0098808294017951</v>
      </c>
      <c r="H192" s="15">
        <f t="shared" ca="1" si="17"/>
        <v>0.99082204127878137</v>
      </c>
      <c r="I192" s="16">
        <f t="shared" ca="1" si="18"/>
        <v>9.5293940615068396E-3</v>
      </c>
    </row>
    <row r="193" spans="1:9" x14ac:dyDescent="0.3">
      <c r="A193" s="3">
        <v>41611</v>
      </c>
      <c r="B193" s="9">
        <v>15.234653</v>
      </c>
      <c r="C193" s="9">
        <v>15.136941999999999</v>
      </c>
      <c r="E193" s="14">
        <f t="shared" si="14"/>
        <v>1.0064551347293265</v>
      </c>
      <c r="F193" s="15">
        <f t="shared" ca="1" si="15"/>
        <v>1.0001187862136807</v>
      </c>
      <c r="G193" s="15">
        <f t="shared" ca="1" si="16"/>
        <v>1.009408103541459</v>
      </c>
      <c r="H193" s="15">
        <f t="shared" ca="1" si="17"/>
        <v>0.99082946888590229</v>
      </c>
      <c r="I193" s="16">
        <f t="shared" ca="1" si="18"/>
        <v>9.2893173277783722E-3</v>
      </c>
    </row>
    <row r="194" spans="1:9" x14ac:dyDescent="0.3">
      <c r="A194" s="3">
        <v>41612</v>
      </c>
      <c r="B194" s="9">
        <v>15.191152000000001</v>
      </c>
      <c r="C194" s="9">
        <v>15.118674</v>
      </c>
      <c r="E194" s="14">
        <f t="shared" si="14"/>
        <v>1.0047939389393541</v>
      </c>
      <c r="F194" s="15">
        <f t="shared" ca="1" si="15"/>
        <v>0.99972877254373016</v>
      </c>
      <c r="G194" s="15">
        <f t="shared" ca="1" si="16"/>
        <v>1.0085565264441696</v>
      </c>
      <c r="H194" s="15">
        <f t="shared" ca="1" si="17"/>
        <v>0.99090101864329083</v>
      </c>
      <c r="I194" s="16">
        <f t="shared" ca="1" si="18"/>
        <v>8.8277539004393384E-3</v>
      </c>
    </row>
    <row r="195" spans="1:9" x14ac:dyDescent="0.3">
      <c r="A195" s="3">
        <v>41613</v>
      </c>
      <c r="B195" s="9">
        <v>15.33906</v>
      </c>
      <c r="C195" s="9">
        <v>15.072997000000001</v>
      </c>
      <c r="E195" s="14">
        <f t="shared" ref="E195:E258" si="19">IF(ISNUMBER(B195),B195/C195,"")</f>
        <v>1.01765163225336</v>
      </c>
      <c r="F195" s="15">
        <f t="shared" ca="1" si="15"/>
        <v>0.99980474650828521</v>
      </c>
      <c r="G195" s="15">
        <f t="shared" ca="1" si="16"/>
        <v>1.0087754570153373</v>
      </c>
      <c r="H195" s="15">
        <f t="shared" ca="1" si="17"/>
        <v>0.99083403600123299</v>
      </c>
      <c r="I195" s="16">
        <f t="shared" ca="1" si="18"/>
        <v>8.9707105070522108E-3</v>
      </c>
    </row>
    <row r="196" spans="1:9" x14ac:dyDescent="0.3">
      <c r="A196" s="3">
        <v>41614</v>
      </c>
      <c r="B196" s="9">
        <v>14.991035999999999</v>
      </c>
      <c r="C196" s="9">
        <v>14.753266</v>
      </c>
      <c r="E196" s="14">
        <f t="shared" si="19"/>
        <v>1.0161164314396554</v>
      </c>
      <c r="F196" s="15">
        <f t="shared" ca="1" si="15"/>
        <v>0.9996242937504185</v>
      </c>
      <c r="G196" s="15">
        <f t="shared" ca="1" si="16"/>
        <v>1.0082020096938515</v>
      </c>
      <c r="H196" s="15">
        <f t="shared" ca="1" si="17"/>
        <v>0.99104657780698557</v>
      </c>
      <c r="I196" s="16">
        <f t="shared" ca="1" si="18"/>
        <v>8.5777159434329772E-3</v>
      </c>
    </row>
    <row r="197" spans="1:9" x14ac:dyDescent="0.3">
      <c r="A197" s="3">
        <v>41617</v>
      </c>
      <c r="B197" s="9">
        <v>15.182449999999999</v>
      </c>
      <c r="C197" s="9">
        <v>14.862888</v>
      </c>
      <c r="E197" s="14">
        <f t="shared" si="19"/>
        <v>1.0215006666268358</v>
      </c>
      <c r="F197" s="15">
        <f t="shared" ca="1" si="15"/>
        <v>0.99973090449718383</v>
      </c>
      <c r="G197" s="15">
        <f t="shared" ca="1" si="16"/>
        <v>1.0085564006482717</v>
      </c>
      <c r="H197" s="15">
        <f t="shared" ca="1" si="17"/>
        <v>0.99090540834609608</v>
      </c>
      <c r="I197" s="16">
        <f t="shared" ca="1" si="18"/>
        <v>8.825496151087792E-3</v>
      </c>
    </row>
    <row r="198" spans="1:9" x14ac:dyDescent="0.3">
      <c r="A198" s="3">
        <v>41618</v>
      </c>
      <c r="B198" s="9">
        <v>15.05194</v>
      </c>
      <c r="C198" s="9">
        <v>14.725861</v>
      </c>
      <c r="E198" s="14">
        <f t="shared" si="19"/>
        <v>1.0221432892786371</v>
      </c>
      <c r="F198" s="15">
        <f t="shared" ca="1" si="15"/>
        <v>0.99987105902274864</v>
      </c>
      <c r="G198" s="15">
        <f t="shared" ca="1" si="16"/>
        <v>1.0090123299739011</v>
      </c>
      <c r="H198" s="15">
        <f t="shared" ca="1" si="17"/>
        <v>0.99072978807159628</v>
      </c>
      <c r="I198" s="16">
        <f t="shared" ca="1" si="18"/>
        <v>9.1412709511523686E-3</v>
      </c>
    </row>
    <row r="199" spans="1:9" x14ac:dyDescent="0.3">
      <c r="A199" s="3">
        <v>41619</v>
      </c>
      <c r="B199" s="9">
        <v>14.599513</v>
      </c>
      <c r="C199" s="9">
        <v>14.305643999999999</v>
      </c>
      <c r="E199" s="14">
        <f t="shared" si="19"/>
        <v>1.0205421720266492</v>
      </c>
      <c r="F199" s="15">
        <f t="shared" ca="1" si="15"/>
        <v>1.0006545087787992</v>
      </c>
      <c r="G199" s="15">
        <f t="shared" ca="1" si="16"/>
        <v>1.0104995477505279</v>
      </c>
      <c r="H199" s="15">
        <f t="shared" ca="1" si="17"/>
        <v>0.99080946980707063</v>
      </c>
      <c r="I199" s="16">
        <f t="shared" ca="1" si="18"/>
        <v>9.8450389717285817E-3</v>
      </c>
    </row>
    <row r="200" spans="1:9" x14ac:dyDescent="0.3">
      <c r="A200" s="3">
        <v>41620</v>
      </c>
      <c r="B200" s="9">
        <v>14.669119</v>
      </c>
      <c r="C200" s="9">
        <v>14.342184</v>
      </c>
      <c r="E200" s="14">
        <f t="shared" si="19"/>
        <v>1.022795342745568</v>
      </c>
      <c r="F200" s="15">
        <f t="shared" ca="1" si="15"/>
        <v>1.001603768087961</v>
      </c>
      <c r="G200" s="15">
        <f t="shared" ca="1" si="16"/>
        <v>1.0121406408474205</v>
      </c>
      <c r="H200" s="15">
        <f t="shared" ca="1" si="17"/>
        <v>0.99106689532850156</v>
      </c>
      <c r="I200" s="16">
        <f t="shared" ca="1" si="18"/>
        <v>1.053687275945942E-2</v>
      </c>
    </row>
    <row r="201" spans="1:9" x14ac:dyDescent="0.3">
      <c r="A201" s="3">
        <v>41621</v>
      </c>
      <c r="B201" s="9">
        <v>14.982336999999999</v>
      </c>
      <c r="C201" s="9">
        <v>14.579696999999999</v>
      </c>
      <c r="E201" s="14">
        <f t="shared" si="19"/>
        <v>1.0276164861313648</v>
      </c>
      <c r="F201" s="15">
        <f t="shared" ca="1" si="15"/>
        <v>1.00245245181747</v>
      </c>
      <c r="G201" s="15">
        <f t="shared" ca="1" si="16"/>
        <v>1.0139785371208934</v>
      </c>
      <c r="H201" s="15">
        <f t="shared" ca="1" si="17"/>
        <v>0.99092636651404675</v>
      </c>
      <c r="I201" s="16">
        <f t="shared" ca="1" si="18"/>
        <v>1.1526085303423262E-2</v>
      </c>
    </row>
    <row r="202" spans="1:9" x14ac:dyDescent="0.3">
      <c r="A202" s="3">
        <v>41624</v>
      </c>
      <c r="B202" s="9">
        <v>15.086743999999999</v>
      </c>
      <c r="C202" s="9">
        <v>14.707591000000001</v>
      </c>
      <c r="E202" s="14">
        <f t="shared" si="19"/>
        <v>1.0257794087420571</v>
      </c>
      <c r="F202" s="15">
        <f t="shared" ca="1" si="15"/>
        <v>1.0036790428921789</v>
      </c>
      <c r="G202" s="15">
        <f t="shared" ca="1" si="16"/>
        <v>1.0156555040200834</v>
      </c>
      <c r="H202" s="15">
        <f t="shared" ca="1" si="17"/>
        <v>0.99170258176427439</v>
      </c>
      <c r="I202" s="16">
        <f t="shared" ca="1" si="18"/>
        <v>1.1976461127904486E-2</v>
      </c>
    </row>
    <row r="203" spans="1:9" x14ac:dyDescent="0.3">
      <c r="A203" s="3">
        <v>41625</v>
      </c>
      <c r="B203" s="9">
        <v>14.616914</v>
      </c>
      <c r="C203" s="9">
        <v>14.223426999999999</v>
      </c>
      <c r="E203" s="14">
        <f t="shared" si="19"/>
        <v>1.0276647111838799</v>
      </c>
      <c r="F203" s="15">
        <f t="shared" ca="1" si="15"/>
        <v>1.0048197550257045</v>
      </c>
      <c r="G203" s="15">
        <f t="shared" ca="1" si="16"/>
        <v>1.0173823645289719</v>
      </c>
      <c r="H203" s="15">
        <f t="shared" ca="1" si="17"/>
        <v>0.99225714552243716</v>
      </c>
      <c r="I203" s="16">
        <f t="shared" ca="1" si="18"/>
        <v>1.256260950326735E-2</v>
      </c>
    </row>
    <row r="204" spans="1:9" x14ac:dyDescent="0.3">
      <c r="A204" s="3">
        <v>41626</v>
      </c>
      <c r="B204" s="9">
        <v>14.651717</v>
      </c>
      <c r="C204" s="9">
        <v>14.351319999999999</v>
      </c>
      <c r="E204" s="14">
        <f t="shared" si="19"/>
        <v>1.0209316634288692</v>
      </c>
      <c r="F204" s="15">
        <f t="shared" ca="1" si="15"/>
        <v>1.0059310950725606</v>
      </c>
      <c r="G204" s="15">
        <f t="shared" ca="1" si="16"/>
        <v>1.018394778232802</v>
      </c>
      <c r="H204" s="15">
        <f t="shared" ca="1" si="17"/>
        <v>0.99346741191231924</v>
      </c>
      <c r="I204" s="16">
        <f t="shared" ca="1" si="18"/>
        <v>1.2463683160241351E-2</v>
      </c>
    </row>
    <row r="205" spans="1:9" x14ac:dyDescent="0.3">
      <c r="A205" s="3">
        <v>41627</v>
      </c>
      <c r="B205" s="9">
        <v>15.008440999999999</v>
      </c>
      <c r="C205" s="9">
        <v>14.661915</v>
      </c>
      <c r="E205" s="14">
        <f t="shared" si="19"/>
        <v>1.0236344297453641</v>
      </c>
      <c r="F205" s="15">
        <f t="shared" ca="1" si="15"/>
        <v>1.0069137385807727</v>
      </c>
      <c r="G205" s="15">
        <f t="shared" ca="1" si="16"/>
        <v>1.0195708431275314</v>
      </c>
      <c r="H205" s="15">
        <f t="shared" ca="1" si="17"/>
        <v>0.99425663403401399</v>
      </c>
      <c r="I205" s="16">
        <f t="shared" ca="1" si="18"/>
        <v>1.2657104546758734E-2</v>
      </c>
    </row>
    <row r="206" spans="1:9" x14ac:dyDescent="0.3">
      <c r="A206" s="3">
        <v>41628</v>
      </c>
      <c r="B206" s="9">
        <v>14.712623000000001</v>
      </c>
      <c r="C206" s="9">
        <v>14.433536</v>
      </c>
      <c r="E206" s="14">
        <f t="shared" si="19"/>
        <v>1.0193360102472464</v>
      </c>
      <c r="F206" s="15">
        <f t="shared" ca="1" si="15"/>
        <v>1.0078320875533848</v>
      </c>
      <c r="G206" s="15">
        <f t="shared" ca="1" si="16"/>
        <v>1.0203570205453008</v>
      </c>
      <c r="H206" s="15">
        <f t="shared" ca="1" si="17"/>
        <v>0.99530715456146879</v>
      </c>
      <c r="I206" s="16">
        <f t="shared" ca="1" si="18"/>
        <v>1.2524932991915986E-2</v>
      </c>
    </row>
    <row r="207" spans="1:9" x14ac:dyDescent="0.3">
      <c r="A207" s="3">
        <v>41631</v>
      </c>
      <c r="B207" s="9">
        <v>14.843128999999999</v>
      </c>
      <c r="C207" s="9">
        <v>14.497482</v>
      </c>
      <c r="E207" s="14">
        <f t="shared" si="19"/>
        <v>1.0238418644010043</v>
      </c>
      <c r="F207" s="15">
        <f t="shared" ca="1" si="15"/>
        <v>1.0088034883920758</v>
      </c>
      <c r="G207" s="15">
        <f t="shared" ca="1" si="16"/>
        <v>1.0214021216709022</v>
      </c>
      <c r="H207" s="15">
        <f t="shared" ca="1" si="17"/>
        <v>0.99620485511324941</v>
      </c>
      <c r="I207" s="16">
        <f t="shared" ca="1" si="18"/>
        <v>1.2598633278826396E-2</v>
      </c>
    </row>
    <row r="208" spans="1:9" x14ac:dyDescent="0.3">
      <c r="A208" s="3">
        <v>41634</v>
      </c>
      <c r="B208" s="9">
        <v>14.721321</v>
      </c>
      <c r="C208" s="9">
        <v>14.433536</v>
      </c>
      <c r="E208" s="14">
        <f t="shared" si="19"/>
        <v>1.0199386345799117</v>
      </c>
      <c r="F208" s="15">
        <f t="shared" ca="1" si="15"/>
        <v>1.009546994094054</v>
      </c>
      <c r="G208" s="15">
        <f t="shared" ca="1" si="16"/>
        <v>1.022122638302813</v>
      </c>
      <c r="H208" s="15">
        <f t="shared" ca="1" si="17"/>
        <v>0.99697134988529501</v>
      </c>
      <c r="I208" s="16">
        <f t="shared" ca="1" si="18"/>
        <v>1.2575644208758976E-2</v>
      </c>
    </row>
    <row r="209" spans="1:9" x14ac:dyDescent="0.3">
      <c r="A209" s="3">
        <v>41635</v>
      </c>
      <c r="B209" s="9">
        <v>14.730024</v>
      </c>
      <c r="C209" s="9">
        <v>14.534022</v>
      </c>
      <c r="E209" s="14">
        <f t="shared" si="19"/>
        <v>1.0134857371208053</v>
      </c>
      <c r="F209" s="15">
        <f t="shared" ref="F209:F272" ca="1" si="20">IF(ISNUMBER(E209),IF(ROW(E209)&gt;$K$1,AVERAGE(OFFSET(E209,0,0,-$K$1)),""),"")</f>
        <v>1.0102828370651169</v>
      </c>
      <c r="G209" s="15">
        <f t="shared" ref="G209:G272" ca="1" si="21">IF(ISNUMBER(I209),F209+I209*$M$1,"")</f>
        <v>1.0224137071405675</v>
      </c>
      <c r="H209" s="15">
        <f t="shared" ref="H209:H272" ca="1" si="22">IF(ISNUMBER(I209),F209-I209*$M$1,"")</f>
        <v>0.99815196698966635</v>
      </c>
      <c r="I209" s="16">
        <f t="shared" ref="I209:I272" ca="1" si="23">IF(ISNUMBER(E209),IF(ROW(E209)&gt;$K$1,_xlfn.STDEV.P(OFFSET(E209,0,0,-$K$1)),""),"")</f>
        <v>1.2130870075450604E-2</v>
      </c>
    </row>
    <row r="210" spans="1:9" x14ac:dyDescent="0.3">
      <c r="A210" s="3">
        <v>41638</v>
      </c>
      <c r="B210" s="9">
        <v>14.860531</v>
      </c>
      <c r="C210" s="9">
        <v>14.607105000000001</v>
      </c>
      <c r="E210" s="14">
        <f t="shared" si="19"/>
        <v>1.0173495021771939</v>
      </c>
      <c r="F210" s="15">
        <f t="shared" ca="1" si="20"/>
        <v>1.0108434151260479</v>
      </c>
      <c r="G210" s="15">
        <f t="shared" ca="1" si="21"/>
        <v>1.0228990844564791</v>
      </c>
      <c r="H210" s="15">
        <f t="shared" ca="1" si="22"/>
        <v>0.99878774579561658</v>
      </c>
      <c r="I210" s="16">
        <f t="shared" ca="1" si="23"/>
        <v>1.2055669330431307E-2</v>
      </c>
    </row>
    <row r="211" spans="1:9" x14ac:dyDescent="0.3">
      <c r="A211" s="3">
        <v>41641</v>
      </c>
      <c r="B211" s="9">
        <v>14.573411</v>
      </c>
      <c r="C211" s="9">
        <v>14.451805999999999</v>
      </c>
      <c r="E211" s="14">
        <f t="shared" si="19"/>
        <v>1.0084145192649279</v>
      </c>
      <c r="F211" s="15">
        <f t="shared" ca="1" si="20"/>
        <v>1.0112961432755196</v>
      </c>
      <c r="G211" s="15">
        <f t="shared" ca="1" si="21"/>
        <v>1.0229917004597981</v>
      </c>
      <c r="H211" s="15">
        <f t="shared" ca="1" si="22"/>
        <v>0.99960058609124114</v>
      </c>
      <c r="I211" s="16">
        <f t="shared" ca="1" si="23"/>
        <v>1.1695557184278468E-2</v>
      </c>
    </row>
    <row r="212" spans="1:9" x14ac:dyDescent="0.3">
      <c r="A212" s="3">
        <v>41642</v>
      </c>
      <c r="B212" s="9">
        <v>14.3559</v>
      </c>
      <c r="C212" s="9">
        <v>14.159482000000001</v>
      </c>
      <c r="E212" s="14">
        <f t="shared" si="19"/>
        <v>1.0138718351419918</v>
      </c>
      <c r="F212" s="15">
        <f t="shared" ca="1" si="20"/>
        <v>1.0119675644529631</v>
      </c>
      <c r="G212" s="15">
        <f t="shared" ca="1" si="21"/>
        <v>1.0232045483747749</v>
      </c>
      <c r="H212" s="15">
        <f t="shared" ca="1" si="22"/>
        <v>1.0007305805311513</v>
      </c>
      <c r="I212" s="16">
        <f t="shared" ca="1" si="23"/>
        <v>1.1236983921811756E-2</v>
      </c>
    </row>
    <row r="213" spans="1:9" x14ac:dyDescent="0.3">
      <c r="A213" s="3">
        <v>41645</v>
      </c>
      <c r="B213" s="9">
        <v>14.460304000000001</v>
      </c>
      <c r="C213" s="9">
        <v>14.333049000000001</v>
      </c>
      <c r="E213" s="14">
        <f t="shared" si="19"/>
        <v>1.0088784319372661</v>
      </c>
      <c r="F213" s="15">
        <f t="shared" ca="1" si="20"/>
        <v>1.0121324187430969</v>
      </c>
      <c r="G213" s="15">
        <f t="shared" ca="1" si="21"/>
        <v>1.0232862884355762</v>
      </c>
      <c r="H213" s="15">
        <f t="shared" ca="1" si="22"/>
        <v>1.0009785490506176</v>
      </c>
      <c r="I213" s="16">
        <f t="shared" ca="1" si="23"/>
        <v>1.1153869692479303E-2</v>
      </c>
    </row>
    <row r="214" spans="1:9" x14ac:dyDescent="0.3">
      <c r="A214" s="3"/>
      <c r="B214" s="9"/>
      <c r="C214" s="9"/>
      <c r="E214" s="14" t="str">
        <f t="shared" si="19"/>
        <v/>
      </c>
      <c r="F214" s="15" t="str">
        <f t="shared" ca="1" si="20"/>
        <v/>
      </c>
      <c r="G214" s="15" t="str">
        <f t="shared" ca="1" si="21"/>
        <v/>
      </c>
      <c r="H214" s="15" t="str">
        <f t="shared" ca="1" si="22"/>
        <v/>
      </c>
      <c r="I214" s="16" t="str">
        <f t="shared" ca="1" si="23"/>
        <v/>
      </c>
    </row>
    <row r="215" spans="1:9" x14ac:dyDescent="0.3">
      <c r="A215" s="3"/>
      <c r="B215" s="9"/>
      <c r="C215" s="9"/>
      <c r="E215" s="14" t="str">
        <f t="shared" si="19"/>
        <v/>
      </c>
      <c r="F215" s="15" t="str">
        <f t="shared" ca="1" si="20"/>
        <v/>
      </c>
      <c r="G215" s="15" t="str">
        <f t="shared" ca="1" si="21"/>
        <v/>
      </c>
      <c r="H215" s="15" t="str">
        <f t="shared" ca="1" si="22"/>
        <v/>
      </c>
      <c r="I215" s="16" t="str">
        <f t="shared" ca="1" si="23"/>
        <v/>
      </c>
    </row>
    <row r="216" spans="1:9" x14ac:dyDescent="0.3">
      <c r="A216" s="3"/>
      <c r="B216" s="9"/>
      <c r="C216" s="9"/>
      <c r="E216" s="14" t="str">
        <f t="shared" si="19"/>
        <v/>
      </c>
      <c r="F216" s="15" t="str">
        <f t="shared" ca="1" si="20"/>
        <v/>
      </c>
      <c r="G216" s="15" t="str">
        <f t="shared" ca="1" si="21"/>
        <v/>
      </c>
      <c r="H216" s="15" t="str">
        <f t="shared" ca="1" si="22"/>
        <v/>
      </c>
      <c r="I216" s="16" t="str">
        <f t="shared" ca="1" si="23"/>
        <v/>
      </c>
    </row>
    <row r="217" spans="1:9" x14ac:dyDescent="0.3">
      <c r="A217" s="3"/>
      <c r="B217" s="9"/>
      <c r="C217" s="9"/>
      <c r="E217" s="14" t="str">
        <f t="shared" si="19"/>
        <v/>
      </c>
      <c r="F217" s="15" t="str">
        <f t="shared" ca="1" si="20"/>
        <v/>
      </c>
      <c r="G217" s="15" t="str">
        <f t="shared" ca="1" si="21"/>
        <v/>
      </c>
      <c r="H217" s="15" t="str">
        <f t="shared" ca="1" si="22"/>
        <v/>
      </c>
      <c r="I217" s="16" t="str">
        <f t="shared" ca="1" si="23"/>
        <v/>
      </c>
    </row>
    <row r="218" spans="1:9" x14ac:dyDescent="0.3">
      <c r="A218" s="3"/>
      <c r="B218" s="9"/>
      <c r="C218" s="9"/>
      <c r="E218" s="14" t="str">
        <f t="shared" si="19"/>
        <v/>
      </c>
      <c r="F218" s="15" t="str">
        <f t="shared" ca="1" si="20"/>
        <v/>
      </c>
      <c r="G218" s="15" t="str">
        <f t="shared" ca="1" si="21"/>
        <v/>
      </c>
      <c r="H218" s="15" t="str">
        <f t="shared" ca="1" si="22"/>
        <v/>
      </c>
      <c r="I218" s="16" t="str">
        <f t="shared" ca="1" si="23"/>
        <v/>
      </c>
    </row>
    <row r="219" spans="1:9" x14ac:dyDescent="0.3">
      <c r="A219" s="3"/>
      <c r="B219" s="9"/>
      <c r="C219" s="9"/>
      <c r="E219" s="14" t="str">
        <f t="shared" si="19"/>
        <v/>
      </c>
      <c r="F219" s="15" t="str">
        <f t="shared" ca="1" si="20"/>
        <v/>
      </c>
      <c r="G219" s="15" t="str">
        <f t="shared" ca="1" si="21"/>
        <v/>
      </c>
      <c r="H219" s="15" t="str">
        <f t="shared" ca="1" si="22"/>
        <v/>
      </c>
      <c r="I219" s="16" t="str">
        <f t="shared" ca="1" si="23"/>
        <v/>
      </c>
    </row>
    <row r="220" spans="1:9" x14ac:dyDescent="0.3">
      <c r="A220" s="3"/>
      <c r="B220" s="9"/>
      <c r="C220" s="9"/>
      <c r="E220" s="14" t="str">
        <f t="shared" si="19"/>
        <v/>
      </c>
      <c r="F220" s="15" t="str">
        <f t="shared" ca="1" si="20"/>
        <v/>
      </c>
      <c r="G220" s="15" t="str">
        <f t="shared" ca="1" si="21"/>
        <v/>
      </c>
      <c r="H220" s="15" t="str">
        <f t="shared" ca="1" si="22"/>
        <v/>
      </c>
      <c r="I220" s="16" t="str">
        <f t="shared" ca="1" si="23"/>
        <v/>
      </c>
    </row>
    <row r="221" spans="1:9" x14ac:dyDescent="0.3">
      <c r="A221" s="3"/>
      <c r="B221" s="9"/>
      <c r="C221" s="9"/>
      <c r="E221" s="14" t="str">
        <f t="shared" si="19"/>
        <v/>
      </c>
      <c r="F221" s="15" t="str">
        <f t="shared" ca="1" si="20"/>
        <v/>
      </c>
      <c r="G221" s="15" t="str">
        <f t="shared" ca="1" si="21"/>
        <v/>
      </c>
      <c r="H221" s="15" t="str">
        <f t="shared" ca="1" si="22"/>
        <v/>
      </c>
      <c r="I221" s="16" t="str">
        <f t="shared" ca="1" si="23"/>
        <v/>
      </c>
    </row>
    <row r="222" spans="1:9" x14ac:dyDescent="0.3">
      <c r="A222" s="3"/>
      <c r="B222" s="9"/>
      <c r="C222" s="9"/>
      <c r="E222" s="14" t="str">
        <f t="shared" si="19"/>
        <v/>
      </c>
      <c r="F222" s="15" t="str">
        <f t="shared" ca="1" si="20"/>
        <v/>
      </c>
      <c r="G222" s="15" t="str">
        <f t="shared" ca="1" si="21"/>
        <v/>
      </c>
      <c r="H222" s="15" t="str">
        <f t="shared" ca="1" si="22"/>
        <v/>
      </c>
      <c r="I222" s="16" t="str">
        <f t="shared" ca="1" si="23"/>
        <v/>
      </c>
    </row>
    <row r="223" spans="1:9" x14ac:dyDescent="0.3">
      <c r="A223" s="3"/>
      <c r="B223" s="9"/>
      <c r="C223" s="9"/>
      <c r="E223" s="14" t="str">
        <f t="shared" si="19"/>
        <v/>
      </c>
      <c r="F223" s="15" t="str">
        <f t="shared" ca="1" si="20"/>
        <v/>
      </c>
      <c r="G223" s="15" t="str">
        <f t="shared" ca="1" si="21"/>
        <v/>
      </c>
      <c r="H223" s="15" t="str">
        <f t="shared" ca="1" si="22"/>
        <v/>
      </c>
      <c r="I223" s="16" t="str">
        <f t="shared" ca="1" si="23"/>
        <v/>
      </c>
    </row>
    <row r="224" spans="1:9" x14ac:dyDescent="0.3">
      <c r="A224" s="3"/>
      <c r="B224" s="9"/>
      <c r="C224" s="9"/>
      <c r="E224" s="14" t="str">
        <f t="shared" si="19"/>
        <v/>
      </c>
      <c r="F224" s="15" t="str">
        <f t="shared" ca="1" si="20"/>
        <v/>
      </c>
      <c r="G224" s="15" t="str">
        <f t="shared" ca="1" si="21"/>
        <v/>
      </c>
      <c r="H224" s="15" t="str">
        <f t="shared" ca="1" si="22"/>
        <v/>
      </c>
      <c r="I224" s="16" t="str">
        <f t="shared" ca="1" si="23"/>
        <v/>
      </c>
    </row>
    <row r="225" spans="1:9" x14ac:dyDescent="0.3">
      <c r="A225" s="3"/>
      <c r="B225" s="9"/>
      <c r="C225" s="9"/>
      <c r="E225" s="14" t="str">
        <f t="shared" si="19"/>
        <v/>
      </c>
      <c r="F225" s="15" t="str">
        <f t="shared" ca="1" si="20"/>
        <v/>
      </c>
      <c r="G225" s="15" t="str">
        <f t="shared" ca="1" si="21"/>
        <v/>
      </c>
      <c r="H225" s="15" t="str">
        <f t="shared" ca="1" si="22"/>
        <v/>
      </c>
      <c r="I225" s="16" t="str">
        <f t="shared" ca="1" si="23"/>
        <v/>
      </c>
    </row>
    <row r="226" spans="1:9" x14ac:dyDescent="0.3">
      <c r="A226" s="3"/>
      <c r="B226" s="9"/>
      <c r="C226" s="9"/>
      <c r="E226" s="14" t="str">
        <f t="shared" si="19"/>
        <v/>
      </c>
      <c r="F226" s="15" t="str">
        <f t="shared" ca="1" si="20"/>
        <v/>
      </c>
      <c r="G226" s="15" t="str">
        <f t="shared" ca="1" si="21"/>
        <v/>
      </c>
      <c r="H226" s="15" t="str">
        <f t="shared" ca="1" si="22"/>
        <v/>
      </c>
      <c r="I226" s="16" t="str">
        <f t="shared" ca="1" si="23"/>
        <v/>
      </c>
    </row>
    <row r="227" spans="1:9" x14ac:dyDescent="0.3">
      <c r="A227" s="3"/>
      <c r="B227" s="9"/>
      <c r="C227" s="9"/>
      <c r="E227" s="14" t="str">
        <f t="shared" si="19"/>
        <v/>
      </c>
      <c r="F227" s="15" t="str">
        <f t="shared" ca="1" si="20"/>
        <v/>
      </c>
      <c r="G227" s="15" t="str">
        <f t="shared" ca="1" si="21"/>
        <v/>
      </c>
      <c r="H227" s="15" t="str">
        <f t="shared" ca="1" si="22"/>
        <v/>
      </c>
      <c r="I227" s="16" t="str">
        <f t="shared" ca="1" si="23"/>
        <v/>
      </c>
    </row>
    <row r="228" spans="1:9" x14ac:dyDescent="0.3">
      <c r="A228" s="3"/>
      <c r="B228" s="9"/>
      <c r="C228" s="9"/>
      <c r="E228" s="14" t="str">
        <f t="shared" si="19"/>
        <v/>
      </c>
      <c r="F228" s="15" t="str">
        <f t="shared" ca="1" si="20"/>
        <v/>
      </c>
      <c r="G228" s="15" t="str">
        <f t="shared" ca="1" si="21"/>
        <v/>
      </c>
      <c r="H228" s="15" t="str">
        <f t="shared" ca="1" si="22"/>
        <v/>
      </c>
      <c r="I228" s="16" t="str">
        <f t="shared" ca="1" si="23"/>
        <v/>
      </c>
    </row>
    <row r="229" spans="1:9" x14ac:dyDescent="0.3">
      <c r="A229" s="3"/>
      <c r="B229" s="9"/>
      <c r="C229" s="9"/>
      <c r="E229" s="14" t="str">
        <f t="shared" si="19"/>
        <v/>
      </c>
      <c r="F229" s="15" t="str">
        <f t="shared" ca="1" si="20"/>
        <v/>
      </c>
      <c r="G229" s="15" t="str">
        <f t="shared" ca="1" si="21"/>
        <v/>
      </c>
      <c r="H229" s="15" t="str">
        <f t="shared" ca="1" si="22"/>
        <v/>
      </c>
      <c r="I229" s="16" t="str">
        <f t="shared" ca="1" si="23"/>
        <v/>
      </c>
    </row>
    <row r="230" spans="1:9" x14ac:dyDescent="0.3">
      <c r="A230" s="3"/>
      <c r="B230" s="9"/>
      <c r="C230" s="9"/>
      <c r="E230" s="14" t="str">
        <f t="shared" si="19"/>
        <v/>
      </c>
      <c r="F230" s="15" t="str">
        <f t="shared" ca="1" si="20"/>
        <v/>
      </c>
      <c r="G230" s="15" t="str">
        <f t="shared" ca="1" si="21"/>
        <v/>
      </c>
      <c r="H230" s="15" t="str">
        <f t="shared" ca="1" si="22"/>
        <v/>
      </c>
      <c r="I230" s="16" t="str">
        <f t="shared" ca="1" si="23"/>
        <v/>
      </c>
    </row>
    <row r="231" spans="1:9" x14ac:dyDescent="0.3">
      <c r="A231" s="3"/>
      <c r="B231" s="9"/>
      <c r="C231" s="9"/>
      <c r="E231" s="14" t="str">
        <f t="shared" si="19"/>
        <v/>
      </c>
      <c r="F231" s="15" t="str">
        <f t="shared" ca="1" si="20"/>
        <v/>
      </c>
      <c r="G231" s="15" t="str">
        <f t="shared" ca="1" si="21"/>
        <v/>
      </c>
      <c r="H231" s="15" t="str">
        <f t="shared" ca="1" si="22"/>
        <v/>
      </c>
      <c r="I231" s="16" t="str">
        <f t="shared" ca="1" si="23"/>
        <v/>
      </c>
    </row>
    <row r="232" spans="1:9" x14ac:dyDescent="0.3">
      <c r="A232" s="3"/>
      <c r="B232" s="9"/>
      <c r="C232" s="9"/>
      <c r="E232" s="14" t="str">
        <f t="shared" si="19"/>
        <v/>
      </c>
      <c r="F232" s="15" t="str">
        <f t="shared" ca="1" si="20"/>
        <v/>
      </c>
      <c r="G232" s="15" t="str">
        <f t="shared" ca="1" si="21"/>
        <v/>
      </c>
      <c r="H232" s="15" t="str">
        <f t="shared" ca="1" si="22"/>
        <v/>
      </c>
      <c r="I232" s="16" t="str">
        <f t="shared" ca="1" si="23"/>
        <v/>
      </c>
    </row>
    <row r="233" spans="1:9" x14ac:dyDescent="0.3">
      <c r="A233" s="3"/>
      <c r="B233" s="9"/>
      <c r="C233" s="9"/>
      <c r="E233" s="14" t="str">
        <f t="shared" si="19"/>
        <v/>
      </c>
      <c r="F233" s="15" t="str">
        <f t="shared" ca="1" si="20"/>
        <v/>
      </c>
      <c r="G233" s="15" t="str">
        <f t="shared" ca="1" si="21"/>
        <v/>
      </c>
      <c r="H233" s="15" t="str">
        <f t="shared" ca="1" si="22"/>
        <v/>
      </c>
      <c r="I233" s="16" t="str">
        <f t="shared" ca="1" si="23"/>
        <v/>
      </c>
    </row>
    <row r="234" spans="1:9" x14ac:dyDescent="0.3">
      <c r="A234" s="3"/>
      <c r="B234" s="9"/>
      <c r="C234" s="9"/>
      <c r="E234" s="14" t="str">
        <f t="shared" si="19"/>
        <v/>
      </c>
      <c r="F234" s="15" t="str">
        <f t="shared" ca="1" si="20"/>
        <v/>
      </c>
      <c r="G234" s="15" t="str">
        <f t="shared" ca="1" si="21"/>
        <v/>
      </c>
      <c r="H234" s="15" t="str">
        <f t="shared" ca="1" si="22"/>
        <v/>
      </c>
      <c r="I234" s="16" t="str">
        <f t="shared" ca="1" si="23"/>
        <v/>
      </c>
    </row>
    <row r="235" spans="1:9" x14ac:dyDescent="0.3">
      <c r="A235" s="3"/>
      <c r="B235" s="9"/>
      <c r="C235" s="9"/>
      <c r="E235" s="14" t="str">
        <f t="shared" si="19"/>
        <v/>
      </c>
      <c r="F235" s="15" t="str">
        <f t="shared" ca="1" si="20"/>
        <v/>
      </c>
      <c r="G235" s="15" t="str">
        <f t="shared" ca="1" si="21"/>
        <v/>
      </c>
      <c r="H235" s="15" t="str">
        <f t="shared" ca="1" si="22"/>
        <v/>
      </c>
      <c r="I235" s="16" t="str">
        <f t="shared" ca="1" si="23"/>
        <v/>
      </c>
    </row>
    <row r="236" spans="1:9" x14ac:dyDescent="0.3">
      <c r="A236" s="3"/>
      <c r="B236" s="9"/>
      <c r="C236" s="9"/>
      <c r="E236" s="14" t="str">
        <f t="shared" si="19"/>
        <v/>
      </c>
      <c r="F236" s="15" t="str">
        <f t="shared" ca="1" si="20"/>
        <v/>
      </c>
      <c r="G236" s="15" t="str">
        <f t="shared" ca="1" si="21"/>
        <v/>
      </c>
      <c r="H236" s="15" t="str">
        <f t="shared" ca="1" si="22"/>
        <v/>
      </c>
      <c r="I236" s="16" t="str">
        <f t="shared" ca="1" si="23"/>
        <v/>
      </c>
    </row>
    <row r="237" spans="1:9" x14ac:dyDescent="0.3">
      <c r="A237" s="3"/>
      <c r="B237" s="9"/>
      <c r="C237" s="9"/>
      <c r="E237" s="14" t="str">
        <f t="shared" si="19"/>
        <v/>
      </c>
      <c r="F237" s="15" t="str">
        <f t="shared" ca="1" si="20"/>
        <v/>
      </c>
      <c r="G237" s="15" t="str">
        <f t="shared" ca="1" si="21"/>
        <v/>
      </c>
      <c r="H237" s="15" t="str">
        <f t="shared" ca="1" si="22"/>
        <v/>
      </c>
      <c r="I237" s="16" t="str">
        <f t="shared" ca="1" si="23"/>
        <v/>
      </c>
    </row>
    <row r="238" spans="1:9" x14ac:dyDescent="0.3">
      <c r="A238" s="3"/>
      <c r="B238" s="9"/>
      <c r="C238" s="9"/>
      <c r="E238" s="14" t="str">
        <f t="shared" si="19"/>
        <v/>
      </c>
      <c r="F238" s="15" t="str">
        <f t="shared" ca="1" si="20"/>
        <v/>
      </c>
      <c r="G238" s="15" t="str">
        <f t="shared" ca="1" si="21"/>
        <v/>
      </c>
      <c r="H238" s="15" t="str">
        <f t="shared" ca="1" si="22"/>
        <v/>
      </c>
      <c r="I238" s="16" t="str">
        <f t="shared" ca="1" si="23"/>
        <v/>
      </c>
    </row>
    <row r="239" spans="1:9" x14ac:dyDescent="0.3">
      <c r="A239" s="3"/>
      <c r="B239" s="9"/>
      <c r="C239" s="9"/>
      <c r="E239" s="14" t="str">
        <f t="shared" si="19"/>
        <v/>
      </c>
      <c r="F239" s="15" t="str">
        <f t="shared" ca="1" si="20"/>
        <v/>
      </c>
      <c r="G239" s="15" t="str">
        <f t="shared" ca="1" si="21"/>
        <v/>
      </c>
      <c r="H239" s="15" t="str">
        <f t="shared" ca="1" si="22"/>
        <v/>
      </c>
      <c r="I239" s="16" t="str">
        <f t="shared" ca="1" si="23"/>
        <v/>
      </c>
    </row>
    <row r="240" spans="1:9" x14ac:dyDescent="0.3">
      <c r="A240" s="3"/>
      <c r="B240" s="9"/>
      <c r="C240" s="9"/>
      <c r="E240" s="14" t="str">
        <f t="shared" si="19"/>
        <v/>
      </c>
      <c r="F240" s="15" t="str">
        <f t="shared" ca="1" si="20"/>
        <v/>
      </c>
      <c r="G240" s="15" t="str">
        <f t="shared" ca="1" si="21"/>
        <v/>
      </c>
      <c r="H240" s="15" t="str">
        <f t="shared" ca="1" si="22"/>
        <v/>
      </c>
      <c r="I240" s="16" t="str">
        <f t="shared" ca="1" si="23"/>
        <v/>
      </c>
    </row>
    <row r="241" spans="1:9" x14ac:dyDescent="0.3">
      <c r="A241" s="3"/>
      <c r="B241" s="9"/>
      <c r="C241" s="9"/>
      <c r="E241" s="14" t="str">
        <f t="shared" si="19"/>
        <v/>
      </c>
      <c r="F241" s="15" t="str">
        <f t="shared" ca="1" si="20"/>
        <v/>
      </c>
      <c r="G241" s="15" t="str">
        <f t="shared" ca="1" si="21"/>
        <v/>
      </c>
      <c r="H241" s="15" t="str">
        <f t="shared" ca="1" si="22"/>
        <v/>
      </c>
      <c r="I241" s="16" t="str">
        <f t="shared" ca="1" si="23"/>
        <v/>
      </c>
    </row>
    <row r="242" spans="1:9" x14ac:dyDescent="0.3">
      <c r="A242" s="3"/>
      <c r="B242" s="9"/>
      <c r="C242" s="9"/>
      <c r="E242" s="14" t="str">
        <f t="shared" si="19"/>
        <v/>
      </c>
      <c r="F242" s="15" t="str">
        <f t="shared" ca="1" si="20"/>
        <v/>
      </c>
      <c r="G242" s="15" t="str">
        <f t="shared" ca="1" si="21"/>
        <v/>
      </c>
      <c r="H242" s="15" t="str">
        <f t="shared" ca="1" si="22"/>
        <v/>
      </c>
      <c r="I242" s="16" t="str">
        <f t="shared" ca="1" si="23"/>
        <v/>
      </c>
    </row>
    <row r="243" spans="1:9" x14ac:dyDescent="0.3">
      <c r="A243" s="3"/>
      <c r="B243" s="9"/>
      <c r="C243" s="9"/>
      <c r="E243" s="14" t="str">
        <f t="shared" si="19"/>
        <v/>
      </c>
      <c r="F243" s="15" t="str">
        <f t="shared" ca="1" si="20"/>
        <v/>
      </c>
      <c r="G243" s="15" t="str">
        <f t="shared" ca="1" si="21"/>
        <v/>
      </c>
      <c r="H243" s="15" t="str">
        <f t="shared" ca="1" si="22"/>
        <v/>
      </c>
      <c r="I243" s="16" t="str">
        <f t="shared" ca="1" si="23"/>
        <v/>
      </c>
    </row>
    <row r="244" spans="1:9" x14ac:dyDescent="0.3">
      <c r="A244" s="3"/>
      <c r="B244" s="9"/>
      <c r="C244" s="9"/>
      <c r="E244" s="14" t="str">
        <f t="shared" si="19"/>
        <v/>
      </c>
      <c r="F244" s="15" t="str">
        <f t="shared" ca="1" si="20"/>
        <v/>
      </c>
      <c r="G244" s="15" t="str">
        <f t="shared" ca="1" si="21"/>
        <v/>
      </c>
      <c r="H244" s="15" t="str">
        <f t="shared" ca="1" si="22"/>
        <v/>
      </c>
      <c r="I244" s="16" t="str">
        <f t="shared" ca="1" si="23"/>
        <v/>
      </c>
    </row>
    <row r="245" spans="1:9" x14ac:dyDescent="0.3">
      <c r="A245" s="3"/>
      <c r="B245" s="9"/>
      <c r="C245" s="9"/>
      <c r="E245" s="14" t="str">
        <f t="shared" si="19"/>
        <v/>
      </c>
      <c r="F245" s="15" t="str">
        <f t="shared" ca="1" si="20"/>
        <v/>
      </c>
      <c r="G245" s="15" t="str">
        <f t="shared" ca="1" si="21"/>
        <v/>
      </c>
      <c r="H245" s="15" t="str">
        <f t="shared" ca="1" si="22"/>
        <v/>
      </c>
      <c r="I245" s="16" t="str">
        <f t="shared" ca="1" si="23"/>
        <v/>
      </c>
    </row>
    <row r="246" spans="1:9" x14ac:dyDescent="0.3">
      <c r="A246" s="3"/>
      <c r="B246" s="9"/>
      <c r="C246" s="9"/>
      <c r="E246" s="14" t="str">
        <f t="shared" si="19"/>
        <v/>
      </c>
      <c r="F246" s="15" t="str">
        <f t="shared" ca="1" si="20"/>
        <v/>
      </c>
      <c r="G246" s="15" t="str">
        <f t="shared" ca="1" si="21"/>
        <v/>
      </c>
      <c r="H246" s="15" t="str">
        <f t="shared" ca="1" si="22"/>
        <v/>
      </c>
      <c r="I246" s="16" t="str">
        <f t="shared" ca="1" si="23"/>
        <v/>
      </c>
    </row>
    <row r="247" spans="1:9" x14ac:dyDescent="0.3">
      <c r="A247" s="3"/>
      <c r="B247" s="9"/>
      <c r="C247" s="9"/>
      <c r="E247" s="14" t="str">
        <f t="shared" si="19"/>
        <v/>
      </c>
      <c r="F247" s="15" t="str">
        <f t="shared" ca="1" si="20"/>
        <v/>
      </c>
      <c r="G247" s="15" t="str">
        <f t="shared" ca="1" si="21"/>
        <v/>
      </c>
      <c r="H247" s="15" t="str">
        <f t="shared" ca="1" si="22"/>
        <v/>
      </c>
      <c r="I247" s="16" t="str">
        <f t="shared" ca="1" si="23"/>
        <v/>
      </c>
    </row>
    <row r="248" spans="1:9" x14ac:dyDescent="0.3">
      <c r="A248" s="3"/>
      <c r="B248" s="9"/>
      <c r="C248" s="9"/>
      <c r="E248" s="14" t="str">
        <f t="shared" si="19"/>
        <v/>
      </c>
      <c r="F248" s="15" t="str">
        <f t="shared" ca="1" si="20"/>
        <v/>
      </c>
      <c r="G248" s="15" t="str">
        <f t="shared" ca="1" si="21"/>
        <v/>
      </c>
      <c r="H248" s="15" t="str">
        <f t="shared" ca="1" si="22"/>
        <v/>
      </c>
      <c r="I248" s="16" t="str">
        <f t="shared" ca="1" si="23"/>
        <v/>
      </c>
    </row>
    <row r="249" spans="1:9" x14ac:dyDescent="0.3">
      <c r="A249" s="3"/>
      <c r="B249" s="9"/>
      <c r="C249" s="9"/>
      <c r="E249" s="14" t="str">
        <f t="shared" si="19"/>
        <v/>
      </c>
      <c r="F249" s="15" t="str">
        <f t="shared" ca="1" si="20"/>
        <v/>
      </c>
      <c r="G249" s="15" t="str">
        <f t="shared" ca="1" si="21"/>
        <v/>
      </c>
      <c r="H249" s="15" t="str">
        <f t="shared" ca="1" si="22"/>
        <v/>
      </c>
      <c r="I249" s="16" t="str">
        <f t="shared" ca="1" si="23"/>
        <v/>
      </c>
    </row>
    <row r="250" spans="1:9" x14ac:dyDescent="0.3">
      <c r="A250" s="3"/>
      <c r="B250" s="9"/>
      <c r="C250" s="9"/>
      <c r="E250" s="14" t="str">
        <f t="shared" si="19"/>
        <v/>
      </c>
      <c r="F250" s="15" t="str">
        <f t="shared" ca="1" si="20"/>
        <v/>
      </c>
      <c r="G250" s="15" t="str">
        <f t="shared" ca="1" si="21"/>
        <v/>
      </c>
      <c r="H250" s="15" t="str">
        <f t="shared" ca="1" si="22"/>
        <v/>
      </c>
      <c r="I250" s="16" t="str">
        <f t="shared" ca="1" si="23"/>
        <v/>
      </c>
    </row>
    <row r="251" spans="1:9" x14ac:dyDescent="0.3">
      <c r="A251" s="3"/>
      <c r="B251" s="9"/>
      <c r="C251" s="9"/>
      <c r="E251" s="14" t="str">
        <f t="shared" si="19"/>
        <v/>
      </c>
      <c r="F251" s="15" t="str">
        <f t="shared" ca="1" si="20"/>
        <v/>
      </c>
      <c r="G251" s="15" t="str">
        <f t="shared" ca="1" si="21"/>
        <v/>
      </c>
      <c r="H251" s="15" t="str">
        <f t="shared" ca="1" si="22"/>
        <v/>
      </c>
      <c r="I251" s="16" t="str">
        <f t="shared" ca="1" si="23"/>
        <v/>
      </c>
    </row>
    <row r="252" spans="1:9" x14ac:dyDescent="0.3">
      <c r="A252" s="3"/>
      <c r="B252" s="9"/>
      <c r="C252" s="9"/>
      <c r="E252" s="14" t="str">
        <f t="shared" si="19"/>
        <v/>
      </c>
      <c r="F252" s="15" t="str">
        <f t="shared" ca="1" si="20"/>
        <v/>
      </c>
      <c r="G252" s="15" t="str">
        <f t="shared" ca="1" si="21"/>
        <v/>
      </c>
      <c r="H252" s="15" t="str">
        <f t="shared" ca="1" si="22"/>
        <v/>
      </c>
      <c r="I252" s="16" t="str">
        <f t="shared" ca="1" si="23"/>
        <v/>
      </c>
    </row>
    <row r="253" spans="1:9" x14ac:dyDescent="0.3">
      <c r="A253" s="3"/>
      <c r="B253" s="9"/>
      <c r="C253" s="9"/>
      <c r="E253" s="14" t="str">
        <f t="shared" si="19"/>
        <v/>
      </c>
      <c r="F253" s="15" t="str">
        <f t="shared" ca="1" si="20"/>
        <v/>
      </c>
      <c r="G253" s="15" t="str">
        <f t="shared" ca="1" si="21"/>
        <v/>
      </c>
      <c r="H253" s="15" t="str">
        <f t="shared" ca="1" si="22"/>
        <v/>
      </c>
      <c r="I253" s="16" t="str">
        <f t="shared" ca="1" si="23"/>
        <v/>
      </c>
    </row>
    <row r="254" spans="1:9" x14ac:dyDescent="0.3">
      <c r="A254" s="3"/>
      <c r="B254" s="9"/>
      <c r="C254" s="9"/>
      <c r="E254" s="14" t="str">
        <f t="shared" si="19"/>
        <v/>
      </c>
      <c r="F254" s="15" t="str">
        <f t="shared" ca="1" si="20"/>
        <v/>
      </c>
      <c r="G254" s="15" t="str">
        <f t="shared" ca="1" si="21"/>
        <v/>
      </c>
      <c r="H254" s="15" t="str">
        <f t="shared" ca="1" si="22"/>
        <v/>
      </c>
      <c r="I254" s="16" t="str">
        <f t="shared" ca="1" si="23"/>
        <v/>
      </c>
    </row>
    <row r="255" spans="1:9" x14ac:dyDescent="0.3">
      <c r="A255" s="3"/>
      <c r="B255" s="9"/>
      <c r="C255" s="9"/>
      <c r="E255" s="14" t="str">
        <f t="shared" si="19"/>
        <v/>
      </c>
      <c r="F255" s="15" t="str">
        <f t="shared" ca="1" si="20"/>
        <v/>
      </c>
      <c r="G255" s="15" t="str">
        <f t="shared" ca="1" si="21"/>
        <v/>
      </c>
      <c r="H255" s="15" t="str">
        <f t="shared" ca="1" si="22"/>
        <v/>
      </c>
      <c r="I255" s="16" t="str">
        <f t="shared" ca="1" si="23"/>
        <v/>
      </c>
    </row>
    <row r="256" spans="1:9" x14ac:dyDescent="0.3">
      <c r="A256" s="3"/>
      <c r="B256" s="9"/>
      <c r="C256" s="9"/>
      <c r="E256" s="14" t="str">
        <f t="shared" si="19"/>
        <v/>
      </c>
      <c r="F256" s="15" t="str">
        <f t="shared" ca="1" si="20"/>
        <v/>
      </c>
      <c r="G256" s="15" t="str">
        <f t="shared" ca="1" si="21"/>
        <v/>
      </c>
      <c r="H256" s="15" t="str">
        <f t="shared" ca="1" si="22"/>
        <v/>
      </c>
      <c r="I256" s="16" t="str">
        <f t="shared" ca="1" si="23"/>
        <v/>
      </c>
    </row>
    <row r="257" spans="1:9" x14ac:dyDescent="0.3">
      <c r="A257" s="3"/>
      <c r="B257" s="9"/>
      <c r="C257" s="9"/>
      <c r="E257" s="14" t="str">
        <f t="shared" si="19"/>
        <v/>
      </c>
      <c r="F257" s="15" t="str">
        <f t="shared" ca="1" si="20"/>
        <v/>
      </c>
      <c r="G257" s="15" t="str">
        <f t="shared" ca="1" si="21"/>
        <v/>
      </c>
      <c r="H257" s="15" t="str">
        <f t="shared" ca="1" si="22"/>
        <v/>
      </c>
      <c r="I257" s="16" t="str">
        <f t="shared" ca="1" si="23"/>
        <v/>
      </c>
    </row>
    <row r="258" spans="1:9" x14ac:dyDescent="0.3">
      <c r="A258" s="3"/>
      <c r="B258" s="9"/>
      <c r="C258" s="9"/>
      <c r="E258" s="14" t="str">
        <f t="shared" si="19"/>
        <v/>
      </c>
      <c r="F258" s="15" t="str">
        <f t="shared" ca="1" si="20"/>
        <v/>
      </c>
      <c r="G258" s="15" t="str">
        <f t="shared" ca="1" si="21"/>
        <v/>
      </c>
      <c r="H258" s="15" t="str">
        <f t="shared" ca="1" si="22"/>
        <v/>
      </c>
      <c r="I258" s="16" t="str">
        <f t="shared" ca="1" si="23"/>
        <v/>
      </c>
    </row>
    <row r="259" spans="1:9" x14ac:dyDescent="0.3">
      <c r="A259" s="3"/>
      <c r="B259" s="9"/>
      <c r="C259" s="9"/>
      <c r="E259" s="14" t="str">
        <f t="shared" ref="E259:E322" si="24">IF(ISNUMBER(B259),B259/C259,"")</f>
        <v/>
      </c>
      <c r="F259" s="15" t="str">
        <f t="shared" ca="1" si="20"/>
        <v/>
      </c>
      <c r="G259" s="15" t="str">
        <f t="shared" ca="1" si="21"/>
        <v/>
      </c>
      <c r="H259" s="15" t="str">
        <f t="shared" ca="1" si="22"/>
        <v/>
      </c>
      <c r="I259" s="16" t="str">
        <f t="shared" ca="1" si="23"/>
        <v/>
      </c>
    </row>
    <row r="260" spans="1:9" x14ac:dyDescent="0.3">
      <c r="A260" s="3"/>
      <c r="B260" s="9"/>
      <c r="C260" s="9"/>
      <c r="E260" s="14" t="str">
        <f t="shared" si="24"/>
        <v/>
      </c>
      <c r="F260" s="15" t="str">
        <f t="shared" ca="1" si="20"/>
        <v/>
      </c>
      <c r="G260" s="15" t="str">
        <f t="shared" ca="1" si="21"/>
        <v/>
      </c>
      <c r="H260" s="15" t="str">
        <f t="shared" ca="1" si="22"/>
        <v/>
      </c>
      <c r="I260" s="16" t="str">
        <f t="shared" ca="1" si="23"/>
        <v/>
      </c>
    </row>
    <row r="261" spans="1:9" x14ac:dyDescent="0.3">
      <c r="A261" s="3"/>
      <c r="B261" s="9"/>
      <c r="C261" s="9"/>
      <c r="E261" s="14" t="str">
        <f t="shared" si="24"/>
        <v/>
      </c>
      <c r="F261" s="15" t="str">
        <f t="shared" ca="1" si="20"/>
        <v/>
      </c>
      <c r="G261" s="15" t="str">
        <f t="shared" ca="1" si="21"/>
        <v/>
      </c>
      <c r="H261" s="15" t="str">
        <f t="shared" ca="1" si="22"/>
        <v/>
      </c>
      <c r="I261" s="16" t="str">
        <f t="shared" ca="1" si="23"/>
        <v/>
      </c>
    </row>
    <row r="262" spans="1:9" x14ac:dyDescent="0.3">
      <c r="A262" s="3"/>
      <c r="B262" s="9"/>
      <c r="C262" s="9"/>
      <c r="E262" s="14" t="str">
        <f t="shared" si="24"/>
        <v/>
      </c>
      <c r="F262" s="15" t="str">
        <f t="shared" ca="1" si="20"/>
        <v/>
      </c>
      <c r="G262" s="15" t="str">
        <f t="shared" ca="1" si="21"/>
        <v/>
      </c>
      <c r="H262" s="15" t="str">
        <f t="shared" ca="1" si="22"/>
        <v/>
      </c>
      <c r="I262" s="16" t="str">
        <f t="shared" ca="1" si="23"/>
        <v/>
      </c>
    </row>
    <row r="263" spans="1:9" x14ac:dyDescent="0.3">
      <c r="A263" s="3"/>
      <c r="B263" s="9"/>
      <c r="C263" s="9"/>
      <c r="E263" s="14" t="str">
        <f t="shared" si="24"/>
        <v/>
      </c>
      <c r="F263" s="15" t="str">
        <f t="shared" ca="1" si="20"/>
        <v/>
      </c>
      <c r="G263" s="15" t="str">
        <f t="shared" ca="1" si="21"/>
        <v/>
      </c>
      <c r="H263" s="15" t="str">
        <f t="shared" ca="1" si="22"/>
        <v/>
      </c>
      <c r="I263" s="16" t="str">
        <f t="shared" ca="1" si="23"/>
        <v/>
      </c>
    </row>
    <row r="264" spans="1:9" x14ac:dyDescent="0.3">
      <c r="A264" s="3"/>
      <c r="B264" s="9"/>
      <c r="C264" s="9"/>
      <c r="E264" s="14" t="str">
        <f t="shared" si="24"/>
        <v/>
      </c>
      <c r="F264" s="15" t="str">
        <f t="shared" ca="1" si="20"/>
        <v/>
      </c>
      <c r="G264" s="15" t="str">
        <f t="shared" ca="1" si="21"/>
        <v/>
      </c>
      <c r="H264" s="15" t="str">
        <f t="shared" ca="1" si="22"/>
        <v/>
      </c>
      <c r="I264" s="16" t="str">
        <f t="shared" ca="1" si="23"/>
        <v/>
      </c>
    </row>
    <row r="265" spans="1:9" x14ac:dyDescent="0.3">
      <c r="A265" s="3"/>
      <c r="B265" s="9"/>
      <c r="C265" s="9"/>
      <c r="E265" s="14" t="str">
        <f t="shared" si="24"/>
        <v/>
      </c>
      <c r="F265" s="15" t="str">
        <f t="shared" ca="1" si="20"/>
        <v/>
      </c>
      <c r="G265" s="15" t="str">
        <f t="shared" ca="1" si="21"/>
        <v/>
      </c>
      <c r="H265" s="15" t="str">
        <f t="shared" ca="1" si="22"/>
        <v/>
      </c>
      <c r="I265" s="16" t="str">
        <f t="shared" ca="1" si="23"/>
        <v/>
      </c>
    </row>
    <row r="266" spans="1:9" x14ac:dyDescent="0.3">
      <c r="A266" s="3"/>
      <c r="B266" s="9"/>
      <c r="C266" s="9"/>
      <c r="E266" s="14" t="str">
        <f t="shared" si="24"/>
        <v/>
      </c>
      <c r="F266" s="15" t="str">
        <f t="shared" ca="1" si="20"/>
        <v/>
      </c>
      <c r="G266" s="15" t="str">
        <f t="shared" ca="1" si="21"/>
        <v/>
      </c>
      <c r="H266" s="15" t="str">
        <f t="shared" ca="1" si="22"/>
        <v/>
      </c>
      <c r="I266" s="16" t="str">
        <f t="shared" ca="1" si="23"/>
        <v/>
      </c>
    </row>
    <row r="267" spans="1:9" x14ac:dyDescent="0.3">
      <c r="A267" s="3"/>
      <c r="B267" s="9"/>
      <c r="C267" s="9"/>
      <c r="E267" s="14" t="str">
        <f t="shared" si="24"/>
        <v/>
      </c>
      <c r="F267" s="15" t="str">
        <f t="shared" ca="1" si="20"/>
        <v/>
      </c>
      <c r="G267" s="15" t="str">
        <f t="shared" ca="1" si="21"/>
        <v/>
      </c>
      <c r="H267" s="15" t="str">
        <f t="shared" ca="1" si="22"/>
        <v/>
      </c>
      <c r="I267" s="16" t="str">
        <f t="shared" ca="1" si="23"/>
        <v/>
      </c>
    </row>
    <row r="268" spans="1:9" x14ac:dyDescent="0.3">
      <c r="A268" s="3"/>
      <c r="B268" s="9"/>
      <c r="C268" s="9"/>
      <c r="E268" s="14" t="str">
        <f t="shared" si="24"/>
        <v/>
      </c>
      <c r="F268" s="15" t="str">
        <f t="shared" ca="1" si="20"/>
        <v/>
      </c>
      <c r="G268" s="15" t="str">
        <f t="shared" ca="1" si="21"/>
        <v/>
      </c>
      <c r="H268" s="15" t="str">
        <f t="shared" ca="1" si="22"/>
        <v/>
      </c>
      <c r="I268" s="16" t="str">
        <f t="shared" ca="1" si="23"/>
        <v/>
      </c>
    </row>
    <row r="269" spans="1:9" x14ac:dyDescent="0.3">
      <c r="A269" s="3"/>
      <c r="B269" s="9"/>
      <c r="C269" s="9"/>
      <c r="E269" s="14" t="str">
        <f t="shared" si="24"/>
        <v/>
      </c>
      <c r="F269" s="15" t="str">
        <f t="shared" ca="1" si="20"/>
        <v/>
      </c>
      <c r="G269" s="15" t="str">
        <f t="shared" ca="1" si="21"/>
        <v/>
      </c>
      <c r="H269" s="15" t="str">
        <f t="shared" ca="1" si="22"/>
        <v/>
      </c>
      <c r="I269" s="16" t="str">
        <f t="shared" ca="1" si="23"/>
        <v/>
      </c>
    </row>
    <row r="270" spans="1:9" x14ac:dyDescent="0.3">
      <c r="A270" s="3"/>
      <c r="B270" s="9"/>
      <c r="C270" s="9"/>
      <c r="E270" s="14" t="str">
        <f t="shared" si="24"/>
        <v/>
      </c>
      <c r="F270" s="15" t="str">
        <f t="shared" ca="1" si="20"/>
        <v/>
      </c>
      <c r="G270" s="15" t="str">
        <f t="shared" ca="1" si="21"/>
        <v/>
      </c>
      <c r="H270" s="15" t="str">
        <f t="shared" ca="1" si="22"/>
        <v/>
      </c>
      <c r="I270" s="16" t="str">
        <f t="shared" ca="1" si="23"/>
        <v/>
      </c>
    </row>
    <row r="271" spans="1:9" x14ac:dyDescent="0.3">
      <c r="A271" s="3"/>
      <c r="B271" s="9"/>
      <c r="C271" s="9"/>
      <c r="E271" s="14" t="str">
        <f t="shared" si="24"/>
        <v/>
      </c>
      <c r="F271" s="15" t="str">
        <f t="shared" ca="1" si="20"/>
        <v/>
      </c>
      <c r="G271" s="15" t="str">
        <f t="shared" ca="1" si="21"/>
        <v/>
      </c>
      <c r="H271" s="15" t="str">
        <f t="shared" ca="1" si="22"/>
        <v/>
      </c>
      <c r="I271" s="16" t="str">
        <f t="shared" ca="1" si="23"/>
        <v/>
      </c>
    </row>
    <row r="272" spans="1:9" x14ac:dyDescent="0.3">
      <c r="A272" s="3"/>
      <c r="B272" s="9"/>
      <c r="C272" s="9"/>
      <c r="E272" s="14" t="str">
        <f t="shared" si="24"/>
        <v/>
      </c>
      <c r="F272" s="15" t="str">
        <f t="shared" ca="1" si="20"/>
        <v/>
      </c>
      <c r="G272" s="15" t="str">
        <f t="shared" ca="1" si="21"/>
        <v/>
      </c>
      <c r="H272" s="15" t="str">
        <f t="shared" ca="1" si="22"/>
        <v/>
      </c>
      <c r="I272" s="16" t="str">
        <f t="shared" ca="1" si="23"/>
        <v/>
      </c>
    </row>
    <row r="273" spans="1:9" x14ac:dyDescent="0.3">
      <c r="A273" s="3"/>
      <c r="B273" s="9"/>
      <c r="C273" s="9"/>
      <c r="E273" s="14" t="str">
        <f t="shared" si="24"/>
        <v/>
      </c>
      <c r="F273" s="15" t="str">
        <f t="shared" ref="F273:F336" ca="1" si="25">IF(ISNUMBER(E273),IF(ROW(E273)&gt;$K$1,AVERAGE(OFFSET(E273,0,0,-$K$1)),""),"")</f>
        <v/>
      </c>
      <c r="G273" s="15" t="str">
        <f t="shared" ref="G273:G336" ca="1" si="26">IF(ISNUMBER(I273),F273+I273*$M$1,"")</f>
        <v/>
      </c>
      <c r="H273" s="15" t="str">
        <f t="shared" ref="H273:H336" ca="1" si="27">IF(ISNUMBER(I273),F273-I273*$M$1,"")</f>
        <v/>
      </c>
      <c r="I273" s="16" t="str">
        <f t="shared" ref="I273:I336" ca="1" si="28">IF(ISNUMBER(E273),IF(ROW(E273)&gt;$K$1,_xlfn.STDEV.P(OFFSET(E273,0,0,-$K$1)),""),"")</f>
        <v/>
      </c>
    </row>
    <row r="274" spans="1:9" x14ac:dyDescent="0.3">
      <c r="A274" s="3"/>
      <c r="B274" s="9"/>
      <c r="C274" s="9"/>
      <c r="E274" s="14" t="str">
        <f t="shared" si="24"/>
        <v/>
      </c>
      <c r="F274" s="15" t="str">
        <f t="shared" ca="1" si="25"/>
        <v/>
      </c>
      <c r="G274" s="15" t="str">
        <f t="shared" ca="1" si="26"/>
        <v/>
      </c>
      <c r="H274" s="15" t="str">
        <f t="shared" ca="1" si="27"/>
        <v/>
      </c>
      <c r="I274" s="16" t="str">
        <f t="shared" ca="1" si="28"/>
        <v/>
      </c>
    </row>
    <row r="275" spans="1:9" x14ac:dyDescent="0.3">
      <c r="A275" s="3"/>
      <c r="B275" s="9"/>
      <c r="C275" s="9"/>
      <c r="E275" s="14" t="str">
        <f t="shared" si="24"/>
        <v/>
      </c>
      <c r="F275" s="15" t="str">
        <f t="shared" ca="1" si="25"/>
        <v/>
      </c>
      <c r="G275" s="15" t="str">
        <f t="shared" ca="1" si="26"/>
        <v/>
      </c>
      <c r="H275" s="15" t="str">
        <f t="shared" ca="1" si="27"/>
        <v/>
      </c>
      <c r="I275" s="16" t="str">
        <f t="shared" ca="1" si="28"/>
        <v/>
      </c>
    </row>
    <row r="276" spans="1:9" x14ac:dyDescent="0.3">
      <c r="A276" s="3"/>
      <c r="B276" s="9"/>
      <c r="C276" s="9"/>
      <c r="E276" s="14" t="str">
        <f t="shared" si="24"/>
        <v/>
      </c>
      <c r="F276" s="15" t="str">
        <f t="shared" ca="1" si="25"/>
        <v/>
      </c>
      <c r="G276" s="15" t="str">
        <f t="shared" ca="1" si="26"/>
        <v/>
      </c>
      <c r="H276" s="15" t="str">
        <f t="shared" ca="1" si="27"/>
        <v/>
      </c>
      <c r="I276" s="16" t="str">
        <f t="shared" ca="1" si="28"/>
        <v/>
      </c>
    </row>
    <row r="277" spans="1:9" x14ac:dyDescent="0.3">
      <c r="A277" s="3"/>
      <c r="B277" s="9"/>
      <c r="C277" s="9"/>
      <c r="E277" s="14" t="str">
        <f t="shared" si="24"/>
        <v/>
      </c>
      <c r="F277" s="15" t="str">
        <f t="shared" ca="1" si="25"/>
        <v/>
      </c>
      <c r="G277" s="15" t="str">
        <f t="shared" ca="1" si="26"/>
        <v/>
      </c>
      <c r="H277" s="15" t="str">
        <f t="shared" ca="1" si="27"/>
        <v/>
      </c>
      <c r="I277" s="16" t="str">
        <f t="shared" ca="1" si="28"/>
        <v/>
      </c>
    </row>
    <row r="278" spans="1:9" x14ac:dyDescent="0.3">
      <c r="A278" s="3"/>
      <c r="B278" s="9"/>
      <c r="C278" s="9"/>
      <c r="E278" s="14" t="str">
        <f t="shared" si="24"/>
        <v/>
      </c>
      <c r="F278" s="15" t="str">
        <f t="shared" ca="1" si="25"/>
        <v/>
      </c>
      <c r="G278" s="15" t="str">
        <f t="shared" ca="1" si="26"/>
        <v/>
      </c>
      <c r="H278" s="15" t="str">
        <f t="shared" ca="1" si="27"/>
        <v/>
      </c>
      <c r="I278" s="16" t="str">
        <f t="shared" ca="1" si="28"/>
        <v/>
      </c>
    </row>
    <row r="279" spans="1:9" x14ac:dyDescent="0.3">
      <c r="A279" s="3"/>
      <c r="B279" s="9"/>
      <c r="C279" s="9"/>
      <c r="E279" s="14" t="str">
        <f t="shared" si="24"/>
        <v/>
      </c>
      <c r="F279" s="15" t="str">
        <f t="shared" ca="1" si="25"/>
        <v/>
      </c>
      <c r="G279" s="15" t="str">
        <f t="shared" ca="1" si="26"/>
        <v/>
      </c>
      <c r="H279" s="15" t="str">
        <f t="shared" ca="1" si="27"/>
        <v/>
      </c>
      <c r="I279" s="16" t="str">
        <f t="shared" ca="1" si="28"/>
        <v/>
      </c>
    </row>
    <row r="280" spans="1:9" x14ac:dyDescent="0.3">
      <c r="A280" s="3"/>
      <c r="B280" s="9"/>
      <c r="C280" s="9"/>
      <c r="E280" s="14" t="str">
        <f t="shared" si="24"/>
        <v/>
      </c>
      <c r="F280" s="15" t="str">
        <f t="shared" ca="1" si="25"/>
        <v/>
      </c>
      <c r="G280" s="15" t="str">
        <f t="shared" ca="1" si="26"/>
        <v/>
      </c>
      <c r="H280" s="15" t="str">
        <f t="shared" ca="1" si="27"/>
        <v/>
      </c>
      <c r="I280" s="16" t="str">
        <f t="shared" ca="1" si="28"/>
        <v/>
      </c>
    </row>
    <row r="281" spans="1:9" x14ac:dyDescent="0.3">
      <c r="A281" s="3"/>
      <c r="B281" s="9"/>
      <c r="C281" s="9"/>
      <c r="E281" s="14" t="str">
        <f t="shared" si="24"/>
        <v/>
      </c>
      <c r="F281" s="15" t="str">
        <f t="shared" ca="1" si="25"/>
        <v/>
      </c>
      <c r="G281" s="15" t="str">
        <f t="shared" ca="1" si="26"/>
        <v/>
      </c>
      <c r="H281" s="15" t="str">
        <f t="shared" ca="1" si="27"/>
        <v/>
      </c>
      <c r="I281" s="16" t="str">
        <f t="shared" ca="1" si="28"/>
        <v/>
      </c>
    </row>
    <row r="282" spans="1:9" x14ac:dyDescent="0.3">
      <c r="A282" s="3"/>
      <c r="B282" s="9"/>
      <c r="C282" s="9"/>
      <c r="E282" s="14" t="str">
        <f t="shared" si="24"/>
        <v/>
      </c>
      <c r="F282" s="15" t="str">
        <f t="shared" ca="1" si="25"/>
        <v/>
      </c>
      <c r="G282" s="15" t="str">
        <f t="shared" ca="1" si="26"/>
        <v/>
      </c>
      <c r="H282" s="15" t="str">
        <f t="shared" ca="1" si="27"/>
        <v/>
      </c>
      <c r="I282" s="16" t="str">
        <f t="shared" ca="1" si="28"/>
        <v/>
      </c>
    </row>
    <row r="283" spans="1:9" x14ac:dyDescent="0.3">
      <c r="A283" s="3"/>
      <c r="B283" s="9"/>
      <c r="C283" s="9"/>
      <c r="E283" s="14" t="str">
        <f t="shared" si="24"/>
        <v/>
      </c>
      <c r="F283" s="15" t="str">
        <f t="shared" ca="1" si="25"/>
        <v/>
      </c>
      <c r="G283" s="15" t="str">
        <f t="shared" ca="1" si="26"/>
        <v/>
      </c>
      <c r="H283" s="15" t="str">
        <f t="shared" ca="1" si="27"/>
        <v/>
      </c>
      <c r="I283" s="16" t="str">
        <f t="shared" ca="1" si="28"/>
        <v/>
      </c>
    </row>
    <row r="284" spans="1:9" x14ac:dyDescent="0.3">
      <c r="A284" s="3"/>
      <c r="B284" s="9"/>
      <c r="C284" s="9"/>
      <c r="E284" s="14" t="str">
        <f t="shared" si="24"/>
        <v/>
      </c>
      <c r="F284" s="15" t="str">
        <f t="shared" ca="1" si="25"/>
        <v/>
      </c>
      <c r="G284" s="15" t="str">
        <f t="shared" ca="1" si="26"/>
        <v/>
      </c>
      <c r="H284" s="15" t="str">
        <f t="shared" ca="1" si="27"/>
        <v/>
      </c>
      <c r="I284" s="16" t="str">
        <f t="shared" ca="1" si="28"/>
        <v/>
      </c>
    </row>
    <row r="285" spans="1:9" x14ac:dyDescent="0.3">
      <c r="A285" s="3"/>
      <c r="B285" s="9"/>
      <c r="C285" s="9"/>
      <c r="E285" s="14" t="str">
        <f t="shared" si="24"/>
        <v/>
      </c>
      <c r="F285" s="15" t="str">
        <f t="shared" ca="1" si="25"/>
        <v/>
      </c>
      <c r="G285" s="15" t="str">
        <f t="shared" ca="1" si="26"/>
        <v/>
      </c>
      <c r="H285" s="15" t="str">
        <f t="shared" ca="1" si="27"/>
        <v/>
      </c>
      <c r="I285" s="16" t="str">
        <f t="shared" ca="1" si="28"/>
        <v/>
      </c>
    </row>
    <row r="286" spans="1:9" x14ac:dyDescent="0.3">
      <c r="A286" s="3"/>
      <c r="B286" s="9"/>
      <c r="C286" s="9"/>
      <c r="E286" s="14" t="str">
        <f t="shared" si="24"/>
        <v/>
      </c>
      <c r="F286" s="15" t="str">
        <f t="shared" ca="1" si="25"/>
        <v/>
      </c>
      <c r="G286" s="15" t="str">
        <f t="shared" ca="1" si="26"/>
        <v/>
      </c>
      <c r="H286" s="15" t="str">
        <f t="shared" ca="1" si="27"/>
        <v/>
      </c>
      <c r="I286" s="16" t="str">
        <f t="shared" ca="1" si="28"/>
        <v/>
      </c>
    </row>
    <row r="287" spans="1:9" x14ac:dyDescent="0.3">
      <c r="A287" s="3"/>
      <c r="B287" s="9"/>
      <c r="C287" s="9"/>
      <c r="E287" s="14" t="str">
        <f t="shared" si="24"/>
        <v/>
      </c>
      <c r="F287" s="15" t="str">
        <f t="shared" ca="1" si="25"/>
        <v/>
      </c>
      <c r="G287" s="15" t="str">
        <f t="shared" ca="1" si="26"/>
        <v/>
      </c>
      <c r="H287" s="15" t="str">
        <f t="shared" ca="1" si="27"/>
        <v/>
      </c>
      <c r="I287" s="16" t="str">
        <f t="shared" ca="1" si="28"/>
        <v/>
      </c>
    </row>
    <row r="288" spans="1:9" x14ac:dyDescent="0.3">
      <c r="A288" s="3"/>
      <c r="B288" s="9"/>
      <c r="C288" s="9"/>
      <c r="E288" s="14" t="str">
        <f t="shared" si="24"/>
        <v/>
      </c>
      <c r="F288" s="15" t="str">
        <f t="shared" ca="1" si="25"/>
        <v/>
      </c>
      <c r="G288" s="15" t="str">
        <f t="shared" ca="1" si="26"/>
        <v/>
      </c>
      <c r="H288" s="15" t="str">
        <f t="shared" ca="1" si="27"/>
        <v/>
      </c>
      <c r="I288" s="16" t="str">
        <f t="shared" ca="1" si="28"/>
        <v/>
      </c>
    </row>
    <row r="289" spans="1:9" x14ac:dyDescent="0.3">
      <c r="A289" s="3"/>
      <c r="B289" s="9"/>
      <c r="C289" s="9"/>
      <c r="E289" s="14" t="str">
        <f t="shared" si="24"/>
        <v/>
      </c>
      <c r="F289" s="15" t="str">
        <f t="shared" ca="1" si="25"/>
        <v/>
      </c>
      <c r="G289" s="15" t="str">
        <f t="shared" ca="1" si="26"/>
        <v/>
      </c>
      <c r="H289" s="15" t="str">
        <f t="shared" ca="1" si="27"/>
        <v/>
      </c>
      <c r="I289" s="16" t="str">
        <f t="shared" ca="1" si="28"/>
        <v/>
      </c>
    </row>
    <row r="290" spans="1:9" x14ac:dyDescent="0.3">
      <c r="A290" s="3"/>
      <c r="B290" s="9"/>
      <c r="C290" s="9"/>
      <c r="E290" s="14" t="str">
        <f t="shared" si="24"/>
        <v/>
      </c>
      <c r="F290" s="15" t="str">
        <f t="shared" ca="1" si="25"/>
        <v/>
      </c>
      <c r="G290" s="15" t="str">
        <f t="shared" ca="1" si="26"/>
        <v/>
      </c>
      <c r="H290" s="15" t="str">
        <f t="shared" ca="1" si="27"/>
        <v/>
      </c>
      <c r="I290" s="16" t="str">
        <f t="shared" ca="1" si="28"/>
        <v/>
      </c>
    </row>
    <row r="291" spans="1:9" x14ac:dyDescent="0.3">
      <c r="A291" s="3"/>
      <c r="B291" s="9"/>
      <c r="C291" s="9"/>
      <c r="E291" s="14" t="str">
        <f t="shared" si="24"/>
        <v/>
      </c>
      <c r="F291" s="15" t="str">
        <f t="shared" ca="1" si="25"/>
        <v/>
      </c>
      <c r="G291" s="15" t="str">
        <f t="shared" ca="1" si="26"/>
        <v/>
      </c>
      <c r="H291" s="15" t="str">
        <f t="shared" ca="1" si="27"/>
        <v/>
      </c>
      <c r="I291" s="16" t="str">
        <f t="shared" ca="1" si="28"/>
        <v/>
      </c>
    </row>
    <row r="292" spans="1:9" x14ac:dyDescent="0.3">
      <c r="A292" s="3"/>
      <c r="B292" s="9"/>
      <c r="C292" s="9"/>
      <c r="E292" s="14" t="str">
        <f t="shared" si="24"/>
        <v/>
      </c>
      <c r="F292" s="15" t="str">
        <f t="shared" ca="1" si="25"/>
        <v/>
      </c>
      <c r="G292" s="15" t="str">
        <f t="shared" ca="1" si="26"/>
        <v/>
      </c>
      <c r="H292" s="15" t="str">
        <f t="shared" ca="1" si="27"/>
        <v/>
      </c>
      <c r="I292" s="16" t="str">
        <f t="shared" ca="1" si="28"/>
        <v/>
      </c>
    </row>
    <row r="293" spans="1:9" x14ac:dyDescent="0.3">
      <c r="A293" s="3"/>
      <c r="B293" s="9"/>
      <c r="C293" s="9"/>
      <c r="E293" s="14" t="str">
        <f t="shared" si="24"/>
        <v/>
      </c>
      <c r="F293" s="15" t="str">
        <f t="shared" ca="1" si="25"/>
        <v/>
      </c>
      <c r="G293" s="15" t="str">
        <f t="shared" ca="1" si="26"/>
        <v/>
      </c>
      <c r="H293" s="15" t="str">
        <f t="shared" ca="1" si="27"/>
        <v/>
      </c>
      <c r="I293" s="16" t="str">
        <f t="shared" ca="1" si="28"/>
        <v/>
      </c>
    </row>
    <row r="294" spans="1:9" x14ac:dyDescent="0.3">
      <c r="A294" s="3"/>
      <c r="B294" s="9"/>
      <c r="C294" s="9"/>
      <c r="E294" s="14" t="str">
        <f t="shared" si="24"/>
        <v/>
      </c>
      <c r="F294" s="15" t="str">
        <f t="shared" ca="1" si="25"/>
        <v/>
      </c>
      <c r="G294" s="15" t="str">
        <f t="shared" ca="1" si="26"/>
        <v/>
      </c>
      <c r="H294" s="15" t="str">
        <f t="shared" ca="1" si="27"/>
        <v/>
      </c>
      <c r="I294" s="16" t="str">
        <f t="shared" ca="1" si="28"/>
        <v/>
      </c>
    </row>
    <row r="295" spans="1:9" x14ac:dyDescent="0.3">
      <c r="A295" s="3"/>
      <c r="B295" s="9"/>
      <c r="C295" s="9"/>
      <c r="E295" s="14" t="str">
        <f t="shared" si="24"/>
        <v/>
      </c>
      <c r="F295" s="15" t="str">
        <f t="shared" ca="1" si="25"/>
        <v/>
      </c>
      <c r="G295" s="15" t="str">
        <f t="shared" ca="1" si="26"/>
        <v/>
      </c>
      <c r="H295" s="15" t="str">
        <f t="shared" ca="1" si="27"/>
        <v/>
      </c>
      <c r="I295" s="16" t="str">
        <f t="shared" ca="1" si="28"/>
        <v/>
      </c>
    </row>
    <row r="296" spans="1:9" x14ac:dyDescent="0.3">
      <c r="A296" s="3"/>
      <c r="B296" s="9"/>
      <c r="C296" s="9"/>
      <c r="E296" s="14" t="str">
        <f t="shared" si="24"/>
        <v/>
      </c>
      <c r="F296" s="15" t="str">
        <f t="shared" ca="1" si="25"/>
        <v/>
      </c>
      <c r="G296" s="15" t="str">
        <f t="shared" ca="1" si="26"/>
        <v/>
      </c>
      <c r="H296" s="15" t="str">
        <f t="shared" ca="1" si="27"/>
        <v/>
      </c>
      <c r="I296" s="16" t="str">
        <f t="shared" ca="1" si="28"/>
        <v/>
      </c>
    </row>
    <row r="297" spans="1:9" x14ac:dyDescent="0.3">
      <c r="A297" s="3"/>
      <c r="B297" s="9"/>
      <c r="C297" s="9"/>
      <c r="E297" s="14" t="str">
        <f t="shared" si="24"/>
        <v/>
      </c>
      <c r="F297" s="15" t="str">
        <f t="shared" ca="1" si="25"/>
        <v/>
      </c>
      <c r="G297" s="15" t="str">
        <f t="shared" ca="1" si="26"/>
        <v/>
      </c>
      <c r="H297" s="15" t="str">
        <f t="shared" ca="1" si="27"/>
        <v/>
      </c>
      <c r="I297" s="16" t="str">
        <f t="shared" ca="1" si="28"/>
        <v/>
      </c>
    </row>
    <row r="298" spans="1:9" x14ac:dyDescent="0.3">
      <c r="A298" s="3"/>
      <c r="B298" s="9"/>
      <c r="C298" s="9"/>
      <c r="E298" s="14" t="str">
        <f t="shared" si="24"/>
        <v/>
      </c>
      <c r="F298" s="15" t="str">
        <f t="shared" ca="1" si="25"/>
        <v/>
      </c>
      <c r="G298" s="15" t="str">
        <f t="shared" ca="1" si="26"/>
        <v/>
      </c>
      <c r="H298" s="15" t="str">
        <f t="shared" ca="1" si="27"/>
        <v/>
      </c>
      <c r="I298" s="16" t="str">
        <f t="shared" ca="1" si="28"/>
        <v/>
      </c>
    </row>
    <row r="299" spans="1:9" x14ac:dyDescent="0.3">
      <c r="A299" s="3"/>
      <c r="B299" s="9"/>
      <c r="C299" s="9"/>
      <c r="E299" s="14" t="str">
        <f t="shared" si="24"/>
        <v/>
      </c>
      <c r="F299" s="15" t="str">
        <f t="shared" ca="1" si="25"/>
        <v/>
      </c>
      <c r="G299" s="15" t="str">
        <f t="shared" ca="1" si="26"/>
        <v/>
      </c>
      <c r="H299" s="15" t="str">
        <f t="shared" ca="1" si="27"/>
        <v/>
      </c>
      <c r="I299" s="16" t="str">
        <f t="shared" ca="1" si="28"/>
        <v/>
      </c>
    </row>
    <row r="300" spans="1:9" x14ac:dyDescent="0.3">
      <c r="A300" s="3"/>
      <c r="B300" s="9"/>
      <c r="C300" s="9"/>
      <c r="E300" s="14" t="str">
        <f t="shared" si="24"/>
        <v/>
      </c>
      <c r="F300" s="15" t="str">
        <f t="shared" ca="1" si="25"/>
        <v/>
      </c>
      <c r="G300" s="15" t="str">
        <f t="shared" ca="1" si="26"/>
        <v/>
      </c>
      <c r="H300" s="15" t="str">
        <f t="shared" ca="1" si="27"/>
        <v/>
      </c>
      <c r="I300" s="16" t="str">
        <f t="shared" ca="1" si="28"/>
        <v/>
      </c>
    </row>
    <row r="301" spans="1:9" x14ac:dyDescent="0.3">
      <c r="A301" s="3"/>
      <c r="B301" s="9"/>
      <c r="C301" s="9"/>
      <c r="E301" s="14" t="str">
        <f t="shared" si="24"/>
        <v/>
      </c>
      <c r="F301" s="15" t="str">
        <f t="shared" ca="1" si="25"/>
        <v/>
      </c>
      <c r="G301" s="15" t="str">
        <f t="shared" ca="1" si="26"/>
        <v/>
      </c>
      <c r="H301" s="15" t="str">
        <f t="shared" ca="1" si="27"/>
        <v/>
      </c>
      <c r="I301" s="16" t="str">
        <f t="shared" ca="1" si="28"/>
        <v/>
      </c>
    </row>
    <row r="302" spans="1:9" x14ac:dyDescent="0.3">
      <c r="A302" s="3"/>
      <c r="B302" s="9"/>
      <c r="C302" s="9"/>
      <c r="E302" s="14" t="str">
        <f t="shared" si="24"/>
        <v/>
      </c>
      <c r="F302" s="15" t="str">
        <f t="shared" ca="1" si="25"/>
        <v/>
      </c>
      <c r="G302" s="15" t="str">
        <f t="shared" ca="1" si="26"/>
        <v/>
      </c>
      <c r="H302" s="15" t="str">
        <f t="shared" ca="1" si="27"/>
        <v/>
      </c>
      <c r="I302" s="16" t="str">
        <f t="shared" ca="1" si="28"/>
        <v/>
      </c>
    </row>
    <row r="303" spans="1:9" x14ac:dyDescent="0.3">
      <c r="A303" s="3"/>
      <c r="B303" s="9"/>
      <c r="C303" s="9"/>
      <c r="E303" s="14" t="str">
        <f t="shared" si="24"/>
        <v/>
      </c>
      <c r="F303" s="15" t="str">
        <f t="shared" ca="1" si="25"/>
        <v/>
      </c>
      <c r="G303" s="15" t="str">
        <f t="shared" ca="1" si="26"/>
        <v/>
      </c>
      <c r="H303" s="15" t="str">
        <f t="shared" ca="1" si="27"/>
        <v/>
      </c>
      <c r="I303" s="16" t="str">
        <f t="shared" ca="1" si="28"/>
        <v/>
      </c>
    </row>
    <row r="304" spans="1:9" x14ac:dyDescent="0.3">
      <c r="A304" s="3"/>
      <c r="B304" s="9"/>
      <c r="C304" s="9"/>
      <c r="E304" s="14" t="str">
        <f t="shared" si="24"/>
        <v/>
      </c>
      <c r="F304" s="15" t="str">
        <f t="shared" ca="1" si="25"/>
        <v/>
      </c>
      <c r="G304" s="15" t="str">
        <f t="shared" ca="1" si="26"/>
        <v/>
      </c>
      <c r="H304" s="15" t="str">
        <f t="shared" ca="1" si="27"/>
        <v/>
      </c>
      <c r="I304" s="16" t="str">
        <f t="shared" ca="1" si="28"/>
        <v/>
      </c>
    </row>
    <row r="305" spans="1:9" x14ac:dyDescent="0.3">
      <c r="A305" s="3"/>
      <c r="B305" s="9"/>
      <c r="C305" s="9"/>
      <c r="E305" s="14" t="str">
        <f t="shared" si="24"/>
        <v/>
      </c>
      <c r="F305" s="15" t="str">
        <f t="shared" ca="1" si="25"/>
        <v/>
      </c>
      <c r="G305" s="15" t="str">
        <f t="shared" ca="1" si="26"/>
        <v/>
      </c>
      <c r="H305" s="15" t="str">
        <f t="shared" ca="1" si="27"/>
        <v/>
      </c>
      <c r="I305" s="16" t="str">
        <f t="shared" ca="1" si="28"/>
        <v/>
      </c>
    </row>
    <row r="306" spans="1:9" x14ac:dyDescent="0.3">
      <c r="A306" s="3"/>
      <c r="B306" s="9"/>
      <c r="C306" s="9"/>
      <c r="E306" s="14" t="str">
        <f t="shared" si="24"/>
        <v/>
      </c>
      <c r="F306" s="15" t="str">
        <f t="shared" ca="1" si="25"/>
        <v/>
      </c>
      <c r="G306" s="15" t="str">
        <f t="shared" ca="1" si="26"/>
        <v/>
      </c>
      <c r="H306" s="15" t="str">
        <f t="shared" ca="1" si="27"/>
        <v/>
      </c>
      <c r="I306" s="16" t="str">
        <f t="shared" ca="1" si="28"/>
        <v/>
      </c>
    </row>
    <row r="307" spans="1:9" x14ac:dyDescent="0.3">
      <c r="A307" s="3"/>
      <c r="B307" s="9"/>
      <c r="C307" s="9"/>
      <c r="E307" s="14" t="str">
        <f t="shared" si="24"/>
        <v/>
      </c>
      <c r="F307" s="15" t="str">
        <f t="shared" ca="1" si="25"/>
        <v/>
      </c>
      <c r="G307" s="15" t="str">
        <f t="shared" ca="1" si="26"/>
        <v/>
      </c>
      <c r="H307" s="15" t="str">
        <f t="shared" ca="1" si="27"/>
        <v/>
      </c>
      <c r="I307" s="16" t="str">
        <f t="shared" ca="1" si="28"/>
        <v/>
      </c>
    </row>
    <row r="308" spans="1:9" x14ac:dyDescent="0.3">
      <c r="A308" s="3"/>
      <c r="B308" s="9"/>
      <c r="C308" s="9"/>
      <c r="E308" s="14" t="str">
        <f t="shared" si="24"/>
        <v/>
      </c>
      <c r="F308" s="15" t="str">
        <f t="shared" ca="1" si="25"/>
        <v/>
      </c>
      <c r="G308" s="15" t="str">
        <f t="shared" ca="1" si="26"/>
        <v/>
      </c>
      <c r="H308" s="15" t="str">
        <f t="shared" ca="1" si="27"/>
        <v/>
      </c>
      <c r="I308" s="16" t="str">
        <f t="shared" ca="1" si="28"/>
        <v/>
      </c>
    </row>
    <row r="309" spans="1:9" x14ac:dyDescent="0.3">
      <c r="A309" s="3"/>
      <c r="B309" s="9"/>
      <c r="C309" s="9"/>
      <c r="E309" s="14" t="str">
        <f t="shared" si="24"/>
        <v/>
      </c>
      <c r="F309" s="15" t="str">
        <f t="shared" ca="1" si="25"/>
        <v/>
      </c>
      <c r="G309" s="15" t="str">
        <f t="shared" ca="1" si="26"/>
        <v/>
      </c>
      <c r="H309" s="15" t="str">
        <f t="shared" ca="1" si="27"/>
        <v/>
      </c>
      <c r="I309" s="16" t="str">
        <f t="shared" ca="1" si="28"/>
        <v/>
      </c>
    </row>
    <row r="310" spans="1:9" x14ac:dyDescent="0.3">
      <c r="A310" s="3"/>
      <c r="B310" s="9"/>
      <c r="C310" s="9"/>
      <c r="E310" s="14" t="str">
        <f t="shared" si="24"/>
        <v/>
      </c>
      <c r="F310" s="15" t="str">
        <f t="shared" ca="1" si="25"/>
        <v/>
      </c>
      <c r="G310" s="15" t="str">
        <f t="shared" ca="1" si="26"/>
        <v/>
      </c>
      <c r="H310" s="15" t="str">
        <f t="shared" ca="1" si="27"/>
        <v/>
      </c>
      <c r="I310" s="16" t="str">
        <f t="shared" ca="1" si="28"/>
        <v/>
      </c>
    </row>
    <row r="311" spans="1:9" x14ac:dyDescent="0.3">
      <c r="A311" s="3"/>
      <c r="B311" s="9"/>
      <c r="C311" s="9"/>
      <c r="E311" s="14" t="str">
        <f t="shared" si="24"/>
        <v/>
      </c>
      <c r="F311" s="15" t="str">
        <f t="shared" ca="1" si="25"/>
        <v/>
      </c>
      <c r="G311" s="15" t="str">
        <f t="shared" ca="1" si="26"/>
        <v/>
      </c>
      <c r="H311" s="15" t="str">
        <f t="shared" ca="1" si="27"/>
        <v/>
      </c>
      <c r="I311" s="16" t="str">
        <f t="shared" ca="1" si="28"/>
        <v/>
      </c>
    </row>
    <row r="312" spans="1:9" x14ac:dyDescent="0.3">
      <c r="A312" s="3"/>
      <c r="B312" s="9"/>
      <c r="C312" s="9"/>
      <c r="E312" s="14" t="str">
        <f t="shared" si="24"/>
        <v/>
      </c>
      <c r="F312" s="15" t="str">
        <f t="shared" ca="1" si="25"/>
        <v/>
      </c>
      <c r="G312" s="15" t="str">
        <f t="shared" ca="1" si="26"/>
        <v/>
      </c>
      <c r="H312" s="15" t="str">
        <f t="shared" ca="1" si="27"/>
        <v/>
      </c>
      <c r="I312" s="16" t="str">
        <f t="shared" ca="1" si="28"/>
        <v/>
      </c>
    </row>
    <row r="313" spans="1:9" x14ac:dyDescent="0.3">
      <c r="A313" s="3"/>
      <c r="B313" s="9"/>
      <c r="C313" s="9"/>
      <c r="E313" s="14" t="str">
        <f t="shared" si="24"/>
        <v/>
      </c>
      <c r="F313" s="15" t="str">
        <f t="shared" ca="1" si="25"/>
        <v/>
      </c>
      <c r="G313" s="15" t="str">
        <f t="shared" ca="1" si="26"/>
        <v/>
      </c>
      <c r="H313" s="15" t="str">
        <f t="shared" ca="1" si="27"/>
        <v/>
      </c>
      <c r="I313" s="16" t="str">
        <f t="shared" ca="1" si="28"/>
        <v/>
      </c>
    </row>
    <row r="314" spans="1:9" x14ac:dyDescent="0.3">
      <c r="A314" s="3"/>
      <c r="B314" s="9"/>
      <c r="C314" s="9"/>
      <c r="E314" s="14" t="str">
        <f t="shared" si="24"/>
        <v/>
      </c>
      <c r="F314" s="15" t="str">
        <f t="shared" ca="1" si="25"/>
        <v/>
      </c>
      <c r="G314" s="15" t="str">
        <f t="shared" ca="1" si="26"/>
        <v/>
      </c>
      <c r="H314" s="15" t="str">
        <f t="shared" ca="1" si="27"/>
        <v/>
      </c>
      <c r="I314" s="16" t="str">
        <f t="shared" ca="1" si="28"/>
        <v/>
      </c>
    </row>
    <row r="315" spans="1:9" x14ac:dyDescent="0.3">
      <c r="A315" s="3"/>
      <c r="B315" s="9"/>
      <c r="C315" s="9"/>
      <c r="E315" s="14" t="str">
        <f t="shared" si="24"/>
        <v/>
      </c>
      <c r="F315" s="15" t="str">
        <f t="shared" ca="1" si="25"/>
        <v/>
      </c>
      <c r="G315" s="15" t="str">
        <f t="shared" ca="1" si="26"/>
        <v/>
      </c>
      <c r="H315" s="15" t="str">
        <f t="shared" ca="1" si="27"/>
        <v/>
      </c>
      <c r="I315" s="16" t="str">
        <f t="shared" ca="1" si="28"/>
        <v/>
      </c>
    </row>
    <row r="316" spans="1:9" x14ac:dyDescent="0.3">
      <c r="A316" s="3"/>
      <c r="B316" s="9"/>
      <c r="C316" s="9"/>
      <c r="E316" s="14" t="str">
        <f t="shared" si="24"/>
        <v/>
      </c>
      <c r="F316" s="15" t="str">
        <f t="shared" ca="1" si="25"/>
        <v/>
      </c>
      <c r="G316" s="15" t="str">
        <f t="shared" ca="1" si="26"/>
        <v/>
      </c>
      <c r="H316" s="15" t="str">
        <f t="shared" ca="1" si="27"/>
        <v/>
      </c>
      <c r="I316" s="16" t="str">
        <f t="shared" ca="1" si="28"/>
        <v/>
      </c>
    </row>
    <row r="317" spans="1:9" x14ac:dyDescent="0.3">
      <c r="A317" s="3"/>
      <c r="B317" s="9"/>
      <c r="C317" s="9"/>
      <c r="E317" s="14" t="str">
        <f t="shared" si="24"/>
        <v/>
      </c>
      <c r="F317" s="15" t="str">
        <f t="shared" ca="1" si="25"/>
        <v/>
      </c>
      <c r="G317" s="15" t="str">
        <f t="shared" ca="1" si="26"/>
        <v/>
      </c>
      <c r="H317" s="15" t="str">
        <f t="shared" ca="1" si="27"/>
        <v/>
      </c>
      <c r="I317" s="16" t="str">
        <f t="shared" ca="1" si="28"/>
        <v/>
      </c>
    </row>
    <row r="318" spans="1:9" x14ac:dyDescent="0.3">
      <c r="A318" s="3"/>
      <c r="B318" s="9"/>
      <c r="C318" s="9"/>
      <c r="E318" s="14" t="str">
        <f t="shared" si="24"/>
        <v/>
      </c>
      <c r="F318" s="15" t="str">
        <f t="shared" ca="1" si="25"/>
        <v/>
      </c>
      <c r="G318" s="15" t="str">
        <f t="shared" ca="1" si="26"/>
        <v/>
      </c>
      <c r="H318" s="15" t="str">
        <f t="shared" ca="1" si="27"/>
        <v/>
      </c>
      <c r="I318" s="16" t="str">
        <f t="shared" ca="1" si="28"/>
        <v/>
      </c>
    </row>
    <row r="319" spans="1:9" x14ac:dyDescent="0.3">
      <c r="A319" s="3"/>
      <c r="B319" s="9"/>
      <c r="C319" s="9"/>
      <c r="E319" s="14" t="str">
        <f t="shared" si="24"/>
        <v/>
      </c>
      <c r="F319" s="15" t="str">
        <f t="shared" ca="1" si="25"/>
        <v/>
      </c>
      <c r="G319" s="15" t="str">
        <f t="shared" ca="1" si="26"/>
        <v/>
      </c>
      <c r="H319" s="15" t="str">
        <f t="shared" ca="1" si="27"/>
        <v/>
      </c>
      <c r="I319" s="16" t="str">
        <f t="shared" ca="1" si="28"/>
        <v/>
      </c>
    </row>
    <row r="320" spans="1:9" x14ac:dyDescent="0.3">
      <c r="A320" s="3"/>
      <c r="B320" s="9"/>
      <c r="C320" s="9"/>
      <c r="E320" s="14" t="str">
        <f t="shared" si="24"/>
        <v/>
      </c>
      <c r="F320" s="15" t="str">
        <f t="shared" ca="1" si="25"/>
        <v/>
      </c>
      <c r="G320" s="15" t="str">
        <f t="shared" ca="1" si="26"/>
        <v/>
      </c>
      <c r="H320" s="15" t="str">
        <f t="shared" ca="1" si="27"/>
        <v/>
      </c>
      <c r="I320" s="16" t="str">
        <f t="shared" ca="1" si="28"/>
        <v/>
      </c>
    </row>
    <row r="321" spans="1:9" x14ac:dyDescent="0.3">
      <c r="A321" s="3"/>
      <c r="B321" s="9"/>
      <c r="C321" s="9"/>
      <c r="E321" s="14" t="str">
        <f t="shared" si="24"/>
        <v/>
      </c>
      <c r="F321" s="15" t="str">
        <f t="shared" ca="1" si="25"/>
        <v/>
      </c>
      <c r="G321" s="15" t="str">
        <f t="shared" ca="1" si="26"/>
        <v/>
      </c>
      <c r="H321" s="15" t="str">
        <f t="shared" ca="1" si="27"/>
        <v/>
      </c>
      <c r="I321" s="16" t="str">
        <f t="shared" ca="1" si="28"/>
        <v/>
      </c>
    </row>
    <row r="322" spans="1:9" x14ac:dyDescent="0.3">
      <c r="A322" s="3"/>
      <c r="B322" s="9"/>
      <c r="C322" s="9"/>
      <c r="E322" s="14" t="str">
        <f t="shared" si="24"/>
        <v/>
      </c>
      <c r="F322" s="15" t="str">
        <f t="shared" ca="1" si="25"/>
        <v/>
      </c>
      <c r="G322" s="15" t="str">
        <f t="shared" ca="1" si="26"/>
        <v/>
      </c>
      <c r="H322" s="15" t="str">
        <f t="shared" ca="1" si="27"/>
        <v/>
      </c>
      <c r="I322" s="16" t="str">
        <f t="shared" ca="1" si="28"/>
        <v/>
      </c>
    </row>
    <row r="323" spans="1:9" x14ac:dyDescent="0.3">
      <c r="A323" s="3"/>
      <c r="B323" s="9"/>
      <c r="C323" s="9"/>
      <c r="E323" s="14" t="str">
        <f t="shared" ref="E323:E386" si="29">IF(ISNUMBER(B323),B323/C323,"")</f>
        <v/>
      </c>
      <c r="F323" s="15" t="str">
        <f t="shared" ca="1" si="25"/>
        <v/>
      </c>
      <c r="G323" s="15" t="str">
        <f t="shared" ca="1" si="26"/>
        <v/>
      </c>
      <c r="H323" s="15" t="str">
        <f t="shared" ca="1" si="27"/>
        <v/>
      </c>
      <c r="I323" s="16" t="str">
        <f t="shared" ca="1" si="28"/>
        <v/>
      </c>
    </row>
    <row r="324" spans="1:9" x14ac:dyDescent="0.3">
      <c r="A324" s="3"/>
      <c r="B324" s="9"/>
      <c r="C324" s="9"/>
      <c r="E324" s="14" t="str">
        <f t="shared" si="29"/>
        <v/>
      </c>
      <c r="F324" s="15" t="str">
        <f t="shared" ca="1" si="25"/>
        <v/>
      </c>
      <c r="G324" s="15" t="str">
        <f t="shared" ca="1" si="26"/>
        <v/>
      </c>
      <c r="H324" s="15" t="str">
        <f t="shared" ca="1" si="27"/>
        <v/>
      </c>
      <c r="I324" s="16" t="str">
        <f t="shared" ca="1" si="28"/>
        <v/>
      </c>
    </row>
    <row r="325" spans="1:9" x14ac:dyDescent="0.3">
      <c r="A325" s="3"/>
      <c r="B325" s="9"/>
      <c r="C325" s="9"/>
      <c r="E325" s="14" t="str">
        <f t="shared" si="29"/>
        <v/>
      </c>
      <c r="F325" s="15" t="str">
        <f t="shared" ca="1" si="25"/>
        <v/>
      </c>
      <c r="G325" s="15" t="str">
        <f t="shared" ca="1" si="26"/>
        <v/>
      </c>
      <c r="H325" s="15" t="str">
        <f t="shared" ca="1" si="27"/>
        <v/>
      </c>
      <c r="I325" s="16" t="str">
        <f t="shared" ca="1" si="28"/>
        <v/>
      </c>
    </row>
    <row r="326" spans="1:9" x14ac:dyDescent="0.3">
      <c r="A326" s="3"/>
      <c r="B326" s="9"/>
      <c r="C326" s="9"/>
      <c r="E326" s="14" t="str">
        <f t="shared" si="29"/>
        <v/>
      </c>
      <c r="F326" s="15" t="str">
        <f t="shared" ca="1" si="25"/>
        <v/>
      </c>
      <c r="G326" s="15" t="str">
        <f t="shared" ca="1" si="26"/>
        <v/>
      </c>
      <c r="H326" s="15" t="str">
        <f t="shared" ca="1" si="27"/>
        <v/>
      </c>
      <c r="I326" s="16" t="str">
        <f t="shared" ca="1" si="28"/>
        <v/>
      </c>
    </row>
    <row r="327" spans="1:9" x14ac:dyDescent="0.3">
      <c r="A327" s="3"/>
      <c r="B327" s="9"/>
      <c r="C327" s="9"/>
      <c r="E327" s="14" t="str">
        <f t="shared" si="29"/>
        <v/>
      </c>
      <c r="F327" s="15" t="str">
        <f t="shared" ca="1" si="25"/>
        <v/>
      </c>
      <c r="G327" s="15" t="str">
        <f t="shared" ca="1" si="26"/>
        <v/>
      </c>
      <c r="H327" s="15" t="str">
        <f t="shared" ca="1" si="27"/>
        <v/>
      </c>
      <c r="I327" s="16" t="str">
        <f t="shared" ca="1" si="28"/>
        <v/>
      </c>
    </row>
    <row r="328" spans="1:9" x14ac:dyDescent="0.3">
      <c r="A328" s="3"/>
      <c r="B328" s="9"/>
      <c r="C328" s="9"/>
      <c r="E328" s="14" t="str">
        <f t="shared" si="29"/>
        <v/>
      </c>
      <c r="F328" s="15" t="str">
        <f t="shared" ca="1" si="25"/>
        <v/>
      </c>
      <c r="G328" s="15" t="str">
        <f t="shared" ca="1" si="26"/>
        <v/>
      </c>
      <c r="H328" s="15" t="str">
        <f t="shared" ca="1" si="27"/>
        <v/>
      </c>
      <c r="I328" s="16" t="str">
        <f t="shared" ca="1" si="28"/>
        <v/>
      </c>
    </row>
    <row r="329" spans="1:9" x14ac:dyDescent="0.3">
      <c r="A329" s="3"/>
      <c r="B329" s="9"/>
      <c r="C329" s="9"/>
      <c r="E329" s="14" t="str">
        <f t="shared" si="29"/>
        <v/>
      </c>
      <c r="F329" s="15" t="str">
        <f t="shared" ca="1" si="25"/>
        <v/>
      </c>
      <c r="G329" s="15" t="str">
        <f t="shared" ca="1" si="26"/>
        <v/>
      </c>
      <c r="H329" s="15" t="str">
        <f t="shared" ca="1" si="27"/>
        <v/>
      </c>
      <c r="I329" s="16" t="str">
        <f t="shared" ca="1" si="28"/>
        <v/>
      </c>
    </row>
    <row r="330" spans="1:9" x14ac:dyDescent="0.3">
      <c r="A330" s="3"/>
      <c r="B330" s="9"/>
      <c r="C330" s="9"/>
      <c r="E330" s="14" t="str">
        <f t="shared" si="29"/>
        <v/>
      </c>
      <c r="F330" s="15" t="str">
        <f t="shared" ca="1" si="25"/>
        <v/>
      </c>
      <c r="G330" s="15" t="str">
        <f t="shared" ca="1" si="26"/>
        <v/>
      </c>
      <c r="H330" s="15" t="str">
        <f t="shared" ca="1" si="27"/>
        <v/>
      </c>
      <c r="I330" s="16" t="str">
        <f t="shared" ca="1" si="28"/>
        <v/>
      </c>
    </row>
    <row r="331" spans="1:9" x14ac:dyDescent="0.3">
      <c r="A331" s="3"/>
      <c r="B331" s="9"/>
      <c r="C331" s="9"/>
      <c r="E331" s="14" t="str">
        <f t="shared" si="29"/>
        <v/>
      </c>
      <c r="F331" s="15" t="str">
        <f t="shared" ca="1" si="25"/>
        <v/>
      </c>
      <c r="G331" s="15" t="str">
        <f t="shared" ca="1" si="26"/>
        <v/>
      </c>
      <c r="H331" s="15" t="str">
        <f t="shared" ca="1" si="27"/>
        <v/>
      </c>
      <c r="I331" s="16" t="str">
        <f t="shared" ca="1" si="28"/>
        <v/>
      </c>
    </row>
    <row r="332" spans="1:9" x14ac:dyDescent="0.3">
      <c r="A332" s="3"/>
      <c r="B332" s="9"/>
      <c r="C332" s="9"/>
      <c r="E332" s="14" t="str">
        <f t="shared" si="29"/>
        <v/>
      </c>
      <c r="F332" s="15" t="str">
        <f t="shared" ca="1" si="25"/>
        <v/>
      </c>
      <c r="G332" s="15" t="str">
        <f t="shared" ca="1" si="26"/>
        <v/>
      </c>
      <c r="H332" s="15" t="str">
        <f t="shared" ca="1" si="27"/>
        <v/>
      </c>
      <c r="I332" s="16" t="str">
        <f t="shared" ca="1" si="28"/>
        <v/>
      </c>
    </row>
    <row r="333" spans="1:9" x14ac:dyDescent="0.3">
      <c r="A333" s="3"/>
      <c r="B333" s="9"/>
      <c r="C333" s="9"/>
      <c r="E333" s="14" t="str">
        <f t="shared" si="29"/>
        <v/>
      </c>
      <c r="F333" s="15" t="str">
        <f t="shared" ca="1" si="25"/>
        <v/>
      </c>
      <c r="G333" s="15" t="str">
        <f t="shared" ca="1" si="26"/>
        <v/>
      </c>
      <c r="H333" s="15" t="str">
        <f t="shared" ca="1" si="27"/>
        <v/>
      </c>
      <c r="I333" s="16" t="str">
        <f t="shared" ca="1" si="28"/>
        <v/>
      </c>
    </row>
    <row r="334" spans="1:9" x14ac:dyDescent="0.3">
      <c r="A334" s="3"/>
      <c r="B334" s="9"/>
      <c r="C334" s="9"/>
      <c r="E334" s="14" t="str">
        <f t="shared" si="29"/>
        <v/>
      </c>
      <c r="F334" s="15" t="str">
        <f t="shared" ca="1" si="25"/>
        <v/>
      </c>
      <c r="G334" s="15" t="str">
        <f t="shared" ca="1" si="26"/>
        <v/>
      </c>
      <c r="H334" s="15" t="str">
        <f t="shared" ca="1" si="27"/>
        <v/>
      </c>
      <c r="I334" s="16" t="str">
        <f t="shared" ca="1" si="28"/>
        <v/>
      </c>
    </row>
    <row r="335" spans="1:9" x14ac:dyDescent="0.3">
      <c r="A335" s="3"/>
      <c r="B335" s="9"/>
      <c r="C335" s="9"/>
      <c r="E335" s="14" t="str">
        <f t="shared" si="29"/>
        <v/>
      </c>
      <c r="F335" s="15" t="str">
        <f t="shared" ca="1" si="25"/>
        <v/>
      </c>
      <c r="G335" s="15" t="str">
        <f t="shared" ca="1" si="26"/>
        <v/>
      </c>
      <c r="H335" s="15" t="str">
        <f t="shared" ca="1" si="27"/>
        <v/>
      </c>
      <c r="I335" s="16" t="str">
        <f t="shared" ca="1" si="28"/>
        <v/>
      </c>
    </row>
    <row r="336" spans="1:9" x14ac:dyDescent="0.3">
      <c r="A336" s="3"/>
      <c r="B336" s="9"/>
      <c r="C336" s="9"/>
      <c r="E336" s="14" t="str">
        <f t="shared" si="29"/>
        <v/>
      </c>
      <c r="F336" s="15" t="str">
        <f t="shared" ca="1" si="25"/>
        <v/>
      </c>
      <c r="G336" s="15" t="str">
        <f t="shared" ca="1" si="26"/>
        <v/>
      </c>
      <c r="H336" s="15" t="str">
        <f t="shared" ca="1" si="27"/>
        <v/>
      </c>
      <c r="I336" s="16" t="str">
        <f t="shared" ca="1" si="28"/>
        <v/>
      </c>
    </row>
    <row r="337" spans="1:9" x14ac:dyDescent="0.3">
      <c r="A337" s="3"/>
      <c r="B337" s="9"/>
      <c r="C337" s="9"/>
      <c r="E337" s="14" t="str">
        <f t="shared" si="29"/>
        <v/>
      </c>
      <c r="F337" s="15" t="str">
        <f t="shared" ref="F337:F400" ca="1" si="30">IF(ISNUMBER(E337),IF(ROW(E337)&gt;$K$1,AVERAGE(OFFSET(E337,0,0,-$K$1)),""),"")</f>
        <v/>
      </c>
      <c r="G337" s="15" t="str">
        <f t="shared" ref="G337:G400" ca="1" si="31">IF(ISNUMBER(I337),F337+I337*$M$1,"")</f>
        <v/>
      </c>
      <c r="H337" s="15" t="str">
        <f t="shared" ref="H337:H400" ca="1" si="32">IF(ISNUMBER(I337),F337-I337*$M$1,"")</f>
        <v/>
      </c>
      <c r="I337" s="16" t="str">
        <f t="shared" ref="I337:I400" ca="1" si="33">IF(ISNUMBER(E337),IF(ROW(E337)&gt;$K$1,_xlfn.STDEV.P(OFFSET(E337,0,0,-$K$1)),""),"")</f>
        <v/>
      </c>
    </row>
    <row r="338" spans="1:9" x14ac:dyDescent="0.3">
      <c r="A338" s="3"/>
      <c r="B338" s="9"/>
      <c r="C338" s="9"/>
      <c r="E338" s="14" t="str">
        <f t="shared" si="29"/>
        <v/>
      </c>
      <c r="F338" s="15" t="str">
        <f t="shared" ca="1" si="30"/>
        <v/>
      </c>
      <c r="G338" s="15" t="str">
        <f t="shared" ca="1" si="31"/>
        <v/>
      </c>
      <c r="H338" s="15" t="str">
        <f t="shared" ca="1" si="32"/>
        <v/>
      </c>
      <c r="I338" s="16" t="str">
        <f t="shared" ca="1" si="33"/>
        <v/>
      </c>
    </row>
    <row r="339" spans="1:9" x14ac:dyDescent="0.3">
      <c r="A339" s="3"/>
      <c r="B339" s="9"/>
      <c r="C339" s="9"/>
      <c r="E339" s="14" t="str">
        <f t="shared" si="29"/>
        <v/>
      </c>
      <c r="F339" s="15" t="str">
        <f t="shared" ca="1" si="30"/>
        <v/>
      </c>
      <c r="G339" s="15" t="str">
        <f t="shared" ca="1" si="31"/>
        <v/>
      </c>
      <c r="H339" s="15" t="str">
        <f t="shared" ca="1" si="32"/>
        <v/>
      </c>
      <c r="I339" s="16" t="str">
        <f t="shared" ca="1" si="33"/>
        <v/>
      </c>
    </row>
    <row r="340" spans="1:9" x14ac:dyDescent="0.3">
      <c r="A340" s="3"/>
      <c r="B340" s="9"/>
      <c r="C340" s="9"/>
      <c r="E340" s="14" t="str">
        <f t="shared" si="29"/>
        <v/>
      </c>
      <c r="F340" s="15" t="str">
        <f t="shared" ca="1" si="30"/>
        <v/>
      </c>
      <c r="G340" s="15" t="str">
        <f t="shared" ca="1" si="31"/>
        <v/>
      </c>
      <c r="H340" s="15" t="str">
        <f t="shared" ca="1" si="32"/>
        <v/>
      </c>
      <c r="I340" s="16" t="str">
        <f t="shared" ca="1" si="33"/>
        <v/>
      </c>
    </row>
    <row r="341" spans="1:9" x14ac:dyDescent="0.3">
      <c r="A341" s="3"/>
      <c r="B341" s="9"/>
      <c r="C341" s="9"/>
      <c r="E341" s="14" t="str">
        <f t="shared" si="29"/>
        <v/>
      </c>
      <c r="F341" s="15" t="str">
        <f t="shared" ca="1" si="30"/>
        <v/>
      </c>
      <c r="G341" s="15" t="str">
        <f t="shared" ca="1" si="31"/>
        <v/>
      </c>
      <c r="H341" s="15" t="str">
        <f t="shared" ca="1" si="32"/>
        <v/>
      </c>
      <c r="I341" s="16" t="str">
        <f t="shared" ca="1" si="33"/>
        <v/>
      </c>
    </row>
    <row r="342" spans="1:9" x14ac:dyDescent="0.3">
      <c r="A342" s="3"/>
      <c r="B342" s="9"/>
      <c r="C342" s="9"/>
      <c r="E342" s="14" t="str">
        <f t="shared" si="29"/>
        <v/>
      </c>
      <c r="F342" s="15" t="str">
        <f t="shared" ca="1" si="30"/>
        <v/>
      </c>
      <c r="G342" s="15" t="str">
        <f t="shared" ca="1" si="31"/>
        <v/>
      </c>
      <c r="H342" s="15" t="str">
        <f t="shared" ca="1" si="32"/>
        <v/>
      </c>
      <c r="I342" s="16" t="str">
        <f t="shared" ca="1" si="33"/>
        <v/>
      </c>
    </row>
    <row r="343" spans="1:9" x14ac:dyDescent="0.3">
      <c r="A343" s="3"/>
      <c r="B343" s="9"/>
      <c r="C343" s="9"/>
      <c r="E343" s="14" t="str">
        <f t="shared" si="29"/>
        <v/>
      </c>
      <c r="F343" s="15" t="str">
        <f t="shared" ca="1" si="30"/>
        <v/>
      </c>
      <c r="G343" s="15" t="str">
        <f t="shared" ca="1" si="31"/>
        <v/>
      </c>
      <c r="H343" s="15" t="str">
        <f t="shared" ca="1" si="32"/>
        <v/>
      </c>
      <c r="I343" s="16" t="str">
        <f t="shared" ca="1" si="33"/>
        <v/>
      </c>
    </row>
    <row r="344" spans="1:9" x14ac:dyDescent="0.3">
      <c r="A344" s="3"/>
      <c r="B344" s="9"/>
      <c r="C344" s="9"/>
      <c r="E344" s="14" t="str">
        <f t="shared" si="29"/>
        <v/>
      </c>
      <c r="F344" s="15" t="str">
        <f t="shared" ca="1" si="30"/>
        <v/>
      </c>
      <c r="G344" s="15" t="str">
        <f t="shared" ca="1" si="31"/>
        <v/>
      </c>
      <c r="H344" s="15" t="str">
        <f t="shared" ca="1" si="32"/>
        <v/>
      </c>
      <c r="I344" s="16" t="str">
        <f t="shared" ca="1" si="33"/>
        <v/>
      </c>
    </row>
    <row r="345" spans="1:9" x14ac:dyDescent="0.3">
      <c r="A345" s="3"/>
      <c r="B345" s="9"/>
      <c r="C345" s="9"/>
      <c r="E345" s="14" t="str">
        <f t="shared" si="29"/>
        <v/>
      </c>
      <c r="F345" s="15" t="str">
        <f t="shared" ca="1" si="30"/>
        <v/>
      </c>
      <c r="G345" s="15" t="str">
        <f t="shared" ca="1" si="31"/>
        <v/>
      </c>
      <c r="H345" s="15" t="str">
        <f t="shared" ca="1" si="32"/>
        <v/>
      </c>
      <c r="I345" s="16" t="str">
        <f t="shared" ca="1" si="33"/>
        <v/>
      </c>
    </row>
    <row r="346" spans="1:9" x14ac:dyDescent="0.3">
      <c r="A346" s="3"/>
      <c r="B346" s="9"/>
      <c r="C346" s="9"/>
      <c r="E346" s="14" t="str">
        <f t="shared" si="29"/>
        <v/>
      </c>
      <c r="F346" s="15" t="str">
        <f t="shared" ca="1" si="30"/>
        <v/>
      </c>
      <c r="G346" s="15" t="str">
        <f t="shared" ca="1" si="31"/>
        <v/>
      </c>
      <c r="H346" s="15" t="str">
        <f t="shared" ca="1" si="32"/>
        <v/>
      </c>
      <c r="I346" s="16" t="str">
        <f t="shared" ca="1" si="33"/>
        <v/>
      </c>
    </row>
    <row r="347" spans="1:9" x14ac:dyDescent="0.3">
      <c r="A347" s="3"/>
      <c r="B347" s="9"/>
      <c r="C347" s="9"/>
      <c r="E347" s="14" t="str">
        <f t="shared" si="29"/>
        <v/>
      </c>
      <c r="F347" s="15" t="str">
        <f t="shared" ca="1" si="30"/>
        <v/>
      </c>
      <c r="G347" s="15" t="str">
        <f t="shared" ca="1" si="31"/>
        <v/>
      </c>
      <c r="H347" s="15" t="str">
        <f t="shared" ca="1" si="32"/>
        <v/>
      </c>
      <c r="I347" s="16" t="str">
        <f t="shared" ca="1" si="33"/>
        <v/>
      </c>
    </row>
    <row r="348" spans="1:9" x14ac:dyDescent="0.3">
      <c r="A348" s="3"/>
      <c r="B348" s="9"/>
      <c r="C348" s="9"/>
      <c r="E348" s="14" t="str">
        <f t="shared" si="29"/>
        <v/>
      </c>
      <c r="F348" s="15" t="str">
        <f t="shared" ca="1" si="30"/>
        <v/>
      </c>
      <c r="G348" s="15" t="str">
        <f t="shared" ca="1" si="31"/>
        <v/>
      </c>
      <c r="H348" s="15" t="str">
        <f t="shared" ca="1" si="32"/>
        <v/>
      </c>
      <c r="I348" s="16" t="str">
        <f t="shared" ca="1" si="33"/>
        <v/>
      </c>
    </row>
    <row r="349" spans="1:9" x14ac:dyDescent="0.3">
      <c r="A349" s="3"/>
      <c r="B349" s="9"/>
      <c r="C349" s="9"/>
      <c r="E349" s="14" t="str">
        <f t="shared" si="29"/>
        <v/>
      </c>
      <c r="F349" s="15" t="str">
        <f t="shared" ca="1" si="30"/>
        <v/>
      </c>
      <c r="G349" s="15" t="str">
        <f t="shared" ca="1" si="31"/>
        <v/>
      </c>
      <c r="H349" s="15" t="str">
        <f t="shared" ca="1" si="32"/>
        <v/>
      </c>
      <c r="I349" s="16" t="str">
        <f t="shared" ca="1" si="33"/>
        <v/>
      </c>
    </row>
    <row r="350" spans="1:9" x14ac:dyDescent="0.3">
      <c r="A350" s="3"/>
      <c r="B350" s="9"/>
      <c r="C350" s="9"/>
      <c r="E350" s="14" t="str">
        <f t="shared" si="29"/>
        <v/>
      </c>
      <c r="F350" s="15" t="str">
        <f t="shared" ca="1" si="30"/>
        <v/>
      </c>
      <c r="G350" s="15" t="str">
        <f t="shared" ca="1" si="31"/>
        <v/>
      </c>
      <c r="H350" s="15" t="str">
        <f t="shared" ca="1" si="32"/>
        <v/>
      </c>
      <c r="I350" s="16" t="str">
        <f t="shared" ca="1" si="33"/>
        <v/>
      </c>
    </row>
    <row r="351" spans="1:9" x14ac:dyDescent="0.3">
      <c r="A351" s="3"/>
      <c r="B351" s="9"/>
      <c r="C351" s="9"/>
      <c r="E351" s="14" t="str">
        <f t="shared" si="29"/>
        <v/>
      </c>
      <c r="F351" s="15" t="str">
        <f t="shared" ca="1" si="30"/>
        <v/>
      </c>
      <c r="G351" s="15" t="str">
        <f t="shared" ca="1" si="31"/>
        <v/>
      </c>
      <c r="H351" s="15" t="str">
        <f t="shared" ca="1" si="32"/>
        <v/>
      </c>
      <c r="I351" s="16" t="str">
        <f t="shared" ca="1" si="33"/>
        <v/>
      </c>
    </row>
    <row r="352" spans="1:9" x14ac:dyDescent="0.3">
      <c r="A352" s="3"/>
      <c r="B352" s="9"/>
      <c r="C352" s="9"/>
      <c r="E352" s="14" t="str">
        <f t="shared" si="29"/>
        <v/>
      </c>
      <c r="F352" s="15" t="str">
        <f t="shared" ca="1" si="30"/>
        <v/>
      </c>
      <c r="G352" s="15" t="str">
        <f t="shared" ca="1" si="31"/>
        <v/>
      </c>
      <c r="H352" s="15" t="str">
        <f t="shared" ca="1" si="32"/>
        <v/>
      </c>
      <c r="I352" s="16" t="str">
        <f t="shared" ca="1" si="33"/>
        <v/>
      </c>
    </row>
    <row r="353" spans="1:9" x14ac:dyDescent="0.3">
      <c r="A353" s="3"/>
      <c r="B353" s="9"/>
      <c r="C353" s="9"/>
      <c r="E353" s="14" t="str">
        <f t="shared" si="29"/>
        <v/>
      </c>
      <c r="F353" s="15" t="str">
        <f t="shared" ca="1" si="30"/>
        <v/>
      </c>
      <c r="G353" s="15" t="str">
        <f t="shared" ca="1" si="31"/>
        <v/>
      </c>
      <c r="H353" s="15" t="str">
        <f t="shared" ca="1" si="32"/>
        <v/>
      </c>
      <c r="I353" s="16" t="str">
        <f t="shared" ca="1" si="33"/>
        <v/>
      </c>
    </row>
    <row r="354" spans="1:9" x14ac:dyDescent="0.3">
      <c r="A354" s="3"/>
      <c r="B354" s="9"/>
      <c r="C354" s="9"/>
      <c r="E354" s="14" t="str">
        <f t="shared" si="29"/>
        <v/>
      </c>
      <c r="F354" s="15" t="str">
        <f t="shared" ca="1" si="30"/>
        <v/>
      </c>
      <c r="G354" s="15" t="str">
        <f t="shared" ca="1" si="31"/>
        <v/>
      </c>
      <c r="H354" s="15" t="str">
        <f t="shared" ca="1" si="32"/>
        <v/>
      </c>
      <c r="I354" s="16" t="str">
        <f t="shared" ca="1" si="33"/>
        <v/>
      </c>
    </row>
    <row r="355" spans="1:9" x14ac:dyDescent="0.3">
      <c r="A355" s="3"/>
      <c r="B355" s="9"/>
      <c r="C355" s="9"/>
      <c r="E355" s="14" t="str">
        <f t="shared" si="29"/>
        <v/>
      </c>
      <c r="F355" s="15" t="str">
        <f t="shared" ca="1" si="30"/>
        <v/>
      </c>
      <c r="G355" s="15" t="str">
        <f t="shared" ca="1" si="31"/>
        <v/>
      </c>
      <c r="H355" s="15" t="str">
        <f t="shared" ca="1" si="32"/>
        <v/>
      </c>
      <c r="I355" s="16" t="str">
        <f t="shared" ca="1" si="33"/>
        <v/>
      </c>
    </row>
    <row r="356" spans="1:9" x14ac:dyDescent="0.3">
      <c r="A356" s="3"/>
      <c r="B356" s="9"/>
      <c r="C356" s="9"/>
      <c r="E356" s="14" t="str">
        <f t="shared" si="29"/>
        <v/>
      </c>
      <c r="F356" s="15" t="str">
        <f t="shared" ca="1" si="30"/>
        <v/>
      </c>
      <c r="G356" s="15" t="str">
        <f t="shared" ca="1" si="31"/>
        <v/>
      </c>
      <c r="H356" s="15" t="str">
        <f t="shared" ca="1" si="32"/>
        <v/>
      </c>
      <c r="I356" s="16" t="str">
        <f t="shared" ca="1" si="33"/>
        <v/>
      </c>
    </row>
    <row r="357" spans="1:9" x14ac:dyDescent="0.3">
      <c r="A357" s="3"/>
      <c r="B357" s="9"/>
      <c r="C357" s="9"/>
      <c r="E357" s="14" t="str">
        <f t="shared" si="29"/>
        <v/>
      </c>
      <c r="F357" s="15" t="str">
        <f t="shared" ca="1" si="30"/>
        <v/>
      </c>
      <c r="G357" s="15" t="str">
        <f t="shared" ca="1" si="31"/>
        <v/>
      </c>
      <c r="H357" s="15" t="str">
        <f t="shared" ca="1" si="32"/>
        <v/>
      </c>
      <c r="I357" s="16" t="str">
        <f t="shared" ca="1" si="33"/>
        <v/>
      </c>
    </row>
    <row r="358" spans="1:9" x14ac:dyDescent="0.3">
      <c r="A358" s="3"/>
      <c r="B358" s="9"/>
      <c r="C358" s="9"/>
      <c r="E358" s="14" t="str">
        <f t="shared" si="29"/>
        <v/>
      </c>
      <c r="F358" s="15" t="str">
        <f t="shared" ca="1" si="30"/>
        <v/>
      </c>
      <c r="G358" s="15" t="str">
        <f t="shared" ca="1" si="31"/>
        <v/>
      </c>
      <c r="H358" s="15" t="str">
        <f t="shared" ca="1" si="32"/>
        <v/>
      </c>
      <c r="I358" s="16" t="str">
        <f t="shared" ca="1" si="33"/>
        <v/>
      </c>
    </row>
    <row r="359" spans="1:9" x14ac:dyDescent="0.3">
      <c r="A359" s="3"/>
      <c r="B359" s="9"/>
      <c r="C359" s="9"/>
      <c r="E359" s="14" t="str">
        <f t="shared" si="29"/>
        <v/>
      </c>
      <c r="F359" s="15" t="str">
        <f t="shared" ca="1" si="30"/>
        <v/>
      </c>
      <c r="G359" s="15" t="str">
        <f t="shared" ca="1" si="31"/>
        <v/>
      </c>
      <c r="H359" s="15" t="str">
        <f t="shared" ca="1" si="32"/>
        <v/>
      </c>
      <c r="I359" s="16" t="str">
        <f t="shared" ca="1" si="33"/>
        <v/>
      </c>
    </row>
    <row r="360" spans="1:9" x14ac:dyDescent="0.3">
      <c r="A360" s="3"/>
      <c r="B360" s="9"/>
      <c r="C360" s="9"/>
      <c r="E360" s="14" t="str">
        <f t="shared" si="29"/>
        <v/>
      </c>
      <c r="F360" s="15" t="str">
        <f t="shared" ca="1" si="30"/>
        <v/>
      </c>
      <c r="G360" s="15" t="str">
        <f t="shared" ca="1" si="31"/>
        <v/>
      </c>
      <c r="H360" s="15" t="str">
        <f t="shared" ca="1" si="32"/>
        <v/>
      </c>
      <c r="I360" s="16" t="str">
        <f t="shared" ca="1" si="33"/>
        <v/>
      </c>
    </row>
    <row r="361" spans="1:9" x14ac:dyDescent="0.3">
      <c r="A361" s="3"/>
      <c r="B361" s="9"/>
      <c r="C361" s="9"/>
      <c r="E361" s="14" t="str">
        <f t="shared" si="29"/>
        <v/>
      </c>
      <c r="F361" s="15" t="str">
        <f t="shared" ca="1" si="30"/>
        <v/>
      </c>
      <c r="G361" s="15" t="str">
        <f t="shared" ca="1" si="31"/>
        <v/>
      </c>
      <c r="H361" s="15" t="str">
        <f t="shared" ca="1" si="32"/>
        <v/>
      </c>
      <c r="I361" s="16" t="str">
        <f t="shared" ca="1" si="33"/>
        <v/>
      </c>
    </row>
    <row r="362" spans="1:9" x14ac:dyDescent="0.3">
      <c r="A362" s="3"/>
      <c r="B362" s="9"/>
      <c r="C362" s="9"/>
      <c r="E362" s="14" t="str">
        <f t="shared" si="29"/>
        <v/>
      </c>
      <c r="F362" s="15" t="str">
        <f t="shared" ca="1" si="30"/>
        <v/>
      </c>
      <c r="G362" s="15" t="str">
        <f t="shared" ca="1" si="31"/>
        <v/>
      </c>
      <c r="H362" s="15" t="str">
        <f t="shared" ca="1" si="32"/>
        <v/>
      </c>
      <c r="I362" s="16" t="str">
        <f t="shared" ca="1" si="33"/>
        <v/>
      </c>
    </row>
    <row r="363" spans="1:9" x14ac:dyDescent="0.3">
      <c r="A363" s="3"/>
      <c r="B363" s="9"/>
      <c r="C363" s="9"/>
      <c r="E363" s="14" t="str">
        <f t="shared" si="29"/>
        <v/>
      </c>
      <c r="F363" s="15" t="str">
        <f t="shared" ca="1" si="30"/>
        <v/>
      </c>
      <c r="G363" s="15" t="str">
        <f t="shared" ca="1" si="31"/>
        <v/>
      </c>
      <c r="H363" s="15" t="str">
        <f t="shared" ca="1" si="32"/>
        <v/>
      </c>
      <c r="I363" s="16" t="str">
        <f t="shared" ca="1" si="33"/>
        <v/>
      </c>
    </row>
    <row r="364" spans="1:9" x14ac:dyDescent="0.3">
      <c r="A364" s="3"/>
      <c r="B364" s="9"/>
      <c r="C364" s="9"/>
      <c r="E364" s="14" t="str">
        <f t="shared" si="29"/>
        <v/>
      </c>
      <c r="F364" s="15" t="str">
        <f t="shared" ca="1" si="30"/>
        <v/>
      </c>
      <c r="G364" s="15" t="str">
        <f t="shared" ca="1" si="31"/>
        <v/>
      </c>
      <c r="H364" s="15" t="str">
        <f t="shared" ca="1" si="32"/>
        <v/>
      </c>
      <c r="I364" s="16" t="str">
        <f t="shared" ca="1" si="33"/>
        <v/>
      </c>
    </row>
    <row r="365" spans="1:9" x14ac:dyDescent="0.3">
      <c r="A365" s="3"/>
      <c r="B365" s="9"/>
      <c r="C365" s="9"/>
      <c r="E365" s="14" t="str">
        <f t="shared" si="29"/>
        <v/>
      </c>
      <c r="F365" s="15" t="str">
        <f t="shared" ca="1" si="30"/>
        <v/>
      </c>
      <c r="G365" s="15" t="str">
        <f t="shared" ca="1" si="31"/>
        <v/>
      </c>
      <c r="H365" s="15" t="str">
        <f t="shared" ca="1" si="32"/>
        <v/>
      </c>
      <c r="I365" s="16" t="str">
        <f t="shared" ca="1" si="33"/>
        <v/>
      </c>
    </row>
    <row r="366" spans="1:9" x14ac:dyDescent="0.3">
      <c r="A366" s="3"/>
      <c r="B366" s="9"/>
      <c r="C366" s="9"/>
      <c r="E366" s="14" t="str">
        <f t="shared" si="29"/>
        <v/>
      </c>
      <c r="F366" s="15" t="str">
        <f t="shared" ca="1" si="30"/>
        <v/>
      </c>
      <c r="G366" s="15" t="str">
        <f t="shared" ca="1" si="31"/>
        <v/>
      </c>
      <c r="H366" s="15" t="str">
        <f t="shared" ca="1" si="32"/>
        <v/>
      </c>
      <c r="I366" s="16" t="str">
        <f t="shared" ca="1" si="33"/>
        <v/>
      </c>
    </row>
    <row r="367" spans="1:9" x14ac:dyDescent="0.3">
      <c r="A367" s="3"/>
      <c r="B367" s="9"/>
      <c r="C367" s="9"/>
      <c r="E367" s="14" t="str">
        <f t="shared" si="29"/>
        <v/>
      </c>
      <c r="F367" s="15" t="str">
        <f t="shared" ca="1" si="30"/>
        <v/>
      </c>
      <c r="G367" s="15" t="str">
        <f t="shared" ca="1" si="31"/>
        <v/>
      </c>
      <c r="H367" s="15" t="str">
        <f t="shared" ca="1" si="32"/>
        <v/>
      </c>
      <c r="I367" s="16" t="str">
        <f t="shared" ca="1" si="33"/>
        <v/>
      </c>
    </row>
    <row r="368" spans="1:9" x14ac:dyDescent="0.3">
      <c r="A368" s="3"/>
      <c r="B368" s="9"/>
      <c r="C368" s="9"/>
      <c r="E368" s="14" t="str">
        <f t="shared" si="29"/>
        <v/>
      </c>
      <c r="F368" s="15" t="str">
        <f t="shared" ca="1" si="30"/>
        <v/>
      </c>
      <c r="G368" s="15" t="str">
        <f t="shared" ca="1" si="31"/>
        <v/>
      </c>
      <c r="H368" s="15" t="str">
        <f t="shared" ca="1" si="32"/>
        <v/>
      </c>
      <c r="I368" s="16" t="str">
        <f t="shared" ca="1" si="33"/>
        <v/>
      </c>
    </row>
    <row r="369" spans="1:9" x14ac:dyDescent="0.3">
      <c r="A369" s="3"/>
      <c r="B369" s="9"/>
      <c r="C369" s="9"/>
      <c r="E369" s="14" t="str">
        <f t="shared" si="29"/>
        <v/>
      </c>
      <c r="F369" s="15" t="str">
        <f t="shared" ca="1" si="30"/>
        <v/>
      </c>
      <c r="G369" s="15" t="str">
        <f t="shared" ca="1" si="31"/>
        <v/>
      </c>
      <c r="H369" s="15" t="str">
        <f t="shared" ca="1" si="32"/>
        <v/>
      </c>
      <c r="I369" s="16" t="str">
        <f t="shared" ca="1" si="33"/>
        <v/>
      </c>
    </row>
    <row r="370" spans="1:9" x14ac:dyDescent="0.3">
      <c r="A370" s="3"/>
      <c r="B370" s="9"/>
      <c r="C370" s="9"/>
      <c r="E370" s="14" t="str">
        <f t="shared" si="29"/>
        <v/>
      </c>
      <c r="F370" s="15" t="str">
        <f t="shared" ca="1" si="30"/>
        <v/>
      </c>
      <c r="G370" s="15" t="str">
        <f t="shared" ca="1" si="31"/>
        <v/>
      </c>
      <c r="H370" s="15" t="str">
        <f t="shared" ca="1" si="32"/>
        <v/>
      </c>
      <c r="I370" s="16" t="str">
        <f t="shared" ca="1" si="33"/>
        <v/>
      </c>
    </row>
    <row r="371" spans="1:9" x14ac:dyDescent="0.3">
      <c r="A371" s="3"/>
      <c r="B371" s="9"/>
      <c r="C371" s="9"/>
      <c r="E371" s="14" t="str">
        <f t="shared" si="29"/>
        <v/>
      </c>
      <c r="F371" s="15" t="str">
        <f t="shared" ca="1" si="30"/>
        <v/>
      </c>
      <c r="G371" s="15" t="str">
        <f t="shared" ca="1" si="31"/>
        <v/>
      </c>
      <c r="H371" s="15" t="str">
        <f t="shared" ca="1" si="32"/>
        <v/>
      </c>
      <c r="I371" s="16" t="str">
        <f t="shared" ca="1" si="33"/>
        <v/>
      </c>
    </row>
    <row r="372" spans="1:9" x14ac:dyDescent="0.3">
      <c r="A372" s="3"/>
      <c r="B372" s="9"/>
      <c r="C372" s="9"/>
      <c r="E372" s="14" t="str">
        <f t="shared" si="29"/>
        <v/>
      </c>
      <c r="F372" s="15" t="str">
        <f t="shared" ca="1" si="30"/>
        <v/>
      </c>
      <c r="G372" s="15" t="str">
        <f t="shared" ca="1" si="31"/>
        <v/>
      </c>
      <c r="H372" s="15" t="str">
        <f t="shared" ca="1" si="32"/>
        <v/>
      </c>
      <c r="I372" s="16" t="str">
        <f t="shared" ca="1" si="33"/>
        <v/>
      </c>
    </row>
    <row r="373" spans="1:9" x14ac:dyDescent="0.3">
      <c r="A373" s="3"/>
      <c r="B373" s="9"/>
      <c r="C373" s="9"/>
      <c r="E373" s="14" t="str">
        <f t="shared" si="29"/>
        <v/>
      </c>
      <c r="F373" s="15" t="str">
        <f t="shared" ca="1" si="30"/>
        <v/>
      </c>
      <c r="G373" s="15" t="str">
        <f t="shared" ca="1" si="31"/>
        <v/>
      </c>
      <c r="H373" s="15" t="str">
        <f t="shared" ca="1" si="32"/>
        <v/>
      </c>
      <c r="I373" s="16" t="str">
        <f t="shared" ca="1" si="33"/>
        <v/>
      </c>
    </row>
    <row r="374" spans="1:9" x14ac:dyDescent="0.3">
      <c r="A374" s="3"/>
      <c r="B374" s="9"/>
      <c r="C374" s="9"/>
      <c r="E374" s="14" t="str">
        <f t="shared" si="29"/>
        <v/>
      </c>
      <c r="F374" s="15" t="str">
        <f t="shared" ca="1" si="30"/>
        <v/>
      </c>
      <c r="G374" s="15" t="str">
        <f t="shared" ca="1" si="31"/>
        <v/>
      </c>
      <c r="H374" s="15" t="str">
        <f t="shared" ca="1" si="32"/>
        <v/>
      </c>
      <c r="I374" s="16" t="str">
        <f t="shared" ca="1" si="33"/>
        <v/>
      </c>
    </row>
    <row r="375" spans="1:9" x14ac:dyDescent="0.3">
      <c r="A375" s="3"/>
      <c r="B375" s="9"/>
      <c r="C375" s="9"/>
      <c r="E375" s="14" t="str">
        <f t="shared" si="29"/>
        <v/>
      </c>
      <c r="F375" s="15" t="str">
        <f t="shared" ca="1" si="30"/>
        <v/>
      </c>
      <c r="G375" s="15" t="str">
        <f t="shared" ca="1" si="31"/>
        <v/>
      </c>
      <c r="H375" s="15" t="str">
        <f t="shared" ca="1" si="32"/>
        <v/>
      </c>
      <c r="I375" s="16" t="str">
        <f t="shared" ca="1" si="33"/>
        <v/>
      </c>
    </row>
    <row r="376" spans="1:9" x14ac:dyDescent="0.3">
      <c r="A376" s="3"/>
      <c r="B376" s="9"/>
      <c r="C376" s="9"/>
      <c r="E376" s="14" t="str">
        <f t="shared" si="29"/>
        <v/>
      </c>
      <c r="F376" s="15" t="str">
        <f t="shared" ca="1" si="30"/>
        <v/>
      </c>
      <c r="G376" s="15" t="str">
        <f t="shared" ca="1" si="31"/>
        <v/>
      </c>
      <c r="H376" s="15" t="str">
        <f t="shared" ca="1" si="32"/>
        <v/>
      </c>
      <c r="I376" s="16" t="str">
        <f t="shared" ca="1" si="33"/>
        <v/>
      </c>
    </row>
    <row r="377" spans="1:9" x14ac:dyDescent="0.3">
      <c r="A377" s="3"/>
      <c r="B377" s="9"/>
      <c r="C377" s="9"/>
      <c r="E377" s="14" t="str">
        <f t="shared" si="29"/>
        <v/>
      </c>
      <c r="F377" s="15" t="str">
        <f t="shared" ca="1" si="30"/>
        <v/>
      </c>
      <c r="G377" s="15" t="str">
        <f t="shared" ca="1" si="31"/>
        <v/>
      </c>
      <c r="H377" s="15" t="str">
        <f t="shared" ca="1" si="32"/>
        <v/>
      </c>
      <c r="I377" s="16" t="str">
        <f t="shared" ca="1" si="33"/>
        <v/>
      </c>
    </row>
    <row r="378" spans="1:9" x14ac:dyDescent="0.3">
      <c r="A378" s="3"/>
      <c r="B378" s="9"/>
      <c r="C378" s="9"/>
      <c r="E378" s="14" t="str">
        <f t="shared" si="29"/>
        <v/>
      </c>
      <c r="F378" s="15" t="str">
        <f t="shared" ca="1" si="30"/>
        <v/>
      </c>
      <c r="G378" s="15" t="str">
        <f t="shared" ca="1" si="31"/>
        <v/>
      </c>
      <c r="H378" s="15" t="str">
        <f t="shared" ca="1" si="32"/>
        <v/>
      </c>
      <c r="I378" s="16" t="str">
        <f t="shared" ca="1" si="33"/>
        <v/>
      </c>
    </row>
    <row r="379" spans="1:9" x14ac:dyDescent="0.3">
      <c r="A379" s="3"/>
      <c r="B379" s="9"/>
      <c r="C379" s="9"/>
      <c r="E379" s="14" t="str">
        <f t="shared" si="29"/>
        <v/>
      </c>
      <c r="F379" s="15" t="str">
        <f t="shared" ca="1" si="30"/>
        <v/>
      </c>
      <c r="G379" s="15" t="str">
        <f t="shared" ca="1" si="31"/>
        <v/>
      </c>
      <c r="H379" s="15" t="str">
        <f t="shared" ca="1" si="32"/>
        <v/>
      </c>
      <c r="I379" s="16" t="str">
        <f t="shared" ca="1" si="33"/>
        <v/>
      </c>
    </row>
    <row r="380" spans="1:9" x14ac:dyDescent="0.3">
      <c r="A380" s="3"/>
      <c r="B380" s="9"/>
      <c r="C380" s="9"/>
      <c r="E380" s="14" t="str">
        <f t="shared" si="29"/>
        <v/>
      </c>
      <c r="F380" s="15" t="str">
        <f t="shared" ca="1" si="30"/>
        <v/>
      </c>
      <c r="G380" s="15" t="str">
        <f t="shared" ca="1" si="31"/>
        <v/>
      </c>
      <c r="H380" s="15" t="str">
        <f t="shared" ca="1" si="32"/>
        <v/>
      </c>
      <c r="I380" s="16" t="str">
        <f t="shared" ca="1" si="33"/>
        <v/>
      </c>
    </row>
    <row r="381" spans="1:9" x14ac:dyDescent="0.3">
      <c r="A381" s="3"/>
      <c r="B381" s="9"/>
      <c r="C381" s="9"/>
      <c r="E381" s="14" t="str">
        <f t="shared" si="29"/>
        <v/>
      </c>
      <c r="F381" s="15" t="str">
        <f t="shared" ca="1" si="30"/>
        <v/>
      </c>
      <c r="G381" s="15" t="str">
        <f t="shared" ca="1" si="31"/>
        <v/>
      </c>
      <c r="H381" s="15" t="str">
        <f t="shared" ca="1" si="32"/>
        <v/>
      </c>
      <c r="I381" s="16" t="str">
        <f t="shared" ca="1" si="33"/>
        <v/>
      </c>
    </row>
    <row r="382" spans="1:9" x14ac:dyDescent="0.3">
      <c r="A382" s="3"/>
      <c r="B382" s="9"/>
      <c r="C382" s="9"/>
      <c r="E382" s="14" t="str">
        <f t="shared" si="29"/>
        <v/>
      </c>
      <c r="F382" s="15" t="str">
        <f t="shared" ca="1" si="30"/>
        <v/>
      </c>
      <c r="G382" s="15" t="str">
        <f t="shared" ca="1" si="31"/>
        <v/>
      </c>
      <c r="H382" s="15" t="str">
        <f t="shared" ca="1" si="32"/>
        <v/>
      </c>
      <c r="I382" s="16" t="str">
        <f t="shared" ca="1" si="33"/>
        <v/>
      </c>
    </row>
    <row r="383" spans="1:9" x14ac:dyDescent="0.3">
      <c r="A383" s="3"/>
      <c r="B383" s="9"/>
      <c r="C383" s="9"/>
      <c r="E383" s="14" t="str">
        <f t="shared" si="29"/>
        <v/>
      </c>
      <c r="F383" s="15" t="str">
        <f t="shared" ca="1" si="30"/>
        <v/>
      </c>
      <c r="G383" s="15" t="str">
        <f t="shared" ca="1" si="31"/>
        <v/>
      </c>
      <c r="H383" s="15" t="str">
        <f t="shared" ca="1" si="32"/>
        <v/>
      </c>
      <c r="I383" s="16" t="str">
        <f t="shared" ca="1" si="33"/>
        <v/>
      </c>
    </row>
    <row r="384" spans="1:9" x14ac:dyDescent="0.3">
      <c r="A384" s="3"/>
      <c r="B384" s="9"/>
      <c r="C384" s="9"/>
      <c r="E384" s="14" t="str">
        <f t="shared" si="29"/>
        <v/>
      </c>
      <c r="F384" s="15" t="str">
        <f t="shared" ca="1" si="30"/>
        <v/>
      </c>
      <c r="G384" s="15" t="str">
        <f t="shared" ca="1" si="31"/>
        <v/>
      </c>
      <c r="H384" s="15" t="str">
        <f t="shared" ca="1" si="32"/>
        <v/>
      </c>
      <c r="I384" s="16" t="str">
        <f t="shared" ca="1" si="33"/>
        <v/>
      </c>
    </row>
    <row r="385" spans="1:9" x14ac:dyDescent="0.3">
      <c r="A385" s="3"/>
      <c r="B385" s="9"/>
      <c r="C385" s="9"/>
      <c r="E385" s="14" t="str">
        <f t="shared" si="29"/>
        <v/>
      </c>
      <c r="F385" s="15" t="str">
        <f t="shared" ca="1" si="30"/>
        <v/>
      </c>
      <c r="G385" s="15" t="str">
        <f t="shared" ca="1" si="31"/>
        <v/>
      </c>
      <c r="H385" s="15" t="str">
        <f t="shared" ca="1" si="32"/>
        <v/>
      </c>
      <c r="I385" s="16" t="str">
        <f t="shared" ca="1" si="33"/>
        <v/>
      </c>
    </row>
    <row r="386" spans="1:9" x14ac:dyDescent="0.3">
      <c r="A386" s="3"/>
      <c r="B386" s="9"/>
      <c r="C386" s="9"/>
      <c r="E386" s="14" t="str">
        <f t="shared" si="29"/>
        <v/>
      </c>
      <c r="F386" s="15" t="str">
        <f t="shared" ca="1" si="30"/>
        <v/>
      </c>
      <c r="G386" s="15" t="str">
        <f t="shared" ca="1" si="31"/>
        <v/>
      </c>
      <c r="H386" s="15" t="str">
        <f t="shared" ca="1" si="32"/>
        <v/>
      </c>
      <c r="I386" s="16" t="str">
        <f t="shared" ca="1" si="33"/>
        <v/>
      </c>
    </row>
    <row r="387" spans="1:9" x14ac:dyDescent="0.3">
      <c r="A387" s="3"/>
      <c r="B387" s="9"/>
      <c r="C387" s="9"/>
      <c r="E387" s="14" t="str">
        <f t="shared" ref="E387:E450" si="34">IF(ISNUMBER(B387),B387/C387,"")</f>
        <v/>
      </c>
      <c r="F387" s="15" t="str">
        <f t="shared" ca="1" si="30"/>
        <v/>
      </c>
      <c r="G387" s="15" t="str">
        <f t="shared" ca="1" si="31"/>
        <v/>
      </c>
      <c r="H387" s="15" t="str">
        <f t="shared" ca="1" si="32"/>
        <v/>
      </c>
      <c r="I387" s="16" t="str">
        <f t="shared" ca="1" si="33"/>
        <v/>
      </c>
    </row>
    <row r="388" spans="1:9" x14ac:dyDescent="0.3">
      <c r="A388" s="3"/>
      <c r="B388" s="9"/>
      <c r="C388" s="9"/>
      <c r="E388" s="14" t="str">
        <f t="shared" si="34"/>
        <v/>
      </c>
      <c r="F388" s="15" t="str">
        <f t="shared" ca="1" si="30"/>
        <v/>
      </c>
      <c r="G388" s="15" t="str">
        <f t="shared" ca="1" si="31"/>
        <v/>
      </c>
      <c r="H388" s="15" t="str">
        <f t="shared" ca="1" si="32"/>
        <v/>
      </c>
      <c r="I388" s="16" t="str">
        <f t="shared" ca="1" si="33"/>
        <v/>
      </c>
    </row>
    <row r="389" spans="1:9" x14ac:dyDescent="0.3">
      <c r="A389" s="3"/>
      <c r="B389" s="9"/>
      <c r="C389" s="9"/>
      <c r="E389" s="14" t="str">
        <f t="shared" si="34"/>
        <v/>
      </c>
      <c r="F389" s="15" t="str">
        <f t="shared" ca="1" si="30"/>
        <v/>
      </c>
      <c r="G389" s="15" t="str">
        <f t="shared" ca="1" si="31"/>
        <v/>
      </c>
      <c r="H389" s="15" t="str">
        <f t="shared" ca="1" si="32"/>
        <v/>
      </c>
      <c r="I389" s="16" t="str">
        <f t="shared" ca="1" si="33"/>
        <v/>
      </c>
    </row>
    <row r="390" spans="1:9" x14ac:dyDescent="0.3">
      <c r="A390" s="3"/>
      <c r="B390" s="9"/>
      <c r="C390" s="9"/>
      <c r="E390" s="14" t="str">
        <f t="shared" si="34"/>
        <v/>
      </c>
      <c r="F390" s="15" t="str">
        <f t="shared" ca="1" si="30"/>
        <v/>
      </c>
      <c r="G390" s="15" t="str">
        <f t="shared" ca="1" si="31"/>
        <v/>
      </c>
      <c r="H390" s="15" t="str">
        <f t="shared" ca="1" si="32"/>
        <v/>
      </c>
      <c r="I390" s="16" t="str">
        <f t="shared" ca="1" si="33"/>
        <v/>
      </c>
    </row>
    <row r="391" spans="1:9" x14ac:dyDescent="0.3">
      <c r="A391" s="3"/>
      <c r="B391" s="9"/>
      <c r="C391" s="9"/>
      <c r="E391" s="14" t="str">
        <f t="shared" si="34"/>
        <v/>
      </c>
      <c r="F391" s="15" t="str">
        <f t="shared" ca="1" si="30"/>
        <v/>
      </c>
      <c r="G391" s="15" t="str">
        <f t="shared" ca="1" si="31"/>
        <v/>
      </c>
      <c r="H391" s="15" t="str">
        <f t="shared" ca="1" si="32"/>
        <v/>
      </c>
      <c r="I391" s="16" t="str">
        <f t="shared" ca="1" si="33"/>
        <v/>
      </c>
    </row>
    <row r="392" spans="1:9" x14ac:dyDescent="0.3">
      <c r="A392" s="3"/>
      <c r="B392" s="9"/>
      <c r="C392" s="9"/>
      <c r="E392" s="14" t="str">
        <f t="shared" si="34"/>
        <v/>
      </c>
      <c r="F392" s="15" t="str">
        <f t="shared" ca="1" si="30"/>
        <v/>
      </c>
      <c r="G392" s="15" t="str">
        <f t="shared" ca="1" si="31"/>
        <v/>
      </c>
      <c r="H392" s="15" t="str">
        <f t="shared" ca="1" si="32"/>
        <v/>
      </c>
      <c r="I392" s="16" t="str">
        <f t="shared" ca="1" si="33"/>
        <v/>
      </c>
    </row>
    <row r="393" spans="1:9" x14ac:dyDescent="0.3">
      <c r="A393" s="3"/>
      <c r="B393" s="9"/>
      <c r="C393" s="9"/>
      <c r="E393" s="14" t="str">
        <f t="shared" si="34"/>
        <v/>
      </c>
      <c r="F393" s="15" t="str">
        <f t="shared" ca="1" si="30"/>
        <v/>
      </c>
      <c r="G393" s="15" t="str">
        <f t="shared" ca="1" si="31"/>
        <v/>
      </c>
      <c r="H393" s="15" t="str">
        <f t="shared" ca="1" si="32"/>
        <v/>
      </c>
      <c r="I393" s="16" t="str">
        <f t="shared" ca="1" si="33"/>
        <v/>
      </c>
    </row>
    <row r="394" spans="1:9" x14ac:dyDescent="0.3">
      <c r="A394" s="3"/>
      <c r="B394" s="9"/>
      <c r="C394" s="9"/>
      <c r="E394" s="14" t="str">
        <f t="shared" si="34"/>
        <v/>
      </c>
      <c r="F394" s="15" t="str">
        <f t="shared" ca="1" si="30"/>
        <v/>
      </c>
      <c r="G394" s="15" t="str">
        <f t="shared" ca="1" si="31"/>
        <v/>
      </c>
      <c r="H394" s="15" t="str">
        <f t="shared" ca="1" si="32"/>
        <v/>
      </c>
      <c r="I394" s="16" t="str">
        <f t="shared" ca="1" si="33"/>
        <v/>
      </c>
    </row>
    <row r="395" spans="1:9" x14ac:dyDescent="0.3">
      <c r="A395" s="3"/>
      <c r="B395" s="9"/>
      <c r="C395" s="9"/>
      <c r="E395" s="14" t="str">
        <f t="shared" si="34"/>
        <v/>
      </c>
      <c r="F395" s="15" t="str">
        <f t="shared" ca="1" si="30"/>
        <v/>
      </c>
      <c r="G395" s="15" t="str">
        <f t="shared" ca="1" si="31"/>
        <v/>
      </c>
      <c r="H395" s="15" t="str">
        <f t="shared" ca="1" si="32"/>
        <v/>
      </c>
      <c r="I395" s="16" t="str">
        <f t="shared" ca="1" si="33"/>
        <v/>
      </c>
    </row>
    <row r="396" spans="1:9" x14ac:dyDescent="0.3">
      <c r="A396" s="3"/>
      <c r="B396" s="9"/>
      <c r="C396" s="9"/>
      <c r="E396" s="14" t="str">
        <f t="shared" si="34"/>
        <v/>
      </c>
      <c r="F396" s="15" t="str">
        <f t="shared" ca="1" si="30"/>
        <v/>
      </c>
      <c r="G396" s="15" t="str">
        <f t="shared" ca="1" si="31"/>
        <v/>
      </c>
      <c r="H396" s="15" t="str">
        <f t="shared" ca="1" si="32"/>
        <v/>
      </c>
      <c r="I396" s="16" t="str">
        <f t="shared" ca="1" si="33"/>
        <v/>
      </c>
    </row>
    <row r="397" spans="1:9" x14ac:dyDescent="0.3">
      <c r="A397" s="3"/>
      <c r="B397" s="9"/>
      <c r="C397" s="9"/>
      <c r="E397" s="14" t="str">
        <f t="shared" si="34"/>
        <v/>
      </c>
      <c r="F397" s="15" t="str">
        <f t="shared" ca="1" si="30"/>
        <v/>
      </c>
      <c r="G397" s="15" t="str">
        <f t="shared" ca="1" si="31"/>
        <v/>
      </c>
      <c r="H397" s="15" t="str">
        <f t="shared" ca="1" si="32"/>
        <v/>
      </c>
      <c r="I397" s="16" t="str">
        <f t="shared" ca="1" si="33"/>
        <v/>
      </c>
    </row>
    <row r="398" spans="1:9" x14ac:dyDescent="0.3">
      <c r="A398" s="3"/>
      <c r="B398" s="9"/>
      <c r="C398" s="9"/>
      <c r="E398" s="14" t="str">
        <f t="shared" si="34"/>
        <v/>
      </c>
      <c r="F398" s="15" t="str">
        <f t="shared" ca="1" si="30"/>
        <v/>
      </c>
      <c r="G398" s="15" t="str">
        <f t="shared" ca="1" si="31"/>
        <v/>
      </c>
      <c r="H398" s="15" t="str">
        <f t="shared" ca="1" si="32"/>
        <v/>
      </c>
      <c r="I398" s="16" t="str">
        <f t="shared" ca="1" si="33"/>
        <v/>
      </c>
    </row>
    <row r="399" spans="1:9" x14ac:dyDescent="0.3">
      <c r="A399" s="3"/>
      <c r="B399" s="9"/>
      <c r="C399" s="9"/>
      <c r="E399" s="14" t="str">
        <f t="shared" si="34"/>
        <v/>
      </c>
      <c r="F399" s="15" t="str">
        <f t="shared" ca="1" si="30"/>
        <v/>
      </c>
      <c r="G399" s="15" t="str">
        <f t="shared" ca="1" si="31"/>
        <v/>
      </c>
      <c r="H399" s="15" t="str">
        <f t="shared" ca="1" si="32"/>
        <v/>
      </c>
      <c r="I399" s="16" t="str">
        <f t="shared" ca="1" si="33"/>
        <v/>
      </c>
    </row>
    <row r="400" spans="1:9" x14ac:dyDescent="0.3">
      <c r="A400" s="3"/>
      <c r="B400" s="9"/>
      <c r="C400" s="9"/>
      <c r="E400" s="14" t="str">
        <f t="shared" si="34"/>
        <v/>
      </c>
      <c r="F400" s="15" t="str">
        <f t="shared" ca="1" si="30"/>
        <v/>
      </c>
      <c r="G400" s="15" t="str">
        <f t="shared" ca="1" si="31"/>
        <v/>
      </c>
      <c r="H400" s="15" t="str">
        <f t="shared" ca="1" si="32"/>
        <v/>
      </c>
      <c r="I400" s="16" t="str">
        <f t="shared" ca="1" si="33"/>
        <v/>
      </c>
    </row>
    <row r="401" spans="1:9" x14ac:dyDescent="0.3">
      <c r="A401" s="3"/>
      <c r="B401" s="9"/>
      <c r="C401" s="9"/>
      <c r="E401" s="14" t="str">
        <f t="shared" si="34"/>
        <v/>
      </c>
      <c r="F401" s="15" t="str">
        <f t="shared" ref="F401:F464" ca="1" si="35">IF(ISNUMBER(E401),IF(ROW(E401)&gt;$K$1,AVERAGE(OFFSET(E401,0,0,-$K$1)),""),"")</f>
        <v/>
      </c>
      <c r="G401" s="15" t="str">
        <f t="shared" ref="G401:G464" ca="1" si="36">IF(ISNUMBER(I401),F401+I401*$M$1,"")</f>
        <v/>
      </c>
      <c r="H401" s="15" t="str">
        <f t="shared" ref="H401:H464" ca="1" si="37">IF(ISNUMBER(I401),F401-I401*$M$1,"")</f>
        <v/>
      </c>
      <c r="I401" s="16" t="str">
        <f t="shared" ref="I401:I464" ca="1" si="38">IF(ISNUMBER(E401),IF(ROW(E401)&gt;$K$1,_xlfn.STDEV.P(OFFSET(E401,0,0,-$K$1)),""),"")</f>
        <v/>
      </c>
    </row>
    <row r="402" spans="1:9" x14ac:dyDescent="0.3">
      <c r="A402" s="3"/>
      <c r="B402" s="9"/>
      <c r="C402" s="9"/>
      <c r="E402" s="14" t="str">
        <f t="shared" si="34"/>
        <v/>
      </c>
      <c r="F402" s="15" t="str">
        <f t="shared" ca="1" si="35"/>
        <v/>
      </c>
      <c r="G402" s="15" t="str">
        <f t="shared" ca="1" si="36"/>
        <v/>
      </c>
      <c r="H402" s="15" t="str">
        <f t="shared" ca="1" si="37"/>
        <v/>
      </c>
      <c r="I402" s="16" t="str">
        <f t="shared" ca="1" si="38"/>
        <v/>
      </c>
    </row>
    <row r="403" spans="1:9" x14ac:dyDescent="0.3">
      <c r="A403" s="3"/>
      <c r="B403" s="9"/>
      <c r="C403" s="9"/>
      <c r="E403" s="14" t="str">
        <f t="shared" si="34"/>
        <v/>
      </c>
      <c r="F403" s="15" t="str">
        <f t="shared" ca="1" si="35"/>
        <v/>
      </c>
      <c r="G403" s="15" t="str">
        <f t="shared" ca="1" si="36"/>
        <v/>
      </c>
      <c r="H403" s="15" t="str">
        <f t="shared" ca="1" si="37"/>
        <v/>
      </c>
      <c r="I403" s="16" t="str">
        <f t="shared" ca="1" si="38"/>
        <v/>
      </c>
    </row>
    <row r="404" spans="1:9" x14ac:dyDescent="0.3">
      <c r="A404" s="3"/>
      <c r="B404" s="9"/>
      <c r="C404" s="9"/>
      <c r="E404" s="14" t="str">
        <f t="shared" si="34"/>
        <v/>
      </c>
      <c r="F404" s="15" t="str">
        <f t="shared" ca="1" si="35"/>
        <v/>
      </c>
      <c r="G404" s="15" t="str">
        <f t="shared" ca="1" si="36"/>
        <v/>
      </c>
      <c r="H404" s="15" t="str">
        <f t="shared" ca="1" si="37"/>
        <v/>
      </c>
      <c r="I404" s="16" t="str">
        <f t="shared" ca="1" si="38"/>
        <v/>
      </c>
    </row>
    <row r="405" spans="1:9" x14ac:dyDescent="0.3">
      <c r="A405" s="3"/>
      <c r="B405" s="9"/>
      <c r="C405" s="9"/>
      <c r="E405" s="14" t="str">
        <f t="shared" si="34"/>
        <v/>
      </c>
      <c r="F405" s="15" t="str">
        <f t="shared" ca="1" si="35"/>
        <v/>
      </c>
      <c r="G405" s="15" t="str">
        <f t="shared" ca="1" si="36"/>
        <v/>
      </c>
      <c r="H405" s="15" t="str">
        <f t="shared" ca="1" si="37"/>
        <v/>
      </c>
      <c r="I405" s="16" t="str">
        <f t="shared" ca="1" si="38"/>
        <v/>
      </c>
    </row>
    <row r="406" spans="1:9" x14ac:dyDescent="0.3">
      <c r="A406" s="3"/>
      <c r="B406" s="9"/>
      <c r="C406" s="9"/>
      <c r="E406" s="14" t="str">
        <f t="shared" si="34"/>
        <v/>
      </c>
      <c r="F406" s="15" t="str">
        <f t="shared" ca="1" si="35"/>
        <v/>
      </c>
      <c r="G406" s="15" t="str">
        <f t="shared" ca="1" si="36"/>
        <v/>
      </c>
      <c r="H406" s="15" t="str">
        <f t="shared" ca="1" si="37"/>
        <v/>
      </c>
      <c r="I406" s="16" t="str">
        <f t="shared" ca="1" si="38"/>
        <v/>
      </c>
    </row>
    <row r="407" spans="1:9" x14ac:dyDescent="0.3">
      <c r="A407" s="3"/>
      <c r="B407" s="9"/>
      <c r="C407" s="9"/>
      <c r="E407" s="14" t="str">
        <f t="shared" si="34"/>
        <v/>
      </c>
      <c r="F407" s="15" t="str">
        <f t="shared" ca="1" si="35"/>
        <v/>
      </c>
      <c r="G407" s="15" t="str">
        <f t="shared" ca="1" si="36"/>
        <v/>
      </c>
      <c r="H407" s="15" t="str">
        <f t="shared" ca="1" si="37"/>
        <v/>
      </c>
      <c r="I407" s="16" t="str">
        <f t="shared" ca="1" si="38"/>
        <v/>
      </c>
    </row>
    <row r="408" spans="1:9" x14ac:dyDescent="0.3">
      <c r="A408" s="3"/>
      <c r="B408" s="9"/>
      <c r="C408" s="9"/>
      <c r="E408" s="14" t="str">
        <f t="shared" si="34"/>
        <v/>
      </c>
      <c r="F408" s="15" t="str">
        <f t="shared" ca="1" si="35"/>
        <v/>
      </c>
      <c r="G408" s="15" t="str">
        <f t="shared" ca="1" si="36"/>
        <v/>
      </c>
      <c r="H408" s="15" t="str">
        <f t="shared" ca="1" si="37"/>
        <v/>
      </c>
      <c r="I408" s="16" t="str">
        <f t="shared" ca="1" si="38"/>
        <v/>
      </c>
    </row>
    <row r="409" spans="1:9" x14ac:dyDescent="0.3">
      <c r="A409" s="3"/>
      <c r="B409" s="9"/>
      <c r="C409" s="9"/>
      <c r="E409" s="14" t="str">
        <f t="shared" si="34"/>
        <v/>
      </c>
      <c r="F409" s="15" t="str">
        <f t="shared" ca="1" si="35"/>
        <v/>
      </c>
      <c r="G409" s="15" t="str">
        <f t="shared" ca="1" si="36"/>
        <v/>
      </c>
      <c r="H409" s="15" t="str">
        <f t="shared" ca="1" si="37"/>
        <v/>
      </c>
      <c r="I409" s="16" t="str">
        <f t="shared" ca="1" si="38"/>
        <v/>
      </c>
    </row>
    <row r="410" spans="1:9" x14ac:dyDescent="0.3">
      <c r="A410" s="3"/>
      <c r="B410" s="9"/>
      <c r="C410" s="9"/>
      <c r="E410" s="14" t="str">
        <f t="shared" si="34"/>
        <v/>
      </c>
      <c r="F410" s="15" t="str">
        <f t="shared" ca="1" si="35"/>
        <v/>
      </c>
      <c r="G410" s="15" t="str">
        <f t="shared" ca="1" si="36"/>
        <v/>
      </c>
      <c r="H410" s="15" t="str">
        <f t="shared" ca="1" si="37"/>
        <v/>
      </c>
      <c r="I410" s="16" t="str">
        <f t="shared" ca="1" si="38"/>
        <v/>
      </c>
    </row>
    <row r="411" spans="1:9" x14ac:dyDescent="0.3">
      <c r="A411" s="3"/>
      <c r="B411" s="9"/>
      <c r="C411" s="9"/>
      <c r="E411" s="14" t="str">
        <f t="shared" si="34"/>
        <v/>
      </c>
      <c r="F411" s="15" t="str">
        <f t="shared" ca="1" si="35"/>
        <v/>
      </c>
      <c r="G411" s="15" t="str">
        <f t="shared" ca="1" si="36"/>
        <v/>
      </c>
      <c r="H411" s="15" t="str">
        <f t="shared" ca="1" si="37"/>
        <v/>
      </c>
      <c r="I411" s="16" t="str">
        <f t="shared" ca="1" si="38"/>
        <v/>
      </c>
    </row>
    <row r="412" spans="1:9" x14ac:dyDescent="0.3">
      <c r="A412" s="3"/>
      <c r="B412" s="9"/>
      <c r="C412" s="9"/>
      <c r="E412" s="14" t="str">
        <f t="shared" si="34"/>
        <v/>
      </c>
      <c r="F412" s="15" t="str">
        <f t="shared" ca="1" si="35"/>
        <v/>
      </c>
      <c r="G412" s="15" t="str">
        <f t="shared" ca="1" si="36"/>
        <v/>
      </c>
      <c r="H412" s="15" t="str">
        <f t="shared" ca="1" si="37"/>
        <v/>
      </c>
      <c r="I412" s="16" t="str">
        <f t="shared" ca="1" si="38"/>
        <v/>
      </c>
    </row>
    <row r="413" spans="1:9" x14ac:dyDescent="0.3">
      <c r="A413" s="3"/>
      <c r="B413" s="9"/>
      <c r="C413" s="9"/>
      <c r="E413" s="14" t="str">
        <f t="shared" si="34"/>
        <v/>
      </c>
      <c r="F413" s="15" t="str">
        <f t="shared" ca="1" si="35"/>
        <v/>
      </c>
      <c r="G413" s="15" t="str">
        <f t="shared" ca="1" si="36"/>
        <v/>
      </c>
      <c r="H413" s="15" t="str">
        <f t="shared" ca="1" si="37"/>
        <v/>
      </c>
      <c r="I413" s="16" t="str">
        <f t="shared" ca="1" si="38"/>
        <v/>
      </c>
    </row>
    <row r="414" spans="1:9" x14ac:dyDescent="0.3">
      <c r="A414" s="3"/>
      <c r="B414" s="9"/>
      <c r="C414" s="9"/>
      <c r="E414" s="14" t="str">
        <f t="shared" si="34"/>
        <v/>
      </c>
      <c r="F414" s="15" t="str">
        <f t="shared" ca="1" si="35"/>
        <v/>
      </c>
      <c r="G414" s="15" t="str">
        <f t="shared" ca="1" si="36"/>
        <v/>
      </c>
      <c r="H414" s="15" t="str">
        <f t="shared" ca="1" si="37"/>
        <v/>
      </c>
      <c r="I414" s="16" t="str">
        <f t="shared" ca="1" si="38"/>
        <v/>
      </c>
    </row>
    <row r="415" spans="1:9" x14ac:dyDescent="0.3">
      <c r="A415" s="3"/>
      <c r="B415" s="9"/>
      <c r="C415" s="9"/>
      <c r="E415" s="14" t="str">
        <f t="shared" si="34"/>
        <v/>
      </c>
      <c r="F415" s="15" t="str">
        <f t="shared" ca="1" si="35"/>
        <v/>
      </c>
      <c r="G415" s="15" t="str">
        <f t="shared" ca="1" si="36"/>
        <v/>
      </c>
      <c r="H415" s="15" t="str">
        <f t="shared" ca="1" si="37"/>
        <v/>
      </c>
      <c r="I415" s="16" t="str">
        <f t="shared" ca="1" si="38"/>
        <v/>
      </c>
    </row>
    <row r="416" spans="1:9" x14ac:dyDescent="0.3">
      <c r="A416" s="3"/>
      <c r="B416" s="9"/>
      <c r="C416" s="9"/>
      <c r="E416" s="14" t="str">
        <f t="shared" si="34"/>
        <v/>
      </c>
      <c r="F416" s="15" t="str">
        <f t="shared" ca="1" si="35"/>
        <v/>
      </c>
      <c r="G416" s="15" t="str">
        <f t="shared" ca="1" si="36"/>
        <v/>
      </c>
      <c r="H416" s="15" t="str">
        <f t="shared" ca="1" si="37"/>
        <v/>
      </c>
      <c r="I416" s="16" t="str">
        <f t="shared" ca="1" si="38"/>
        <v/>
      </c>
    </row>
    <row r="417" spans="1:9" x14ac:dyDescent="0.3">
      <c r="A417" s="3"/>
      <c r="B417" s="9"/>
      <c r="C417" s="9"/>
      <c r="E417" s="14" t="str">
        <f t="shared" si="34"/>
        <v/>
      </c>
      <c r="F417" s="15" t="str">
        <f t="shared" ca="1" si="35"/>
        <v/>
      </c>
      <c r="G417" s="15" t="str">
        <f t="shared" ca="1" si="36"/>
        <v/>
      </c>
      <c r="H417" s="15" t="str">
        <f t="shared" ca="1" si="37"/>
        <v/>
      </c>
      <c r="I417" s="16" t="str">
        <f t="shared" ca="1" si="38"/>
        <v/>
      </c>
    </row>
    <row r="418" spans="1:9" x14ac:dyDescent="0.3">
      <c r="A418" s="3"/>
      <c r="B418" s="9"/>
      <c r="C418" s="9"/>
      <c r="E418" s="14" t="str">
        <f t="shared" si="34"/>
        <v/>
      </c>
      <c r="F418" s="15" t="str">
        <f t="shared" ca="1" si="35"/>
        <v/>
      </c>
      <c r="G418" s="15" t="str">
        <f t="shared" ca="1" si="36"/>
        <v/>
      </c>
      <c r="H418" s="15" t="str">
        <f t="shared" ca="1" si="37"/>
        <v/>
      </c>
      <c r="I418" s="16" t="str">
        <f t="shared" ca="1" si="38"/>
        <v/>
      </c>
    </row>
    <row r="419" spans="1:9" x14ac:dyDescent="0.3">
      <c r="A419" s="3"/>
      <c r="B419" s="9"/>
      <c r="C419" s="9"/>
      <c r="E419" s="14" t="str">
        <f t="shared" si="34"/>
        <v/>
      </c>
      <c r="F419" s="15" t="str">
        <f t="shared" ca="1" si="35"/>
        <v/>
      </c>
      <c r="G419" s="15" t="str">
        <f t="shared" ca="1" si="36"/>
        <v/>
      </c>
      <c r="H419" s="15" t="str">
        <f t="shared" ca="1" si="37"/>
        <v/>
      </c>
      <c r="I419" s="16" t="str">
        <f t="shared" ca="1" si="38"/>
        <v/>
      </c>
    </row>
    <row r="420" spans="1:9" x14ac:dyDescent="0.3">
      <c r="A420" s="3"/>
      <c r="B420" s="9"/>
      <c r="C420" s="9"/>
      <c r="E420" s="14" t="str">
        <f t="shared" si="34"/>
        <v/>
      </c>
      <c r="F420" s="15" t="str">
        <f t="shared" ca="1" si="35"/>
        <v/>
      </c>
      <c r="G420" s="15" t="str">
        <f t="shared" ca="1" si="36"/>
        <v/>
      </c>
      <c r="H420" s="15" t="str">
        <f t="shared" ca="1" si="37"/>
        <v/>
      </c>
      <c r="I420" s="16" t="str">
        <f t="shared" ca="1" si="38"/>
        <v/>
      </c>
    </row>
    <row r="421" spans="1:9" x14ac:dyDescent="0.3">
      <c r="A421" s="3"/>
      <c r="B421" s="9"/>
      <c r="C421" s="9"/>
      <c r="E421" s="14" t="str">
        <f t="shared" si="34"/>
        <v/>
      </c>
      <c r="F421" s="15" t="str">
        <f t="shared" ca="1" si="35"/>
        <v/>
      </c>
      <c r="G421" s="15" t="str">
        <f t="shared" ca="1" si="36"/>
        <v/>
      </c>
      <c r="H421" s="15" t="str">
        <f t="shared" ca="1" si="37"/>
        <v/>
      </c>
      <c r="I421" s="16" t="str">
        <f t="shared" ca="1" si="38"/>
        <v/>
      </c>
    </row>
    <row r="422" spans="1:9" x14ac:dyDescent="0.3">
      <c r="A422" s="3"/>
      <c r="B422" s="9"/>
      <c r="C422" s="9"/>
      <c r="E422" s="14" t="str">
        <f t="shared" si="34"/>
        <v/>
      </c>
      <c r="F422" s="15" t="str">
        <f t="shared" ca="1" si="35"/>
        <v/>
      </c>
      <c r="G422" s="15" t="str">
        <f t="shared" ca="1" si="36"/>
        <v/>
      </c>
      <c r="H422" s="15" t="str">
        <f t="shared" ca="1" si="37"/>
        <v/>
      </c>
      <c r="I422" s="16" t="str">
        <f t="shared" ca="1" si="38"/>
        <v/>
      </c>
    </row>
    <row r="423" spans="1:9" x14ac:dyDescent="0.3">
      <c r="A423" s="3"/>
      <c r="B423" s="9"/>
      <c r="C423" s="9"/>
      <c r="E423" s="14" t="str">
        <f t="shared" si="34"/>
        <v/>
      </c>
      <c r="F423" s="15" t="str">
        <f t="shared" ca="1" si="35"/>
        <v/>
      </c>
      <c r="G423" s="15" t="str">
        <f t="shared" ca="1" si="36"/>
        <v/>
      </c>
      <c r="H423" s="15" t="str">
        <f t="shared" ca="1" si="37"/>
        <v/>
      </c>
      <c r="I423" s="16" t="str">
        <f t="shared" ca="1" si="38"/>
        <v/>
      </c>
    </row>
    <row r="424" spans="1:9" x14ac:dyDescent="0.3">
      <c r="A424" s="3"/>
      <c r="B424" s="9"/>
      <c r="C424" s="9"/>
      <c r="E424" s="14" t="str">
        <f t="shared" si="34"/>
        <v/>
      </c>
      <c r="F424" s="15" t="str">
        <f t="shared" ca="1" si="35"/>
        <v/>
      </c>
      <c r="G424" s="15" t="str">
        <f t="shared" ca="1" si="36"/>
        <v/>
      </c>
      <c r="H424" s="15" t="str">
        <f t="shared" ca="1" si="37"/>
        <v/>
      </c>
      <c r="I424" s="16" t="str">
        <f t="shared" ca="1" si="38"/>
        <v/>
      </c>
    </row>
    <row r="425" spans="1:9" x14ac:dyDescent="0.3">
      <c r="A425" s="3"/>
      <c r="B425" s="9"/>
      <c r="C425" s="9"/>
      <c r="E425" s="14" t="str">
        <f t="shared" si="34"/>
        <v/>
      </c>
      <c r="F425" s="15" t="str">
        <f t="shared" ca="1" si="35"/>
        <v/>
      </c>
      <c r="G425" s="15" t="str">
        <f t="shared" ca="1" si="36"/>
        <v/>
      </c>
      <c r="H425" s="15" t="str">
        <f t="shared" ca="1" si="37"/>
        <v/>
      </c>
      <c r="I425" s="16" t="str">
        <f t="shared" ca="1" si="38"/>
        <v/>
      </c>
    </row>
    <row r="426" spans="1:9" x14ac:dyDescent="0.3">
      <c r="A426" s="3"/>
      <c r="B426" s="9"/>
      <c r="C426" s="9"/>
      <c r="E426" s="14" t="str">
        <f t="shared" si="34"/>
        <v/>
      </c>
      <c r="F426" s="15" t="str">
        <f t="shared" ca="1" si="35"/>
        <v/>
      </c>
      <c r="G426" s="15" t="str">
        <f t="shared" ca="1" si="36"/>
        <v/>
      </c>
      <c r="H426" s="15" t="str">
        <f t="shared" ca="1" si="37"/>
        <v/>
      </c>
      <c r="I426" s="16" t="str">
        <f t="shared" ca="1" si="38"/>
        <v/>
      </c>
    </row>
    <row r="427" spans="1:9" x14ac:dyDescent="0.3">
      <c r="A427" s="3"/>
      <c r="B427" s="9"/>
      <c r="C427" s="9"/>
      <c r="E427" s="14" t="str">
        <f t="shared" si="34"/>
        <v/>
      </c>
      <c r="F427" s="15" t="str">
        <f t="shared" ca="1" si="35"/>
        <v/>
      </c>
      <c r="G427" s="15" t="str">
        <f t="shared" ca="1" si="36"/>
        <v/>
      </c>
      <c r="H427" s="15" t="str">
        <f t="shared" ca="1" si="37"/>
        <v/>
      </c>
      <c r="I427" s="16" t="str">
        <f t="shared" ca="1" si="38"/>
        <v/>
      </c>
    </row>
    <row r="428" spans="1:9" x14ac:dyDescent="0.3">
      <c r="A428" s="3"/>
      <c r="B428" s="9"/>
      <c r="C428" s="9"/>
      <c r="E428" s="14" t="str">
        <f t="shared" si="34"/>
        <v/>
      </c>
      <c r="F428" s="15" t="str">
        <f t="shared" ca="1" si="35"/>
        <v/>
      </c>
      <c r="G428" s="15" t="str">
        <f t="shared" ca="1" si="36"/>
        <v/>
      </c>
      <c r="H428" s="15" t="str">
        <f t="shared" ca="1" si="37"/>
        <v/>
      </c>
      <c r="I428" s="16" t="str">
        <f t="shared" ca="1" si="38"/>
        <v/>
      </c>
    </row>
    <row r="429" spans="1:9" x14ac:dyDescent="0.3">
      <c r="A429" s="3"/>
      <c r="B429" s="9"/>
      <c r="C429" s="9"/>
      <c r="E429" s="14" t="str">
        <f t="shared" si="34"/>
        <v/>
      </c>
      <c r="F429" s="15" t="str">
        <f t="shared" ca="1" si="35"/>
        <v/>
      </c>
      <c r="G429" s="15" t="str">
        <f t="shared" ca="1" si="36"/>
        <v/>
      </c>
      <c r="H429" s="15" t="str">
        <f t="shared" ca="1" si="37"/>
        <v/>
      </c>
      <c r="I429" s="16" t="str">
        <f t="shared" ca="1" si="38"/>
        <v/>
      </c>
    </row>
    <row r="430" spans="1:9" x14ac:dyDescent="0.3">
      <c r="A430" s="3"/>
      <c r="B430" s="9"/>
      <c r="C430" s="9"/>
      <c r="E430" s="14" t="str">
        <f t="shared" si="34"/>
        <v/>
      </c>
      <c r="F430" s="15" t="str">
        <f t="shared" ca="1" si="35"/>
        <v/>
      </c>
      <c r="G430" s="15" t="str">
        <f t="shared" ca="1" si="36"/>
        <v/>
      </c>
      <c r="H430" s="15" t="str">
        <f t="shared" ca="1" si="37"/>
        <v/>
      </c>
      <c r="I430" s="16" t="str">
        <f t="shared" ca="1" si="38"/>
        <v/>
      </c>
    </row>
    <row r="431" spans="1:9" x14ac:dyDescent="0.3">
      <c r="A431" s="3"/>
      <c r="B431" s="9"/>
      <c r="C431" s="9"/>
      <c r="E431" s="14" t="str">
        <f t="shared" si="34"/>
        <v/>
      </c>
      <c r="F431" s="15" t="str">
        <f t="shared" ca="1" si="35"/>
        <v/>
      </c>
      <c r="G431" s="15" t="str">
        <f t="shared" ca="1" si="36"/>
        <v/>
      </c>
      <c r="H431" s="15" t="str">
        <f t="shared" ca="1" si="37"/>
        <v/>
      </c>
      <c r="I431" s="16" t="str">
        <f t="shared" ca="1" si="38"/>
        <v/>
      </c>
    </row>
    <row r="432" spans="1:9" x14ac:dyDescent="0.3">
      <c r="A432" s="3"/>
      <c r="B432" s="9"/>
      <c r="C432" s="9"/>
      <c r="E432" s="14" t="str">
        <f t="shared" si="34"/>
        <v/>
      </c>
      <c r="F432" s="15" t="str">
        <f t="shared" ca="1" si="35"/>
        <v/>
      </c>
      <c r="G432" s="15" t="str">
        <f t="shared" ca="1" si="36"/>
        <v/>
      </c>
      <c r="H432" s="15" t="str">
        <f t="shared" ca="1" si="37"/>
        <v/>
      </c>
      <c r="I432" s="16" t="str">
        <f t="shared" ca="1" si="38"/>
        <v/>
      </c>
    </row>
    <row r="433" spans="1:9" x14ac:dyDescent="0.3">
      <c r="A433" s="3"/>
      <c r="B433" s="9"/>
      <c r="C433" s="9"/>
      <c r="E433" s="14" t="str">
        <f t="shared" si="34"/>
        <v/>
      </c>
      <c r="F433" s="15" t="str">
        <f t="shared" ca="1" si="35"/>
        <v/>
      </c>
      <c r="G433" s="15" t="str">
        <f t="shared" ca="1" si="36"/>
        <v/>
      </c>
      <c r="H433" s="15" t="str">
        <f t="shared" ca="1" si="37"/>
        <v/>
      </c>
      <c r="I433" s="16" t="str">
        <f t="shared" ca="1" si="38"/>
        <v/>
      </c>
    </row>
    <row r="434" spans="1:9" x14ac:dyDescent="0.3">
      <c r="A434" s="3"/>
      <c r="B434" s="9"/>
      <c r="C434" s="9"/>
      <c r="E434" s="14" t="str">
        <f t="shared" si="34"/>
        <v/>
      </c>
      <c r="F434" s="15" t="str">
        <f t="shared" ca="1" si="35"/>
        <v/>
      </c>
      <c r="G434" s="15" t="str">
        <f t="shared" ca="1" si="36"/>
        <v/>
      </c>
      <c r="H434" s="15" t="str">
        <f t="shared" ca="1" si="37"/>
        <v/>
      </c>
      <c r="I434" s="16" t="str">
        <f t="shared" ca="1" si="38"/>
        <v/>
      </c>
    </row>
    <row r="435" spans="1:9" x14ac:dyDescent="0.3">
      <c r="A435" s="3"/>
      <c r="B435" s="9"/>
      <c r="C435" s="9"/>
      <c r="E435" s="14" t="str">
        <f t="shared" si="34"/>
        <v/>
      </c>
      <c r="F435" s="15" t="str">
        <f t="shared" ca="1" si="35"/>
        <v/>
      </c>
      <c r="G435" s="15" t="str">
        <f t="shared" ca="1" si="36"/>
        <v/>
      </c>
      <c r="H435" s="15" t="str">
        <f t="shared" ca="1" si="37"/>
        <v/>
      </c>
      <c r="I435" s="16" t="str">
        <f t="shared" ca="1" si="38"/>
        <v/>
      </c>
    </row>
    <row r="436" spans="1:9" x14ac:dyDescent="0.3">
      <c r="A436" s="3"/>
      <c r="B436" s="9"/>
      <c r="C436" s="9"/>
      <c r="E436" s="14" t="str">
        <f t="shared" si="34"/>
        <v/>
      </c>
      <c r="F436" s="15" t="str">
        <f t="shared" ca="1" si="35"/>
        <v/>
      </c>
      <c r="G436" s="15" t="str">
        <f t="shared" ca="1" si="36"/>
        <v/>
      </c>
      <c r="H436" s="15" t="str">
        <f t="shared" ca="1" si="37"/>
        <v/>
      </c>
      <c r="I436" s="16" t="str">
        <f t="shared" ca="1" si="38"/>
        <v/>
      </c>
    </row>
    <row r="437" spans="1:9" x14ac:dyDescent="0.3">
      <c r="A437" s="3"/>
      <c r="B437" s="9"/>
      <c r="C437" s="9"/>
      <c r="E437" s="14" t="str">
        <f t="shared" si="34"/>
        <v/>
      </c>
      <c r="F437" s="15" t="str">
        <f t="shared" ca="1" si="35"/>
        <v/>
      </c>
      <c r="G437" s="15" t="str">
        <f t="shared" ca="1" si="36"/>
        <v/>
      </c>
      <c r="H437" s="15" t="str">
        <f t="shared" ca="1" si="37"/>
        <v/>
      </c>
      <c r="I437" s="16" t="str">
        <f t="shared" ca="1" si="38"/>
        <v/>
      </c>
    </row>
    <row r="438" spans="1:9" x14ac:dyDescent="0.3">
      <c r="A438" s="3"/>
      <c r="B438" s="9"/>
      <c r="C438" s="9"/>
      <c r="E438" s="14" t="str">
        <f t="shared" si="34"/>
        <v/>
      </c>
      <c r="F438" s="15" t="str">
        <f t="shared" ca="1" si="35"/>
        <v/>
      </c>
      <c r="G438" s="15" t="str">
        <f t="shared" ca="1" si="36"/>
        <v/>
      </c>
      <c r="H438" s="15" t="str">
        <f t="shared" ca="1" si="37"/>
        <v/>
      </c>
      <c r="I438" s="16" t="str">
        <f t="shared" ca="1" si="38"/>
        <v/>
      </c>
    </row>
    <row r="439" spans="1:9" x14ac:dyDescent="0.3">
      <c r="A439" s="3"/>
      <c r="B439" s="9"/>
      <c r="C439" s="9"/>
      <c r="E439" s="14" t="str">
        <f t="shared" si="34"/>
        <v/>
      </c>
      <c r="F439" s="15" t="str">
        <f t="shared" ca="1" si="35"/>
        <v/>
      </c>
      <c r="G439" s="15" t="str">
        <f t="shared" ca="1" si="36"/>
        <v/>
      </c>
      <c r="H439" s="15" t="str">
        <f t="shared" ca="1" si="37"/>
        <v/>
      </c>
      <c r="I439" s="16" t="str">
        <f t="shared" ca="1" si="38"/>
        <v/>
      </c>
    </row>
    <row r="440" spans="1:9" x14ac:dyDescent="0.3">
      <c r="A440" s="3"/>
      <c r="B440" s="9"/>
      <c r="C440" s="9"/>
      <c r="E440" s="14" t="str">
        <f t="shared" si="34"/>
        <v/>
      </c>
      <c r="F440" s="15" t="str">
        <f t="shared" ca="1" si="35"/>
        <v/>
      </c>
      <c r="G440" s="15" t="str">
        <f t="shared" ca="1" si="36"/>
        <v/>
      </c>
      <c r="H440" s="15" t="str">
        <f t="shared" ca="1" si="37"/>
        <v/>
      </c>
      <c r="I440" s="16" t="str">
        <f t="shared" ca="1" si="38"/>
        <v/>
      </c>
    </row>
    <row r="441" spans="1:9" x14ac:dyDescent="0.3">
      <c r="A441" s="3"/>
      <c r="B441" s="9"/>
      <c r="C441" s="9"/>
      <c r="E441" s="14" t="str">
        <f t="shared" si="34"/>
        <v/>
      </c>
      <c r="F441" s="15" t="str">
        <f t="shared" ca="1" si="35"/>
        <v/>
      </c>
      <c r="G441" s="15" t="str">
        <f t="shared" ca="1" si="36"/>
        <v/>
      </c>
      <c r="H441" s="15" t="str">
        <f t="shared" ca="1" si="37"/>
        <v/>
      </c>
      <c r="I441" s="16" t="str">
        <f t="shared" ca="1" si="38"/>
        <v/>
      </c>
    </row>
    <row r="442" spans="1:9" x14ac:dyDescent="0.3">
      <c r="A442" s="3"/>
      <c r="B442" s="9"/>
      <c r="C442" s="9"/>
      <c r="E442" s="14" t="str">
        <f t="shared" si="34"/>
        <v/>
      </c>
      <c r="F442" s="15" t="str">
        <f t="shared" ca="1" si="35"/>
        <v/>
      </c>
      <c r="G442" s="15" t="str">
        <f t="shared" ca="1" si="36"/>
        <v/>
      </c>
      <c r="H442" s="15" t="str">
        <f t="shared" ca="1" si="37"/>
        <v/>
      </c>
      <c r="I442" s="16" t="str">
        <f t="shared" ca="1" si="38"/>
        <v/>
      </c>
    </row>
    <row r="443" spans="1:9" x14ac:dyDescent="0.3">
      <c r="A443" s="3"/>
      <c r="B443" s="9"/>
      <c r="C443" s="9"/>
      <c r="E443" s="14" t="str">
        <f t="shared" si="34"/>
        <v/>
      </c>
      <c r="F443" s="15" t="str">
        <f t="shared" ca="1" si="35"/>
        <v/>
      </c>
      <c r="G443" s="15" t="str">
        <f t="shared" ca="1" si="36"/>
        <v/>
      </c>
      <c r="H443" s="15" t="str">
        <f t="shared" ca="1" si="37"/>
        <v/>
      </c>
      <c r="I443" s="16" t="str">
        <f t="shared" ca="1" si="38"/>
        <v/>
      </c>
    </row>
    <row r="444" spans="1:9" x14ac:dyDescent="0.3">
      <c r="A444" s="3"/>
      <c r="B444" s="9"/>
      <c r="C444" s="9"/>
      <c r="E444" s="14" t="str">
        <f t="shared" si="34"/>
        <v/>
      </c>
      <c r="F444" s="15" t="str">
        <f t="shared" ca="1" si="35"/>
        <v/>
      </c>
      <c r="G444" s="15" t="str">
        <f t="shared" ca="1" si="36"/>
        <v/>
      </c>
      <c r="H444" s="15" t="str">
        <f t="shared" ca="1" si="37"/>
        <v/>
      </c>
      <c r="I444" s="16" t="str">
        <f t="shared" ca="1" si="38"/>
        <v/>
      </c>
    </row>
    <row r="445" spans="1:9" x14ac:dyDescent="0.3">
      <c r="A445" s="3"/>
      <c r="B445" s="9"/>
      <c r="C445" s="9"/>
      <c r="E445" s="14" t="str">
        <f t="shared" si="34"/>
        <v/>
      </c>
      <c r="F445" s="15" t="str">
        <f t="shared" ca="1" si="35"/>
        <v/>
      </c>
      <c r="G445" s="15" t="str">
        <f t="shared" ca="1" si="36"/>
        <v/>
      </c>
      <c r="H445" s="15" t="str">
        <f t="shared" ca="1" si="37"/>
        <v/>
      </c>
      <c r="I445" s="16" t="str">
        <f t="shared" ca="1" si="38"/>
        <v/>
      </c>
    </row>
    <row r="446" spans="1:9" x14ac:dyDescent="0.3">
      <c r="A446" s="3"/>
      <c r="B446" s="9"/>
      <c r="C446" s="9"/>
      <c r="E446" s="14" t="str">
        <f t="shared" si="34"/>
        <v/>
      </c>
      <c r="F446" s="15" t="str">
        <f t="shared" ca="1" si="35"/>
        <v/>
      </c>
      <c r="G446" s="15" t="str">
        <f t="shared" ca="1" si="36"/>
        <v/>
      </c>
      <c r="H446" s="15" t="str">
        <f t="shared" ca="1" si="37"/>
        <v/>
      </c>
      <c r="I446" s="16" t="str">
        <f t="shared" ca="1" si="38"/>
        <v/>
      </c>
    </row>
    <row r="447" spans="1:9" x14ac:dyDescent="0.3">
      <c r="A447" s="3"/>
      <c r="B447" s="9"/>
      <c r="C447" s="9"/>
      <c r="E447" s="14" t="str">
        <f t="shared" si="34"/>
        <v/>
      </c>
      <c r="F447" s="15" t="str">
        <f t="shared" ca="1" si="35"/>
        <v/>
      </c>
      <c r="G447" s="15" t="str">
        <f t="shared" ca="1" si="36"/>
        <v/>
      </c>
      <c r="H447" s="15" t="str">
        <f t="shared" ca="1" si="37"/>
        <v/>
      </c>
      <c r="I447" s="16" t="str">
        <f t="shared" ca="1" si="38"/>
        <v/>
      </c>
    </row>
    <row r="448" spans="1:9" x14ac:dyDescent="0.3">
      <c r="A448" s="3"/>
      <c r="B448" s="9"/>
      <c r="C448" s="9"/>
      <c r="E448" s="14" t="str">
        <f t="shared" si="34"/>
        <v/>
      </c>
      <c r="F448" s="15" t="str">
        <f t="shared" ca="1" si="35"/>
        <v/>
      </c>
      <c r="G448" s="15" t="str">
        <f t="shared" ca="1" si="36"/>
        <v/>
      </c>
      <c r="H448" s="15" t="str">
        <f t="shared" ca="1" si="37"/>
        <v/>
      </c>
      <c r="I448" s="16" t="str">
        <f t="shared" ca="1" si="38"/>
        <v/>
      </c>
    </row>
    <row r="449" spans="1:9" x14ac:dyDescent="0.3">
      <c r="A449" s="3"/>
      <c r="B449" s="9"/>
      <c r="C449" s="9"/>
      <c r="E449" s="14" t="str">
        <f t="shared" si="34"/>
        <v/>
      </c>
      <c r="F449" s="15" t="str">
        <f t="shared" ca="1" si="35"/>
        <v/>
      </c>
      <c r="G449" s="15" t="str">
        <f t="shared" ca="1" si="36"/>
        <v/>
      </c>
      <c r="H449" s="15" t="str">
        <f t="shared" ca="1" si="37"/>
        <v/>
      </c>
      <c r="I449" s="16" t="str">
        <f t="shared" ca="1" si="38"/>
        <v/>
      </c>
    </row>
    <row r="450" spans="1:9" x14ac:dyDescent="0.3">
      <c r="A450" s="3"/>
      <c r="B450" s="9"/>
      <c r="C450" s="9"/>
      <c r="E450" s="14" t="str">
        <f t="shared" si="34"/>
        <v/>
      </c>
      <c r="F450" s="15" t="str">
        <f t="shared" ca="1" si="35"/>
        <v/>
      </c>
      <c r="G450" s="15" t="str">
        <f t="shared" ca="1" si="36"/>
        <v/>
      </c>
      <c r="H450" s="15" t="str">
        <f t="shared" ca="1" si="37"/>
        <v/>
      </c>
      <c r="I450" s="16" t="str">
        <f t="shared" ca="1" si="38"/>
        <v/>
      </c>
    </row>
    <row r="451" spans="1:9" x14ac:dyDescent="0.3">
      <c r="A451" s="3"/>
      <c r="B451" s="9"/>
      <c r="C451" s="9"/>
      <c r="E451" s="14" t="str">
        <f t="shared" ref="E451:E514" si="39">IF(ISNUMBER(B451),B451/C451,"")</f>
        <v/>
      </c>
      <c r="F451" s="15" t="str">
        <f t="shared" ca="1" si="35"/>
        <v/>
      </c>
      <c r="G451" s="15" t="str">
        <f t="shared" ca="1" si="36"/>
        <v/>
      </c>
      <c r="H451" s="15" t="str">
        <f t="shared" ca="1" si="37"/>
        <v/>
      </c>
      <c r="I451" s="16" t="str">
        <f t="shared" ca="1" si="38"/>
        <v/>
      </c>
    </row>
    <row r="452" spans="1:9" x14ac:dyDescent="0.3">
      <c r="A452" s="3"/>
      <c r="B452" s="9"/>
      <c r="C452" s="9"/>
      <c r="E452" s="14" t="str">
        <f t="shared" si="39"/>
        <v/>
      </c>
      <c r="F452" s="15" t="str">
        <f t="shared" ca="1" si="35"/>
        <v/>
      </c>
      <c r="G452" s="15" t="str">
        <f t="shared" ca="1" si="36"/>
        <v/>
      </c>
      <c r="H452" s="15" t="str">
        <f t="shared" ca="1" si="37"/>
        <v/>
      </c>
      <c r="I452" s="16" t="str">
        <f t="shared" ca="1" si="38"/>
        <v/>
      </c>
    </row>
    <row r="453" spans="1:9" x14ac:dyDescent="0.3">
      <c r="A453" s="3"/>
      <c r="B453" s="9"/>
      <c r="C453" s="9"/>
      <c r="E453" s="14" t="str">
        <f t="shared" si="39"/>
        <v/>
      </c>
      <c r="F453" s="15" t="str">
        <f t="shared" ca="1" si="35"/>
        <v/>
      </c>
      <c r="G453" s="15" t="str">
        <f t="shared" ca="1" si="36"/>
        <v/>
      </c>
      <c r="H453" s="15" t="str">
        <f t="shared" ca="1" si="37"/>
        <v/>
      </c>
      <c r="I453" s="16" t="str">
        <f t="shared" ca="1" si="38"/>
        <v/>
      </c>
    </row>
    <row r="454" spans="1:9" x14ac:dyDescent="0.3">
      <c r="A454" s="3"/>
      <c r="B454" s="9"/>
      <c r="C454" s="9"/>
      <c r="E454" s="14" t="str">
        <f t="shared" si="39"/>
        <v/>
      </c>
      <c r="F454" s="15" t="str">
        <f t="shared" ca="1" si="35"/>
        <v/>
      </c>
      <c r="G454" s="15" t="str">
        <f t="shared" ca="1" si="36"/>
        <v/>
      </c>
      <c r="H454" s="15" t="str">
        <f t="shared" ca="1" si="37"/>
        <v/>
      </c>
      <c r="I454" s="16" t="str">
        <f t="shared" ca="1" si="38"/>
        <v/>
      </c>
    </row>
    <row r="455" spans="1:9" x14ac:dyDescent="0.3">
      <c r="A455" s="3"/>
      <c r="B455" s="9"/>
      <c r="C455" s="9"/>
      <c r="E455" s="14" t="str">
        <f t="shared" si="39"/>
        <v/>
      </c>
      <c r="F455" s="15" t="str">
        <f t="shared" ca="1" si="35"/>
        <v/>
      </c>
      <c r="G455" s="15" t="str">
        <f t="shared" ca="1" si="36"/>
        <v/>
      </c>
      <c r="H455" s="15" t="str">
        <f t="shared" ca="1" si="37"/>
        <v/>
      </c>
      <c r="I455" s="16" t="str">
        <f t="shared" ca="1" si="38"/>
        <v/>
      </c>
    </row>
    <row r="456" spans="1:9" x14ac:dyDescent="0.3">
      <c r="A456" s="3"/>
      <c r="B456" s="9"/>
      <c r="C456" s="9"/>
      <c r="E456" s="14" t="str">
        <f t="shared" si="39"/>
        <v/>
      </c>
      <c r="F456" s="15" t="str">
        <f t="shared" ca="1" si="35"/>
        <v/>
      </c>
      <c r="G456" s="15" t="str">
        <f t="shared" ca="1" si="36"/>
        <v/>
      </c>
      <c r="H456" s="15" t="str">
        <f t="shared" ca="1" si="37"/>
        <v/>
      </c>
      <c r="I456" s="16" t="str">
        <f t="shared" ca="1" si="38"/>
        <v/>
      </c>
    </row>
    <row r="457" spans="1:9" x14ac:dyDescent="0.3">
      <c r="A457" s="3"/>
      <c r="B457" s="9"/>
      <c r="C457" s="9"/>
      <c r="E457" s="14" t="str">
        <f t="shared" si="39"/>
        <v/>
      </c>
      <c r="F457" s="15" t="str">
        <f t="shared" ca="1" si="35"/>
        <v/>
      </c>
      <c r="G457" s="15" t="str">
        <f t="shared" ca="1" si="36"/>
        <v/>
      </c>
      <c r="H457" s="15" t="str">
        <f t="shared" ca="1" si="37"/>
        <v/>
      </c>
      <c r="I457" s="16" t="str">
        <f t="shared" ca="1" si="38"/>
        <v/>
      </c>
    </row>
    <row r="458" spans="1:9" x14ac:dyDescent="0.3">
      <c r="A458" s="3"/>
      <c r="B458" s="9"/>
      <c r="C458" s="9"/>
      <c r="E458" s="14" t="str">
        <f t="shared" si="39"/>
        <v/>
      </c>
      <c r="F458" s="15" t="str">
        <f t="shared" ca="1" si="35"/>
        <v/>
      </c>
      <c r="G458" s="15" t="str">
        <f t="shared" ca="1" si="36"/>
        <v/>
      </c>
      <c r="H458" s="15" t="str">
        <f t="shared" ca="1" si="37"/>
        <v/>
      </c>
      <c r="I458" s="16" t="str">
        <f t="shared" ca="1" si="38"/>
        <v/>
      </c>
    </row>
    <row r="459" spans="1:9" x14ac:dyDescent="0.3">
      <c r="A459" s="3"/>
      <c r="B459" s="9"/>
      <c r="C459" s="9"/>
      <c r="E459" s="14" t="str">
        <f t="shared" si="39"/>
        <v/>
      </c>
      <c r="F459" s="15" t="str">
        <f t="shared" ca="1" si="35"/>
        <v/>
      </c>
      <c r="G459" s="15" t="str">
        <f t="shared" ca="1" si="36"/>
        <v/>
      </c>
      <c r="H459" s="15" t="str">
        <f t="shared" ca="1" si="37"/>
        <v/>
      </c>
      <c r="I459" s="16" t="str">
        <f t="shared" ca="1" si="38"/>
        <v/>
      </c>
    </row>
    <row r="460" spans="1:9" x14ac:dyDescent="0.3">
      <c r="A460" s="3"/>
      <c r="B460" s="9"/>
      <c r="C460" s="9"/>
      <c r="E460" s="14" t="str">
        <f t="shared" si="39"/>
        <v/>
      </c>
      <c r="F460" s="15" t="str">
        <f t="shared" ca="1" si="35"/>
        <v/>
      </c>
      <c r="G460" s="15" t="str">
        <f t="shared" ca="1" si="36"/>
        <v/>
      </c>
      <c r="H460" s="15" t="str">
        <f t="shared" ca="1" si="37"/>
        <v/>
      </c>
      <c r="I460" s="16" t="str">
        <f t="shared" ca="1" si="38"/>
        <v/>
      </c>
    </row>
    <row r="461" spans="1:9" x14ac:dyDescent="0.3">
      <c r="A461" s="3"/>
      <c r="B461" s="9"/>
      <c r="C461" s="9"/>
      <c r="E461" s="14" t="str">
        <f t="shared" si="39"/>
        <v/>
      </c>
      <c r="F461" s="15" t="str">
        <f t="shared" ca="1" si="35"/>
        <v/>
      </c>
      <c r="G461" s="15" t="str">
        <f t="shared" ca="1" si="36"/>
        <v/>
      </c>
      <c r="H461" s="15" t="str">
        <f t="shared" ca="1" si="37"/>
        <v/>
      </c>
      <c r="I461" s="16" t="str">
        <f t="shared" ca="1" si="38"/>
        <v/>
      </c>
    </row>
    <row r="462" spans="1:9" x14ac:dyDescent="0.3">
      <c r="A462" s="3"/>
      <c r="B462" s="9"/>
      <c r="C462" s="9"/>
      <c r="E462" s="14" t="str">
        <f t="shared" si="39"/>
        <v/>
      </c>
      <c r="F462" s="15" t="str">
        <f t="shared" ca="1" si="35"/>
        <v/>
      </c>
      <c r="G462" s="15" t="str">
        <f t="shared" ca="1" si="36"/>
        <v/>
      </c>
      <c r="H462" s="15" t="str">
        <f t="shared" ca="1" si="37"/>
        <v/>
      </c>
      <c r="I462" s="16" t="str">
        <f t="shared" ca="1" si="38"/>
        <v/>
      </c>
    </row>
    <row r="463" spans="1:9" x14ac:dyDescent="0.3">
      <c r="A463" s="3"/>
      <c r="B463" s="9"/>
      <c r="C463" s="9"/>
      <c r="E463" s="14" t="str">
        <f t="shared" si="39"/>
        <v/>
      </c>
      <c r="F463" s="15" t="str">
        <f t="shared" ca="1" si="35"/>
        <v/>
      </c>
      <c r="G463" s="15" t="str">
        <f t="shared" ca="1" si="36"/>
        <v/>
      </c>
      <c r="H463" s="15" t="str">
        <f t="shared" ca="1" si="37"/>
        <v/>
      </c>
      <c r="I463" s="16" t="str">
        <f t="shared" ca="1" si="38"/>
        <v/>
      </c>
    </row>
    <row r="464" spans="1:9" x14ac:dyDescent="0.3">
      <c r="A464" s="3"/>
      <c r="B464" s="9"/>
      <c r="C464" s="9"/>
      <c r="E464" s="14" t="str">
        <f t="shared" si="39"/>
        <v/>
      </c>
      <c r="F464" s="15" t="str">
        <f t="shared" ca="1" si="35"/>
        <v/>
      </c>
      <c r="G464" s="15" t="str">
        <f t="shared" ca="1" si="36"/>
        <v/>
      </c>
      <c r="H464" s="15" t="str">
        <f t="shared" ca="1" si="37"/>
        <v/>
      </c>
      <c r="I464" s="16" t="str">
        <f t="shared" ca="1" si="38"/>
        <v/>
      </c>
    </row>
    <row r="465" spans="1:9" x14ac:dyDescent="0.3">
      <c r="A465" s="3"/>
      <c r="B465" s="9"/>
      <c r="C465" s="9"/>
      <c r="E465" s="14" t="str">
        <f t="shared" si="39"/>
        <v/>
      </c>
      <c r="F465" s="15" t="str">
        <f t="shared" ref="F465:F528" ca="1" si="40">IF(ISNUMBER(E465),IF(ROW(E465)&gt;$K$1,AVERAGE(OFFSET(E465,0,0,-$K$1)),""),"")</f>
        <v/>
      </c>
      <c r="G465" s="15" t="str">
        <f t="shared" ref="G465:G528" ca="1" si="41">IF(ISNUMBER(I465),F465+I465*$M$1,"")</f>
        <v/>
      </c>
      <c r="H465" s="15" t="str">
        <f t="shared" ref="H465:H528" ca="1" si="42">IF(ISNUMBER(I465),F465-I465*$M$1,"")</f>
        <v/>
      </c>
      <c r="I465" s="16" t="str">
        <f t="shared" ref="I465:I528" ca="1" si="43">IF(ISNUMBER(E465),IF(ROW(E465)&gt;$K$1,_xlfn.STDEV.P(OFFSET(E465,0,0,-$K$1)),""),"")</f>
        <v/>
      </c>
    </row>
    <row r="466" spans="1:9" x14ac:dyDescent="0.3">
      <c r="A466" s="3"/>
      <c r="B466" s="9"/>
      <c r="C466" s="9"/>
      <c r="E466" s="14" t="str">
        <f t="shared" si="39"/>
        <v/>
      </c>
      <c r="F466" s="15" t="str">
        <f t="shared" ca="1" si="40"/>
        <v/>
      </c>
      <c r="G466" s="15" t="str">
        <f t="shared" ca="1" si="41"/>
        <v/>
      </c>
      <c r="H466" s="15" t="str">
        <f t="shared" ca="1" si="42"/>
        <v/>
      </c>
      <c r="I466" s="16" t="str">
        <f t="shared" ca="1" si="43"/>
        <v/>
      </c>
    </row>
    <row r="467" spans="1:9" x14ac:dyDescent="0.3">
      <c r="A467" s="3"/>
      <c r="B467" s="9"/>
      <c r="C467" s="9"/>
      <c r="E467" s="14" t="str">
        <f t="shared" si="39"/>
        <v/>
      </c>
      <c r="F467" s="15" t="str">
        <f t="shared" ca="1" si="40"/>
        <v/>
      </c>
      <c r="G467" s="15" t="str">
        <f t="shared" ca="1" si="41"/>
        <v/>
      </c>
      <c r="H467" s="15" t="str">
        <f t="shared" ca="1" si="42"/>
        <v/>
      </c>
      <c r="I467" s="16" t="str">
        <f t="shared" ca="1" si="43"/>
        <v/>
      </c>
    </row>
    <row r="468" spans="1:9" x14ac:dyDescent="0.3">
      <c r="A468" s="3"/>
      <c r="B468" s="9"/>
      <c r="C468" s="9"/>
      <c r="E468" s="14" t="str">
        <f t="shared" si="39"/>
        <v/>
      </c>
      <c r="F468" s="15" t="str">
        <f t="shared" ca="1" si="40"/>
        <v/>
      </c>
      <c r="G468" s="15" t="str">
        <f t="shared" ca="1" si="41"/>
        <v/>
      </c>
      <c r="H468" s="15" t="str">
        <f t="shared" ca="1" si="42"/>
        <v/>
      </c>
      <c r="I468" s="16" t="str">
        <f t="shared" ca="1" si="43"/>
        <v/>
      </c>
    </row>
    <row r="469" spans="1:9" x14ac:dyDescent="0.3">
      <c r="A469" s="3"/>
      <c r="B469" s="9"/>
      <c r="C469" s="9"/>
      <c r="E469" s="14" t="str">
        <f t="shared" si="39"/>
        <v/>
      </c>
      <c r="F469" s="15" t="str">
        <f t="shared" ca="1" si="40"/>
        <v/>
      </c>
      <c r="G469" s="15" t="str">
        <f t="shared" ca="1" si="41"/>
        <v/>
      </c>
      <c r="H469" s="15" t="str">
        <f t="shared" ca="1" si="42"/>
        <v/>
      </c>
      <c r="I469" s="16" t="str">
        <f t="shared" ca="1" si="43"/>
        <v/>
      </c>
    </row>
    <row r="470" spans="1:9" x14ac:dyDescent="0.3">
      <c r="A470" s="3"/>
      <c r="B470" s="9"/>
      <c r="C470" s="9"/>
      <c r="E470" s="14" t="str">
        <f t="shared" si="39"/>
        <v/>
      </c>
      <c r="F470" s="15" t="str">
        <f t="shared" ca="1" si="40"/>
        <v/>
      </c>
      <c r="G470" s="15" t="str">
        <f t="shared" ca="1" si="41"/>
        <v/>
      </c>
      <c r="H470" s="15" t="str">
        <f t="shared" ca="1" si="42"/>
        <v/>
      </c>
      <c r="I470" s="16" t="str">
        <f t="shared" ca="1" si="43"/>
        <v/>
      </c>
    </row>
    <row r="471" spans="1:9" x14ac:dyDescent="0.3">
      <c r="A471" s="3"/>
      <c r="B471" s="9"/>
      <c r="C471" s="9"/>
      <c r="E471" s="14" t="str">
        <f t="shared" si="39"/>
        <v/>
      </c>
      <c r="F471" s="15" t="str">
        <f t="shared" ca="1" si="40"/>
        <v/>
      </c>
      <c r="G471" s="15" t="str">
        <f t="shared" ca="1" si="41"/>
        <v/>
      </c>
      <c r="H471" s="15" t="str">
        <f t="shared" ca="1" si="42"/>
        <v/>
      </c>
      <c r="I471" s="16" t="str">
        <f t="shared" ca="1" si="43"/>
        <v/>
      </c>
    </row>
    <row r="472" spans="1:9" x14ac:dyDescent="0.3">
      <c r="A472" s="3"/>
      <c r="B472" s="9"/>
      <c r="C472" s="9"/>
      <c r="E472" s="14" t="str">
        <f t="shared" si="39"/>
        <v/>
      </c>
      <c r="F472" s="15" t="str">
        <f t="shared" ca="1" si="40"/>
        <v/>
      </c>
      <c r="G472" s="15" t="str">
        <f t="shared" ca="1" si="41"/>
        <v/>
      </c>
      <c r="H472" s="15" t="str">
        <f t="shared" ca="1" si="42"/>
        <v/>
      </c>
      <c r="I472" s="16" t="str">
        <f t="shared" ca="1" si="43"/>
        <v/>
      </c>
    </row>
    <row r="473" spans="1:9" x14ac:dyDescent="0.3">
      <c r="A473" s="3"/>
      <c r="B473" s="9"/>
      <c r="C473" s="9"/>
      <c r="E473" s="14" t="str">
        <f t="shared" si="39"/>
        <v/>
      </c>
      <c r="F473" s="15" t="str">
        <f t="shared" ca="1" si="40"/>
        <v/>
      </c>
      <c r="G473" s="15" t="str">
        <f t="shared" ca="1" si="41"/>
        <v/>
      </c>
      <c r="H473" s="15" t="str">
        <f t="shared" ca="1" si="42"/>
        <v/>
      </c>
      <c r="I473" s="16" t="str">
        <f t="shared" ca="1" si="43"/>
        <v/>
      </c>
    </row>
    <row r="474" spans="1:9" x14ac:dyDescent="0.3">
      <c r="A474" s="3"/>
      <c r="B474" s="9"/>
      <c r="C474" s="9"/>
      <c r="E474" s="14" t="str">
        <f t="shared" si="39"/>
        <v/>
      </c>
      <c r="F474" s="15" t="str">
        <f t="shared" ca="1" si="40"/>
        <v/>
      </c>
      <c r="G474" s="15" t="str">
        <f t="shared" ca="1" si="41"/>
        <v/>
      </c>
      <c r="H474" s="15" t="str">
        <f t="shared" ca="1" si="42"/>
        <v/>
      </c>
      <c r="I474" s="16" t="str">
        <f t="shared" ca="1" si="43"/>
        <v/>
      </c>
    </row>
    <row r="475" spans="1:9" x14ac:dyDescent="0.3">
      <c r="A475" s="3"/>
      <c r="B475" s="9"/>
      <c r="C475" s="9"/>
      <c r="E475" s="14" t="str">
        <f t="shared" si="39"/>
        <v/>
      </c>
      <c r="F475" s="15" t="str">
        <f t="shared" ca="1" si="40"/>
        <v/>
      </c>
      <c r="G475" s="15" t="str">
        <f t="shared" ca="1" si="41"/>
        <v/>
      </c>
      <c r="H475" s="15" t="str">
        <f t="shared" ca="1" si="42"/>
        <v/>
      </c>
      <c r="I475" s="16" t="str">
        <f t="shared" ca="1" si="43"/>
        <v/>
      </c>
    </row>
    <row r="476" spans="1:9" x14ac:dyDescent="0.3">
      <c r="A476" s="3"/>
      <c r="B476" s="9"/>
      <c r="C476" s="9"/>
      <c r="E476" s="14" t="str">
        <f t="shared" si="39"/>
        <v/>
      </c>
      <c r="F476" s="15" t="str">
        <f t="shared" ca="1" si="40"/>
        <v/>
      </c>
      <c r="G476" s="15" t="str">
        <f t="shared" ca="1" si="41"/>
        <v/>
      </c>
      <c r="H476" s="15" t="str">
        <f t="shared" ca="1" si="42"/>
        <v/>
      </c>
      <c r="I476" s="16" t="str">
        <f t="shared" ca="1" si="43"/>
        <v/>
      </c>
    </row>
    <row r="477" spans="1:9" x14ac:dyDescent="0.3">
      <c r="A477" s="3"/>
      <c r="B477" s="9"/>
      <c r="C477" s="9"/>
      <c r="E477" s="14" t="str">
        <f t="shared" si="39"/>
        <v/>
      </c>
      <c r="F477" s="15" t="str">
        <f t="shared" ca="1" si="40"/>
        <v/>
      </c>
      <c r="G477" s="15" t="str">
        <f t="shared" ca="1" si="41"/>
        <v/>
      </c>
      <c r="H477" s="15" t="str">
        <f t="shared" ca="1" si="42"/>
        <v/>
      </c>
      <c r="I477" s="16" t="str">
        <f t="shared" ca="1" si="43"/>
        <v/>
      </c>
    </row>
    <row r="478" spans="1:9" x14ac:dyDescent="0.3">
      <c r="A478" s="3"/>
      <c r="B478" s="9"/>
      <c r="C478" s="9"/>
      <c r="E478" s="14" t="str">
        <f t="shared" si="39"/>
        <v/>
      </c>
      <c r="F478" s="15" t="str">
        <f t="shared" ca="1" si="40"/>
        <v/>
      </c>
      <c r="G478" s="15" t="str">
        <f t="shared" ca="1" si="41"/>
        <v/>
      </c>
      <c r="H478" s="15" t="str">
        <f t="shared" ca="1" si="42"/>
        <v/>
      </c>
      <c r="I478" s="16" t="str">
        <f t="shared" ca="1" si="43"/>
        <v/>
      </c>
    </row>
    <row r="479" spans="1:9" x14ac:dyDescent="0.3">
      <c r="A479" s="3"/>
      <c r="B479" s="9"/>
      <c r="C479" s="9"/>
      <c r="E479" s="14" t="str">
        <f t="shared" si="39"/>
        <v/>
      </c>
      <c r="F479" s="15" t="str">
        <f t="shared" ca="1" si="40"/>
        <v/>
      </c>
      <c r="G479" s="15" t="str">
        <f t="shared" ca="1" si="41"/>
        <v/>
      </c>
      <c r="H479" s="15" t="str">
        <f t="shared" ca="1" si="42"/>
        <v/>
      </c>
      <c r="I479" s="16" t="str">
        <f t="shared" ca="1" si="43"/>
        <v/>
      </c>
    </row>
    <row r="480" spans="1:9" x14ac:dyDescent="0.3">
      <c r="A480" s="3"/>
      <c r="B480" s="9"/>
      <c r="C480" s="9"/>
      <c r="E480" s="14" t="str">
        <f t="shared" si="39"/>
        <v/>
      </c>
      <c r="F480" s="15" t="str">
        <f t="shared" ca="1" si="40"/>
        <v/>
      </c>
      <c r="G480" s="15" t="str">
        <f t="shared" ca="1" si="41"/>
        <v/>
      </c>
      <c r="H480" s="15" t="str">
        <f t="shared" ca="1" si="42"/>
        <v/>
      </c>
      <c r="I480" s="16" t="str">
        <f t="shared" ca="1" si="43"/>
        <v/>
      </c>
    </row>
    <row r="481" spans="1:9" x14ac:dyDescent="0.3">
      <c r="A481" s="3"/>
      <c r="B481" s="9"/>
      <c r="C481" s="9"/>
      <c r="E481" s="14" t="str">
        <f t="shared" si="39"/>
        <v/>
      </c>
      <c r="F481" s="15" t="str">
        <f t="shared" ca="1" si="40"/>
        <v/>
      </c>
      <c r="G481" s="15" t="str">
        <f t="shared" ca="1" si="41"/>
        <v/>
      </c>
      <c r="H481" s="15" t="str">
        <f t="shared" ca="1" si="42"/>
        <v/>
      </c>
      <c r="I481" s="16" t="str">
        <f t="shared" ca="1" si="43"/>
        <v/>
      </c>
    </row>
    <row r="482" spans="1:9" x14ac:dyDescent="0.3">
      <c r="A482" s="3"/>
      <c r="B482" s="9"/>
      <c r="C482" s="9"/>
      <c r="E482" s="14" t="str">
        <f t="shared" si="39"/>
        <v/>
      </c>
      <c r="F482" s="15" t="str">
        <f t="shared" ca="1" si="40"/>
        <v/>
      </c>
      <c r="G482" s="15" t="str">
        <f t="shared" ca="1" si="41"/>
        <v/>
      </c>
      <c r="H482" s="15" t="str">
        <f t="shared" ca="1" si="42"/>
        <v/>
      </c>
      <c r="I482" s="16" t="str">
        <f t="shared" ca="1" si="43"/>
        <v/>
      </c>
    </row>
    <row r="483" spans="1:9" x14ac:dyDescent="0.3">
      <c r="A483" s="3"/>
      <c r="B483" s="9"/>
      <c r="C483" s="9"/>
      <c r="E483" s="14" t="str">
        <f t="shared" si="39"/>
        <v/>
      </c>
      <c r="F483" s="15" t="str">
        <f t="shared" ca="1" si="40"/>
        <v/>
      </c>
      <c r="G483" s="15" t="str">
        <f t="shared" ca="1" si="41"/>
        <v/>
      </c>
      <c r="H483" s="15" t="str">
        <f t="shared" ca="1" si="42"/>
        <v/>
      </c>
      <c r="I483" s="16" t="str">
        <f t="shared" ca="1" si="43"/>
        <v/>
      </c>
    </row>
    <row r="484" spans="1:9" x14ac:dyDescent="0.3">
      <c r="A484" s="3"/>
      <c r="B484" s="9"/>
      <c r="C484" s="9"/>
      <c r="E484" s="14" t="str">
        <f t="shared" si="39"/>
        <v/>
      </c>
      <c r="F484" s="15" t="str">
        <f t="shared" ca="1" si="40"/>
        <v/>
      </c>
      <c r="G484" s="15" t="str">
        <f t="shared" ca="1" si="41"/>
        <v/>
      </c>
      <c r="H484" s="15" t="str">
        <f t="shared" ca="1" si="42"/>
        <v/>
      </c>
      <c r="I484" s="16" t="str">
        <f t="shared" ca="1" si="43"/>
        <v/>
      </c>
    </row>
    <row r="485" spans="1:9" x14ac:dyDescent="0.3">
      <c r="A485" s="3"/>
      <c r="B485" s="9"/>
      <c r="C485" s="9"/>
      <c r="E485" s="14" t="str">
        <f t="shared" si="39"/>
        <v/>
      </c>
      <c r="F485" s="15" t="str">
        <f t="shared" ca="1" si="40"/>
        <v/>
      </c>
      <c r="G485" s="15" t="str">
        <f t="shared" ca="1" si="41"/>
        <v/>
      </c>
      <c r="H485" s="15" t="str">
        <f t="shared" ca="1" si="42"/>
        <v/>
      </c>
      <c r="I485" s="16" t="str">
        <f t="shared" ca="1" si="43"/>
        <v/>
      </c>
    </row>
    <row r="486" spans="1:9" x14ac:dyDescent="0.3">
      <c r="A486" s="3"/>
      <c r="B486" s="9"/>
      <c r="C486" s="9"/>
      <c r="E486" s="14" t="str">
        <f t="shared" si="39"/>
        <v/>
      </c>
      <c r="F486" s="15" t="str">
        <f t="shared" ca="1" si="40"/>
        <v/>
      </c>
      <c r="G486" s="15" t="str">
        <f t="shared" ca="1" si="41"/>
        <v/>
      </c>
      <c r="H486" s="15" t="str">
        <f t="shared" ca="1" si="42"/>
        <v/>
      </c>
      <c r="I486" s="16" t="str">
        <f t="shared" ca="1" si="43"/>
        <v/>
      </c>
    </row>
    <row r="487" spans="1:9" x14ac:dyDescent="0.3">
      <c r="A487" s="3"/>
      <c r="B487" s="9"/>
      <c r="C487" s="9"/>
      <c r="E487" s="14" t="str">
        <f t="shared" si="39"/>
        <v/>
      </c>
      <c r="F487" s="15" t="str">
        <f t="shared" ca="1" si="40"/>
        <v/>
      </c>
      <c r="G487" s="15" t="str">
        <f t="shared" ca="1" si="41"/>
        <v/>
      </c>
      <c r="H487" s="15" t="str">
        <f t="shared" ca="1" si="42"/>
        <v/>
      </c>
      <c r="I487" s="16" t="str">
        <f t="shared" ca="1" si="43"/>
        <v/>
      </c>
    </row>
    <row r="488" spans="1:9" x14ac:dyDescent="0.3">
      <c r="A488" s="3"/>
      <c r="B488" s="9"/>
      <c r="C488" s="9"/>
      <c r="E488" s="14" t="str">
        <f t="shared" si="39"/>
        <v/>
      </c>
      <c r="F488" s="15" t="str">
        <f t="shared" ca="1" si="40"/>
        <v/>
      </c>
      <c r="G488" s="15" t="str">
        <f t="shared" ca="1" si="41"/>
        <v/>
      </c>
      <c r="H488" s="15" t="str">
        <f t="shared" ca="1" si="42"/>
        <v/>
      </c>
      <c r="I488" s="16" t="str">
        <f t="shared" ca="1" si="43"/>
        <v/>
      </c>
    </row>
    <row r="489" spans="1:9" x14ac:dyDescent="0.3">
      <c r="A489" s="3"/>
      <c r="B489" s="9"/>
      <c r="C489" s="9"/>
      <c r="E489" s="14" t="str">
        <f t="shared" si="39"/>
        <v/>
      </c>
      <c r="F489" s="15" t="str">
        <f t="shared" ca="1" si="40"/>
        <v/>
      </c>
      <c r="G489" s="15" t="str">
        <f t="shared" ca="1" si="41"/>
        <v/>
      </c>
      <c r="H489" s="15" t="str">
        <f t="shared" ca="1" si="42"/>
        <v/>
      </c>
      <c r="I489" s="16" t="str">
        <f t="shared" ca="1" si="43"/>
        <v/>
      </c>
    </row>
    <row r="490" spans="1:9" x14ac:dyDescent="0.3">
      <c r="A490" s="3"/>
      <c r="B490" s="9"/>
      <c r="C490" s="9"/>
      <c r="E490" s="14" t="str">
        <f t="shared" si="39"/>
        <v/>
      </c>
      <c r="F490" s="15" t="str">
        <f t="shared" ca="1" si="40"/>
        <v/>
      </c>
      <c r="G490" s="15" t="str">
        <f t="shared" ca="1" si="41"/>
        <v/>
      </c>
      <c r="H490" s="15" t="str">
        <f t="shared" ca="1" si="42"/>
        <v/>
      </c>
      <c r="I490" s="16" t="str">
        <f t="shared" ca="1" si="43"/>
        <v/>
      </c>
    </row>
    <row r="491" spans="1:9" x14ac:dyDescent="0.3">
      <c r="A491" s="3"/>
      <c r="B491" s="9"/>
      <c r="C491" s="9"/>
      <c r="E491" s="14" t="str">
        <f t="shared" si="39"/>
        <v/>
      </c>
      <c r="F491" s="15" t="str">
        <f t="shared" ca="1" si="40"/>
        <v/>
      </c>
      <c r="G491" s="15" t="str">
        <f t="shared" ca="1" si="41"/>
        <v/>
      </c>
      <c r="H491" s="15" t="str">
        <f t="shared" ca="1" si="42"/>
        <v/>
      </c>
      <c r="I491" s="16" t="str">
        <f t="shared" ca="1" si="43"/>
        <v/>
      </c>
    </row>
    <row r="492" spans="1:9" x14ac:dyDescent="0.3">
      <c r="A492" s="3"/>
      <c r="B492" s="9"/>
      <c r="C492" s="9"/>
      <c r="E492" s="14" t="str">
        <f t="shared" si="39"/>
        <v/>
      </c>
      <c r="F492" s="15" t="str">
        <f t="shared" ca="1" si="40"/>
        <v/>
      </c>
      <c r="G492" s="15" t="str">
        <f t="shared" ca="1" si="41"/>
        <v/>
      </c>
      <c r="H492" s="15" t="str">
        <f t="shared" ca="1" si="42"/>
        <v/>
      </c>
      <c r="I492" s="16" t="str">
        <f t="shared" ca="1" si="43"/>
        <v/>
      </c>
    </row>
    <row r="493" spans="1:9" x14ac:dyDescent="0.3">
      <c r="A493" s="3"/>
      <c r="B493" s="9"/>
      <c r="C493" s="9"/>
      <c r="E493" s="14" t="str">
        <f t="shared" si="39"/>
        <v/>
      </c>
      <c r="F493" s="15" t="str">
        <f t="shared" ca="1" si="40"/>
        <v/>
      </c>
      <c r="G493" s="15" t="str">
        <f t="shared" ca="1" si="41"/>
        <v/>
      </c>
      <c r="H493" s="15" t="str">
        <f t="shared" ca="1" si="42"/>
        <v/>
      </c>
      <c r="I493" s="16" t="str">
        <f t="shared" ca="1" si="43"/>
        <v/>
      </c>
    </row>
    <row r="494" spans="1:9" x14ac:dyDescent="0.3">
      <c r="A494" s="3"/>
      <c r="B494" s="9"/>
      <c r="C494" s="9"/>
      <c r="E494" s="14" t="str">
        <f t="shared" si="39"/>
        <v/>
      </c>
      <c r="F494" s="15" t="str">
        <f t="shared" ca="1" si="40"/>
        <v/>
      </c>
      <c r="G494" s="15" t="str">
        <f t="shared" ca="1" si="41"/>
        <v/>
      </c>
      <c r="H494" s="15" t="str">
        <f t="shared" ca="1" si="42"/>
        <v/>
      </c>
      <c r="I494" s="16" t="str">
        <f t="shared" ca="1" si="43"/>
        <v/>
      </c>
    </row>
    <row r="495" spans="1:9" x14ac:dyDescent="0.3">
      <c r="A495" s="3"/>
      <c r="B495" s="9"/>
      <c r="C495" s="9"/>
      <c r="E495" s="14" t="str">
        <f t="shared" si="39"/>
        <v/>
      </c>
      <c r="F495" s="15" t="str">
        <f t="shared" ca="1" si="40"/>
        <v/>
      </c>
      <c r="G495" s="15" t="str">
        <f t="shared" ca="1" si="41"/>
        <v/>
      </c>
      <c r="H495" s="15" t="str">
        <f t="shared" ca="1" si="42"/>
        <v/>
      </c>
      <c r="I495" s="16" t="str">
        <f t="shared" ca="1" si="43"/>
        <v/>
      </c>
    </row>
    <row r="496" spans="1:9" x14ac:dyDescent="0.3">
      <c r="A496" s="3"/>
      <c r="B496" s="9"/>
      <c r="C496" s="9"/>
      <c r="E496" s="14" t="str">
        <f t="shared" si="39"/>
        <v/>
      </c>
      <c r="F496" s="15" t="str">
        <f t="shared" ca="1" si="40"/>
        <v/>
      </c>
      <c r="G496" s="15" t="str">
        <f t="shared" ca="1" si="41"/>
        <v/>
      </c>
      <c r="H496" s="15" t="str">
        <f t="shared" ca="1" si="42"/>
        <v/>
      </c>
      <c r="I496" s="16" t="str">
        <f t="shared" ca="1" si="43"/>
        <v/>
      </c>
    </row>
    <row r="497" spans="1:9" x14ac:dyDescent="0.3">
      <c r="A497" s="3"/>
      <c r="B497" s="9"/>
      <c r="C497" s="9"/>
      <c r="E497" s="14" t="str">
        <f t="shared" si="39"/>
        <v/>
      </c>
      <c r="F497" s="15" t="str">
        <f t="shared" ca="1" si="40"/>
        <v/>
      </c>
      <c r="G497" s="15" t="str">
        <f t="shared" ca="1" si="41"/>
        <v/>
      </c>
      <c r="H497" s="15" t="str">
        <f t="shared" ca="1" si="42"/>
        <v/>
      </c>
      <c r="I497" s="16" t="str">
        <f t="shared" ca="1" si="43"/>
        <v/>
      </c>
    </row>
    <row r="498" spans="1:9" x14ac:dyDescent="0.3">
      <c r="A498" s="3"/>
      <c r="B498" s="9"/>
      <c r="C498" s="9"/>
      <c r="E498" s="14" t="str">
        <f t="shared" si="39"/>
        <v/>
      </c>
      <c r="F498" s="15" t="str">
        <f t="shared" ca="1" si="40"/>
        <v/>
      </c>
      <c r="G498" s="15" t="str">
        <f t="shared" ca="1" si="41"/>
        <v/>
      </c>
      <c r="H498" s="15" t="str">
        <f t="shared" ca="1" si="42"/>
        <v/>
      </c>
      <c r="I498" s="16" t="str">
        <f t="shared" ca="1" si="43"/>
        <v/>
      </c>
    </row>
    <row r="499" spans="1:9" x14ac:dyDescent="0.3">
      <c r="A499" s="3"/>
      <c r="B499" s="9"/>
      <c r="C499" s="9"/>
      <c r="E499" s="14" t="str">
        <f t="shared" si="39"/>
        <v/>
      </c>
      <c r="F499" s="15" t="str">
        <f t="shared" ca="1" si="40"/>
        <v/>
      </c>
      <c r="G499" s="15" t="str">
        <f t="shared" ca="1" si="41"/>
        <v/>
      </c>
      <c r="H499" s="15" t="str">
        <f t="shared" ca="1" si="42"/>
        <v/>
      </c>
      <c r="I499" s="16" t="str">
        <f t="shared" ca="1" si="43"/>
        <v/>
      </c>
    </row>
    <row r="500" spans="1:9" x14ac:dyDescent="0.3">
      <c r="A500" s="3"/>
      <c r="B500" s="9"/>
      <c r="C500" s="9"/>
      <c r="E500" s="14" t="str">
        <f t="shared" si="39"/>
        <v/>
      </c>
      <c r="F500" s="15" t="str">
        <f t="shared" ca="1" si="40"/>
        <v/>
      </c>
      <c r="G500" s="15" t="str">
        <f t="shared" ca="1" si="41"/>
        <v/>
      </c>
      <c r="H500" s="15" t="str">
        <f t="shared" ca="1" si="42"/>
        <v/>
      </c>
      <c r="I500" s="16" t="str">
        <f t="shared" ca="1" si="43"/>
        <v/>
      </c>
    </row>
    <row r="501" spans="1:9" x14ac:dyDescent="0.3">
      <c r="A501" s="3"/>
      <c r="B501" s="9"/>
      <c r="C501" s="9"/>
      <c r="E501" s="14" t="str">
        <f t="shared" si="39"/>
        <v/>
      </c>
      <c r="F501" s="15" t="str">
        <f t="shared" ca="1" si="40"/>
        <v/>
      </c>
      <c r="G501" s="15" t="str">
        <f t="shared" ca="1" si="41"/>
        <v/>
      </c>
      <c r="H501" s="15" t="str">
        <f t="shared" ca="1" si="42"/>
        <v/>
      </c>
      <c r="I501" s="16" t="str">
        <f t="shared" ca="1" si="43"/>
        <v/>
      </c>
    </row>
    <row r="502" spans="1:9" x14ac:dyDescent="0.3">
      <c r="A502" s="3"/>
      <c r="B502" s="9"/>
      <c r="C502" s="9"/>
      <c r="E502" s="14" t="str">
        <f t="shared" si="39"/>
        <v/>
      </c>
      <c r="F502" s="15" t="str">
        <f t="shared" ca="1" si="40"/>
        <v/>
      </c>
      <c r="G502" s="15" t="str">
        <f t="shared" ca="1" si="41"/>
        <v/>
      </c>
      <c r="H502" s="15" t="str">
        <f t="shared" ca="1" si="42"/>
        <v/>
      </c>
      <c r="I502" s="16" t="str">
        <f t="shared" ca="1" si="43"/>
        <v/>
      </c>
    </row>
    <row r="503" spans="1:9" x14ac:dyDescent="0.3">
      <c r="A503" s="3"/>
      <c r="B503" s="9"/>
      <c r="C503" s="9"/>
      <c r="E503" s="14" t="str">
        <f t="shared" si="39"/>
        <v/>
      </c>
      <c r="F503" s="15" t="str">
        <f t="shared" ca="1" si="40"/>
        <v/>
      </c>
      <c r="G503" s="15" t="str">
        <f t="shared" ca="1" si="41"/>
        <v/>
      </c>
      <c r="H503" s="15" t="str">
        <f t="shared" ca="1" si="42"/>
        <v/>
      </c>
      <c r="I503" s="16" t="str">
        <f t="shared" ca="1" si="43"/>
        <v/>
      </c>
    </row>
    <row r="504" spans="1:9" x14ac:dyDescent="0.3">
      <c r="A504" s="3"/>
      <c r="B504" s="9"/>
      <c r="C504" s="9"/>
      <c r="E504" s="14" t="str">
        <f t="shared" si="39"/>
        <v/>
      </c>
      <c r="F504" s="15" t="str">
        <f t="shared" ca="1" si="40"/>
        <v/>
      </c>
      <c r="G504" s="15" t="str">
        <f t="shared" ca="1" si="41"/>
        <v/>
      </c>
      <c r="H504" s="15" t="str">
        <f t="shared" ca="1" si="42"/>
        <v/>
      </c>
      <c r="I504" s="16" t="str">
        <f t="shared" ca="1" si="43"/>
        <v/>
      </c>
    </row>
    <row r="505" spans="1:9" x14ac:dyDescent="0.3">
      <c r="A505" s="3"/>
      <c r="B505" s="9"/>
      <c r="C505" s="9"/>
      <c r="E505" s="14" t="str">
        <f t="shared" si="39"/>
        <v/>
      </c>
      <c r="F505" s="15" t="str">
        <f t="shared" ca="1" si="40"/>
        <v/>
      </c>
      <c r="G505" s="15" t="str">
        <f t="shared" ca="1" si="41"/>
        <v/>
      </c>
      <c r="H505" s="15" t="str">
        <f t="shared" ca="1" si="42"/>
        <v/>
      </c>
      <c r="I505" s="16" t="str">
        <f t="shared" ca="1" si="43"/>
        <v/>
      </c>
    </row>
    <row r="506" spans="1:9" x14ac:dyDescent="0.3">
      <c r="A506" s="3"/>
      <c r="B506" s="9"/>
      <c r="C506" s="9"/>
      <c r="E506" s="14" t="str">
        <f t="shared" si="39"/>
        <v/>
      </c>
      <c r="F506" s="15" t="str">
        <f t="shared" ca="1" si="40"/>
        <v/>
      </c>
      <c r="G506" s="15" t="str">
        <f t="shared" ca="1" si="41"/>
        <v/>
      </c>
      <c r="H506" s="15" t="str">
        <f t="shared" ca="1" si="42"/>
        <v/>
      </c>
      <c r="I506" s="16" t="str">
        <f t="shared" ca="1" si="43"/>
        <v/>
      </c>
    </row>
    <row r="507" spans="1:9" x14ac:dyDescent="0.3">
      <c r="A507" s="3"/>
      <c r="B507" s="9"/>
      <c r="C507" s="9"/>
      <c r="E507" s="14" t="str">
        <f t="shared" si="39"/>
        <v/>
      </c>
      <c r="F507" s="15" t="str">
        <f t="shared" ca="1" si="40"/>
        <v/>
      </c>
      <c r="G507" s="15" t="str">
        <f t="shared" ca="1" si="41"/>
        <v/>
      </c>
      <c r="H507" s="15" t="str">
        <f t="shared" ca="1" si="42"/>
        <v/>
      </c>
      <c r="I507" s="16" t="str">
        <f t="shared" ca="1" si="43"/>
        <v/>
      </c>
    </row>
    <row r="508" spans="1:9" x14ac:dyDescent="0.3">
      <c r="A508" s="3"/>
      <c r="B508" s="9"/>
      <c r="C508" s="9"/>
      <c r="E508" s="14" t="str">
        <f t="shared" si="39"/>
        <v/>
      </c>
      <c r="F508" s="15" t="str">
        <f t="shared" ca="1" si="40"/>
        <v/>
      </c>
      <c r="G508" s="15" t="str">
        <f t="shared" ca="1" si="41"/>
        <v/>
      </c>
      <c r="H508" s="15" t="str">
        <f t="shared" ca="1" si="42"/>
        <v/>
      </c>
      <c r="I508" s="16" t="str">
        <f t="shared" ca="1" si="43"/>
        <v/>
      </c>
    </row>
    <row r="509" spans="1:9" x14ac:dyDescent="0.3">
      <c r="A509" s="3"/>
      <c r="B509" s="9"/>
      <c r="C509" s="9"/>
      <c r="E509" s="14" t="str">
        <f t="shared" si="39"/>
        <v/>
      </c>
      <c r="F509" s="15" t="str">
        <f t="shared" ca="1" si="40"/>
        <v/>
      </c>
      <c r="G509" s="15" t="str">
        <f t="shared" ca="1" si="41"/>
        <v/>
      </c>
      <c r="H509" s="15" t="str">
        <f t="shared" ca="1" si="42"/>
        <v/>
      </c>
      <c r="I509" s="16" t="str">
        <f t="shared" ca="1" si="43"/>
        <v/>
      </c>
    </row>
    <row r="510" spans="1:9" x14ac:dyDescent="0.3">
      <c r="A510" s="3"/>
      <c r="B510" s="9"/>
      <c r="C510" s="9"/>
      <c r="E510" s="14" t="str">
        <f t="shared" si="39"/>
        <v/>
      </c>
      <c r="F510" s="15" t="str">
        <f t="shared" ca="1" si="40"/>
        <v/>
      </c>
      <c r="G510" s="15" t="str">
        <f t="shared" ca="1" si="41"/>
        <v/>
      </c>
      <c r="H510" s="15" t="str">
        <f t="shared" ca="1" si="42"/>
        <v/>
      </c>
      <c r="I510" s="16" t="str">
        <f t="shared" ca="1" si="43"/>
        <v/>
      </c>
    </row>
    <row r="511" spans="1:9" x14ac:dyDescent="0.3">
      <c r="A511" s="3"/>
      <c r="B511" s="9"/>
      <c r="C511" s="9"/>
      <c r="E511" s="14" t="str">
        <f t="shared" si="39"/>
        <v/>
      </c>
      <c r="F511" s="15" t="str">
        <f t="shared" ca="1" si="40"/>
        <v/>
      </c>
      <c r="G511" s="15" t="str">
        <f t="shared" ca="1" si="41"/>
        <v/>
      </c>
      <c r="H511" s="15" t="str">
        <f t="shared" ca="1" si="42"/>
        <v/>
      </c>
      <c r="I511" s="16" t="str">
        <f t="shared" ca="1" si="43"/>
        <v/>
      </c>
    </row>
    <row r="512" spans="1:9" x14ac:dyDescent="0.3">
      <c r="A512" s="3"/>
      <c r="B512" s="9"/>
      <c r="C512" s="9"/>
      <c r="E512" s="14" t="str">
        <f t="shared" si="39"/>
        <v/>
      </c>
      <c r="F512" s="15" t="str">
        <f t="shared" ca="1" si="40"/>
        <v/>
      </c>
      <c r="G512" s="15" t="str">
        <f t="shared" ca="1" si="41"/>
        <v/>
      </c>
      <c r="H512" s="15" t="str">
        <f t="shared" ca="1" si="42"/>
        <v/>
      </c>
      <c r="I512" s="16" t="str">
        <f t="shared" ca="1" si="43"/>
        <v/>
      </c>
    </row>
    <row r="513" spans="1:9" x14ac:dyDescent="0.3">
      <c r="A513" s="3"/>
      <c r="B513" s="9"/>
      <c r="C513" s="9"/>
      <c r="E513" s="14" t="str">
        <f t="shared" si="39"/>
        <v/>
      </c>
      <c r="F513" s="15" t="str">
        <f t="shared" ca="1" si="40"/>
        <v/>
      </c>
      <c r="G513" s="15" t="str">
        <f t="shared" ca="1" si="41"/>
        <v/>
      </c>
      <c r="H513" s="15" t="str">
        <f t="shared" ca="1" si="42"/>
        <v/>
      </c>
      <c r="I513" s="16" t="str">
        <f t="shared" ca="1" si="43"/>
        <v/>
      </c>
    </row>
    <row r="514" spans="1:9" x14ac:dyDescent="0.3">
      <c r="A514" s="3"/>
      <c r="B514" s="9"/>
      <c r="C514" s="9"/>
      <c r="E514" s="14" t="str">
        <f t="shared" si="39"/>
        <v/>
      </c>
      <c r="F514" s="15" t="str">
        <f t="shared" ca="1" si="40"/>
        <v/>
      </c>
      <c r="G514" s="15" t="str">
        <f t="shared" ca="1" si="41"/>
        <v/>
      </c>
      <c r="H514" s="15" t="str">
        <f t="shared" ca="1" si="42"/>
        <v/>
      </c>
      <c r="I514" s="16" t="str">
        <f t="shared" ca="1" si="43"/>
        <v/>
      </c>
    </row>
    <row r="515" spans="1:9" x14ac:dyDescent="0.3">
      <c r="A515" s="3"/>
      <c r="B515" s="9"/>
      <c r="C515" s="9"/>
      <c r="E515" s="14" t="str">
        <f t="shared" ref="E515:E578" si="44">IF(ISNUMBER(B515),B515/C515,"")</f>
        <v/>
      </c>
      <c r="F515" s="15" t="str">
        <f t="shared" ca="1" si="40"/>
        <v/>
      </c>
      <c r="G515" s="15" t="str">
        <f t="shared" ca="1" si="41"/>
        <v/>
      </c>
      <c r="H515" s="15" t="str">
        <f t="shared" ca="1" si="42"/>
        <v/>
      </c>
      <c r="I515" s="16" t="str">
        <f t="shared" ca="1" si="43"/>
        <v/>
      </c>
    </row>
    <row r="516" spans="1:9" x14ac:dyDescent="0.3">
      <c r="A516" s="3"/>
      <c r="B516" s="9"/>
      <c r="C516" s="9"/>
      <c r="E516" s="14" t="str">
        <f t="shared" si="44"/>
        <v/>
      </c>
      <c r="F516" s="15" t="str">
        <f t="shared" ca="1" si="40"/>
        <v/>
      </c>
      <c r="G516" s="15" t="str">
        <f t="shared" ca="1" si="41"/>
        <v/>
      </c>
      <c r="H516" s="15" t="str">
        <f t="shared" ca="1" si="42"/>
        <v/>
      </c>
      <c r="I516" s="16" t="str">
        <f t="shared" ca="1" si="43"/>
        <v/>
      </c>
    </row>
    <row r="517" spans="1:9" x14ac:dyDescent="0.3">
      <c r="A517" s="3"/>
      <c r="B517" s="9"/>
      <c r="C517" s="9"/>
      <c r="E517" s="14" t="str">
        <f t="shared" si="44"/>
        <v/>
      </c>
      <c r="F517" s="15" t="str">
        <f t="shared" ca="1" si="40"/>
        <v/>
      </c>
      <c r="G517" s="15" t="str">
        <f t="shared" ca="1" si="41"/>
        <v/>
      </c>
      <c r="H517" s="15" t="str">
        <f t="shared" ca="1" si="42"/>
        <v/>
      </c>
      <c r="I517" s="16" t="str">
        <f t="shared" ca="1" si="43"/>
        <v/>
      </c>
    </row>
    <row r="518" spans="1:9" x14ac:dyDescent="0.3">
      <c r="A518" s="3"/>
      <c r="B518" s="9"/>
      <c r="C518" s="9"/>
      <c r="E518" s="14" t="str">
        <f t="shared" si="44"/>
        <v/>
      </c>
      <c r="F518" s="15" t="str">
        <f t="shared" ca="1" si="40"/>
        <v/>
      </c>
      <c r="G518" s="15" t="str">
        <f t="shared" ca="1" si="41"/>
        <v/>
      </c>
      <c r="H518" s="15" t="str">
        <f t="shared" ca="1" si="42"/>
        <v/>
      </c>
      <c r="I518" s="16" t="str">
        <f t="shared" ca="1" si="43"/>
        <v/>
      </c>
    </row>
    <row r="519" spans="1:9" x14ac:dyDescent="0.3">
      <c r="A519" s="3"/>
      <c r="B519" s="9"/>
      <c r="C519" s="9"/>
      <c r="E519" s="14" t="str">
        <f t="shared" si="44"/>
        <v/>
      </c>
      <c r="F519" s="15" t="str">
        <f t="shared" ca="1" si="40"/>
        <v/>
      </c>
      <c r="G519" s="15" t="str">
        <f t="shared" ca="1" si="41"/>
        <v/>
      </c>
      <c r="H519" s="15" t="str">
        <f t="shared" ca="1" si="42"/>
        <v/>
      </c>
      <c r="I519" s="16" t="str">
        <f t="shared" ca="1" si="43"/>
        <v/>
      </c>
    </row>
    <row r="520" spans="1:9" x14ac:dyDescent="0.3">
      <c r="A520" s="3"/>
      <c r="B520" s="9"/>
      <c r="C520" s="9"/>
      <c r="E520" s="14" t="str">
        <f t="shared" si="44"/>
        <v/>
      </c>
      <c r="F520" s="15" t="str">
        <f t="shared" ca="1" si="40"/>
        <v/>
      </c>
      <c r="G520" s="15" t="str">
        <f t="shared" ca="1" si="41"/>
        <v/>
      </c>
      <c r="H520" s="15" t="str">
        <f t="shared" ca="1" si="42"/>
        <v/>
      </c>
      <c r="I520" s="16" t="str">
        <f t="shared" ca="1" si="43"/>
        <v/>
      </c>
    </row>
    <row r="521" spans="1:9" x14ac:dyDescent="0.3">
      <c r="A521" s="3"/>
      <c r="B521" s="9"/>
      <c r="C521" s="9"/>
      <c r="E521" s="14" t="str">
        <f t="shared" si="44"/>
        <v/>
      </c>
      <c r="F521" s="15" t="str">
        <f t="shared" ca="1" si="40"/>
        <v/>
      </c>
      <c r="G521" s="15" t="str">
        <f t="shared" ca="1" si="41"/>
        <v/>
      </c>
      <c r="H521" s="15" t="str">
        <f t="shared" ca="1" si="42"/>
        <v/>
      </c>
      <c r="I521" s="16" t="str">
        <f t="shared" ca="1" si="43"/>
        <v/>
      </c>
    </row>
    <row r="522" spans="1:9" x14ac:dyDescent="0.3">
      <c r="A522" s="3"/>
      <c r="B522" s="9"/>
      <c r="C522" s="9"/>
      <c r="E522" s="14" t="str">
        <f t="shared" si="44"/>
        <v/>
      </c>
      <c r="F522" s="15" t="str">
        <f t="shared" ca="1" si="40"/>
        <v/>
      </c>
      <c r="G522" s="15" t="str">
        <f t="shared" ca="1" si="41"/>
        <v/>
      </c>
      <c r="H522" s="15" t="str">
        <f t="shared" ca="1" si="42"/>
        <v/>
      </c>
      <c r="I522" s="16" t="str">
        <f t="shared" ca="1" si="43"/>
        <v/>
      </c>
    </row>
    <row r="523" spans="1:9" x14ac:dyDescent="0.3">
      <c r="A523" s="3"/>
      <c r="B523" s="9"/>
      <c r="C523" s="9"/>
      <c r="E523" s="14" t="str">
        <f t="shared" si="44"/>
        <v/>
      </c>
      <c r="F523" s="15" t="str">
        <f t="shared" ca="1" si="40"/>
        <v/>
      </c>
      <c r="G523" s="15" t="str">
        <f t="shared" ca="1" si="41"/>
        <v/>
      </c>
      <c r="H523" s="15" t="str">
        <f t="shared" ca="1" si="42"/>
        <v/>
      </c>
      <c r="I523" s="16" t="str">
        <f t="shared" ca="1" si="43"/>
        <v/>
      </c>
    </row>
    <row r="524" spans="1:9" x14ac:dyDescent="0.3">
      <c r="A524" s="3"/>
      <c r="B524" s="9"/>
      <c r="C524" s="9"/>
      <c r="E524" s="14" t="str">
        <f t="shared" si="44"/>
        <v/>
      </c>
      <c r="F524" s="15" t="str">
        <f t="shared" ca="1" si="40"/>
        <v/>
      </c>
      <c r="G524" s="15" t="str">
        <f t="shared" ca="1" si="41"/>
        <v/>
      </c>
      <c r="H524" s="15" t="str">
        <f t="shared" ca="1" si="42"/>
        <v/>
      </c>
      <c r="I524" s="16" t="str">
        <f t="shared" ca="1" si="43"/>
        <v/>
      </c>
    </row>
    <row r="525" spans="1:9" x14ac:dyDescent="0.3">
      <c r="A525" s="3"/>
      <c r="B525" s="9"/>
      <c r="C525" s="9"/>
      <c r="E525" s="14" t="str">
        <f t="shared" si="44"/>
        <v/>
      </c>
      <c r="F525" s="15" t="str">
        <f t="shared" ca="1" si="40"/>
        <v/>
      </c>
      <c r="G525" s="15" t="str">
        <f t="shared" ca="1" si="41"/>
        <v/>
      </c>
      <c r="H525" s="15" t="str">
        <f t="shared" ca="1" si="42"/>
        <v/>
      </c>
      <c r="I525" s="16" t="str">
        <f t="shared" ca="1" si="43"/>
        <v/>
      </c>
    </row>
    <row r="526" spans="1:9" x14ac:dyDescent="0.3">
      <c r="A526" s="3"/>
      <c r="B526" s="9"/>
      <c r="C526" s="9"/>
      <c r="E526" s="14" t="str">
        <f t="shared" si="44"/>
        <v/>
      </c>
      <c r="F526" s="15" t="str">
        <f t="shared" ca="1" si="40"/>
        <v/>
      </c>
      <c r="G526" s="15" t="str">
        <f t="shared" ca="1" si="41"/>
        <v/>
      </c>
      <c r="H526" s="15" t="str">
        <f t="shared" ca="1" si="42"/>
        <v/>
      </c>
      <c r="I526" s="16" t="str">
        <f t="shared" ca="1" si="43"/>
        <v/>
      </c>
    </row>
    <row r="527" spans="1:9" x14ac:dyDescent="0.3">
      <c r="A527" s="3"/>
      <c r="B527" s="9"/>
      <c r="C527" s="9"/>
      <c r="E527" s="14" t="str">
        <f t="shared" si="44"/>
        <v/>
      </c>
      <c r="F527" s="15" t="str">
        <f t="shared" ca="1" si="40"/>
        <v/>
      </c>
      <c r="G527" s="15" t="str">
        <f t="shared" ca="1" si="41"/>
        <v/>
      </c>
      <c r="H527" s="15" t="str">
        <f t="shared" ca="1" si="42"/>
        <v/>
      </c>
      <c r="I527" s="16" t="str">
        <f t="shared" ca="1" si="43"/>
        <v/>
      </c>
    </row>
    <row r="528" spans="1:9" x14ac:dyDescent="0.3">
      <c r="A528" s="3"/>
      <c r="B528" s="9"/>
      <c r="C528" s="9"/>
      <c r="E528" s="14" t="str">
        <f t="shared" si="44"/>
        <v/>
      </c>
      <c r="F528" s="15" t="str">
        <f t="shared" ca="1" si="40"/>
        <v/>
      </c>
      <c r="G528" s="15" t="str">
        <f t="shared" ca="1" si="41"/>
        <v/>
      </c>
      <c r="H528" s="15" t="str">
        <f t="shared" ca="1" si="42"/>
        <v/>
      </c>
      <c r="I528" s="16" t="str">
        <f t="shared" ca="1" si="43"/>
        <v/>
      </c>
    </row>
    <row r="529" spans="1:9" x14ac:dyDescent="0.3">
      <c r="A529" s="3"/>
      <c r="B529" s="9"/>
      <c r="C529" s="9"/>
      <c r="E529" s="14" t="str">
        <f t="shared" si="44"/>
        <v/>
      </c>
      <c r="F529" s="15" t="str">
        <f t="shared" ref="F529:F592" ca="1" si="45">IF(ISNUMBER(E529),IF(ROW(E529)&gt;$K$1,AVERAGE(OFFSET(E529,0,0,-$K$1)),""),"")</f>
        <v/>
      </c>
      <c r="G529" s="15" t="str">
        <f t="shared" ref="G529:G592" ca="1" si="46">IF(ISNUMBER(I529),F529+I529*$M$1,"")</f>
        <v/>
      </c>
      <c r="H529" s="15" t="str">
        <f t="shared" ref="H529:H592" ca="1" si="47">IF(ISNUMBER(I529),F529-I529*$M$1,"")</f>
        <v/>
      </c>
      <c r="I529" s="16" t="str">
        <f t="shared" ref="I529:I592" ca="1" si="48">IF(ISNUMBER(E529),IF(ROW(E529)&gt;$K$1,_xlfn.STDEV.P(OFFSET(E529,0,0,-$K$1)),""),"")</f>
        <v/>
      </c>
    </row>
    <row r="530" spans="1:9" x14ac:dyDescent="0.3">
      <c r="A530" s="3"/>
      <c r="B530" s="9"/>
      <c r="C530" s="9"/>
      <c r="E530" s="14" t="str">
        <f t="shared" si="44"/>
        <v/>
      </c>
      <c r="F530" s="15" t="str">
        <f t="shared" ca="1" si="45"/>
        <v/>
      </c>
      <c r="G530" s="15" t="str">
        <f t="shared" ca="1" si="46"/>
        <v/>
      </c>
      <c r="H530" s="15" t="str">
        <f t="shared" ca="1" si="47"/>
        <v/>
      </c>
      <c r="I530" s="16" t="str">
        <f t="shared" ca="1" si="48"/>
        <v/>
      </c>
    </row>
    <row r="531" spans="1:9" x14ac:dyDescent="0.3">
      <c r="A531" s="3"/>
      <c r="B531" s="9"/>
      <c r="C531" s="9"/>
      <c r="E531" s="14" t="str">
        <f t="shared" si="44"/>
        <v/>
      </c>
      <c r="F531" s="15" t="str">
        <f t="shared" ca="1" si="45"/>
        <v/>
      </c>
      <c r="G531" s="15" t="str">
        <f t="shared" ca="1" si="46"/>
        <v/>
      </c>
      <c r="H531" s="15" t="str">
        <f t="shared" ca="1" si="47"/>
        <v/>
      </c>
      <c r="I531" s="16" t="str">
        <f t="shared" ca="1" si="48"/>
        <v/>
      </c>
    </row>
    <row r="532" spans="1:9" x14ac:dyDescent="0.3">
      <c r="A532" s="3"/>
      <c r="B532" s="9"/>
      <c r="C532" s="9"/>
      <c r="E532" s="14" t="str">
        <f t="shared" si="44"/>
        <v/>
      </c>
      <c r="F532" s="15" t="str">
        <f t="shared" ca="1" si="45"/>
        <v/>
      </c>
      <c r="G532" s="15" t="str">
        <f t="shared" ca="1" si="46"/>
        <v/>
      </c>
      <c r="H532" s="15" t="str">
        <f t="shared" ca="1" si="47"/>
        <v/>
      </c>
      <c r="I532" s="16" t="str">
        <f t="shared" ca="1" si="48"/>
        <v/>
      </c>
    </row>
    <row r="533" spans="1:9" x14ac:dyDescent="0.3">
      <c r="A533" s="3"/>
      <c r="B533" s="9"/>
      <c r="C533" s="9"/>
      <c r="E533" s="14" t="str">
        <f t="shared" si="44"/>
        <v/>
      </c>
      <c r="F533" s="15" t="str">
        <f t="shared" ca="1" si="45"/>
        <v/>
      </c>
      <c r="G533" s="15" t="str">
        <f t="shared" ca="1" si="46"/>
        <v/>
      </c>
      <c r="H533" s="15" t="str">
        <f t="shared" ca="1" si="47"/>
        <v/>
      </c>
      <c r="I533" s="16" t="str">
        <f t="shared" ca="1" si="48"/>
        <v/>
      </c>
    </row>
    <row r="534" spans="1:9" x14ac:dyDescent="0.3">
      <c r="A534" s="3"/>
      <c r="B534" s="9"/>
      <c r="C534" s="9"/>
      <c r="E534" s="14" t="str">
        <f t="shared" si="44"/>
        <v/>
      </c>
      <c r="F534" s="15" t="str">
        <f t="shared" ca="1" si="45"/>
        <v/>
      </c>
      <c r="G534" s="15" t="str">
        <f t="shared" ca="1" si="46"/>
        <v/>
      </c>
      <c r="H534" s="15" t="str">
        <f t="shared" ca="1" si="47"/>
        <v/>
      </c>
      <c r="I534" s="16" t="str">
        <f t="shared" ca="1" si="48"/>
        <v/>
      </c>
    </row>
    <row r="535" spans="1:9" x14ac:dyDescent="0.3">
      <c r="A535" s="3"/>
      <c r="B535" s="9"/>
      <c r="C535" s="9"/>
      <c r="E535" s="14" t="str">
        <f t="shared" si="44"/>
        <v/>
      </c>
      <c r="F535" s="15" t="str">
        <f t="shared" ca="1" si="45"/>
        <v/>
      </c>
      <c r="G535" s="15" t="str">
        <f t="shared" ca="1" si="46"/>
        <v/>
      </c>
      <c r="H535" s="15" t="str">
        <f t="shared" ca="1" si="47"/>
        <v/>
      </c>
      <c r="I535" s="16" t="str">
        <f t="shared" ca="1" si="48"/>
        <v/>
      </c>
    </row>
    <row r="536" spans="1:9" x14ac:dyDescent="0.3">
      <c r="A536" s="3"/>
      <c r="B536" s="9"/>
      <c r="C536" s="9"/>
      <c r="E536" s="14" t="str">
        <f t="shared" si="44"/>
        <v/>
      </c>
      <c r="F536" s="15" t="str">
        <f t="shared" ca="1" si="45"/>
        <v/>
      </c>
      <c r="G536" s="15" t="str">
        <f t="shared" ca="1" si="46"/>
        <v/>
      </c>
      <c r="H536" s="15" t="str">
        <f t="shared" ca="1" si="47"/>
        <v/>
      </c>
      <c r="I536" s="16" t="str">
        <f t="shared" ca="1" si="48"/>
        <v/>
      </c>
    </row>
    <row r="537" spans="1:9" x14ac:dyDescent="0.3">
      <c r="A537" s="3"/>
      <c r="B537" s="9"/>
      <c r="C537" s="9"/>
      <c r="E537" s="14" t="str">
        <f t="shared" si="44"/>
        <v/>
      </c>
      <c r="F537" s="15" t="str">
        <f t="shared" ca="1" si="45"/>
        <v/>
      </c>
      <c r="G537" s="15" t="str">
        <f t="shared" ca="1" si="46"/>
        <v/>
      </c>
      <c r="H537" s="15" t="str">
        <f t="shared" ca="1" si="47"/>
        <v/>
      </c>
      <c r="I537" s="16" t="str">
        <f t="shared" ca="1" si="48"/>
        <v/>
      </c>
    </row>
    <row r="538" spans="1:9" x14ac:dyDescent="0.3">
      <c r="A538" s="3"/>
      <c r="B538" s="9"/>
      <c r="C538" s="9"/>
      <c r="E538" s="14" t="str">
        <f t="shared" si="44"/>
        <v/>
      </c>
      <c r="F538" s="15" t="str">
        <f t="shared" ca="1" si="45"/>
        <v/>
      </c>
      <c r="G538" s="15" t="str">
        <f t="shared" ca="1" si="46"/>
        <v/>
      </c>
      <c r="H538" s="15" t="str">
        <f t="shared" ca="1" si="47"/>
        <v/>
      </c>
      <c r="I538" s="16" t="str">
        <f t="shared" ca="1" si="48"/>
        <v/>
      </c>
    </row>
    <row r="539" spans="1:9" x14ac:dyDescent="0.3">
      <c r="A539" s="3"/>
      <c r="B539" s="9"/>
      <c r="C539" s="9"/>
      <c r="E539" s="14" t="str">
        <f t="shared" si="44"/>
        <v/>
      </c>
      <c r="F539" s="15" t="str">
        <f t="shared" ca="1" si="45"/>
        <v/>
      </c>
      <c r="G539" s="15" t="str">
        <f t="shared" ca="1" si="46"/>
        <v/>
      </c>
      <c r="H539" s="15" t="str">
        <f t="shared" ca="1" si="47"/>
        <v/>
      </c>
      <c r="I539" s="16" t="str">
        <f t="shared" ca="1" si="48"/>
        <v/>
      </c>
    </row>
    <row r="540" spans="1:9" x14ac:dyDescent="0.3">
      <c r="A540" s="3"/>
      <c r="B540" s="9"/>
      <c r="C540" s="9"/>
      <c r="E540" s="14" t="str">
        <f t="shared" si="44"/>
        <v/>
      </c>
      <c r="F540" s="15" t="str">
        <f t="shared" ca="1" si="45"/>
        <v/>
      </c>
      <c r="G540" s="15" t="str">
        <f t="shared" ca="1" si="46"/>
        <v/>
      </c>
      <c r="H540" s="15" t="str">
        <f t="shared" ca="1" si="47"/>
        <v/>
      </c>
      <c r="I540" s="16" t="str">
        <f t="shared" ca="1" si="48"/>
        <v/>
      </c>
    </row>
    <row r="541" spans="1:9" x14ac:dyDescent="0.3">
      <c r="A541" s="3"/>
      <c r="B541" s="9"/>
      <c r="C541" s="9"/>
      <c r="E541" s="14" t="str">
        <f t="shared" si="44"/>
        <v/>
      </c>
      <c r="F541" s="15" t="str">
        <f t="shared" ca="1" si="45"/>
        <v/>
      </c>
      <c r="G541" s="15" t="str">
        <f t="shared" ca="1" si="46"/>
        <v/>
      </c>
      <c r="H541" s="15" t="str">
        <f t="shared" ca="1" si="47"/>
        <v/>
      </c>
      <c r="I541" s="16" t="str">
        <f t="shared" ca="1" si="48"/>
        <v/>
      </c>
    </row>
    <row r="542" spans="1:9" x14ac:dyDescent="0.3">
      <c r="A542" s="3"/>
      <c r="B542" s="9"/>
      <c r="C542" s="9"/>
      <c r="E542" s="14" t="str">
        <f t="shared" si="44"/>
        <v/>
      </c>
      <c r="F542" s="15" t="str">
        <f t="shared" ca="1" si="45"/>
        <v/>
      </c>
      <c r="G542" s="15" t="str">
        <f t="shared" ca="1" si="46"/>
        <v/>
      </c>
      <c r="H542" s="15" t="str">
        <f t="shared" ca="1" si="47"/>
        <v/>
      </c>
      <c r="I542" s="16" t="str">
        <f t="shared" ca="1" si="48"/>
        <v/>
      </c>
    </row>
    <row r="543" spans="1:9" x14ac:dyDescent="0.3">
      <c r="A543" s="3"/>
      <c r="B543" s="9"/>
      <c r="C543" s="9"/>
      <c r="E543" s="14" t="str">
        <f t="shared" si="44"/>
        <v/>
      </c>
      <c r="F543" s="15" t="str">
        <f t="shared" ca="1" si="45"/>
        <v/>
      </c>
      <c r="G543" s="15" t="str">
        <f t="shared" ca="1" si="46"/>
        <v/>
      </c>
      <c r="H543" s="15" t="str">
        <f t="shared" ca="1" si="47"/>
        <v/>
      </c>
      <c r="I543" s="16" t="str">
        <f t="shared" ca="1" si="48"/>
        <v/>
      </c>
    </row>
    <row r="544" spans="1:9" x14ac:dyDescent="0.3">
      <c r="A544" s="3"/>
      <c r="B544" s="9"/>
      <c r="C544" s="9"/>
      <c r="E544" s="14" t="str">
        <f t="shared" si="44"/>
        <v/>
      </c>
      <c r="F544" s="15" t="str">
        <f t="shared" ca="1" si="45"/>
        <v/>
      </c>
      <c r="G544" s="15" t="str">
        <f t="shared" ca="1" si="46"/>
        <v/>
      </c>
      <c r="H544" s="15" t="str">
        <f t="shared" ca="1" si="47"/>
        <v/>
      </c>
      <c r="I544" s="16" t="str">
        <f t="shared" ca="1" si="48"/>
        <v/>
      </c>
    </row>
    <row r="545" spans="1:9" x14ac:dyDescent="0.3">
      <c r="A545" s="3"/>
      <c r="B545" s="9"/>
      <c r="C545" s="9"/>
      <c r="E545" s="14" t="str">
        <f t="shared" si="44"/>
        <v/>
      </c>
      <c r="F545" s="15" t="str">
        <f t="shared" ca="1" si="45"/>
        <v/>
      </c>
      <c r="G545" s="15" t="str">
        <f t="shared" ca="1" si="46"/>
        <v/>
      </c>
      <c r="H545" s="15" t="str">
        <f t="shared" ca="1" si="47"/>
        <v/>
      </c>
      <c r="I545" s="16" t="str">
        <f t="shared" ca="1" si="48"/>
        <v/>
      </c>
    </row>
    <row r="546" spans="1:9" x14ac:dyDescent="0.3">
      <c r="A546" s="3"/>
      <c r="B546" s="9"/>
      <c r="C546" s="9"/>
      <c r="E546" s="14" t="str">
        <f t="shared" si="44"/>
        <v/>
      </c>
      <c r="F546" s="15" t="str">
        <f t="shared" ca="1" si="45"/>
        <v/>
      </c>
      <c r="G546" s="15" t="str">
        <f t="shared" ca="1" si="46"/>
        <v/>
      </c>
      <c r="H546" s="15" t="str">
        <f t="shared" ca="1" si="47"/>
        <v/>
      </c>
      <c r="I546" s="16" t="str">
        <f t="shared" ca="1" si="48"/>
        <v/>
      </c>
    </row>
    <row r="547" spans="1:9" x14ac:dyDescent="0.3">
      <c r="A547" s="3"/>
      <c r="B547" s="9"/>
      <c r="C547" s="9"/>
      <c r="E547" s="14" t="str">
        <f t="shared" si="44"/>
        <v/>
      </c>
      <c r="F547" s="15" t="str">
        <f t="shared" ca="1" si="45"/>
        <v/>
      </c>
      <c r="G547" s="15" t="str">
        <f t="shared" ca="1" si="46"/>
        <v/>
      </c>
      <c r="H547" s="15" t="str">
        <f t="shared" ca="1" si="47"/>
        <v/>
      </c>
      <c r="I547" s="16" t="str">
        <f t="shared" ca="1" si="48"/>
        <v/>
      </c>
    </row>
    <row r="548" spans="1:9" x14ac:dyDescent="0.3">
      <c r="A548" s="3"/>
      <c r="B548" s="9"/>
      <c r="C548" s="9"/>
      <c r="E548" s="14" t="str">
        <f t="shared" si="44"/>
        <v/>
      </c>
      <c r="F548" s="15" t="str">
        <f t="shared" ca="1" si="45"/>
        <v/>
      </c>
      <c r="G548" s="15" t="str">
        <f t="shared" ca="1" si="46"/>
        <v/>
      </c>
      <c r="H548" s="15" t="str">
        <f t="shared" ca="1" si="47"/>
        <v/>
      </c>
      <c r="I548" s="16" t="str">
        <f t="shared" ca="1" si="48"/>
        <v/>
      </c>
    </row>
    <row r="549" spans="1:9" x14ac:dyDescent="0.3">
      <c r="A549" s="3"/>
      <c r="B549" s="9"/>
      <c r="C549" s="9"/>
      <c r="E549" s="14" t="str">
        <f t="shared" si="44"/>
        <v/>
      </c>
      <c r="F549" s="15" t="str">
        <f t="shared" ca="1" si="45"/>
        <v/>
      </c>
      <c r="G549" s="15" t="str">
        <f t="shared" ca="1" si="46"/>
        <v/>
      </c>
      <c r="H549" s="15" t="str">
        <f t="shared" ca="1" si="47"/>
        <v/>
      </c>
      <c r="I549" s="16" t="str">
        <f t="shared" ca="1" si="48"/>
        <v/>
      </c>
    </row>
    <row r="550" spans="1:9" x14ac:dyDescent="0.3">
      <c r="A550" s="3"/>
      <c r="B550" s="9"/>
      <c r="C550" s="9"/>
      <c r="E550" s="14" t="str">
        <f t="shared" si="44"/>
        <v/>
      </c>
      <c r="F550" s="15" t="str">
        <f t="shared" ca="1" si="45"/>
        <v/>
      </c>
      <c r="G550" s="15" t="str">
        <f t="shared" ca="1" si="46"/>
        <v/>
      </c>
      <c r="H550" s="15" t="str">
        <f t="shared" ca="1" si="47"/>
        <v/>
      </c>
      <c r="I550" s="16" t="str">
        <f t="shared" ca="1" si="48"/>
        <v/>
      </c>
    </row>
    <row r="551" spans="1:9" x14ac:dyDescent="0.3">
      <c r="A551" s="3"/>
      <c r="B551" s="9"/>
      <c r="C551" s="9"/>
      <c r="E551" s="14" t="str">
        <f t="shared" si="44"/>
        <v/>
      </c>
      <c r="F551" s="15" t="str">
        <f t="shared" ca="1" si="45"/>
        <v/>
      </c>
      <c r="G551" s="15" t="str">
        <f t="shared" ca="1" si="46"/>
        <v/>
      </c>
      <c r="H551" s="15" t="str">
        <f t="shared" ca="1" si="47"/>
        <v/>
      </c>
      <c r="I551" s="16" t="str">
        <f t="shared" ca="1" si="48"/>
        <v/>
      </c>
    </row>
    <row r="552" spans="1:9" x14ac:dyDescent="0.3">
      <c r="A552" s="3"/>
      <c r="B552" s="9"/>
      <c r="C552" s="9"/>
      <c r="E552" s="14" t="str">
        <f t="shared" si="44"/>
        <v/>
      </c>
      <c r="F552" s="15" t="str">
        <f t="shared" ca="1" si="45"/>
        <v/>
      </c>
      <c r="G552" s="15" t="str">
        <f t="shared" ca="1" si="46"/>
        <v/>
      </c>
      <c r="H552" s="15" t="str">
        <f t="shared" ca="1" si="47"/>
        <v/>
      </c>
      <c r="I552" s="16" t="str">
        <f t="shared" ca="1" si="48"/>
        <v/>
      </c>
    </row>
    <row r="553" spans="1:9" x14ac:dyDescent="0.3">
      <c r="A553" s="3"/>
      <c r="B553" s="9"/>
      <c r="C553" s="9"/>
      <c r="E553" s="14" t="str">
        <f t="shared" si="44"/>
        <v/>
      </c>
      <c r="F553" s="15" t="str">
        <f t="shared" ca="1" si="45"/>
        <v/>
      </c>
      <c r="G553" s="15" t="str">
        <f t="shared" ca="1" si="46"/>
        <v/>
      </c>
      <c r="H553" s="15" t="str">
        <f t="shared" ca="1" si="47"/>
        <v/>
      </c>
      <c r="I553" s="16" t="str">
        <f t="shared" ca="1" si="48"/>
        <v/>
      </c>
    </row>
    <row r="554" spans="1:9" x14ac:dyDescent="0.3">
      <c r="A554" s="3"/>
      <c r="B554" s="9"/>
      <c r="C554" s="9"/>
      <c r="E554" s="14" t="str">
        <f t="shared" si="44"/>
        <v/>
      </c>
      <c r="F554" s="15" t="str">
        <f t="shared" ca="1" si="45"/>
        <v/>
      </c>
      <c r="G554" s="15" t="str">
        <f t="shared" ca="1" si="46"/>
        <v/>
      </c>
      <c r="H554" s="15" t="str">
        <f t="shared" ca="1" si="47"/>
        <v/>
      </c>
      <c r="I554" s="16" t="str">
        <f t="shared" ca="1" si="48"/>
        <v/>
      </c>
    </row>
    <row r="555" spans="1:9" x14ac:dyDescent="0.3">
      <c r="A555" s="3"/>
      <c r="B555" s="9"/>
      <c r="C555" s="9"/>
      <c r="E555" s="14" t="str">
        <f t="shared" si="44"/>
        <v/>
      </c>
      <c r="F555" s="15" t="str">
        <f t="shared" ca="1" si="45"/>
        <v/>
      </c>
      <c r="G555" s="15" t="str">
        <f t="shared" ca="1" si="46"/>
        <v/>
      </c>
      <c r="H555" s="15" t="str">
        <f t="shared" ca="1" si="47"/>
        <v/>
      </c>
      <c r="I555" s="16" t="str">
        <f t="shared" ca="1" si="48"/>
        <v/>
      </c>
    </row>
    <row r="556" spans="1:9" x14ac:dyDescent="0.3">
      <c r="A556" s="3"/>
      <c r="B556" s="9"/>
      <c r="C556" s="9"/>
      <c r="E556" s="14" t="str">
        <f t="shared" si="44"/>
        <v/>
      </c>
      <c r="F556" s="15" t="str">
        <f t="shared" ca="1" si="45"/>
        <v/>
      </c>
      <c r="G556" s="15" t="str">
        <f t="shared" ca="1" si="46"/>
        <v/>
      </c>
      <c r="H556" s="15" t="str">
        <f t="shared" ca="1" si="47"/>
        <v/>
      </c>
      <c r="I556" s="16" t="str">
        <f t="shared" ca="1" si="48"/>
        <v/>
      </c>
    </row>
    <row r="557" spans="1:9" x14ac:dyDescent="0.3">
      <c r="A557" s="3"/>
      <c r="B557" s="9"/>
      <c r="C557" s="9"/>
      <c r="E557" s="14" t="str">
        <f t="shared" si="44"/>
        <v/>
      </c>
      <c r="F557" s="15" t="str">
        <f t="shared" ca="1" si="45"/>
        <v/>
      </c>
      <c r="G557" s="15" t="str">
        <f t="shared" ca="1" si="46"/>
        <v/>
      </c>
      <c r="H557" s="15" t="str">
        <f t="shared" ca="1" si="47"/>
        <v/>
      </c>
      <c r="I557" s="16" t="str">
        <f t="shared" ca="1" si="48"/>
        <v/>
      </c>
    </row>
    <row r="558" spans="1:9" x14ac:dyDescent="0.3">
      <c r="A558" s="3"/>
      <c r="B558" s="9"/>
      <c r="C558" s="9"/>
      <c r="E558" s="14" t="str">
        <f t="shared" si="44"/>
        <v/>
      </c>
      <c r="F558" s="15" t="str">
        <f t="shared" ca="1" si="45"/>
        <v/>
      </c>
      <c r="G558" s="15" t="str">
        <f t="shared" ca="1" si="46"/>
        <v/>
      </c>
      <c r="H558" s="15" t="str">
        <f t="shared" ca="1" si="47"/>
        <v/>
      </c>
      <c r="I558" s="16" t="str">
        <f t="shared" ca="1" si="48"/>
        <v/>
      </c>
    </row>
    <row r="559" spans="1:9" x14ac:dyDescent="0.3">
      <c r="A559" s="3"/>
      <c r="B559" s="9"/>
      <c r="C559" s="9"/>
      <c r="E559" s="14" t="str">
        <f t="shared" si="44"/>
        <v/>
      </c>
      <c r="F559" s="15" t="str">
        <f t="shared" ca="1" si="45"/>
        <v/>
      </c>
      <c r="G559" s="15" t="str">
        <f t="shared" ca="1" si="46"/>
        <v/>
      </c>
      <c r="H559" s="15" t="str">
        <f t="shared" ca="1" si="47"/>
        <v/>
      </c>
      <c r="I559" s="16" t="str">
        <f t="shared" ca="1" si="48"/>
        <v/>
      </c>
    </row>
    <row r="560" spans="1:9" x14ac:dyDescent="0.3">
      <c r="A560" s="3"/>
      <c r="B560" s="9"/>
      <c r="C560" s="9"/>
      <c r="E560" s="14" t="str">
        <f t="shared" si="44"/>
        <v/>
      </c>
      <c r="F560" s="15" t="str">
        <f t="shared" ca="1" si="45"/>
        <v/>
      </c>
      <c r="G560" s="15" t="str">
        <f t="shared" ca="1" si="46"/>
        <v/>
      </c>
      <c r="H560" s="15" t="str">
        <f t="shared" ca="1" si="47"/>
        <v/>
      </c>
      <c r="I560" s="16" t="str">
        <f t="shared" ca="1" si="48"/>
        <v/>
      </c>
    </row>
    <row r="561" spans="1:9" x14ac:dyDescent="0.3">
      <c r="A561" s="3"/>
      <c r="B561" s="9"/>
      <c r="C561" s="9"/>
      <c r="E561" s="14" t="str">
        <f t="shared" si="44"/>
        <v/>
      </c>
      <c r="F561" s="15" t="str">
        <f t="shared" ca="1" si="45"/>
        <v/>
      </c>
      <c r="G561" s="15" t="str">
        <f t="shared" ca="1" si="46"/>
        <v/>
      </c>
      <c r="H561" s="15" t="str">
        <f t="shared" ca="1" si="47"/>
        <v/>
      </c>
      <c r="I561" s="16" t="str">
        <f t="shared" ca="1" si="48"/>
        <v/>
      </c>
    </row>
    <row r="562" spans="1:9" x14ac:dyDescent="0.3">
      <c r="A562" s="3"/>
      <c r="B562" s="9"/>
      <c r="C562" s="9"/>
      <c r="E562" s="14" t="str">
        <f t="shared" si="44"/>
        <v/>
      </c>
      <c r="F562" s="15" t="str">
        <f t="shared" ca="1" si="45"/>
        <v/>
      </c>
      <c r="G562" s="15" t="str">
        <f t="shared" ca="1" si="46"/>
        <v/>
      </c>
      <c r="H562" s="15" t="str">
        <f t="shared" ca="1" si="47"/>
        <v/>
      </c>
      <c r="I562" s="16" t="str">
        <f t="shared" ca="1" si="48"/>
        <v/>
      </c>
    </row>
    <row r="563" spans="1:9" x14ac:dyDescent="0.3">
      <c r="A563" s="3"/>
      <c r="B563" s="9"/>
      <c r="C563" s="9"/>
      <c r="E563" s="14" t="str">
        <f t="shared" si="44"/>
        <v/>
      </c>
      <c r="F563" s="15" t="str">
        <f t="shared" ca="1" si="45"/>
        <v/>
      </c>
      <c r="G563" s="15" t="str">
        <f t="shared" ca="1" si="46"/>
        <v/>
      </c>
      <c r="H563" s="15" t="str">
        <f t="shared" ca="1" si="47"/>
        <v/>
      </c>
      <c r="I563" s="16" t="str">
        <f t="shared" ca="1" si="48"/>
        <v/>
      </c>
    </row>
    <row r="564" spans="1:9" x14ac:dyDescent="0.3">
      <c r="A564" s="3"/>
      <c r="B564" s="9"/>
      <c r="C564" s="9"/>
      <c r="E564" s="14" t="str">
        <f t="shared" si="44"/>
        <v/>
      </c>
      <c r="F564" s="15" t="str">
        <f t="shared" ca="1" si="45"/>
        <v/>
      </c>
      <c r="G564" s="15" t="str">
        <f t="shared" ca="1" si="46"/>
        <v/>
      </c>
      <c r="H564" s="15" t="str">
        <f t="shared" ca="1" si="47"/>
        <v/>
      </c>
      <c r="I564" s="16" t="str">
        <f t="shared" ca="1" si="48"/>
        <v/>
      </c>
    </row>
    <row r="565" spans="1:9" x14ac:dyDescent="0.3">
      <c r="A565" s="3"/>
      <c r="B565" s="9"/>
      <c r="C565" s="9"/>
      <c r="E565" s="14" t="str">
        <f t="shared" si="44"/>
        <v/>
      </c>
      <c r="F565" s="15" t="str">
        <f t="shared" ca="1" si="45"/>
        <v/>
      </c>
      <c r="G565" s="15" t="str">
        <f t="shared" ca="1" si="46"/>
        <v/>
      </c>
      <c r="H565" s="15" t="str">
        <f t="shared" ca="1" si="47"/>
        <v/>
      </c>
      <c r="I565" s="16" t="str">
        <f t="shared" ca="1" si="48"/>
        <v/>
      </c>
    </row>
    <row r="566" spans="1:9" x14ac:dyDescent="0.3">
      <c r="A566" s="3"/>
      <c r="B566" s="9"/>
      <c r="C566" s="9"/>
      <c r="E566" s="14" t="str">
        <f t="shared" si="44"/>
        <v/>
      </c>
      <c r="F566" s="15" t="str">
        <f t="shared" ca="1" si="45"/>
        <v/>
      </c>
      <c r="G566" s="15" t="str">
        <f t="shared" ca="1" si="46"/>
        <v/>
      </c>
      <c r="H566" s="15" t="str">
        <f t="shared" ca="1" si="47"/>
        <v/>
      </c>
      <c r="I566" s="16" t="str">
        <f t="shared" ca="1" si="48"/>
        <v/>
      </c>
    </row>
    <row r="567" spans="1:9" x14ac:dyDescent="0.3">
      <c r="A567" s="3"/>
      <c r="B567" s="9"/>
      <c r="C567" s="9"/>
      <c r="E567" s="14" t="str">
        <f t="shared" si="44"/>
        <v/>
      </c>
      <c r="F567" s="15" t="str">
        <f t="shared" ca="1" si="45"/>
        <v/>
      </c>
      <c r="G567" s="15" t="str">
        <f t="shared" ca="1" si="46"/>
        <v/>
      </c>
      <c r="H567" s="15" t="str">
        <f t="shared" ca="1" si="47"/>
        <v/>
      </c>
      <c r="I567" s="16" t="str">
        <f t="shared" ca="1" si="48"/>
        <v/>
      </c>
    </row>
    <row r="568" spans="1:9" x14ac:dyDescent="0.3">
      <c r="A568" s="3"/>
      <c r="B568" s="9"/>
      <c r="C568" s="9"/>
      <c r="E568" s="14" t="str">
        <f t="shared" si="44"/>
        <v/>
      </c>
      <c r="F568" s="15" t="str">
        <f t="shared" ca="1" si="45"/>
        <v/>
      </c>
      <c r="G568" s="15" t="str">
        <f t="shared" ca="1" si="46"/>
        <v/>
      </c>
      <c r="H568" s="15" t="str">
        <f t="shared" ca="1" si="47"/>
        <v/>
      </c>
      <c r="I568" s="16" t="str">
        <f t="shared" ca="1" si="48"/>
        <v/>
      </c>
    </row>
    <row r="569" spans="1:9" x14ac:dyDescent="0.3">
      <c r="A569" s="3"/>
      <c r="B569" s="9"/>
      <c r="C569" s="9"/>
      <c r="E569" s="14" t="str">
        <f t="shared" si="44"/>
        <v/>
      </c>
      <c r="F569" s="15" t="str">
        <f t="shared" ca="1" si="45"/>
        <v/>
      </c>
      <c r="G569" s="15" t="str">
        <f t="shared" ca="1" si="46"/>
        <v/>
      </c>
      <c r="H569" s="15" t="str">
        <f t="shared" ca="1" si="47"/>
        <v/>
      </c>
      <c r="I569" s="16" t="str">
        <f t="shared" ca="1" si="48"/>
        <v/>
      </c>
    </row>
    <row r="570" spans="1:9" x14ac:dyDescent="0.3">
      <c r="A570" s="3"/>
      <c r="B570" s="9"/>
      <c r="C570" s="9"/>
      <c r="E570" s="14" t="str">
        <f t="shared" si="44"/>
        <v/>
      </c>
      <c r="F570" s="15" t="str">
        <f t="shared" ca="1" si="45"/>
        <v/>
      </c>
      <c r="G570" s="15" t="str">
        <f t="shared" ca="1" si="46"/>
        <v/>
      </c>
      <c r="H570" s="15" t="str">
        <f t="shared" ca="1" si="47"/>
        <v/>
      </c>
      <c r="I570" s="16" t="str">
        <f t="shared" ca="1" si="48"/>
        <v/>
      </c>
    </row>
    <row r="571" spans="1:9" x14ac:dyDescent="0.3">
      <c r="A571" s="3"/>
      <c r="B571" s="9"/>
      <c r="C571" s="9"/>
      <c r="E571" s="14" t="str">
        <f t="shared" si="44"/>
        <v/>
      </c>
      <c r="F571" s="15" t="str">
        <f t="shared" ca="1" si="45"/>
        <v/>
      </c>
      <c r="G571" s="15" t="str">
        <f t="shared" ca="1" si="46"/>
        <v/>
      </c>
      <c r="H571" s="15" t="str">
        <f t="shared" ca="1" si="47"/>
        <v/>
      </c>
      <c r="I571" s="16" t="str">
        <f t="shared" ca="1" si="48"/>
        <v/>
      </c>
    </row>
    <row r="572" spans="1:9" x14ac:dyDescent="0.3">
      <c r="A572" s="3"/>
      <c r="B572" s="9"/>
      <c r="C572" s="9"/>
      <c r="E572" s="14" t="str">
        <f t="shared" si="44"/>
        <v/>
      </c>
      <c r="F572" s="15" t="str">
        <f t="shared" ca="1" si="45"/>
        <v/>
      </c>
      <c r="G572" s="15" t="str">
        <f t="shared" ca="1" si="46"/>
        <v/>
      </c>
      <c r="H572" s="15" t="str">
        <f t="shared" ca="1" si="47"/>
        <v/>
      </c>
      <c r="I572" s="16" t="str">
        <f t="shared" ca="1" si="48"/>
        <v/>
      </c>
    </row>
    <row r="573" spans="1:9" x14ac:dyDescent="0.3">
      <c r="A573" s="3"/>
      <c r="B573" s="9"/>
      <c r="C573" s="9"/>
      <c r="E573" s="14" t="str">
        <f t="shared" si="44"/>
        <v/>
      </c>
      <c r="F573" s="15" t="str">
        <f t="shared" ca="1" si="45"/>
        <v/>
      </c>
      <c r="G573" s="15" t="str">
        <f t="shared" ca="1" si="46"/>
        <v/>
      </c>
      <c r="H573" s="15" t="str">
        <f t="shared" ca="1" si="47"/>
        <v/>
      </c>
      <c r="I573" s="16" t="str">
        <f t="shared" ca="1" si="48"/>
        <v/>
      </c>
    </row>
    <row r="574" spans="1:9" x14ac:dyDescent="0.3">
      <c r="A574" s="3"/>
      <c r="B574" s="9"/>
      <c r="C574" s="9"/>
      <c r="E574" s="14" t="str">
        <f t="shared" si="44"/>
        <v/>
      </c>
      <c r="F574" s="15" t="str">
        <f t="shared" ca="1" si="45"/>
        <v/>
      </c>
      <c r="G574" s="15" t="str">
        <f t="shared" ca="1" si="46"/>
        <v/>
      </c>
      <c r="H574" s="15" t="str">
        <f t="shared" ca="1" si="47"/>
        <v/>
      </c>
      <c r="I574" s="16" t="str">
        <f t="shared" ca="1" si="48"/>
        <v/>
      </c>
    </row>
    <row r="575" spans="1:9" x14ac:dyDescent="0.3">
      <c r="A575" s="3"/>
      <c r="B575" s="9"/>
      <c r="C575" s="9"/>
      <c r="E575" s="14" t="str">
        <f t="shared" si="44"/>
        <v/>
      </c>
      <c r="F575" s="15" t="str">
        <f t="shared" ca="1" si="45"/>
        <v/>
      </c>
      <c r="G575" s="15" t="str">
        <f t="shared" ca="1" si="46"/>
        <v/>
      </c>
      <c r="H575" s="15" t="str">
        <f t="shared" ca="1" si="47"/>
        <v/>
      </c>
      <c r="I575" s="16" t="str">
        <f t="shared" ca="1" si="48"/>
        <v/>
      </c>
    </row>
    <row r="576" spans="1:9" x14ac:dyDescent="0.3">
      <c r="A576" s="3"/>
      <c r="B576" s="9"/>
      <c r="C576" s="9"/>
      <c r="E576" s="14" t="str">
        <f t="shared" si="44"/>
        <v/>
      </c>
      <c r="F576" s="15" t="str">
        <f t="shared" ca="1" si="45"/>
        <v/>
      </c>
      <c r="G576" s="15" t="str">
        <f t="shared" ca="1" si="46"/>
        <v/>
      </c>
      <c r="H576" s="15" t="str">
        <f t="shared" ca="1" si="47"/>
        <v/>
      </c>
      <c r="I576" s="16" t="str">
        <f t="shared" ca="1" si="48"/>
        <v/>
      </c>
    </row>
    <row r="577" spans="1:9" x14ac:dyDescent="0.3">
      <c r="A577" s="3"/>
      <c r="B577" s="9"/>
      <c r="C577" s="9"/>
      <c r="E577" s="14" t="str">
        <f t="shared" si="44"/>
        <v/>
      </c>
      <c r="F577" s="15" t="str">
        <f t="shared" ca="1" si="45"/>
        <v/>
      </c>
      <c r="G577" s="15" t="str">
        <f t="shared" ca="1" si="46"/>
        <v/>
      </c>
      <c r="H577" s="15" t="str">
        <f t="shared" ca="1" si="47"/>
        <v/>
      </c>
      <c r="I577" s="16" t="str">
        <f t="shared" ca="1" si="48"/>
        <v/>
      </c>
    </row>
    <row r="578" spans="1:9" x14ac:dyDescent="0.3">
      <c r="A578" s="3"/>
      <c r="B578" s="9"/>
      <c r="C578" s="9"/>
      <c r="E578" s="14" t="str">
        <f t="shared" si="44"/>
        <v/>
      </c>
      <c r="F578" s="15" t="str">
        <f t="shared" ca="1" si="45"/>
        <v/>
      </c>
      <c r="G578" s="15" t="str">
        <f t="shared" ca="1" si="46"/>
        <v/>
      </c>
      <c r="H578" s="15" t="str">
        <f t="shared" ca="1" si="47"/>
        <v/>
      </c>
      <c r="I578" s="16" t="str">
        <f t="shared" ca="1" si="48"/>
        <v/>
      </c>
    </row>
    <row r="579" spans="1:9" x14ac:dyDescent="0.3">
      <c r="A579" s="3"/>
      <c r="B579" s="9"/>
      <c r="C579" s="9"/>
      <c r="E579" s="14" t="str">
        <f t="shared" ref="E579:E642" si="49">IF(ISNUMBER(B579),B579/C579,"")</f>
        <v/>
      </c>
      <c r="F579" s="15" t="str">
        <f t="shared" ca="1" si="45"/>
        <v/>
      </c>
      <c r="G579" s="15" t="str">
        <f t="shared" ca="1" si="46"/>
        <v/>
      </c>
      <c r="H579" s="15" t="str">
        <f t="shared" ca="1" si="47"/>
        <v/>
      </c>
      <c r="I579" s="16" t="str">
        <f t="shared" ca="1" si="48"/>
        <v/>
      </c>
    </row>
    <row r="580" spans="1:9" x14ac:dyDescent="0.3">
      <c r="A580" s="3"/>
      <c r="B580" s="9"/>
      <c r="C580" s="9"/>
      <c r="E580" s="14" t="str">
        <f t="shared" si="49"/>
        <v/>
      </c>
      <c r="F580" s="15" t="str">
        <f t="shared" ca="1" si="45"/>
        <v/>
      </c>
      <c r="G580" s="15" t="str">
        <f t="shared" ca="1" si="46"/>
        <v/>
      </c>
      <c r="H580" s="15" t="str">
        <f t="shared" ca="1" si="47"/>
        <v/>
      </c>
      <c r="I580" s="16" t="str">
        <f t="shared" ca="1" si="48"/>
        <v/>
      </c>
    </row>
    <row r="581" spans="1:9" x14ac:dyDescent="0.3">
      <c r="A581" s="3"/>
      <c r="B581" s="9"/>
      <c r="C581" s="9"/>
      <c r="E581" s="14" t="str">
        <f t="shared" si="49"/>
        <v/>
      </c>
      <c r="F581" s="15" t="str">
        <f t="shared" ca="1" si="45"/>
        <v/>
      </c>
      <c r="G581" s="15" t="str">
        <f t="shared" ca="1" si="46"/>
        <v/>
      </c>
      <c r="H581" s="15" t="str">
        <f t="shared" ca="1" si="47"/>
        <v/>
      </c>
      <c r="I581" s="16" t="str">
        <f t="shared" ca="1" si="48"/>
        <v/>
      </c>
    </row>
    <row r="582" spans="1:9" x14ac:dyDescent="0.3">
      <c r="A582" s="3"/>
      <c r="B582" s="9"/>
      <c r="C582" s="9"/>
      <c r="E582" s="14" t="str">
        <f t="shared" si="49"/>
        <v/>
      </c>
      <c r="F582" s="15" t="str">
        <f t="shared" ca="1" si="45"/>
        <v/>
      </c>
      <c r="G582" s="15" t="str">
        <f t="shared" ca="1" si="46"/>
        <v/>
      </c>
      <c r="H582" s="15" t="str">
        <f t="shared" ca="1" si="47"/>
        <v/>
      </c>
      <c r="I582" s="16" t="str">
        <f t="shared" ca="1" si="48"/>
        <v/>
      </c>
    </row>
    <row r="583" spans="1:9" x14ac:dyDescent="0.3">
      <c r="A583" s="3"/>
      <c r="B583" s="9"/>
      <c r="C583" s="9"/>
      <c r="E583" s="14" t="str">
        <f t="shared" si="49"/>
        <v/>
      </c>
      <c r="F583" s="15" t="str">
        <f t="shared" ca="1" si="45"/>
        <v/>
      </c>
      <c r="G583" s="15" t="str">
        <f t="shared" ca="1" si="46"/>
        <v/>
      </c>
      <c r="H583" s="15" t="str">
        <f t="shared" ca="1" si="47"/>
        <v/>
      </c>
      <c r="I583" s="16" t="str">
        <f t="shared" ca="1" si="48"/>
        <v/>
      </c>
    </row>
    <row r="584" spans="1:9" x14ac:dyDescent="0.3">
      <c r="A584" s="3"/>
      <c r="B584" s="9"/>
      <c r="C584" s="9"/>
      <c r="E584" s="14" t="str">
        <f t="shared" si="49"/>
        <v/>
      </c>
      <c r="F584" s="15" t="str">
        <f t="shared" ca="1" si="45"/>
        <v/>
      </c>
      <c r="G584" s="15" t="str">
        <f t="shared" ca="1" si="46"/>
        <v/>
      </c>
      <c r="H584" s="15" t="str">
        <f t="shared" ca="1" si="47"/>
        <v/>
      </c>
      <c r="I584" s="16" t="str">
        <f t="shared" ca="1" si="48"/>
        <v/>
      </c>
    </row>
    <row r="585" spans="1:9" x14ac:dyDescent="0.3">
      <c r="A585" s="3"/>
      <c r="B585" s="9"/>
      <c r="C585" s="9"/>
      <c r="E585" s="14" t="str">
        <f t="shared" si="49"/>
        <v/>
      </c>
      <c r="F585" s="15" t="str">
        <f t="shared" ca="1" si="45"/>
        <v/>
      </c>
      <c r="G585" s="15" t="str">
        <f t="shared" ca="1" si="46"/>
        <v/>
      </c>
      <c r="H585" s="15" t="str">
        <f t="shared" ca="1" si="47"/>
        <v/>
      </c>
      <c r="I585" s="16" t="str">
        <f t="shared" ca="1" si="48"/>
        <v/>
      </c>
    </row>
    <row r="586" spans="1:9" x14ac:dyDescent="0.3">
      <c r="A586" s="3"/>
      <c r="B586" s="9"/>
      <c r="C586" s="9"/>
      <c r="E586" s="14" t="str">
        <f t="shared" si="49"/>
        <v/>
      </c>
      <c r="F586" s="15" t="str">
        <f t="shared" ca="1" si="45"/>
        <v/>
      </c>
      <c r="G586" s="15" t="str">
        <f t="shared" ca="1" si="46"/>
        <v/>
      </c>
      <c r="H586" s="15" t="str">
        <f t="shared" ca="1" si="47"/>
        <v/>
      </c>
      <c r="I586" s="16" t="str">
        <f t="shared" ca="1" si="48"/>
        <v/>
      </c>
    </row>
    <row r="587" spans="1:9" x14ac:dyDescent="0.3">
      <c r="A587" s="3"/>
      <c r="B587" s="9"/>
      <c r="C587" s="9"/>
      <c r="E587" s="14" t="str">
        <f t="shared" si="49"/>
        <v/>
      </c>
      <c r="F587" s="15" t="str">
        <f t="shared" ca="1" si="45"/>
        <v/>
      </c>
      <c r="G587" s="15" t="str">
        <f t="shared" ca="1" si="46"/>
        <v/>
      </c>
      <c r="H587" s="15" t="str">
        <f t="shared" ca="1" si="47"/>
        <v/>
      </c>
      <c r="I587" s="16" t="str">
        <f t="shared" ca="1" si="48"/>
        <v/>
      </c>
    </row>
    <row r="588" spans="1:9" x14ac:dyDescent="0.3">
      <c r="A588" s="3"/>
      <c r="B588" s="9"/>
      <c r="C588" s="9"/>
      <c r="E588" s="14" t="str">
        <f t="shared" si="49"/>
        <v/>
      </c>
      <c r="F588" s="15" t="str">
        <f t="shared" ca="1" si="45"/>
        <v/>
      </c>
      <c r="G588" s="15" t="str">
        <f t="shared" ca="1" si="46"/>
        <v/>
      </c>
      <c r="H588" s="15" t="str">
        <f t="shared" ca="1" si="47"/>
        <v/>
      </c>
      <c r="I588" s="16" t="str">
        <f t="shared" ca="1" si="48"/>
        <v/>
      </c>
    </row>
    <row r="589" spans="1:9" x14ac:dyDescent="0.3">
      <c r="A589" s="3"/>
      <c r="B589" s="9"/>
      <c r="C589" s="9"/>
      <c r="E589" s="14" t="str">
        <f t="shared" si="49"/>
        <v/>
      </c>
      <c r="F589" s="15" t="str">
        <f t="shared" ca="1" si="45"/>
        <v/>
      </c>
      <c r="G589" s="15" t="str">
        <f t="shared" ca="1" si="46"/>
        <v/>
      </c>
      <c r="H589" s="15" t="str">
        <f t="shared" ca="1" si="47"/>
        <v/>
      </c>
      <c r="I589" s="16" t="str">
        <f t="shared" ca="1" si="48"/>
        <v/>
      </c>
    </row>
    <row r="590" spans="1:9" x14ac:dyDescent="0.3">
      <c r="A590" s="3"/>
      <c r="B590" s="9"/>
      <c r="C590" s="9"/>
      <c r="E590" s="14" t="str">
        <f t="shared" si="49"/>
        <v/>
      </c>
      <c r="F590" s="15" t="str">
        <f t="shared" ca="1" si="45"/>
        <v/>
      </c>
      <c r="G590" s="15" t="str">
        <f t="shared" ca="1" si="46"/>
        <v/>
      </c>
      <c r="H590" s="15" t="str">
        <f t="shared" ca="1" si="47"/>
        <v/>
      </c>
      <c r="I590" s="16" t="str">
        <f t="shared" ca="1" si="48"/>
        <v/>
      </c>
    </row>
    <row r="591" spans="1:9" x14ac:dyDescent="0.3">
      <c r="A591" s="3"/>
      <c r="B591" s="9"/>
      <c r="C591" s="9"/>
      <c r="E591" s="14" t="str">
        <f t="shared" si="49"/>
        <v/>
      </c>
      <c r="F591" s="15" t="str">
        <f t="shared" ca="1" si="45"/>
        <v/>
      </c>
      <c r="G591" s="15" t="str">
        <f t="shared" ca="1" si="46"/>
        <v/>
      </c>
      <c r="H591" s="15" t="str">
        <f t="shared" ca="1" si="47"/>
        <v/>
      </c>
      <c r="I591" s="16" t="str">
        <f t="shared" ca="1" si="48"/>
        <v/>
      </c>
    </row>
    <row r="592" spans="1:9" x14ac:dyDescent="0.3">
      <c r="A592" s="3"/>
      <c r="B592" s="9"/>
      <c r="C592" s="9"/>
      <c r="E592" s="14" t="str">
        <f t="shared" si="49"/>
        <v/>
      </c>
      <c r="F592" s="15" t="str">
        <f t="shared" ca="1" si="45"/>
        <v/>
      </c>
      <c r="G592" s="15" t="str">
        <f t="shared" ca="1" si="46"/>
        <v/>
      </c>
      <c r="H592" s="15" t="str">
        <f t="shared" ca="1" si="47"/>
        <v/>
      </c>
      <c r="I592" s="16" t="str">
        <f t="shared" ca="1" si="48"/>
        <v/>
      </c>
    </row>
    <row r="593" spans="1:9" x14ac:dyDescent="0.3">
      <c r="A593" s="3"/>
      <c r="B593" s="9"/>
      <c r="C593" s="9"/>
      <c r="E593" s="14" t="str">
        <f t="shared" si="49"/>
        <v/>
      </c>
      <c r="F593" s="15" t="str">
        <f t="shared" ref="F593:F656" ca="1" si="50">IF(ISNUMBER(E593),IF(ROW(E593)&gt;$K$1,AVERAGE(OFFSET(E593,0,0,-$K$1)),""),"")</f>
        <v/>
      </c>
      <c r="G593" s="15" t="str">
        <f t="shared" ref="G593:G656" ca="1" si="51">IF(ISNUMBER(I593),F593+I593*$M$1,"")</f>
        <v/>
      </c>
      <c r="H593" s="15" t="str">
        <f t="shared" ref="H593:H656" ca="1" si="52">IF(ISNUMBER(I593),F593-I593*$M$1,"")</f>
        <v/>
      </c>
      <c r="I593" s="16" t="str">
        <f t="shared" ref="I593:I656" ca="1" si="53">IF(ISNUMBER(E593),IF(ROW(E593)&gt;$K$1,_xlfn.STDEV.P(OFFSET(E593,0,0,-$K$1)),""),"")</f>
        <v/>
      </c>
    </row>
    <row r="594" spans="1:9" x14ac:dyDescent="0.3">
      <c r="A594" s="3"/>
      <c r="B594" s="9"/>
      <c r="C594" s="9"/>
      <c r="E594" s="14" t="str">
        <f t="shared" si="49"/>
        <v/>
      </c>
      <c r="F594" s="15" t="str">
        <f t="shared" ca="1" si="50"/>
        <v/>
      </c>
      <c r="G594" s="15" t="str">
        <f t="shared" ca="1" si="51"/>
        <v/>
      </c>
      <c r="H594" s="15" t="str">
        <f t="shared" ca="1" si="52"/>
        <v/>
      </c>
      <c r="I594" s="16" t="str">
        <f t="shared" ca="1" si="53"/>
        <v/>
      </c>
    </row>
    <row r="595" spans="1:9" x14ac:dyDescent="0.3">
      <c r="A595" s="3"/>
      <c r="B595" s="9"/>
      <c r="C595" s="9"/>
      <c r="E595" s="14" t="str">
        <f t="shared" si="49"/>
        <v/>
      </c>
      <c r="F595" s="15" t="str">
        <f t="shared" ca="1" si="50"/>
        <v/>
      </c>
      <c r="G595" s="15" t="str">
        <f t="shared" ca="1" si="51"/>
        <v/>
      </c>
      <c r="H595" s="15" t="str">
        <f t="shared" ca="1" si="52"/>
        <v/>
      </c>
      <c r="I595" s="16" t="str">
        <f t="shared" ca="1" si="53"/>
        <v/>
      </c>
    </row>
    <row r="596" spans="1:9" x14ac:dyDescent="0.3">
      <c r="A596" s="3"/>
      <c r="B596" s="9"/>
      <c r="C596" s="9"/>
      <c r="E596" s="14" t="str">
        <f t="shared" si="49"/>
        <v/>
      </c>
      <c r="F596" s="15" t="str">
        <f t="shared" ca="1" si="50"/>
        <v/>
      </c>
      <c r="G596" s="15" t="str">
        <f t="shared" ca="1" si="51"/>
        <v/>
      </c>
      <c r="H596" s="15" t="str">
        <f t="shared" ca="1" si="52"/>
        <v/>
      </c>
      <c r="I596" s="16" t="str">
        <f t="shared" ca="1" si="53"/>
        <v/>
      </c>
    </row>
    <row r="597" spans="1:9" x14ac:dyDescent="0.3">
      <c r="A597" s="3"/>
      <c r="B597" s="9"/>
      <c r="C597" s="9"/>
      <c r="E597" s="14" t="str">
        <f t="shared" si="49"/>
        <v/>
      </c>
      <c r="F597" s="15" t="str">
        <f t="shared" ca="1" si="50"/>
        <v/>
      </c>
      <c r="G597" s="15" t="str">
        <f t="shared" ca="1" si="51"/>
        <v/>
      </c>
      <c r="H597" s="15" t="str">
        <f t="shared" ca="1" si="52"/>
        <v/>
      </c>
      <c r="I597" s="16" t="str">
        <f t="shared" ca="1" si="53"/>
        <v/>
      </c>
    </row>
    <row r="598" spans="1:9" x14ac:dyDescent="0.3">
      <c r="A598" s="3"/>
      <c r="B598" s="9"/>
      <c r="C598" s="9"/>
      <c r="E598" s="14" t="str">
        <f t="shared" si="49"/>
        <v/>
      </c>
      <c r="F598" s="15" t="str">
        <f t="shared" ca="1" si="50"/>
        <v/>
      </c>
      <c r="G598" s="15" t="str">
        <f t="shared" ca="1" si="51"/>
        <v/>
      </c>
      <c r="H598" s="15" t="str">
        <f t="shared" ca="1" si="52"/>
        <v/>
      </c>
      <c r="I598" s="16" t="str">
        <f t="shared" ca="1" si="53"/>
        <v/>
      </c>
    </row>
    <row r="599" spans="1:9" x14ac:dyDescent="0.3">
      <c r="A599" s="3"/>
      <c r="B599" s="9"/>
      <c r="C599" s="9"/>
      <c r="E599" s="14" t="str">
        <f t="shared" si="49"/>
        <v/>
      </c>
      <c r="F599" s="15" t="str">
        <f t="shared" ca="1" si="50"/>
        <v/>
      </c>
      <c r="G599" s="15" t="str">
        <f t="shared" ca="1" si="51"/>
        <v/>
      </c>
      <c r="H599" s="15" t="str">
        <f t="shared" ca="1" si="52"/>
        <v/>
      </c>
      <c r="I599" s="16" t="str">
        <f t="shared" ca="1" si="53"/>
        <v/>
      </c>
    </row>
    <row r="600" spans="1:9" x14ac:dyDescent="0.3">
      <c r="A600" s="3"/>
      <c r="B600" s="9"/>
      <c r="C600" s="9"/>
      <c r="E600" s="14" t="str">
        <f t="shared" si="49"/>
        <v/>
      </c>
      <c r="F600" s="15" t="str">
        <f t="shared" ca="1" si="50"/>
        <v/>
      </c>
      <c r="G600" s="15" t="str">
        <f t="shared" ca="1" si="51"/>
        <v/>
      </c>
      <c r="H600" s="15" t="str">
        <f t="shared" ca="1" si="52"/>
        <v/>
      </c>
      <c r="I600" s="16" t="str">
        <f t="shared" ca="1" si="53"/>
        <v/>
      </c>
    </row>
    <row r="601" spans="1:9" x14ac:dyDescent="0.3">
      <c r="A601" s="3"/>
      <c r="B601" s="9"/>
      <c r="C601" s="9"/>
      <c r="E601" s="14" t="str">
        <f t="shared" si="49"/>
        <v/>
      </c>
      <c r="F601" s="15" t="str">
        <f t="shared" ca="1" si="50"/>
        <v/>
      </c>
      <c r="G601" s="15" t="str">
        <f t="shared" ca="1" si="51"/>
        <v/>
      </c>
      <c r="H601" s="15" t="str">
        <f t="shared" ca="1" si="52"/>
        <v/>
      </c>
      <c r="I601" s="16" t="str">
        <f t="shared" ca="1" si="53"/>
        <v/>
      </c>
    </row>
    <row r="602" spans="1:9" x14ac:dyDescent="0.3">
      <c r="A602" s="3"/>
      <c r="B602" s="9"/>
      <c r="C602" s="9"/>
      <c r="E602" s="14" t="str">
        <f t="shared" si="49"/>
        <v/>
      </c>
      <c r="F602" s="15" t="str">
        <f t="shared" ca="1" si="50"/>
        <v/>
      </c>
      <c r="G602" s="15" t="str">
        <f t="shared" ca="1" si="51"/>
        <v/>
      </c>
      <c r="H602" s="15" t="str">
        <f t="shared" ca="1" si="52"/>
        <v/>
      </c>
      <c r="I602" s="16" t="str">
        <f t="shared" ca="1" si="53"/>
        <v/>
      </c>
    </row>
    <row r="603" spans="1:9" x14ac:dyDescent="0.3">
      <c r="A603" s="3"/>
      <c r="B603" s="9"/>
      <c r="C603" s="9"/>
      <c r="E603" s="14" t="str">
        <f t="shared" si="49"/>
        <v/>
      </c>
      <c r="F603" s="15" t="str">
        <f t="shared" ca="1" si="50"/>
        <v/>
      </c>
      <c r="G603" s="15" t="str">
        <f t="shared" ca="1" si="51"/>
        <v/>
      </c>
      <c r="H603" s="15" t="str">
        <f t="shared" ca="1" si="52"/>
        <v/>
      </c>
      <c r="I603" s="16" t="str">
        <f t="shared" ca="1" si="53"/>
        <v/>
      </c>
    </row>
    <row r="604" spans="1:9" x14ac:dyDescent="0.3">
      <c r="A604" s="3"/>
      <c r="B604" s="9"/>
      <c r="C604" s="9"/>
      <c r="E604" s="14" t="str">
        <f t="shared" si="49"/>
        <v/>
      </c>
      <c r="F604" s="15" t="str">
        <f t="shared" ca="1" si="50"/>
        <v/>
      </c>
      <c r="G604" s="15" t="str">
        <f t="shared" ca="1" si="51"/>
        <v/>
      </c>
      <c r="H604" s="15" t="str">
        <f t="shared" ca="1" si="52"/>
        <v/>
      </c>
      <c r="I604" s="16" t="str">
        <f t="shared" ca="1" si="53"/>
        <v/>
      </c>
    </row>
    <row r="605" spans="1:9" x14ac:dyDescent="0.3">
      <c r="A605" s="3"/>
      <c r="B605" s="9"/>
      <c r="C605" s="9"/>
      <c r="E605" s="14" t="str">
        <f t="shared" si="49"/>
        <v/>
      </c>
      <c r="F605" s="15" t="str">
        <f t="shared" ca="1" si="50"/>
        <v/>
      </c>
      <c r="G605" s="15" t="str">
        <f t="shared" ca="1" si="51"/>
        <v/>
      </c>
      <c r="H605" s="15" t="str">
        <f t="shared" ca="1" si="52"/>
        <v/>
      </c>
      <c r="I605" s="16" t="str">
        <f t="shared" ca="1" si="53"/>
        <v/>
      </c>
    </row>
    <row r="606" spans="1:9" x14ac:dyDescent="0.3">
      <c r="A606" s="3"/>
      <c r="B606" s="9"/>
      <c r="C606" s="9"/>
      <c r="E606" s="14" t="str">
        <f t="shared" si="49"/>
        <v/>
      </c>
      <c r="F606" s="15" t="str">
        <f t="shared" ca="1" si="50"/>
        <v/>
      </c>
      <c r="G606" s="15" t="str">
        <f t="shared" ca="1" si="51"/>
        <v/>
      </c>
      <c r="H606" s="15" t="str">
        <f t="shared" ca="1" si="52"/>
        <v/>
      </c>
      <c r="I606" s="16" t="str">
        <f t="shared" ca="1" si="53"/>
        <v/>
      </c>
    </row>
    <row r="607" spans="1:9" x14ac:dyDescent="0.3">
      <c r="A607" s="3"/>
      <c r="B607" s="9"/>
      <c r="C607" s="9"/>
      <c r="E607" s="14" t="str">
        <f t="shared" si="49"/>
        <v/>
      </c>
      <c r="F607" s="15" t="str">
        <f t="shared" ca="1" si="50"/>
        <v/>
      </c>
      <c r="G607" s="15" t="str">
        <f t="shared" ca="1" si="51"/>
        <v/>
      </c>
      <c r="H607" s="15" t="str">
        <f t="shared" ca="1" si="52"/>
        <v/>
      </c>
      <c r="I607" s="16" t="str">
        <f t="shared" ca="1" si="53"/>
        <v/>
      </c>
    </row>
    <row r="608" spans="1:9" x14ac:dyDescent="0.3">
      <c r="A608" s="3"/>
      <c r="B608" s="9"/>
      <c r="C608" s="9"/>
      <c r="E608" s="14" t="str">
        <f t="shared" si="49"/>
        <v/>
      </c>
      <c r="F608" s="15" t="str">
        <f t="shared" ca="1" si="50"/>
        <v/>
      </c>
      <c r="G608" s="15" t="str">
        <f t="shared" ca="1" si="51"/>
        <v/>
      </c>
      <c r="H608" s="15" t="str">
        <f t="shared" ca="1" si="52"/>
        <v/>
      </c>
      <c r="I608" s="16" t="str">
        <f t="shared" ca="1" si="53"/>
        <v/>
      </c>
    </row>
    <row r="609" spans="1:9" x14ac:dyDescent="0.3">
      <c r="A609" s="3"/>
      <c r="B609" s="9"/>
      <c r="C609" s="9"/>
      <c r="E609" s="14" t="str">
        <f t="shared" si="49"/>
        <v/>
      </c>
      <c r="F609" s="15" t="str">
        <f t="shared" ca="1" si="50"/>
        <v/>
      </c>
      <c r="G609" s="15" t="str">
        <f t="shared" ca="1" si="51"/>
        <v/>
      </c>
      <c r="H609" s="15" t="str">
        <f t="shared" ca="1" si="52"/>
        <v/>
      </c>
      <c r="I609" s="16" t="str">
        <f t="shared" ca="1" si="53"/>
        <v/>
      </c>
    </row>
    <row r="610" spans="1:9" x14ac:dyDescent="0.3">
      <c r="A610" s="3"/>
      <c r="B610" s="9"/>
      <c r="C610" s="9"/>
      <c r="E610" s="14" t="str">
        <f t="shared" si="49"/>
        <v/>
      </c>
      <c r="F610" s="15" t="str">
        <f t="shared" ca="1" si="50"/>
        <v/>
      </c>
      <c r="G610" s="15" t="str">
        <f t="shared" ca="1" si="51"/>
        <v/>
      </c>
      <c r="H610" s="15" t="str">
        <f t="shared" ca="1" si="52"/>
        <v/>
      </c>
      <c r="I610" s="16" t="str">
        <f t="shared" ca="1" si="53"/>
        <v/>
      </c>
    </row>
    <row r="611" spans="1:9" x14ac:dyDescent="0.3">
      <c r="A611" s="3"/>
      <c r="B611" s="9"/>
      <c r="C611" s="9"/>
      <c r="E611" s="14" t="str">
        <f t="shared" si="49"/>
        <v/>
      </c>
      <c r="F611" s="15" t="str">
        <f t="shared" ca="1" si="50"/>
        <v/>
      </c>
      <c r="G611" s="15" t="str">
        <f t="shared" ca="1" si="51"/>
        <v/>
      </c>
      <c r="H611" s="15" t="str">
        <f t="shared" ca="1" si="52"/>
        <v/>
      </c>
      <c r="I611" s="16" t="str">
        <f t="shared" ca="1" si="53"/>
        <v/>
      </c>
    </row>
    <row r="612" spans="1:9" x14ac:dyDescent="0.3">
      <c r="A612" s="3"/>
      <c r="B612" s="9"/>
      <c r="C612" s="9"/>
      <c r="E612" s="14" t="str">
        <f t="shared" si="49"/>
        <v/>
      </c>
      <c r="F612" s="15" t="str">
        <f t="shared" ca="1" si="50"/>
        <v/>
      </c>
      <c r="G612" s="15" t="str">
        <f t="shared" ca="1" si="51"/>
        <v/>
      </c>
      <c r="H612" s="15" t="str">
        <f t="shared" ca="1" si="52"/>
        <v/>
      </c>
      <c r="I612" s="16" t="str">
        <f t="shared" ca="1" si="53"/>
        <v/>
      </c>
    </row>
    <row r="613" spans="1:9" x14ac:dyDescent="0.3">
      <c r="A613" s="3"/>
      <c r="B613" s="9"/>
      <c r="C613" s="9"/>
      <c r="E613" s="14" t="str">
        <f t="shared" si="49"/>
        <v/>
      </c>
      <c r="F613" s="15" t="str">
        <f t="shared" ca="1" si="50"/>
        <v/>
      </c>
      <c r="G613" s="15" t="str">
        <f t="shared" ca="1" si="51"/>
        <v/>
      </c>
      <c r="H613" s="15" t="str">
        <f t="shared" ca="1" si="52"/>
        <v/>
      </c>
      <c r="I613" s="16" t="str">
        <f t="shared" ca="1" si="53"/>
        <v/>
      </c>
    </row>
    <row r="614" spans="1:9" x14ac:dyDescent="0.3">
      <c r="A614" s="3"/>
      <c r="B614" s="9"/>
      <c r="C614" s="9"/>
      <c r="E614" s="14" t="str">
        <f t="shared" si="49"/>
        <v/>
      </c>
      <c r="F614" s="15" t="str">
        <f t="shared" ca="1" si="50"/>
        <v/>
      </c>
      <c r="G614" s="15" t="str">
        <f t="shared" ca="1" si="51"/>
        <v/>
      </c>
      <c r="H614" s="15" t="str">
        <f t="shared" ca="1" si="52"/>
        <v/>
      </c>
      <c r="I614" s="16" t="str">
        <f t="shared" ca="1" si="53"/>
        <v/>
      </c>
    </row>
    <row r="615" spans="1:9" x14ac:dyDescent="0.3">
      <c r="A615" s="3"/>
      <c r="B615" s="9"/>
      <c r="C615" s="9"/>
      <c r="E615" s="14" t="str">
        <f t="shared" si="49"/>
        <v/>
      </c>
      <c r="F615" s="15" t="str">
        <f t="shared" ca="1" si="50"/>
        <v/>
      </c>
      <c r="G615" s="15" t="str">
        <f t="shared" ca="1" si="51"/>
        <v/>
      </c>
      <c r="H615" s="15" t="str">
        <f t="shared" ca="1" si="52"/>
        <v/>
      </c>
      <c r="I615" s="16" t="str">
        <f t="shared" ca="1" si="53"/>
        <v/>
      </c>
    </row>
    <row r="616" spans="1:9" x14ac:dyDescent="0.3">
      <c r="A616" s="3"/>
      <c r="B616" s="9"/>
      <c r="C616" s="9"/>
      <c r="E616" s="14" t="str">
        <f t="shared" si="49"/>
        <v/>
      </c>
      <c r="F616" s="15" t="str">
        <f t="shared" ca="1" si="50"/>
        <v/>
      </c>
      <c r="G616" s="15" t="str">
        <f t="shared" ca="1" si="51"/>
        <v/>
      </c>
      <c r="H616" s="15" t="str">
        <f t="shared" ca="1" si="52"/>
        <v/>
      </c>
      <c r="I616" s="16" t="str">
        <f t="shared" ca="1" si="53"/>
        <v/>
      </c>
    </row>
    <row r="617" spans="1:9" x14ac:dyDescent="0.3">
      <c r="A617" s="3"/>
      <c r="B617" s="9"/>
      <c r="C617" s="9"/>
      <c r="E617" s="14" t="str">
        <f t="shared" si="49"/>
        <v/>
      </c>
      <c r="F617" s="15" t="str">
        <f t="shared" ca="1" si="50"/>
        <v/>
      </c>
      <c r="G617" s="15" t="str">
        <f t="shared" ca="1" si="51"/>
        <v/>
      </c>
      <c r="H617" s="15" t="str">
        <f t="shared" ca="1" si="52"/>
        <v/>
      </c>
      <c r="I617" s="16" t="str">
        <f t="shared" ca="1" si="53"/>
        <v/>
      </c>
    </row>
    <row r="618" spans="1:9" x14ac:dyDescent="0.3">
      <c r="A618" s="3"/>
      <c r="B618" s="9"/>
      <c r="C618" s="9"/>
      <c r="E618" s="14" t="str">
        <f t="shared" si="49"/>
        <v/>
      </c>
      <c r="F618" s="15" t="str">
        <f t="shared" ca="1" si="50"/>
        <v/>
      </c>
      <c r="G618" s="15" t="str">
        <f t="shared" ca="1" si="51"/>
        <v/>
      </c>
      <c r="H618" s="15" t="str">
        <f t="shared" ca="1" si="52"/>
        <v/>
      </c>
      <c r="I618" s="16" t="str">
        <f t="shared" ca="1" si="53"/>
        <v/>
      </c>
    </row>
    <row r="619" spans="1:9" x14ac:dyDescent="0.3">
      <c r="A619" s="3"/>
      <c r="B619" s="9"/>
      <c r="C619" s="9"/>
      <c r="E619" s="14" t="str">
        <f t="shared" si="49"/>
        <v/>
      </c>
      <c r="F619" s="15" t="str">
        <f t="shared" ca="1" si="50"/>
        <v/>
      </c>
      <c r="G619" s="15" t="str">
        <f t="shared" ca="1" si="51"/>
        <v/>
      </c>
      <c r="H619" s="15" t="str">
        <f t="shared" ca="1" si="52"/>
        <v/>
      </c>
      <c r="I619" s="16" t="str">
        <f t="shared" ca="1" si="53"/>
        <v/>
      </c>
    </row>
    <row r="620" spans="1:9" x14ac:dyDescent="0.3">
      <c r="A620" s="3"/>
      <c r="B620" s="9"/>
      <c r="C620" s="9"/>
      <c r="E620" s="14" t="str">
        <f t="shared" si="49"/>
        <v/>
      </c>
      <c r="F620" s="15" t="str">
        <f t="shared" ca="1" si="50"/>
        <v/>
      </c>
      <c r="G620" s="15" t="str">
        <f t="shared" ca="1" si="51"/>
        <v/>
      </c>
      <c r="H620" s="15" t="str">
        <f t="shared" ca="1" si="52"/>
        <v/>
      </c>
      <c r="I620" s="16" t="str">
        <f t="shared" ca="1" si="53"/>
        <v/>
      </c>
    </row>
    <row r="621" spans="1:9" x14ac:dyDescent="0.3">
      <c r="A621" s="3"/>
      <c r="B621" s="9"/>
      <c r="C621" s="9"/>
      <c r="E621" s="14" t="str">
        <f t="shared" si="49"/>
        <v/>
      </c>
      <c r="F621" s="15" t="str">
        <f t="shared" ca="1" si="50"/>
        <v/>
      </c>
      <c r="G621" s="15" t="str">
        <f t="shared" ca="1" si="51"/>
        <v/>
      </c>
      <c r="H621" s="15" t="str">
        <f t="shared" ca="1" si="52"/>
        <v/>
      </c>
      <c r="I621" s="16" t="str">
        <f t="shared" ca="1" si="53"/>
        <v/>
      </c>
    </row>
    <row r="622" spans="1:9" x14ac:dyDescent="0.3">
      <c r="A622" s="3"/>
      <c r="B622" s="9"/>
      <c r="C622" s="9"/>
      <c r="E622" s="14" t="str">
        <f t="shared" si="49"/>
        <v/>
      </c>
      <c r="F622" s="15" t="str">
        <f t="shared" ca="1" si="50"/>
        <v/>
      </c>
      <c r="G622" s="15" t="str">
        <f t="shared" ca="1" si="51"/>
        <v/>
      </c>
      <c r="H622" s="15" t="str">
        <f t="shared" ca="1" si="52"/>
        <v/>
      </c>
      <c r="I622" s="16" t="str">
        <f t="shared" ca="1" si="53"/>
        <v/>
      </c>
    </row>
    <row r="623" spans="1:9" x14ac:dyDescent="0.3">
      <c r="A623" s="3"/>
      <c r="B623" s="9"/>
      <c r="C623" s="9"/>
      <c r="E623" s="14" t="str">
        <f t="shared" si="49"/>
        <v/>
      </c>
      <c r="F623" s="15" t="str">
        <f t="shared" ca="1" si="50"/>
        <v/>
      </c>
      <c r="G623" s="15" t="str">
        <f t="shared" ca="1" si="51"/>
        <v/>
      </c>
      <c r="H623" s="15" t="str">
        <f t="shared" ca="1" si="52"/>
        <v/>
      </c>
      <c r="I623" s="16" t="str">
        <f t="shared" ca="1" si="53"/>
        <v/>
      </c>
    </row>
    <row r="624" spans="1:9" x14ac:dyDescent="0.3">
      <c r="A624" s="3"/>
      <c r="B624" s="9"/>
      <c r="C624" s="9"/>
      <c r="E624" s="14" t="str">
        <f t="shared" si="49"/>
        <v/>
      </c>
      <c r="F624" s="15" t="str">
        <f t="shared" ca="1" si="50"/>
        <v/>
      </c>
      <c r="G624" s="15" t="str">
        <f t="shared" ca="1" si="51"/>
        <v/>
      </c>
      <c r="H624" s="15" t="str">
        <f t="shared" ca="1" si="52"/>
        <v/>
      </c>
      <c r="I624" s="16" t="str">
        <f t="shared" ca="1" si="53"/>
        <v/>
      </c>
    </row>
    <row r="625" spans="1:9" x14ac:dyDescent="0.3">
      <c r="A625" s="3"/>
      <c r="B625" s="9"/>
      <c r="C625" s="9"/>
      <c r="E625" s="14" t="str">
        <f t="shared" si="49"/>
        <v/>
      </c>
      <c r="F625" s="15" t="str">
        <f t="shared" ca="1" si="50"/>
        <v/>
      </c>
      <c r="G625" s="15" t="str">
        <f t="shared" ca="1" si="51"/>
        <v/>
      </c>
      <c r="H625" s="15" t="str">
        <f t="shared" ca="1" si="52"/>
        <v/>
      </c>
      <c r="I625" s="16" t="str">
        <f t="shared" ca="1" si="53"/>
        <v/>
      </c>
    </row>
    <row r="626" spans="1:9" x14ac:dyDescent="0.3">
      <c r="A626" s="3"/>
      <c r="B626" s="9"/>
      <c r="C626" s="9"/>
      <c r="E626" s="14" t="str">
        <f t="shared" si="49"/>
        <v/>
      </c>
      <c r="F626" s="15" t="str">
        <f t="shared" ca="1" si="50"/>
        <v/>
      </c>
      <c r="G626" s="15" t="str">
        <f t="shared" ca="1" si="51"/>
        <v/>
      </c>
      <c r="H626" s="15" t="str">
        <f t="shared" ca="1" si="52"/>
        <v/>
      </c>
      <c r="I626" s="16" t="str">
        <f t="shared" ca="1" si="53"/>
        <v/>
      </c>
    </row>
    <row r="627" spans="1:9" x14ac:dyDescent="0.3">
      <c r="A627" s="3"/>
      <c r="B627" s="9"/>
      <c r="C627" s="9"/>
      <c r="E627" s="14" t="str">
        <f t="shared" si="49"/>
        <v/>
      </c>
      <c r="F627" s="15" t="str">
        <f t="shared" ca="1" si="50"/>
        <v/>
      </c>
      <c r="G627" s="15" t="str">
        <f t="shared" ca="1" si="51"/>
        <v/>
      </c>
      <c r="H627" s="15" t="str">
        <f t="shared" ca="1" si="52"/>
        <v/>
      </c>
      <c r="I627" s="16" t="str">
        <f t="shared" ca="1" si="53"/>
        <v/>
      </c>
    </row>
    <row r="628" spans="1:9" x14ac:dyDescent="0.3">
      <c r="A628" s="3"/>
      <c r="B628" s="9"/>
      <c r="C628" s="9"/>
      <c r="E628" s="14" t="str">
        <f t="shared" si="49"/>
        <v/>
      </c>
      <c r="F628" s="15" t="str">
        <f t="shared" ca="1" si="50"/>
        <v/>
      </c>
      <c r="G628" s="15" t="str">
        <f t="shared" ca="1" si="51"/>
        <v/>
      </c>
      <c r="H628" s="15" t="str">
        <f t="shared" ca="1" si="52"/>
        <v/>
      </c>
      <c r="I628" s="16" t="str">
        <f t="shared" ca="1" si="53"/>
        <v/>
      </c>
    </row>
    <row r="629" spans="1:9" x14ac:dyDescent="0.3">
      <c r="A629" s="3"/>
      <c r="B629" s="9"/>
      <c r="C629" s="9"/>
      <c r="E629" s="14" t="str">
        <f t="shared" si="49"/>
        <v/>
      </c>
      <c r="F629" s="15" t="str">
        <f t="shared" ca="1" si="50"/>
        <v/>
      </c>
      <c r="G629" s="15" t="str">
        <f t="shared" ca="1" si="51"/>
        <v/>
      </c>
      <c r="H629" s="15" t="str">
        <f t="shared" ca="1" si="52"/>
        <v/>
      </c>
      <c r="I629" s="16" t="str">
        <f t="shared" ca="1" si="53"/>
        <v/>
      </c>
    </row>
    <row r="630" spans="1:9" x14ac:dyDescent="0.3">
      <c r="A630" s="3"/>
      <c r="B630" s="9"/>
      <c r="C630" s="9"/>
      <c r="E630" s="14" t="str">
        <f t="shared" si="49"/>
        <v/>
      </c>
      <c r="F630" s="15" t="str">
        <f t="shared" ca="1" si="50"/>
        <v/>
      </c>
      <c r="G630" s="15" t="str">
        <f t="shared" ca="1" si="51"/>
        <v/>
      </c>
      <c r="H630" s="15" t="str">
        <f t="shared" ca="1" si="52"/>
        <v/>
      </c>
      <c r="I630" s="16" t="str">
        <f t="shared" ca="1" si="53"/>
        <v/>
      </c>
    </row>
    <row r="631" spans="1:9" x14ac:dyDescent="0.3">
      <c r="A631" s="3"/>
      <c r="B631" s="9"/>
      <c r="C631" s="9"/>
      <c r="E631" s="14" t="str">
        <f t="shared" si="49"/>
        <v/>
      </c>
      <c r="F631" s="15" t="str">
        <f t="shared" ca="1" si="50"/>
        <v/>
      </c>
      <c r="G631" s="15" t="str">
        <f t="shared" ca="1" si="51"/>
        <v/>
      </c>
      <c r="H631" s="15" t="str">
        <f t="shared" ca="1" si="52"/>
        <v/>
      </c>
      <c r="I631" s="16" t="str">
        <f t="shared" ca="1" si="53"/>
        <v/>
      </c>
    </row>
    <row r="632" spans="1:9" x14ac:dyDescent="0.3">
      <c r="A632" s="3"/>
      <c r="B632" s="9"/>
      <c r="C632" s="9"/>
      <c r="E632" s="14" t="str">
        <f t="shared" si="49"/>
        <v/>
      </c>
      <c r="F632" s="15" t="str">
        <f t="shared" ca="1" si="50"/>
        <v/>
      </c>
      <c r="G632" s="15" t="str">
        <f t="shared" ca="1" si="51"/>
        <v/>
      </c>
      <c r="H632" s="15" t="str">
        <f t="shared" ca="1" si="52"/>
        <v/>
      </c>
      <c r="I632" s="16" t="str">
        <f t="shared" ca="1" si="53"/>
        <v/>
      </c>
    </row>
    <row r="633" spans="1:9" x14ac:dyDescent="0.3">
      <c r="A633" s="3"/>
      <c r="B633" s="9"/>
      <c r="C633" s="9"/>
      <c r="E633" s="14" t="str">
        <f t="shared" si="49"/>
        <v/>
      </c>
      <c r="F633" s="15" t="str">
        <f t="shared" ca="1" si="50"/>
        <v/>
      </c>
      <c r="G633" s="15" t="str">
        <f t="shared" ca="1" si="51"/>
        <v/>
      </c>
      <c r="H633" s="15" t="str">
        <f t="shared" ca="1" si="52"/>
        <v/>
      </c>
      <c r="I633" s="16" t="str">
        <f t="shared" ca="1" si="53"/>
        <v/>
      </c>
    </row>
    <row r="634" spans="1:9" x14ac:dyDescent="0.3">
      <c r="A634" s="3"/>
      <c r="B634" s="9"/>
      <c r="C634" s="9"/>
      <c r="E634" s="14" t="str">
        <f t="shared" si="49"/>
        <v/>
      </c>
      <c r="F634" s="15" t="str">
        <f t="shared" ca="1" si="50"/>
        <v/>
      </c>
      <c r="G634" s="15" t="str">
        <f t="shared" ca="1" si="51"/>
        <v/>
      </c>
      <c r="H634" s="15" t="str">
        <f t="shared" ca="1" si="52"/>
        <v/>
      </c>
      <c r="I634" s="16" t="str">
        <f t="shared" ca="1" si="53"/>
        <v/>
      </c>
    </row>
    <row r="635" spans="1:9" x14ac:dyDescent="0.3">
      <c r="A635" s="3"/>
      <c r="B635" s="9"/>
      <c r="C635" s="9"/>
      <c r="E635" s="14" t="str">
        <f t="shared" si="49"/>
        <v/>
      </c>
      <c r="F635" s="15" t="str">
        <f t="shared" ca="1" si="50"/>
        <v/>
      </c>
      <c r="G635" s="15" t="str">
        <f t="shared" ca="1" si="51"/>
        <v/>
      </c>
      <c r="H635" s="15" t="str">
        <f t="shared" ca="1" si="52"/>
        <v/>
      </c>
      <c r="I635" s="16" t="str">
        <f t="shared" ca="1" si="53"/>
        <v/>
      </c>
    </row>
    <row r="636" spans="1:9" x14ac:dyDescent="0.3">
      <c r="A636" s="3"/>
      <c r="B636" s="9"/>
      <c r="C636" s="9"/>
      <c r="E636" s="14" t="str">
        <f t="shared" si="49"/>
        <v/>
      </c>
      <c r="F636" s="15" t="str">
        <f t="shared" ca="1" si="50"/>
        <v/>
      </c>
      <c r="G636" s="15" t="str">
        <f t="shared" ca="1" si="51"/>
        <v/>
      </c>
      <c r="H636" s="15" t="str">
        <f t="shared" ca="1" si="52"/>
        <v/>
      </c>
      <c r="I636" s="16" t="str">
        <f t="shared" ca="1" si="53"/>
        <v/>
      </c>
    </row>
    <row r="637" spans="1:9" x14ac:dyDescent="0.3">
      <c r="A637" s="3"/>
      <c r="B637" s="9"/>
      <c r="C637" s="9"/>
      <c r="E637" s="14" t="str">
        <f t="shared" si="49"/>
        <v/>
      </c>
      <c r="F637" s="15" t="str">
        <f t="shared" ca="1" si="50"/>
        <v/>
      </c>
      <c r="G637" s="15" t="str">
        <f t="shared" ca="1" si="51"/>
        <v/>
      </c>
      <c r="H637" s="15" t="str">
        <f t="shared" ca="1" si="52"/>
        <v/>
      </c>
      <c r="I637" s="16" t="str">
        <f t="shared" ca="1" si="53"/>
        <v/>
      </c>
    </row>
    <row r="638" spans="1:9" x14ac:dyDescent="0.3">
      <c r="A638" s="3"/>
      <c r="B638" s="9"/>
      <c r="C638" s="9"/>
      <c r="E638" s="14" t="str">
        <f t="shared" si="49"/>
        <v/>
      </c>
      <c r="F638" s="15" t="str">
        <f t="shared" ca="1" si="50"/>
        <v/>
      </c>
      <c r="G638" s="15" t="str">
        <f t="shared" ca="1" si="51"/>
        <v/>
      </c>
      <c r="H638" s="15" t="str">
        <f t="shared" ca="1" si="52"/>
        <v/>
      </c>
      <c r="I638" s="16" t="str">
        <f t="shared" ca="1" si="53"/>
        <v/>
      </c>
    </row>
    <row r="639" spans="1:9" x14ac:dyDescent="0.3">
      <c r="A639" s="3"/>
      <c r="B639" s="9"/>
      <c r="C639" s="9"/>
      <c r="E639" s="14" t="str">
        <f t="shared" si="49"/>
        <v/>
      </c>
      <c r="F639" s="15" t="str">
        <f t="shared" ca="1" si="50"/>
        <v/>
      </c>
      <c r="G639" s="15" t="str">
        <f t="shared" ca="1" si="51"/>
        <v/>
      </c>
      <c r="H639" s="15" t="str">
        <f t="shared" ca="1" si="52"/>
        <v/>
      </c>
      <c r="I639" s="16" t="str">
        <f t="shared" ca="1" si="53"/>
        <v/>
      </c>
    </row>
    <row r="640" spans="1:9" x14ac:dyDescent="0.3">
      <c r="A640" s="3"/>
      <c r="B640" s="9"/>
      <c r="C640" s="9"/>
      <c r="E640" s="14" t="str">
        <f t="shared" si="49"/>
        <v/>
      </c>
      <c r="F640" s="15" t="str">
        <f t="shared" ca="1" si="50"/>
        <v/>
      </c>
      <c r="G640" s="15" t="str">
        <f t="shared" ca="1" si="51"/>
        <v/>
      </c>
      <c r="H640" s="15" t="str">
        <f t="shared" ca="1" si="52"/>
        <v/>
      </c>
      <c r="I640" s="16" t="str">
        <f t="shared" ca="1" si="53"/>
        <v/>
      </c>
    </row>
    <row r="641" spans="1:9" x14ac:dyDescent="0.3">
      <c r="A641" s="3"/>
      <c r="B641" s="9"/>
      <c r="C641" s="9"/>
      <c r="E641" s="14" t="str">
        <f t="shared" si="49"/>
        <v/>
      </c>
      <c r="F641" s="15" t="str">
        <f t="shared" ca="1" si="50"/>
        <v/>
      </c>
      <c r="G641" s="15" t="str">
        <f t="shared" ca="1" si="51"/>
        <v/>
      </c>
      <c r="H641" s="15" t="str">
        <f t="shared" ca="1" si="52"/>
        <v/>
      </c>
      <c r="I641" s="16" t="str">
        <f t="shared" ca="1" si="53"/>
        <v/>
      </c>
    </row>
    <row r="642" spans="1:9" x14ac:dyDescent="0.3">
      <c r="A642" s="3"/>
      <c r="B642" s="9"/>
      <c r="C642" s="9"/>
      <c r="E642" s="14" t="str">
        <f t="shared" si="49"/>
        <v/>
      </c>
      <c r="F642" s="15" t="str">
        <f t="shared" ca="1" si="50"/>
        <v/>
      </c>
      <c r="G642" s="15" t="str">
        <f t="shared" ca="1" si="51"/>
        <v/>
      </c>
      <c r="H642" s="15" t="str">
        <f t="shared" ca="1" si="52"/>
        <v/>
      </c>
      <c r="I642" s="16" t="str">
        <f t="shared" ca="1" si="53"/>
        <v/>
      </c>
    </row>
    <row r="643" spans="1:9" x14ac:dyDescent="0.3">
      <c r="A643" s="3"/>
      <c r="B643" s="9"/>
      <c r="C643" s="9"/>
      <c r="E643" s="14" t="str">
        <f t="shared" ref="E643:E706" si="54">IF(ISNUMBER(B643),B643/C643,"")</f>
        <v/>
      </c>
      <c r="F643" s="15" t="str">
        <f t="shared" ca="1" si="50"/>
        <v/>
      </c>
      <c r="G643" s="15" t="str">
        <f t="shared" ca="1" si="51"/>
        <v/>
      </c>
      <c r="H643" s="15" t="str">
        <f t="shared" ca="1" si="52"/>
        <v/>
      </c>
      <c r="I643" s="16" t="str">
        <f t="shared" ca="1" si="53"/>
        <v/>
      </c>
    </row>
    <row r="644" spans="1:9" x14ac:dyDescent="0.3">
      <c r="A644" s="3"/>
      <c r="B644" s="9"/>
      <c r="C644" s="9"/>
      <c r="E644" s="14" t="str">
        <f t="shared" si="54"/>
        <v/>
      </c>
      <c r="F644" s="15" t="str">
        <f t="shared" ca="1" si="50"/>
        <v/>
      </c>
      <c r="G644" s="15" t="str">
        <f t="shared" ca="1" si="51"/>
        <v/>
      </c>
      <c r="H644" s="15" t="str">
        <f t="shared" ca="1" si="52"/>
        <v/>
      </c>
      <c r="I644" s="16" t="str">
        <f t="shared" ca="1" si="53"/>
        <v/>
      </c>
    </row>
    <row r="645" spans="1:9" x14ac:dyDescent="0.3">
      <c r="A645" s="3"/>
      <c r="B645" s="9"/>
      <c r="C645" s="9"/>
      <c r="E645" s="14" t="str">
        <f t="shared" si="54"/>
        <v/>
      </c>
      <c r="F645" s="15" t="str">
        <f t="shared" ca="1" si="50"/>
        <v/>
      </c>
      <c r="G645" s="15" t="str">
        <f t="shared" ca="1" si="51"/>
        <v/>
      </c>
      <c r="H645" s="15" t="str">
        <f t="shared" ca="1" si="52"/>
        <v/>
      </c>
      <c r="I645" s="16" t="str">
        <f t="shared" ca="1" si="53"/>
        <v/>
      </c>
    </row>
    <row r="646" spans="1:9" x14ac:dyDescent="0.3">
      <c r="A646" s="3"/>
      <c r="B646" s="9"/>
      <c r="C646" s="9"/>
      <c r="E646" s="14" t="str">
        <f t="shared" si="54"/>
        <v/>
      </c>
      <c r="F646" s="15" t="str">
        <f t="shared" ca="1" si="50"/>
        <v/>
      </c>
      <c r="G646" s="15" t="str">
        <f t="shared" ca="1" si="51"/>
        <v/>
      </c>
      <c r="H646" s="15" t="str">
        <f t="shared" ca="1" si="52"/>
        <v/>
      </c>
      <c r="I646" s="16" t="str">
        <f t="shared" ca="1" si="53"/>
        <v/>
      </c>
    </row>
    <row r="647" spans="1:9" x14ac:dyDescent="0.3">
      <c r="A647" s="3"/>
      <c r="B647" s="9"/>
      <c r="C647" s="9"/>
      <c r="E647" s="14" t="str">
        <f t="shared" si="54"/>
        <v/>
      </c>
      <c r="F647" s="15" t="str">
        <f t="shared" ca="1" si="50"/>
        <v/>
      </c>
      <c r="G647" s="15" t="str">
        <f t="shared" ca="1" si="51"/>
        <v/>
      </c>
      <c r="H647" s="15" t="str">
        <f t="shared" ca="1" si="52"/>
        <v/>
      </c>
      <c r="I647" s="16" t="str">
        <f t="shared" ca="1" si="53"/>
        <v/>
      </c>
    </row>
    <row r="648" spans="1:9" x14ac:dyDescent="0.3">
      <c r="A648" s="3"/>
      <c r="B648" s="9"/>
      <c r="C648" s="9"/>
      <c r="E648" s="14" t="str">
        <f t="shared" si="54"/>
        <v/>
      </c>
      <c r="F648" s="15" t="str">
        <f t="shared" ca="1" si="50"/>
        <v/>
      </c>
      <c r="G648" s="15" t="str">
        <f t="shared" ca="1" si="51"/>
        <v/>
      </c>
      <c r="H648" s="15" t="str">
        <f t="shared" ca="1" si="52"/>
        <v/>
      </c>
      <c r="I648" s="16" t="str">
        <f t="shared" ca="1" si="53"/>
        <v/>
      </c>
    </row>
    <row r="649" spans="1:9" x14ac:dyDescent="0.3">
      <c r="A649" s="3"/>
      <c r="B649" s="9"/>
      <c r="C649" s="9"/>
      <c r="E649" s="14" t="str">
        <f t="shared" si="54"/>
        <v/>
      </c>
      <c r="F649" s="15" t="str">
        <f t="shared" ca="1" si="50"/>
        <v/>
      </c>
      <c r="G649" s="15" t="str">
        <f t="shared" ca="1" si="51"/>
        <v/>
      </c>
      <c r="H649" s="15" t="str">
        <f t="shared" ca="1" si="52"/>
        <v/>
      </c>
      <c r="I649" s="16" t="str">
        <f t="shared" ca="1" si="53"/>
        <v/>
      </c>
    </row>
    <row r="650" spans="1:9" x14ac:dyDescent="0.3">
      <c r="A650" s="3"/>
      <c r="B650" s="9"/>
      <c r="C650" s="9"/>
      <c r="E650" s="14" t="str">
        <f t="shared" si="54"/>
        <v/>
      </c>
      <c r="F650" s="15" t="str">
        <f t="shared" ca="1" si="50"/>
        <v/>
      </c>
      <c r="G650" s="15" t="str">
        <f t="shared" ca="1" si="51"/>
        <v/>
      </c>
      <c r="H650" s="15" t="str">
        <f t="shared" ca="1" si="52"/>
        <v/>
      </c>
      <c r="I650" s="16" t="str">
        <f t="shared" ca="1" si="53"/>
        <v/>
      </c>
    </row>
    <row r="651" spans="1:9" x14ac:dyDescent="0.3">
      <c r="A651" s="3"/>
      <c r="B651" s="9"/>
      <c r="C651" s="9"/>
      <c r="E651" s="14" t="str">
        <f t="shared" si="54"/>
        <v/>
      </c>
      <c r="F651" s="15" t="str">
        <f t="shared" ca="1" si="50"/>
        <v/>
      </c>
      <c r="G651" s="15" t="str">
        <f t="shared" ca="1" si="51"/>
        <v/>
      </c>
      <c r="H651" s="15" t="str">
        <f t="shared" ca="1" si="52"/>
        <v/>
      </c>
      <c r="I651" s="16" t="str">
        <f t="shared" ca="1" si="53"/>
        <v/>
      </c>
    </row>
    <row r="652" spans="1:9" x14ac:dyDescent="0.3">
      <c r="A652" s="3"/>
      <c r="B652" s="9"/>
      <c r="C652" s="9"/>
      <c r="E652" s="14" t="str">
        <f t="shared" si="54"/>
        <v/>
      </c>
      <c r="F652" s="15" t="str">
        <f t="shared" ca="1" si="50"/>
        <v/>
      </c>
      <c r="G652" s="15" t="str">
        <f t="shared" ca="1" si="51"/>
        <v/>
      </c>
      <c r="H652" s="15" t="str">
        <f t="shared" ca="1" si="52"/>
        <v/>
      </c>
      <c r="I652" s="16" t="str">
        <f t="shared" ca="1" si="53"/>
        <v/>
      </c>
    </row>
    <row r="653" spans="1:9" x14ac:dyDescent="0.3">
      <c r="A653" s="3"/>
      <c r="B653" s="9"/>
      <c r="C653" s="9"/>
      <c r="E653" s="14" t="str">
        <f t="shared" si="54"/>
        <v/>
      </c>
      <c r="F653" s="15" t="str">
        <f t="shared" ca="1" si="50"/>
        <v/>
      </c>
      <c r="G653" s="15" t="str">
        <f t="shared" ca="1" si="51"/>
        <v/>
      </c>
      <c r="H653" s="15" t="str">
        <f t="shared" ca="1" si="52"/>
        <v/>
      </c>
      <c r="I653" s="16" t="str">
        <f t="shared" ca="1" si="53"/>
        <v/>
      </c>
    </row>
    <row r="654" spans="1:9" x14ac:dyDescent="0.3">
      <c r="A654" s="3"/>
      <c r="B654" s="9"/>
      <c r="C654" s="9"/>
      <c r="E654" s="14" t="str">
        <f t="shared" si="54"/>
        <v/>
      </c>
      <c r="F654" s="15" t="str">
        <f t="shared" ca="1" si="50"/>
        <v/>
      </c>
      <c r="G654" s="15" t="str">
        <f t="shared" ca="1" si="51"/>
        <v/>
      </c>
      <c r="H654" s="15" t="str">
        <f t="shared" ca="1" si="52"/>
        <v/>
      </c>
      <c r="I654" s="16" t="str">
        <f t="shared" ca="1" si="53"/>
        <v/>
      </c>
    </row>
    <row r="655" spans="1:9" x14ac:dyDescent="0.3">
      <c r="A655" s="3"/>
      <c r="B655" s="9"/>
      <c r="C655" s="9"/>
      <c r="E655" s="14" t="str">
        <f t="shared" si="54"/>
        <v/>
      </c>
      <c r="F655" s="15" t="str">
        <f t="shared" ca="1" si="50"/>
        <v/>
      </c>
      <c r="G655" s="15" t="str">
        <f t="shared" ca="1" si="51"/>
        <v/>
      </c>
      <c r="H655" s="15" t="str">
        <f t="shared" ca="1" si="52"/>
        <v/>
      </c>
      <c r="I655" s="16" t="str">
        <f t="shared" ca="1" si="53"/>
        <v/>
      </c>
    </row>
    <row r="656" spans="1:9" x14ac:dyDescent="0.3">
      <c r="A656" s="3"/>
      <c r="B656" s="9"/>
      <c r="C656" s="9"/>
      <c r="E656" s="14" t="str">
        <f t="shared" si="54"/>
        <v/>
      </c>
      <c r="F656" s="15" t="str">
        <f t="shared" ca="1" si="50"/>
        <v/>
      </c>
      <c r="G656" s="15" t="str">
        <f t="shared" ca="1" si="51"/>
        <v/>
      </c>
      <c r="H656" s="15" t="str">
        <f t="shared" ca="1" si="52"/>
        <v/>
      </c>
      <c r="I656" s="16" t="str">
        <f t="shared" ca="1" si="53"/>
        <v/>
      </c>
    </row>
    <row r="657" spans="1:9" x14ac:dyDescent="0.3">
      <c r="A657" s="3"/>
      <c r="B657" s="9"/>
      <c r="C657" s="9"/>
      <c r="E657" s="14" t="str">
        <f t="shared" si="54"/>
        <v/>
      </c>
      <c r="F657" s="15" t="str">
        <f t="shared" ref="F657:F720" ca="1" si="55">IF(ISNUMBER(E657),IF(ROW(E657)&gt;$K$1,AVERAGE(OFFSET(E657,0,0,-$K$1)),""),"")</f>
        <v/>
      </c>
      <c r="G657" s="15" t="str">
        <f t="shared" ref="G657:G720" ca="1" si="56">IF(ISNUMBER(I657),F657+I657*$M$1,"")</f>
        <v/>
      </c>
      <c r="H657" s="15" t="str">
        <f t="shared" ref="H657:H720" ca="1" si="57">IF(ISNUMBER(I657),F657-I657*$M$1,"")</f>
        <v/>
      </c>
      <c r="I657" s="16" t="str">
        <f t="shared" ref="I657:I720" ca="1" si="58">IF(ISNUMBER(E657),IF(ROW(E657)&gt;$K$1,_xlfn.STDEV.P(OFFSET(E657,0,0,-$K$1)),""),"")</f>
        <v/>
      </c>
    </row>
    <row r="658" spans="1:9" x14ac:dyDescent="0.3">
      <c r="A658" s="3"/>
      <c r="B658" s="9"/>
      <c r="C658" s="9"/>
      <c r="E658" s="14" t="str">
        <f t="shared" si="54"/>
        <v/>
      </c>
      <c r="F658" s="15" t="str">
        <f t="shared" ca="1" si="55"/>
        <v/>
      </c>
      <c r="G658" s="15" t="str">
        <f t="shared" ca="1" si="56"/>
        <v/>
      </c>
      <c r="H658" s="15" t="str">
        <f t="shared" ca="1" si="57"/>
        <v/>
      </c>
      <c r="I658" s="16" t="str">
        <f t="shared" ca="1" si="58"/>
        <v/>
      </c>
    </row>
    <row r="659" spans="1:9" x14ac:dyDescent="0.3">
      <c r="A659" s="3"/>
      <c r="B659" s="9"/>
      <c r="C659" s="9"/>
      <c r="E659" s="14" t="str">
        <f t="shared" si="54"/>
        <v/>
      </c>
      <c r="F659" s="15" t="str">
        <f t="shared" ca="1" si="55"/>
        <v/>
      </c>
      <c r="G659" s="15" t="str">
        <f t="shared" ca="1" si="56"/>
        <v/>
      </c>
      <c r="H659" s="15" t="str">
        <f t="shared" ca="1" si="57"/>
        <v/>
      </c>
      <c r="I659" s="16" t="str">
        <f t="shared" ca="1" si="58"/>
        <v/>
      </c>
    </row>
    <row r="660" spans="1:9" x14ac:dyDescent="0.3">
      <c r="A660" s="3"/>
      <c r="B660" s="9"/>
      <c r="C660" s="9"/>
      <c r="E660" s="14" t="str">
        <f t="shared" si="54"/>
        <v/>
      </c>
      <c r="F660" s="15" t="str">
        <f t="shared" ca="1" si="55"/>
        <v/>
      </c>
      <c r="G660" s="15" t="str">
        <f t="shared" ca="1" si="56"/>
        <v/>
      </c>
      <c r="H660" s="15" t="str">
        <f t="shared" ca="1" si="57"/>
        <v/>
      </c>
      <c r="I660" s="16" t="str">
        <f t="shared" ca="1" si="58"/>
        <v/>
      </c>
    </row>
    <row r="661" spans="1:9" x14ac:dyDescent="0.3">
      <c r="A661" s="3"/>
      <c r="B661" s="9"/>
      <c r="C661" s="9"/>
      <c r="E661" s="14" t="str">
        <f t="shared" si="54"/>
        <v/>
      </c>
      <c r="F661" s="15" t="str">
        <f t="shared" ca="1" si="55"/>
        <v/>
      </c>
      <c r="G661" s="15" t="str">
        <f t="shared" ca="1" si="56"/>
        <v/>
      </c>
      <c r="H661" s="15" t="str">
        <f t="shared" ca="1" si="57"/>
        <v/>
      </c>
      <c r="I661" s="16" t="str">
        <f t="shared" ca="1" si="58"/>
        <v/>
      </c>
    </row>
    <row r="662" spans="1:9" x14ac:dyDescent="0.3">
      <c r="A662" s="3"/>
      <c r="B662" s="9"/>
      <c r="C662" s="9"/>
      <c r="E662" s="14" t="str">
        <f t="shared" si="54"/>
        <v/>
      </c>
      <c r="F662" s="15" t="str">
        <f t="shared" ca="1" si="55"/>
        <v/>
      </c>
      <c r="G662" s="15" t="str">
        <f t="shared" ca="1" si="56"/>
        <v/>
      </c>
      <c r="H662" s="15" t="str">
        <f t="shared" ca="1" si="57"/>
        <v/>
      </c>
      <c r="I662" s="16" t="str">
        <f t="shared" ca="1" si="58"/>
        <v/>
      </c>
    </row>
    <row r="663" spans="1:9" x14ac:dyDescent="0.3">
      <c r="A663" s="3"/>
      <c r="B663" s="9"/>
      <c r="C663" s="9"/>
      <c r="E663" s="14" t="str">
        <f t="shared" si="54"/>
        <v/>
      </c>
      <c r="F663" s="15" t="str">
        <f t="shared" ca="1" si="55"/>
        <v/>
      </c>
      <c r="G663" s="15" t="str">
        <f t="shared" ca="1" si="56"/>
        <v/>
      </c>
      <c r="H663" s="15" t="str">
        <f t="shared" ca="1" si="57"/>
        <v/>
      </c>
      <c r="I663" s="16" t="str">
        <f t="shared" ca="1" si="58"/>
        <v/>
      </c>
    </row>
    <row r="664" spans="1:9" x14ac:dyDescent="0.3">
      <c r="A664" s="3"/>
      <c r="B664" s="9"/>
      <c r="C664" s="9"/>
      <c r="E664" s="14" t="str">
        <f t="shared" si="54"/>
        <v/>
      </c>
      <c r="F664" s="15" t="str">
        <f t="shared" ca="1" si="55"/>
        <v/>
      </c>
      <c r="G664" s="15" t="str">
        <f t="shared" ca="1" si="56"/>
        <v/>
      </c>
      <c r="H664" s="15" t="str">
        <f t="shared" ca="1" si="57"/>
        <v/>
      </c>
      <c r="I664" s="16" t="str">
        <f t="shared" ca="1" si="58"/>
        <v/>
      </c>
    </row>
    <row r="665" spans="1:9" x14ac:dyDescent="0.3">
      <c r="A665" s="3"/>
      <c r="B665" s="9"/>
      <c r="C665" s="9"/>
      <c r="E665" s="14" t="str">
        <f t="shared" si="54"/>
        <v/>
      </c>
      <c r="F665" s="15" t="str">
        <f t="shared" ca="1" si="55"/>
        <v/>
      </c>
      <c r="G665" s="15" t="str">
        <f t="shared" ca="1" si="56"/>
        <v/>
      </c>
      <c r="H665" s="15" t="str">
        <f t="shared" ca="1" si="57"/>
        <v/>
      </c>
      <c r="I665" s="16" t="str">
        <f t="shared" ca="1" si="58"/>
        <v/>
      </c>
    </row>
    <row r="666" spans="1:9" x14ac:dyDescent="0.3">
      <c r="A666" s="3"/>
      <c r="B666" s="9"/>
      <c r="C666" s="9"/>
      <c r="E666" s="14" t="str">
        <f t="shared" si="54"/>
        <v/>
      </c>
      <c r="F666" s="15" t="str">
        <f t="shared" ca="1" si="55"/>
        <v/>
      </c>
      <c r="G666" s="15" t="str">
        <f t="shared" ca="1" si="56"/>
        <v/>
      </c>
      <c r="H666" s="15" t="str">
        <f t="shared" ca="1" si="57"/>
        <v/>
      </c>
      <c r="I666" s="16" t="str">
        <f t="shared" ca="1" si="58"/>
        <v/>
      </c>
    </row>
    <row r="667" spans="1:9" x14ac:dyDescent="0.3">
      <c r="A667" s="3"/>
      <c r="B667" s="9"/>
      <c r="C667" s="9"/>
      <c r="E667" s="14" t="str">
        <f t="shared" si="54"/>
        <v/>
      </c>
      <c r="F667" s="15" t="str">
        <f t="shared" ca="1" si="55"/>
        <v/>
      </c>
      <c r="G667" s="15" t="str">
        <f t="shared" ca="1" si="56"/>
        <v/>
      </c>
      <c r="H667" s="15" t="str">
        <f t="shared" ca="1" si="57"/>
        <v/>
      </c>
      <c r="I667" s="16" t="str">
        <f t="shared" ca="1" si="58"/>
        <v/>
      </c>
    </row>
    <row r="668" spans="1:9" x14ac:dyDescent="0.3">
      <c r="A668" s="3"/>
      <c r="B668" s="9"/>
      <c r="C668" s="9"/>
      <c r="E668" s="14" t="str">
        <f t="shared" si="54"/>
        <v/>
      </c>
      <c r="F668" s="15" t="str">
        <f t="shared" ca="1" si="55"/>
        <v/>
      </c>
      <c r="G668" s="15" t="str">
        <f t="shared" ca="1" si="56"/>
        <v/>
      </c>
      <c r="H668" s="15" t="str">
        <f t="shared" ca="1" si="57"/>
        <v/>
      </c>
      <c r="I668" s="16" t="str">
        <f t="shared" ca="1" si="58"/>
        <v/>
      </c>
    </row>
    <row r="669" spans="1:9" x14ac:dyDescent="0.3">
      <c r="A669" s="3"/>
      <c r="B669" s="9"/>
      <c r="C669" s="9"/>
      <c r="E669" s="14" t="str">
        <f t="shared" si="54"/>
        <v/>
      </c>
      <c r="F669" s="15" t="str">
        <f t="shared" ca="1" si="55"/>
        <v/>
      </c>
      <c r="G669" s="15" t="str">
        <f t="shared" ca="1" si="56"/>
        <v/>
      </c>
      <c r="H669" s="15" t="str">
        <f t="shared" ca="1" si="57"/>
        <v/>
      </c>
      <c r="I669" s="16" t="str">
        <f t="shared" ca="1" si="58"/>
        <v/>
      </c>
    </row>
    <row r="670" spans="1:9" x14ac:dyDescent="0.3">
      <c r="A670" s="3"/>
      <c r="B670" s="9"/>
      <c r="C670" s="9"/>
      <c r="E670" s="14" t="str">
        <f t="shared" si="54"/>
        <v/>
      </c>
      <c r="F670" s="15" t="str">
        <f t="shared" ca="1" si="55"/>
        <v/>
      </c>
      <c r="G670" s="15" t="str">
        <f t="shared" ca="1" si="56"/>
        <v/>
      </c>
      <c r="H670" s="15" t="str">
        <f t="shared" ca="1" si="57"/>
        <v/>
      </c>
      <c r="I670" s="16" t="str">
        <f t="shared" ca="1" si="58"/>
        <v/>
      </c>
    </row>
    <row r="671" spans="1:9" x14ac:dyDescent="0.3">
      <c r="A671" s="3"/>
      <c r="B671" s="9"/>
      <c r="C671" s="9"/>
      <c r="E671" s="14" t="str">
        <f t="shared" si="54"/>
        <v/>
      </c>
      <c r="F671" s="15" t="str">
        <f t="shared" ca="1" si="55"/>
        <v/>
      </c>
      <c r="G671" s="15" t="str">
        <f t="shared" ca="1" si="56"/>
        <v/>
      </c>
      <c r="H671" s="15" t="str">
        <f t="shared" ca="1" si="57"/>
        <v/>
      </c>
      <c r="I671" s="16" t="str">
        <f t="shared" ca="1" si="58"/>
        <v/>
      </c>
    </row>
    <row r="672" spans="1:9" x14ac:dyDescent="0.3">
      <c r="A672" s="3"/>
      <c r="B672" s="9"/>
      <c r="C672" s="9"/>
      <c r="E672" s="14" t="str">
        <f t="shared" si="54"/>
        <v/>
      </c>
      <c r="F672" s="15" t="str">
        <f t="shared" ca="1" si="55"/>
        <v/>
      </c>
      <c r="G672" s="15" t="str">
        <f t="shared" ca="1" si="56"/>
        <v/>
      </c>
      <c r="H672" s="15" t="str">
        <f t="shared" ca="1" si="57"/>
        <v/>
      </c>
      <c r="I672" s="16" t="str">
        <f t="shared" ca="1" si="58"/>
        <v/>
      </c>
    </row>
    <row r="673" spans="1:9" x14ac:dyDescent="0.3">
      <c r="A673" s="3"/>
      <c r="B673" s="9"/>
      <c r="C673" s="9"/>
      <c r="E673" s="14" t="str">
        <f t="shared" si="54"/>
        <v/>
      </c>
      <c r="F673" s="15" t="str">
        <f t="shared" ca="1" si="55"/>
        <v/>
      </c>
      <c r="G673" s="15" t="str">
        <f t="shared" ca="1" si="56"/>
        <v/>
      </c>
      <c r="H673" s="15" t="str">
        <f t="shared" ca="1" si="57"/>
        <v/>
      </c>
      <c r="I673" s="16" t="str">
        <f t="shared" ca="1" si="58"/>
        <v/>
      </c>
    </row>
    <row r="674" spans="1:9" x14ac:dyDescent="0.3">
      <c r="A674" s="3"/>
      <c r="B674" s="9"/>
      <c r="C674" s="9"/>
      <c r="E674" s="14" t="str">
        <f t="shared" si="54"/>
        <v/>
      </c>
      <c r="F674" s="15" t="str">
        <f t="shared" ca="1" si="55"/>
        <v/>
      </c>
      <c r="G674" s="15" t="str">
        <f t="shared" ca="1" si="56"/>
        <v/>
      </c>
      <c r="H674" s="15" t="str">
        <f t="shared" ca="1" si="57"/>
        <v/>
      </c>
      <c r="I674" s="16" t="str">
        <f t="shared" ca="1" si="58"/>
        <v/>
      </c>
    </row>
    <row r="675" spans="1:9" x14ac:dyDescent="0.3">
      <c r="A675" s="3"/>
      <c r="B675" s="9"/>
      <c r="C675" s="9"/>
      <c r="E675" s="14" t="str">
        <f t="shared" si="54"/>
        <v/>
      </c>
      <c r="F675" s="15" t="str">
        <f t="shared" ca="1" si="55"/>
        <v/>
      </c>
      <c r="G675" s="15" t="str">
        <f t="shared" ca="1" si="56"/>
        <v/>
      </c>
      <c r="H675" s="15" t="str">
        <f t="shared" ca="1" si="57"/>
        <v/>
      </c>
      <c r="I675" s="16" t="str">
        <f t="shared" ca="1" si="58"/>
        <v/>
      </c>
    </row>
    <row r="676" spans="1:9" x14ac:dyDescent="0.3">
      <c r="A676" s="3"/>
      <c r="B676" s="9"/>
      <c r="C676" s="9"/>
      <c r="E676" s="14" t="str">
        <f t="shared" si="54"/>
        <v/>
      </c>
      <c r="F676" s="15" t="str">
        <f t="shared" ca="1" si="55"/>
        <v/>
      </c>
      <c r="G676" s="15" t="str">
        <f t="shared" ca="1" si="56"/>
        <v/>
      </c>
      <c r="H676" s="15" t="str">
        <f t="shared" ca="1" si="57"/>
        <v/>
      </c>
      <c r="I676" s="16" t="str">
        <f t="shared" ca="1" si="58"/>
        <v/>
      </c>
    </row>
    <row r="677" spans="1:9" x14ac:dyDescent="0.3">
      <c r="A677" s="3"/>
      <c r="B677" s="9"/>
      <c r="C677" s="9"/>
      <c r="E677" s="14" t="str">
        <f t="shared" si="54"/>
        <v/>
      </c>
      <c r="F677" s="15" t="str">
        <f t="shared" ca="1" si="55"/>
        <v/>
      </c>
      <c r="G677" s="15" t="str">
        <f t="shared" ca="1" si="56"/>
        <v/>
      </c>
      <c r="H677" s="15" t="str">
        <f t="shared" ca="1" si="57"/>
        <v/>
      </c>
      <c r="I677" s="16" t="str">
        <f t="shared" ca="1" si="58"/>
        <v/>
      </c>
    </row>
    <row r="678" spans="1:9" x14ac:dyDescent="0.3">
      <c r="A678" s="3"/>
      <c r="B678" s="9"/>
      <c r="C678" s="9"/>
      <c r="E678" s="14" t="str">
        <f t="shared" si="54"/>
        <v/>
      </c>
      <c r="F678" s="15" t="str">
        <f t="shared" ca="1" si="55"/>
        <v/>
      </c>
      <c r="G678" s="15" t="str">
        <f t="shared" ca="1" si="56"/>
        <v/>
      </c>
      <c r="H678" s="15" t="str">
        <f t="shared" ca="1" si="57"/>
        <v/>
      </c>
      <c r="I678" s="16" t="str">
        <f t="shared" ca="1" si="58"/>
        <v/>
      </c>
    </row>
    <row r="679" spans="1:9" x14ac:dyDescent="0.3">
      <c r="A679" s="3"/>
      <c r="B679" s="9"/>
      <c r="C679" s="9"/>
      <c r="E679" s="14" t="str">
        <f t="shared" si="54"/>
        <v/>
      </c>
      <c r="F679" s="15" t="str">
        <f t="shared" ca="1" si="55"/>
        <v/>
      </c>
      <c r="G679" s="15" t="str">
        <f t="shared" ca="1" si="56"/>
        <v/>
      </c>
      <c r="H679" s="15" t="str">
        <f t="shared" ca="1" si="57"/>
        <v/>
      </c>
      <c r="I679" s="16" t="str">
        <f t="shared" ca="1" si="58"/>
        <v/>
      </c>
    </row>
    <row r="680" spans="1:9" x14ac:dyDescent="0.3">
      <c r="A680" s="3"/>
      <c r="B680" s="9"/>
      <c r="C680" s="9"/>
      <c r="E680" s="14" t="str">
        <f t="shared" si="54"/>
        <v/>
      </c>
      <c r="F680" s="15" t="str">
        <f t="shared" ca="1" si="55"/>
        <v/>
      </c>
      <c r="G680" s="15" t="str">
        <f t="shared" ca="1" si="56"/>
        <v/>
      </c>
      <c r="H680" s="15" t="str">
        <f t="shared" ca="1" si="57"/>
        <v/>
      </c>
      <c r="I680" s="16" t="str">
        <f t="shared" ca="1" si="58"/>
        <v/>
      </c>
    </row>
    <row r="681" spans="1:9" x14ac:dyDescent="0.3">
      <c r="A681" s="3"/>
      <c r="B681" s="9"/>
      <c r="C681" s="9"/>
      <c r="E681" s="14" t="str">
        <f t="shared" si="54"/>
        <v/>
      </c>
      <c r="F681" s="15" t="str">
        <f t="shared" ca="1" si="55"/>
        <v/>
      </c>
      <c r="G681" s="15" t="str">
        <f t="shared" ca="1" si="56"/>
        <v/>
      </c>
      <c r="H681" s="15" t="str">
        <f t="shared" ca="1" si="57"/>
        <v/>
      </c>
      <c r="I681" s="16" t="str">
        <f t="shared" ca="1" si="58"/>
        <v/>
      </c>
    </row>
    <row r="682" spans="1:9" x14ac:dyDescent="0.3">
      <c r="A682" s="3"/>
      <c r="B682" s="9"/>
      <c r="C682" s="9"/>
      <c r="E682" s="14" t="str">
        <f t="shared" si="54"/>
        <v/>
      </c>
      <c r="F682" s="15" t="str">
        <f t="shared" ca="1" si="55"/>
        <v/>
      </c>
      <c r="G682" s="15" t="str">
        <f t="shared" ca="1" si="56"/>
        <v/>
      </c>
      <c r="H682" s="15" t="str">
        <f t="shared" ca="1" si="57"/>
        <v/>
      </c>
      <c r="I682" s="16" t="str">
        <f t="shared" ca="1" si="58"/>
        <v/>
      </c>
    </row>
    <row r="683" spans="1:9" x14ac:dyDescent="0.3">
      <c r="A683" s="3"/>
      <c r="B683" s="9"/>
      <c r="C683" s="9"/>
      <c r="E683" s="14" t="str">
        <f t="shared" si="54"/>
        <v/>
      </c>
      <c r="F683" s="15" t="str">
        <f t="shared" ca="1" si="55"/>
        <v/>
      </c>
      <c r="G683" s="15" t="str">
        <f t="shared" ca="1" si="56"/>
        <v/>
      </c>
      <c r="H683" s="15" t="str">
        <f t="shared" ca="1" si="57"/>
        <v/>
      </c>
      <c r="I683" s="16" t="str">
        <f t="shared" ca="1" si="58"/>
        <v/>
      </c>
    </row>
    <row r="684" spans="1:9" x14ac:dyDescent="0.3">
      <c r="A684" s="3"/>
      <c r="B684" s="9"/>
      <c r="C684" s="9"/>
      <c r="E684" s="14" t="str">
        <f t="shared" si="54"/>
        <v/>
      </c>
      <c r="F684" s="15" t="str">
        <f t="shared" ca="1" si="55"/>
        <v/>
      </c>
      <c r="G684" s="15" t="str">
        <f t="shared" ca="1" si="56"/>
        <v/>
      </c>
      <c r="H684" s="15" t="str">
        <f t="shared" ca="1" si="57"/>
        <v/>
      </c>
      <c r="I684" s="16" t="str">
        <f t="shared" ca="1" si="58"/>
        <v/>
      </c>
    </row>
    <row r="685" spans="1:9" x14ac:dyDescent="0.3">
      <c r="A685" s="3"/>
      <c r="B685" s="9"/>
      <c r="C685" s="9"/>
      <c r="E685" s="14" t="str">
        <f t="shared" si="54"/>
        <v/>
      </c>
      <c r="F685" s="15" t="str">
        <f t="shared" ca="1" si="55"/>
        <v/>
      </c>
      <c r="G685" s="15" t="str">
        <f t="shared" ca="1" si="56"/>
        <v/>
      </c>
      <c r="H685" s="15" t="str">
        <f t="shared" ca="1" si="57"/>
        <v/>
      </c>
      <c r="I685" s="16" t="str">
        <f t="shared" ca="1" si="58"/>
        <v/>
      </c>
    </row>
    <row r="686" spans="1:9" x14ac:dyDescent="0.3">
      <c r="A686" s="3"/>
      <c r="B686" s="9"/>
      <c r="C686" s="9"/>
      <c r="E686" s="14" t="str">
        <f t="shared" si="54"/>
        <v/>
      </c>
      <c r="F686" s="15" t="str">
        <f t="shared" ca="1" si="55"/>
        <v/>
      </c>
      <c r="G686" s="15" t="str">
        <f t="shared" ca="1" si="56"/>
        <v/>
      </c>
      <c r="H686" s="15" t="str">
        <f t="shared" ca="1" si="57"/>
        <v/>
      </c>
      <c r="I686" s="16" t="str">
        <f t="shared" ca="1" si="58"/>
        <v/>
      </c>
    </row>
    <row r="687" spans="1:9" x14ac:dyDescent="0.3">
      <c r="A687" s="3"/>
      <c r="B687" s="9"/>
      <c r="C687" s="9"/>
      <c r="E687" s="14" t="str">
        <f t="shared" si="54"/>
        <v/>
      </c>
      <c r="F687" s="15" t="str">
        <f t="shared" ca="1" si="55"/>
        <v/>
      </c>
      <c r="G687" s="15" t="str">
        <f t="shared" ca="1" si="56"/>
        <v/>
      </c>
      <c r="H687" s="15" t="str">
        <f t="shared" ca="1" si="57"/>
        <v/>
      </c>
      <c r="I687" s="16" t="str">
        <f t="shared" ca="1" si="58"/>
        <v/>
      </c>
    </row>
    <row r="688" spans="1:9" x14ac:dyDescent="0.3">
      <c r="A688" s="3"/>
      <c r="B688" s="9"/>
      <c r="C688" s="9"/>
      <c r="E688" s="14" t="str">
        <f t="shared" si="54"/>
        <v/>
      </c>
      <c r="F688" s="15" t="str">
        <f t="shared" ca="1" si="55"/>
        <v/>
      </c>
      <c r="G688" s="15" t="str">
        <f t="shared" ca="1" si="56"/>
        <v/>
      </c>
      <c r="H688" s="15" t="str">
        <f t="shared" ca="1" si="57"/>
        <v/>
      </c>
      <c r="I688" s="16" t="str">
        <f t="shared" ca="1" si="58"/>
        <v/>
      </c>
    </row>
    <row r="689" spans="1:9" x14ac:dyDescent="0.3">
      <c r="A689" s="3"/>
      <c r="B689" s="9"/>
      <c r="C689" s="9"/>
      <c r="E689" s="14" t="str">
        <f t="shared" si="54"/>
        <v/>
      </c>
      <c r="F689" s="15" t="str">
        <f t="shared" ca="1" si="55"/>
        <v/>
      </c>
      <c r="G689" s="15" t="str">
        <f t="shared" ca="1" si="56"/>
        <v/>
      </c>
      <c r="H689" s="15" t="str">
        <f t="shared" ca="1" si="57"/>
        <v/>
      </c>
      <c r="I689" s="16" t="str">
        <f t="shared" ca="1" si="58"/>
        <v/>
      </c>
    </row>
    <row r="690" spans="1:9" x14ac:dyDescent="0.3">
      <c r="A690" s="3"/>
      <c r="B690" s="9"/>
      <c r="C690" s="9"/>
      <c r="E690" s="14" t="str">
        <f t="shared" si="54"/>
        <v/>
      </c>
      <c r="F690" s="15" t="str">
        <f t="shared" ca="1" si="55"/>
        <v/>
      </c>
      <c r="G690" s="15" t="str">
        <f t="shared" ca="1" si="56"/>
        <v/>
      </c>
      <c r="H690" s="15" t="str">
        <f t="shared" ca="1" si="57"/>
        <v/>
      </c>
      <c r="I690" s="16" t="str">
        <f t="shared" ca="1" si="58"/>
        <v/>
      </c>
    </row>
    <row r="691" spans="1:9" x14ac:dyDescent="0.3">
      <c r="A691" s="3"/>
      <c r="B691" s="9"/>
      <c r="C691" s="9"/>
      <c r="E691" s="14" t="str">
        <f t="shared" si="54"/>
        <v/>
      </c>
      <c r="F691" s="15" t="str">
        <f t="shared" ca="1" si="55"/>
        <v/>
      </c>
      <c r="G691" s="15" t="str">
        <f t="shared" ca="1" si="56"/>
        <v/>
      </c>
      <c r="H691" s="15" t="str">
        <f t="shared" ca="1" si="57"/>
        <v/>
      </c>
      <c r="I691" s="16" t="str">
        <f t="shared" ca="1" si="58"/>
        <v/>
      </c>
    </row>
    <row r="692" spans="1:9" x14ac:dyDescent="0.3">
      <c r="A692" s="3"/>
      <c r="B692" s="9"/>
      <c r="C692" s="9"/>
      <c r="E692" s="14" t="str">
        <f t="shared" si="54"/>
        <v/>
      </c>
      <c r="F692" s="15" t="str">
        <f t="shared" ca="1" si="55"/>
        <v/>
      </c>
      <c r="G692" s="15" t="str">
        <f t="shared" ca="1" si="56"/>
        <v/>
      </c>
      <c r="H692" s="15" t="str">
        <f t="shared" ca="1" si="57"/>
        <v/>
      </c>
      <c r="I692" s="16" t="str">
        <f t="shared" ca="1" si="58"/>
        <v/>
      </c>
    </row>
    <row r="693" spans="1:9" x14ac:dyDescent="0.3">
      <c r="A693" s="3"/>
      <c r="B693" s="9"/>
      <c r="C693" s="9"/>
      <c r="E693" s="14" t="str">
        <f t="shared" si="54"/>
        <v/>
      </c>
      <c r="F693" s="15" t="str">
        <f t="shared" ca="1" si="55"/>
        <v/>
      </c>
      <c r="G693" s="15" t="str">
        <f t="shared" ca="1" si="56"/>
        <v/>
      </c>
      <c r="H693" s="15" t="str">
        <f t="shared" ca="1" si="57"/>
        <v/>
      </c>
      <c r="I693" s="16" t="str">
        <f t="shared" ca="1" si="58"/>
        <v/>
      </c>
    </row>
    <row r="694" spans="1:9" x14ac:dyDescent="0.3">
      <c r="A694" s="3"/>
      <c r="B694" s="9"/>
      <c r="C694" s="9"/>
      <c r="E694" s="14" t="str">
        <f t="shared" si="54"/>
        <v/>
      </c>
      <c r="F694" s="15" t="str">
        <f t="shared" ca="1" si="55"/>
        <v/>
      </c>
      <c r="G694" s="15" t="str">
        <f t="shared" ca="1" si="56"/>
        <v/>
      </c>
      <c r="H694" s="15" t="str">
        <f t="shared" ca="1" si="57"/>
        <v/>
      </c>
      <c r="I694" s="16" t="str">
        <f t="shared" ca="1" si="58"/>
        <v/>
      </c>
    </row>
    <row r="695" spans="1:9" x14ac:dyDescent="0.3">
      <c r="A695" s="3"/>
      <c r="B695" s="9"/>
      <c r="C695" s="9"/>
      <c r="E695" s="14" t="str">
        <f t="shared" si="54"/>
        <v/>
      </c>
      <c r="F695" s="15" t="str">
        <f t="shared" ca="1" si="55"/>
        <v/>
      </c>
      <c r="G695" s="15" t="str">
        <f t="shared" ca="1" si="56"/>
        <v/>
      </c>
      <c r="H695" s="15" t="str">
        <f t="shared" ca="1" si="57"/>
        <v/>
      </c>
      <c r="I695" s="16" t="str">
        <f t="shared" ca="1" si="58"/>
        <v/>
      </c>
    </row>
    <row r="696" spans="1:9" x14ac:dyDescent="0.3">
      <c r="A696" s="3"/>
      <c r="B696" s="9"/>
      <c r="C696" s="9"/>
      <c r="E696" s="14" t="str">
        <f t="shared" si="54"/>
        <v/>
      </c>
      <c r="F696" s="15" t="str">
        <f t="shared" ca="1" si="55"/>
        <v/>
      </c>
      <c r="G696" s="15" t="str">
        <f t="shared" ca="1" si="56"/>
        <v/>
      </c>
      <c r="H696" s="15" t="str">
        <f t="shared" ca="1" si="57"/>
        <v/>
      </c>
      <c r="I696" s="16" t="str">
        <f t="shared" ca="1" si="58"/>
        <v/>
      </c>
    </row>
    <row r="697" spans="1:9" x14ac:dyDescent="0.3">
      <c r="A697" s="3"/>
      <c r="B697" s="9"/>
      <c r="C697" s="9"/>
      <c r="E697" s="14" t="str">
        <f t="shared" si="54"/>
        <v/>
      </c>
      <c r="F697" s="15" t="str">
        <f t="shared" ca="1" si="55"/>
        <v/>
      </c>
      <c r="G697" s="15" t="str">
        <f t="shared" ca="1" si="56"/>
        <v/>
      </c>
      <c r="H697" s="15" t="str">
        <f t="shared" ca="1" si="57"/>
        <v/>
      </c>
      <c r="I697" s="16" t="str">
        <f t="shared" ca="1" si="58"/>
        <v/>
      </c>
    </row>
    <row r="698" spans="1:9" x14ac:dyDescent="0.3">
      <c r="A698" s="3"/>
      <c r="B698" s="9"/>
      <c r="C698" s="9"/>
      <c r="E698" s="14" t="str">
        <f t="shared" si="54"/>
        <v/>
      </c>
      <c r="F698" s="15" t="str">
        <f t="shared" ca="1" si="55"/>
        <v/>
      </c>
      <c r="G698" s="15" t="str">
        <f t="shared" ca="1" si="56"/>
        <v/>
      </c>
      <c r="H698" s="15" t="str">
        <f t="shared" ca="1" si="57"/>
        <v/>
      </c>
      <c r="I698" s="16" t="str">
        <f t="shared" ca="1" si="58"/>
        <v/>
      </c>
    </row>
    <row r="699" spans="1:9" x14ac:dyDescent="0.3">
      <c r="A699" s="3"/>
      <c r="B699" s="9"/>
      <c r="C699" s="9"/>
      <c r="E699" s="14" t="str">
        <f t="shared" si="54"/>
        <v/>
      </c>
      <c r="F699" s="15" t="str">
        <f t="shared" ca="1" si="55"/>
        <v/>
      </c>
      <c r="G699" s="15" t="str">
        <f t="shared" ca="1" si="56"/>
        <v/>
      </c>
      <c r="H699" s="15" t="str">
        <f t="shared" ca="1" si="57"/>
        <v/>
      </c>
      <c r="I699" s="16" t="str">
        <f t="shared" ca="1" si="58"/>
        <v/>
      </c>
    </row>
    <row r="700" spans="1:9" x14ac:dyDescent="0.3">
      <c r="A700" s="3"/>
      <c r="B700" s="9"/>
      <c r="C700" s="9"/>
      <c r="E700" s="14" t="str">
        <f t="shared" si="54"/>
        <v/>
      </c>
      <c r="F700" s="15" t="str">
        <f t="shared" ca="1" si="55"/>
        <v/>
      </c>
      <c r="G700" s="15" t="str">
        <f t="shared" ca="1" si="56"/>
        <v/>
      </c>
      <c r="H700" s="15" t="str">
        <f t="shared" ca="1" si="57"/>
        <v/>
      </c>
      <c r="I700" s="16" t="str">
        <f t="shared" ca="1" si="58"/>
        <v/>
      </c>
    </row>
    <row r="701" spans="1:9" x14ac:dyDescent="0.3">
      <c r="A701" s="3"/>
      <c r="B701" s="9"/>
      <c r="C701" s="9"/>
      <c r="E701" s="14" t="str">
        <f t="shared" si="54"/>
        <v/>
      </c>
      <c r="F701" s="15" t="str">
        <f t="shared" ca="1" si="55"/>
        <v/>
      </c>
      <c r="G701" s="15" t="str">
        <f t="shared" ca="1" si="56"/>
        <v/>
      </c>
      <c r="H701" s="15" t="str">
        <f t="shared" ca="1" si="57"/>
        <v/>
      </c>
      <c r="I701" s="16" t="str">
        <f t="shared" ca="1" si="58"/>
        <v/>
      </c>
    </row>
    <row r="702" spans="1:9" x14ac:dyDescent="0.3">
      <c r="A702" s="3"/>
      <c r="B702" s="9"/>
      <c r="C702" s="9"/>
      <c r="E702" s="14" t="str">
        <f t="shared" si="54"/>
        <v/>
      </c>
      <c r="F702" s="15" t="str">
        <f t="shared" ca="1" si="55"/>
        <v/>
      </c>
      <c r="G702" s="15" t="str">
        <f t="shared" ca="1" si="56"/>
        <v/>
      </c>
      <c r="H702" s="15" t="str">
        <f t="shared" ca="1" si="57"/>
        <v/>
      </c>
      <c r="I702" s="16" t="str">
        <f t="shared" ca="1" si="58"/>
        <v/>
      </c>
    </row>
    <row r="703" spans="1:9" x14ac:dyDescent="0.3">
      <c r="A703" s="3"/>
      <c r="B703" s="9"/>
      <c r="C703" s="9"/>
      <c r="E703" s="14" t="str">
        <f t="shared" si="54"/>
        <v/>
      </c>
      <c r="F703" s="15" t="str">
        <f t="shared" ca="1" si="55"/>
        <v/>
      </c>
      <c r="G703" s="15" t="str">
        <f t="shared" ca="1" si="56"/>
        <v/>
      </c>
      <c r="H703" s="15" t="str">
        <f t="shared" ca="1" si="57"/>
        <v/>
      </c>
      <c r="I703" s="16" t="str">
        <f t="shared" ca="1" si="58"/>
        <v/>
      </c>
    </row>
    <row r="704" spans="1:9" x14ac:dyDescent="0.3">
      <c r="A704" s="3"/>
      <c r="B704" s="9"/>
      <c r="C704" s="9"/>
      <c r="E704" s="14" t="str">
        <f t="shared" si="54"/>
        <v/>
      </c>
      <c r="F704" s="15" t="str">
        <f t="shared" ca="1" si="55"/>
        <v/>
      </c>
      <c r="G704" s="15" t="str">
        <f t="shared" ca="1" si="56"/>
        <v/>
      </c>
      <c r="H704" s="15" t="str">
        <f t="shared" ca="1" si="57"/>
        <v/>
      </c>
      <c r="I704" s="16" t="str">
        <f t="shared" ca="1" si="58"/>
        <v/>
      </c>
    </row>
    <row r="705" spans="1:9" x14ac:dyDescent="0.3">
      <c r="A705" s="3"/>
      <c r="B705" s="9"/>
      <c r="C705" s="9"/>
      <c r="E705" s="14" t="str">
        <f t="shared" si="54"/>
        <v/>
      </c>
      <c r="F705" s="15" t="str">
        <f t="shared" ca="1" si="55"/>
        <v/>
      </c>
      <c r="G705" s="15" t="str">
        <f t="shared" ca="1" si="56"/>
        <v/>
      </c>
      <c r="H705" s="15" t="str">
        <f t="shared" ca="1" si="57"/>
        <v/>
      </c>
      <c r="I705" s="16" t="str">
        <f t="shared" ca="1" si="58"/>
        <v/>
      </c>
    </row>
    <row r="706" spans="1:9" x14ac:dyDescent="0.3">
      <c r="A706" s="3"/>
      <c r="B706" s="9"/>
      <c r="C706" s="9"/>
      <c r="E706" s="14" t="str">
        <f t="shared" si="54"/>
        <v/>
      </c>
      <c r="F706" s="15" t="str">
        <f t="shared" ca="1" si="55"/>
        <v/>
      </c>
      <c r="G706" s="15" t="str">
        <f t="shared" ca="1" si="56"/>
        <v/>
      </c>
      <c r="H706" s="15" t="str">
        <f t="shared" ca="1" si="57"/>
        <v/>
      </c>
      <c r="I706" s="16" t="str">
        <f t="shared" ca="1" si="58"/>
        <v/>
      </c>
    </row>
    <row r="707" spans="1:9" x14ac:dyDescent="0.3">
      <c r="A707" s="3"/>
      <c r="B707" s="9"/>
      <c r="C707" s="9"/>
      <c r="E707" s="14" t="str">
        <f t="shared" ref="E707:E770" si="59">IF(ISNUMBER(B707),B707/C707,"")</f>
        <v/>
      </c>
      <c r="F707" s="15" t="str">
        <f t="shared" ca="1" si="55"/>
        <v/>
      </c>
      <c r="G707" s="15" t="str">
        <f t="shared" ca="1" si="56"/>
        <v/>
      </c>
      <c r="H707" s="15" t="str">
        <f t="shared" ca="1" si="57"/>
        <v/>
      </c>
      <c r="I707" s="16" t="str">
        <f t="shared" ca="1" si="58"/>
        <v/>
      </c>
    </row>
    <row r="708" spans="1:9" x14ac:dyDescent="0.3">
      <c r="A708" s="3"/>
      <c r="B708" s="9"/>
      <c r="C708" s="9"/>
      <c r="E708" s="14" t="str">
        <f t="shared" si="59"/>
        <v/>
      </c>
      <c r="F708" s="15" t="str">
        <f t="shared" ca="1" si="55"/>
        <v/>
      </c>
      <c r="G708" s="15" t="str">
        <f t="shared" ca="1" si="56"/>
        <v/>
      </c>
      <c r="H708" s="15" t="str">
        <f t="shared" ca="1" si="57"/>
        <v/>
      </c>
      <c r="I708" s="16" t="str">
        <f t="shared" ca="1" si="58"/>
        <v/>
      </c>
    </row>
    <row r="709" spans="1:9" x14ac:dyDescent="0.3">
      <c r="A709" s="3"/>
      <c r="B709" s="9"/>
      <c r="C709" s="9"/>
      <c r="E709" s="14" t="str">
        <f t="shared" si="59"/>
        <v/>
      </c>
      <c r="F709" s="15" t="str">
        <f t="shared" ca="1" si="55"/>
        <v/>
      </c>
      <c r="G709" s="15" t="str">
        <f t="shared" ca="1" si="56"/>
        <v/>
      </c>
      <c r="H709" s="15" t="str">
        <f t="shared" ca="1" si="57"/>
        <v/>
      </c>
      <c r="I709" s="16" t="str">
        <f t="shared" ca="1" si="58"/>
        <v/>
      </c>
    </row>
    <row r="710" spans="1:9" x14ac:dyDescent="0.3">
      <c r="A710" s="3"/>
      <c r="B710" s="9"/>
      <c r="C710" s="9"/>
      <c r="E710" s="14" t="str">
        <f t="shared" si="59"/>
        <v/>
      </c>
      <c r="F710" s="15" t="str">
        <f t="shared" ca="1" si="55"/>
        <v/>
      </c>
      <c r="G710" s="15" t="str">
        <f t="shared" ca="1" si="56"/>
        <v/>
      </c>
      <c r="H710" s="15" t="str">
        <f t="shared" ca="1" si="57"/>
        <v/>
      </c>
      <c r="I710" s="16" t="str">
        <f t="shared" ca="1" si="58"/>
        <v/>
      </c>
    </row>
    <row r="711" spans="1:9" x14ac:dyDescent="0.3">
      <c r="A711" s="3"/>
      <c r="B711" s="9"/>
      <c r="C711" s="9"/>
      <c r="E711" s="14" t="str">
        <f t="shared" si="59"/>
        <v/>
      </c>
      <c r="F711" s="15" t="str">
        <f t="shared" ca="1" si="55"/>
        <v/>
      </c>
      <c r="G711" s="15" t="str">
        <f t="shared" ca="1" si="56"/>
        <v/>
      </c>
      <c r="H711" s="15" t="str">
        <f t="shared" ca="1" si="57"/>
        <v/>
      </c>
      <c r="I711" s="16" t="str">
        <f t="shared" ca="1" si="58"/>
        <v/>
      </c>
    </row>
    <row r="712" spans="1:9" x14ac:dyDescent="0.3">
      <c r="A712" s="3"/>
      <c r="B712" s="9"/>
      <c r="C712" s="9"/>
      <c r="E712" s="14" t="str">
        <f t="shared" si="59"/>
        <v/>
      </c>
      <c r="F712" s="15" t="str">
        <f t="shared" ca="1" si="55"/>
        <v/>
      </c>
      <c r="G712" s="15" t="str">
        <f t="shared" ca="1" si="56"/>
        <v/>
      </c>
      <c r="H712" s="15" t="str">
        <f t="shared" ca="1" si="57"/>
        <v/>
      </c>
      <c r="I712" s="16" t="str">
        <f t="shared" ca="1" si="58"/>
        <v/>
      </c>
    </row>
    <row r="713" spans="1:9" x14ac:dyDescent="0.3">
      <c r="A713" s="3"/>
      <c r="B713" s="9"/>
      <c r="C713" s="9"/>
      <c r="E713" s="14" t="str">
        <f t="shared" si="59"/>
        <v/>
      </c>
      <c r="F713" s="15" t="str">
        <f t="shared" ca="1" si="55"/>
        <v/>
      </c>
      <c r="G713" s="15" t="str">
        <f t="shared" ca="1" si="56"/>
        <v/>
      </c>
      <c r="H713" s="15" t="str">
        <f t="shared" ca="1" si="57"/>
        <v/>
      </c>
      <c r="I713" s="16" t="str">
        <f t="shared" ca="1" si="58"/>
        <v/>
      </c>
    </row>
    <row r="714" spans="1:9" x14ac:dyDescent="0.3">
      <c r="A714" s="3"/>
      <c r="B714" s="9"/>
      <c r="C714" s="9"/>
      <c r="E714" s="14" t="str">
        <f t="shared" si="59"/>
        <v/>
      </c>
      <c r="F714" s="15" t="str">
        <f t="shared" ca="1" si="55"/>
        <v/>
      </c>
      <c r="G714" s="15" t="str">
        <f t="shared" ca="1" si="56"/>
        <v/>
      </c>
      <c r="H714" s="15" t="str">
        <f t="shared" ca="1" si="57"/>
        <v/>
      </c>
      <c r="I714" s="16" t="str">
        <f t="shared" ca="1" si="58"/>
        <v/>
      </c>
    </row>
    <row r="715" spans="1:9" x14ac:dyDescent="0.3">
      <c r="A715" s="3"/>
      <c r="B715" s="9"/>
      <c r="C715" s="9"/>
      <c r="E715" s="14" t="str">
        <f t="shared" si="59"/>
        <v/>
      </c>
      <c r="F715" s="15" t="str">
        <f t="shared" ca="1" si="55"/>
        <v/>
      </c>
      <c r="G715" s="15" t="str">
        <f t="shared" ca="1" si="56"/>
        <v/>
      </c>
      <c r="H715" s="15" t="str">
        <f t="shared" ca="1" si="57"/>
        <v/>
      </c>
      <c r="I715" s="16" t="str">
        <f t="shared" ca="1" si="58"/>
        <v/>
      </c>
    </row>
    <row r="716" spans="1:9" x14ac:dyDescent="0.3">
      <c r="A716" s="3"/>
      <c r="B716" s="9"/>
      <c r="C716" s="9"/>
      <c r="E716" s="14" t="str">
        <f t="shared" si="59"/>
        <v/>
      </c>
      <c r="F716" s="15" t="str">
        <f t="shared" ca="1" si="55"/>
        <v/>
      </c>
      <c r="G716" s="15" t="str">
        <f t="shared" ca="1" si="56"/>
        <v/>
      </c>
      <c r="H716" s="15" t="str">
        <f t="shared" ca="1" si="57"/>
        <v/>
      </c>
      <c r="I716" s="16" t="str">
        <f t="shared" ca="1" si="58"/>
        <v/>
      </c>
    </row>
    <row r="717" spans="1:9" x14ac:dyDescent="0.3">
      <c r="A717" s="3"/>
      <c r="B717" s="9"/>
      <c r="C717" s="9"/>
      <c r="E717" s="14" t="str">
        <f t="shared" si="59"/>
        <v/>
      </c>
      <c r="F717" s="15" t="str">
        <f t="shared" ca="1" si="55"/>
        <v/>
      </c>
      <c r="G717" s="15" t="str">
        <f t="shared" ca="1" si="56"/>
        <v/>
      </c>
      <c r="H717" s="15" t="str">
        <f t="shared" ca="1" si="57"/>
        <v/>
      </c>
      <c r="I717" s="16" t="str">
        <f t="shared" ca="1" si="58"/>
        <v/>
      </c>
    </row>
    <row r="718" spans="1:9" x14ac:dyDescent="0.3">
      <c r="A718" s="3"/>
      <c r="B718" s="9"/>
      <c r="C718" s="9"/>
      <c r="E718" s="14" t="str">
        <f t="shared" si="59"/>
        <v/>
      </c>
      <c r="F718" s="15" t="str">
        <f t="shared" ca="1" si="55"/>
        <v/>
      </c>
      <c r="G718" s="15" t="str">
        <f t="shared" ca="1" si="56"/>
        <v/>
      </c>
      <c r="H718" s="15" t="str">
        <f t="shared" ca="1" si="57"/>
        <v/>
      </c>
      <c r="I718" s="16" t="str">
        <f t="shared" ca="1" si="58"/>
        <v/>
      </c>
    </row>
    <row r="719" spans="1:9" x14ac:dyDescent="0.3">
      <c r="A719" s="3"/>
      <c r="B719" s="9"/>
      <c r="C719" s="9"/>
      <c r="E719" s="14" t="str">
        <f t="shared" si="59"/>
        <v/>
      </c>
      <c r="F719" s="15" t="str">
        <f t="shared" ca="1" si="55"/>
        <v/>
      </c>
      <c r="G719" s="15" t="str">
        <f t="shared" ca="1" si="56"/>
        <v/>
      </c>
      <c r="H719" s="15" t="str">
        <f t="shared" ca="1" si="57"/>
        <v/>
      </c>
      <c r="I719" s="16" t="str">
        <f t="shared" ca="1" si="58"/>
        <v/>
      </c>
    </row>
    <row r="720" spans="1:9" x14ac:dyDescent="0.3">
      <c r="A720" s="3"/>
      <c r="B720" s="9"/>
      <c r="C720" s="9"/>
      <c r="E720" s="14" t="str">
        <f t="shared" si="59"/>
        <v/>
      </c>
      <c r="F720" s="15" t="str">
        <f t="shared" ca="1" si="55"/>
        <v/>
      </c>
      <c r="G720" s="15" t="str">
        <f t="shared" ca="1" si="56"/>
        <v/>
      </c>
      <c r="H720" s="15" t="str">
        <f t="shared" ca="1" si="57"/>
        <v/>
      </c>
      <c r="I720" s="16" t="str">
        <f t="shared" ca="1" si="58"/>
        <v/>
      </c>
    </row>
    <row r="721" spans="1:9" x14ac:dyDescent="0.3">
      <c r="A721" s="3"/>
      <c r="B721" s="9"/>
      <c r="C721" s="9"/>
      <c r="E721" s="14" t="str">
        <f t="shared" si="59"/>
        <v/>
      </c>
      <c r="F721" s="15" t="str">
        <f t="shared" ref="F721:F784" ca="1" si="60">IF(ISNUMBER(E721),IF(ROW(E721)&gt;$K$1,AVERAGE(OFFSET(E721,0,0,-$K$1)),""),"")</f>
        <v/>
      </c>
      <c r="G721" s="15" t="str">
        <f t="shared" ref="G721:G784" ca="1" si="61">IF(ISNUMBER(I721),F721+I721*$M$1,"")</f>
        <v/>
      </c>
      <c r="H721" s="15" t="str">
        <f t="shared" ref="H721:H784" ca="1" si="62">IF(ISNUMBER(I721),F721-I721*$M$1,"")</f>
        <v/>
      </c>
      <c r="I721" s="16" t="str">
        <f t="shared" ref="I721:I784" ca="1" si="63">IF(ISNUMBER(E721),IF(ROW(E721)&gt;$K$1,_xlfn.STDEV.P(OFFSET(E721,0,0,-$K$1)),""),"")</f>
        <v/>
      </c>
    </row>
    <row r="722" spans="1:9" x14ac:dyDescent="0.3">
      <c r="A722" s="3"/>
      <c r="B722" s="9"/>
      <c r="C722" s="9"/>
      <c r="E722" s="14" t="str">
        <f t="shared" si="59"/>
        <v/>
      </c>
      <c r="F722" s="15" t="str">
        <f t="shared" ca="1" si="60"/>
        <v/>
      </c>
      <c r="G722" s="15" t="str">
        <f t="shared" ca="1" si="61"/>
        <v/>
      </c>
      <c r="H722" s="15" t="str">
        <f t="shared" ca="1" si="62"/>
        <v/>
      </c>
      <c r="I722" s="16" t="str">
        <f t="shared" ca="1" si="63"/>
        <v/>
      </c>
    </row>
    <row r="723" spans="1:9" x14ac:dyDescent="0.3">
      <c r="A723" s="3"/>
      <c r="B723" s="9"/>
      <c r="C723" s="9"/>
      <c r="E723" s="14" t="str">
        <f t="shared" si="59"/>
        <v/>
      </c>
      <c r="F723" s="15" t="str">
        <f t="shared" ca="1" si="60"/>
        <v/>
      </c>
      <c r="G723" s="15" t="str">
        <f t="shared" ca="1" si="61"/>
        <v/>
      </c>
      <c r="H723" s="15" t="str">
        <f t="shared" ca="1" si="62"/>
        <v/>
      </c>
      <c r="I723" s="16" t="str">
        <f t="shared" ca="1" si="63"/>
        <v/>
      </c>
    </row>
    <row r="724" spans="1:9" x14ac:dyDescent="0.3">
      <c r="A724" s="3"/>
      <c r="B724" s="9"/>
      <c r="C724" s="9"/>
      <c r="E724" s="14" t="str">
        <f t="shared" si="59"/>
        <v/>
      </c>
      <c r="F724" s="15" t="str">
        <f t="shared" ca="1" si="60"/>
        <v/>
      </c>
      <c r="G724" s="15" t="str">
        <f t="shared" ca="1" si="61"/>
        <v/>
      </c>
      <c r="H724" s="15" t="str">
        <f t="shared" ca="1" si="62"/>
        <v/>
      </c>
      <c r="I724" s="16" t="str">
        <f t="shared" ca="1" si="63"/>
        <v/>
      </c>
    </row>
    <row r="725" spans="1:9" x14ac:dyDescent="0.3">
      <c r="A725" s="3"/>
      <c r="B725" s="9"/>
      <c r="C725" s="9"/>
      <c r="E725" s="14" t="str">
        <f t="shared" si="59"/>
        <v/>
      </c>
      <c r="F725" s="15" t="str">
        <f t="shared" ca="1" si="60"/>
        <v/>
      </c>
      <c r="G725" s="15" t="str">
        <f t="shared" ca="1" si="61"/>
        <v/>
      </c>
      <c r="H725" s="15" t="str">
        <f t="shared" ca="1" si="62"/>
        <v/>
      </c>
      <c r="I725" s="16" t="str">
        <f t="shared" ca="1" si="63"/>
        <v/>
      </c>
    </row>
    <row r="726" spans="1:9" x14ac:dyDescent="0.3">
      <c r="A726" s="3"/>
      <c r="B726" s="9"/>
      <c r="C726" s="9"/>
      <c r="E726" s="14" t="str">
        <f t="shared" si="59"/>
        <v/>
      </c>
      <c r="F726" s="15" t="str">
        <f t="shared" ca="1" si="60"/>
        <v/>
      </c>
      <c r="G726" s="15" t="str">
        <f t="shared" ca="1" si="61"/>
        <v/>
      </c>
      <c r="H726" s="15" t="str">
        <f t="shared" ca="1" si="62"/>
        <v/>
      </c>
      <c r="I726" s="16" t="str">
        <f t="shared" ca="1" si="63"/>
        <v/>
      </c>
    </row>
    <row r="727" spans="1:9" x14ac:dyDescent="0.3">
      <c r="A727" s="3"/>
      <c r="B727" s="9"/>
      <c r="C727" s="9"/>
      <c r="E727" s="14" t="str">
        <f t="shared" si="59"/>
        <v/>
      </c>
      <c r="F727" s="15" t="str">
        <f t="shared" ca="1" si="60"/>
        <v/>
      </c>
      <c r="G727" s="15" t="str">
        <f t="shared" ca="1" si="61"/>
        <v/>
      </c>
      <c r="H727" s="15" t="str">
        <f t="shared" ca="1" si="62"/>
        <v/>
      </c>
      <c r="I727" s="16" t="str">
        <f t="shared" ca="1" si="63"/>
        <v/>
      </c>
    </row>
    <row r="728" spans="1:9" x14ac:dyDescent="0.3">
      <c r="A728" s="3"/>
      <c r="B728" s="9"/>
      <c r="C728" s="9"/>
      <c r="E728" s="14" t="str">
        <f t="shared" si="59"/>
        <v/>
      </c>
      <c r="F728" s="15" t="str">
        <f t="shared" ca="1" si="60"/>
        <v/>
      </c>
      <c r="G728" s="15" t="str">
        <f t="shared" ca="1" si="61"/>
        <v/>
      </c>
      <c r="H728" s="15" t="str">
        <f t="shared" ca="1" si="62"/>
        <v/>
      </c>
      <c r="I728" s="16" t="str">
        <f t="shared" ca="1" si="63"/>
        <v/>
      </c>
    </row>
    <row r="729" spans="1:9" x14ac:dyDescent="0.3">
      <c r="A729" s="3"/>
      <c r="B729" s="9"/>
      <c r="C729" s="9"/>
      <c r="E729" s="14" t="str">
        <f t="shared" si="59"/>
        <v/>
      </c>
      <c r="F729" s="15" t="str">
        <f t="shared" ca="1" si="60"/>
        <v/>
      </c>
      <c r="G729" s="15" t="str">
        <f t="shared" ca="1" si="61"/>
        <v/>
      </c>
      <c r="H729" s="15" t="str">
        <f t="shared" ca="1" si="62"/>
        <v/>
      </c>
      <c r="I729" s="16" t="str">
        <f t="shared" ca="1" si="63"/>
        <v/>
      </c>
    </row>
    <row r="730" spans="1:9" x14ac:dyDescent="0.3">
      <c r="A730" s="3"/>
      <c r="B730" s="9"/>
      <c r="C730" s="9"/>
      <c r="E730" s="14" t="str">
        <f t="shared" si="59"/>
        <v/>
      </c>
      <c r="F730" s="15" t="str">
        <f t="shared" ca="1" si="60"/>
        <v/>
      </c>
      <c r="G730" s="15" t="str">
        <f t="shared" ca="1" si="61"/>
        <v/>
      </c>
      <c r="H730" s="15" t="str">
        <f t="shared" ca="1" si="62"/>
        <v/>
      </c>
      <c r="I730" s="16" t="str">
        <f t="shared" ca="1" si="63"/>
        <v/>
      </c>
    </row>
    <row r="731" spans="1:9" x14ac:dyDescent="0.3">
      <c r="A731" s="3"/>
      <c r="B731" s="9"/>
      <c r="C731" s="9"/>
      <c r="E731" s="14" t="str">
        <f t="shared" si="59"/>
        <v/>
      </c>
      <c r="F731" s="15" t="str">
        <f t="shared" ca="1" si="60"/>
        <v/>
      </c>
      <c r="G731" s="15" t="str">
        <f t="shared" ca="1" si="61"/>
        <v/>
      </c>
      <c r="H731" s="15" t="str">
        <f t="shared" ca="1" si="62"/>
        <v/>
      </c>
      <c r="I731" s="16" t="str">
        <f t="shared" ca="1" si="63"/>
        <v/>
      </c>
    </row>
    <row r="732" spans="1:9" x14ac:dyDescent="0.3">
      <c r="A732" s="3"/>
      <c r="B732" s="9"/>
      <c r="C732" s="9"/>
      <c r="E732" s="14" t="str">
        <f t="shared" si="59"/>
        <v/>
      </c>
      <c r="F732" s="15" t="str">
        <f t="shared" ca="1" si="60"/>
        <v/>
      </c>
      <c r="G732" s="15" t="str">
        <f t="shared" ca="1" si="61"/>
        <v/>
      </c>
      <c r="H732" s="15" t="str">
        <f t="shared" ca="1" si="62"/>
        <v/>
      </c>
      <c r="I732" s="16" t="str">
        <f t="shared" ca="1" si="63"/>
        <v/>
      </c>
    </row>
    <row r="733" spans="1:9" x14ac:dyDescent="0.3">
      <c r="A733" s="3"/>
      <c r="B733" s="9"/>
      <c r="C733" s="9"/>
      <c r="E733" s="14" t="str">
        <f t="shared" si="59"/>
        <v/>
      </c>
      <c r="F733" s="15" t="str">
        <f t="shared" ca="1" si="60"/>
        <v/>
      </c>
      <c r="G733" s="15" t="str">
        <f t="shared" ca="1" si="61"/>
        <v/>
      </c>
      <c r="H733" s="15" t="str">
        <f t="shared" ca="1" si="62"/>
        <v/>
      </c>
      <c r="I733" s="16" t="str">
        <f t="shared" ca="1" si="63"/>
        <v/>
      </c>
    </row>
    <row r="734" spans="1:9" x14ac:dyDescent="0.3">
      <c r="A734" s="3"/>
      <c r="B734" s="9"/>
      <c r="C734" s="9"/>
      <c r="E734" s="14" t="str">
        <f t="shared" si="59"/>
        <v/>
      </c>
      <c r="F734" s="15" t="str">
        <f t="shared" ca="1" si="60"/>
        <v/>
      </c>
      <c r="G734" s="15" t="str">
        <f t="shared" ca="1" si="61"/>
        <v/>
      </c>
      <c r="H734" s="15" t="str">
        <f t="shared" ca="1" si="62"/>
        <v/>
      </c>
      <c r="I734" s="16" t="str">
        <f t="shared" ca="1" si="63"/>
        <v/>
      </c>
    </row>
    <row r="735" spans="1:9" x14ac:dyDescent="0.3">
      <c r="A735" s="3"/>
      <c r="B735" s="9"/>
      <c r="C735" s="9"/>
      <c r="E735" s="14" t="str">
        <f t="shared" si="59"/>
        <v/>
      </c>
      <c r="F735" s="15" t="str">
        <f t="shared" ca="1" si="60"/>
        <v/>
      </c>
      <c r="G735" s="15" t="str">
        <f t="shared" ca="1" si="61"/>
        <v/>
      </c>
      <c r="H735" s="15" t="str">
        <f t="shared" ca="1" si="62"/>
        <v/>
      </c>
      <c r="I735" s="16" t="str">
        <f t="shared" ca="1" si="63"/>
        <v/>
      </c>
    </row>
    <row r="736" spans="1:9" x14ac:dyDescent="0.3">
      <c r="A736" s="3"/>
      <c r="B736" s="9"/>
      <c r="C736" s="9"/>
      <c r="E736" s="14" t="str">
        <f t="shared" si="59"/>
        <v/>
      </c>
      <c r="F736" s="15" t="str">
        <f t="shared" ca="1" si="60"/>
        <v/>
      </c>
      <c r="G736" s="15" t="str">
        <f t="shared" ca="1" si="61"/>
        <v/>
      </c>
      <c r="H736" s="15" t="str">
        <f t="shared" ca="1" si="62"/>
        <v/>
      </c>
      <c r="I736" s="16" t="str">
        <f t="shared" ca="1" si="63"/>
        <v/>
      </c>
    </row>
    <row r="737" spans="1:9" x14ac:dyDescent="0.3">
      <c r="A737" s="3"/>
      <c r="B737" s="9"/>
      <c r="C737" s="9"/>
      <c r="E737" s="14" t="str">
        <f t="shared" si="59"/>
        <v/>
      </c>
      <c r="F737" s="15" t="str">
        <f t="shared" ca="1" si="60"/>
        <v/>
      </c>
      <c r="G737" s="15" t="str">
        <f t="shared" ca="1" si="61"/>
        <v/>
      </c>
      <c r="H737" s="15" t="str">
        <f t="shared" ca="1" si="62"/>
        <v/>
      </c>
      <c r="I737" s="16" t="str">
        <f t="shared" ca="1" si="63"/>
        <v/>
      </c>
    </row>
    <row r="738" spans="1:9" x14ac:dyDescent="0.3">
      <c r="A738" s="3"/>
      <c r="B738" s="9"/>
      <c r="C738" s="9"/>
      <c r="E738" s="14" t="str">
        <f t="shared" si="59"/>
        <v/>
      </c>
      <c r="F738" s="15" t="str">
        <f t="shared" ca="1" si="60"/>
        <v/>
      </c>
      <c r="G738" s="15" t="str">
        <f t="shared" ca="1" si="61"/>
        <v/>
      </c>
      <c r="H738" s="15" t="str">
        <f t="shared" ca="1" si="62"/>
        <v/>
      </c>
      <c r="I738" s="16" t="str">
        <f t="shared" ca="1" si="63"/>
        <v/>
      </c>
    </row>
    <row r="739" spans="1:9" x14ac:dyDescent="0.3">
      <c r="A739" s="3"/>
      <c r="B739" s="9"/>
      <c r="C739" s="9"/>
      <c r="E739" s="14" t="str">
        <f t="shared" si="59"/>
        <v/>
      </c>
      <c r="F739" s="15" t="str">
        <f t="shared" ca="1" si="60"/>
        <v/>
      </c>
      <c r="G739" s="15" t="str">
        <f t="shared" ca="1" si="61"/>
        <v/>
      </c>
      <c r="H739" s="15" t="str">
        <f t="shared" ca="1" si="62"/>
        <v/>
      </c>
      <c r="I739" s="16" t="str">
        <f t="shared" ca="1" si="63"/>
        <v/>
      </c>
    </row>
    <row r="740" spans="1:9" x14ac:dyDescent="0.3">
      <c r="A740" s="3"/>
      <c r="B740" s="9"/>
      <c r="C740" s="9"/>
      <c r="E740" s="14" t="str">
        <f t="shared" si="59"/>
        <v/>
      </c>
      <c r="F740" s="15" t="str">
        <f t="shared" ca="1" si="60"/>
        <v/>
      </c>
      <c r="G740" s="15" t="str">
        <f t="shared" ca="1" si="61"/>
        <v/>
      </c>
      <c r="H740" s="15" t="str">
        <f t="shared" ca="1" si="62"/>
        <v/>
      </c>
      <c r="I740" s="16" t="str">
        <f t="shared" ca="1" si="63"/>
        <v/>
      </c>
    </row>
    <row r="741" spans="1:9" x14ac:dyDescent="0.3">
      <c r="A741" s="3"/>
      <c r="B741" s="9"/>
      <c r="C741" s="9"/>
      <c r="E741" s="14" t="str">
        <f t="shared" si="59"/>
        <v/>
      </c>
      <c r="F741" s="15" t="str">
        <f t="shared" ca="1" si="60"/>
        <v/>
      </c>
      <c r="G741" s="15" t="str">
        <f t="shared" ca="1" si="61"/>
        <v/>
      </c>
      <c r="H741" s="15" t="str">
        <f t="shared" ca="1" si="62"/>
        <v/>
      </c>
      <c r="I741" s="16" t="str">
        <f t="shared" ca="1" si="63"/>
        <v/>
      </c>
    </row>
    <row r="742" spans="1:9" x14ac:dyDescent="0.3">
      <c r="A742" s="3"/>
      <c r="B742" s="9"/>
      <c r="C742" s="9"/>
      <c r="E742" s="14" t="str">
        <f t="shared" si="59"/>
        <v/>
      </c>
      <c r="F742" s="15" t="str">
        <f t="shared" ca="1" si="60"/>
        <v/>
      </c>
      <c r="G742" s="15" t="str">
        <f t="shared" ca="1" si="61"/>
        <v/>
      </c>
      <c r="H742" s="15" t="str">
        <f t="shared" ca="1" si="62"/>
        <v/>
      </c>
      <c r="I742" s="16" t="str">
        <f t="shared" ca="1" si="63"/>
        <v/>
      </c>
    </row>
    <row r="743" spans="1:9" x14ac:dyDescent="0.3">
      <c r="A743" s="3"/>
      <c r="B743" s="9"/>
      <c r="C743" s="9"/>
      <c r="E743" s="14" t="str">
        <f t="shared" si="59"/>
        <v/>
      </c>
      <c r="F743" s="15" t="str">
        <f t="shared" ca="1" si="60"/>
        <v/>
      </c>
      <c r="G743" s="15" t="str">
        <f t="shared" ca="1" si="61"/>
        <v/>
      </c>
      <c r="H743" s="15" t="str">
        <f t="shared" ca="1" si="62"/>
        <v/>
      </c>
      <c r="I743" s="16" t="str">
        <f t="shared" ca="1" si="63"/>
        <v/>
      </c>
    </row>
    <row r="744" spans="1:9" x14ac:dyDescent="0.3">
      <c r="A744" s="3"/>
      <c r="B744" s="9"/>
      <c r="C744" s="9"/>
      <c r="E744" s="14" t="str">
        <f t="shared" si="59"/>
        <v/>
      </c>
      <c r="F744" s="15" t="str">
        <f t="shared" ca="1" si="60"/>
        <v/>
      </c>
      <c r="G744" s="15" t="str">
        <f t="shared" ca="1" si="61"/>
        <v/>
      </c>
      <c r="H744" s="15" t="str">
        <f t="shared" ca="1" si="62"/>
        <v/>
      </c>
      <c r="I744" s="16" t="str">
        <f t="shared" ca="1" si="63"/>
        <v/>
      </c>
    </row>
    <row r="745" spans="1:9" x14ac:dyDescent="0.3">
      <c r="A745" s="3"/>
      <c r="B745" s="9"/>
      <c r="C745" s="9"/>
      <c r="E745" s="14" t="str">
        <f t="shared" si="59"/>
        <v/>
      </c>
      <c r="F745" s="15" t="str">
        <f t="shared" ca="1" si="60"/>
        <v/>
      </c>
      <c r="G745" s="15" t="str">
        <f t="shared" ca="1" si="61"/>
        <v/>
      </c>
      <c r="H745" s="15" t="str">
        <f t="shared" ca="1" si="62"/>
        <v/>
      </c>
      <c r="I745" s="16" t="str">
        <f t="shared" ca="1" si="63"/>
        <v/>
      </c>
    </row>
    <row r="746" spans="1:9" x14ac:dyDescent="0.3">
      <c r="A746" s="3"/>
      <c r="B746" s="9"/>
      <c r="C746" s="9"/>
      <c r="E746" s="14" t="str">
        <f t="shared" si="59"/>
        <v/>
      </c>
      <c r="F746" s="15" t="str">
        <f t="shared" ca="1" si="60"/>
        <v/>
      </c>
      <c r="G746" s="15" t="str">
        <f t="shared" ca="1" si="61"/>
        <v/>
      </c>
      <c r="H746" s="15" t="str">
        <f t="shared" ca="1" si="62"/>
        <v/>
      </c>
      <c r="I746" s="16" t="str">
        <f t="shared" ca="1" si="63"/>
        <v/>
      </c>
    </row>
    <row r="747" spans="1:9" x14ac:dyDescent="0.3">
      <c r="A747" s="3"/>
      <c r="B747" s="9"/>
      <c r="C747" s="9"/>
      <c r="E747" s="14" t="str">
        <f t="shared" si="59"/>
        <v/>
      </c>
      <c r="F747" s="15" t="str">
        <f t="shared" ca="1" si="60"/>
        <v/>
      </c>
      <c r="G747" s="15" t="str">
        <f t="shared" ca="1" si="61"/>
        <v/>
      </c>
      <c r="H747" s="15" t="str">
        <f t="shared" ca="1" si="62"/>
        <v/>
      </c>
      <c r="I747" s="16" t="str">
        <f t="shared" ca="1" si="63"/>
        <v/>
      </c>
    </row>
    <row r="748" spans="1:9" x14ac:dyDescent="0.3">
      <c r="A748" s="3"/>
      <c r="B748" s="9"/>
      <c r="C748" s="9"/>
      <c r="E748" s="14" t="str">
        <f t="shared" si="59"/>
        <v/>
      </c>
      <c r="F748" s="15" t="str">
        <f t="shared" ca="1" si="60"/>
        <v/>
      </c>
      <c r="G748" s="15" t="str">
        <f t="shared" ca="1" si="61"/>
        <v/>
      </c>
      <c r="H748" s="15" t="str">
        <f t="shared" ca="1" si="62"/>
        <v/>
      </c>
      <c r="I748" s="16" t="str">
        <f t="shared" ca="1" si="63"/>
        <v/>
      </c>
    </row>
    <row r="749" spans="1:9" x14ac:dyDescent="0.3">
      <c r="A749" s="3"/>
      <c r="B749" s="9"/>
      <c r="C749" s="9"/>
      <c r="E749" s="14" t="str">
        <f t="shared" si="59"/>
        <v/>
      </c>
      <c r="F749" s="15" t="str">
        <f t="shared" ca="1" si="60"/>
        <v/>
      </c>
      <c r="G749" s="15" t="str">
        <f t="shared" ca="1" si="61"/>
        <v/>
      </c>
      <c r="H749" s="15" t="str">
        <f t="shared" ca="1" si="62"/>
        <v/>
      </c>
      <c r="I749" s="16" t="str">
        <f t="shared" ca="1" si="63"/>
        <v/>
      </c>
    </row>
    <row r="750" spans="1:9" x14ac:dyDescent="0.3">
      <c r="A750" s="3"/>
      <c r="B750" s="9"/>
      <c r="C750" s="9"/>
      <c r="E750" s="14" t="str">
        <f t="shared" si="59"/>
        <v/>
      </c>
      <c r="F750" s="15" t="str">
        <f t="shared" ca="1" si="60"/>
        <v/>
      </c>
      <c r="G750" s="15" t="str">
        <f t="shared" ca="1" si="61"/>
        <v/>
      </c>
      <c r="H750" s="15" t="str">
        <f t="shared" ca="1" si="62"/>
        <v/>
      </c>
      <c r="I750" s="16" t="str">
        <f t="shared" ca="1" si="63"/>
        <v/>
      </c>
    </row>
    <row r="751" spans="1:9" x14ac:dyDescent="0.3">
      <c r="A751" s="3"/>
      <c r="B751" s="9"/>
      <c r="C751" s="9"/>
      <c r="E751" s="14" t="str">
        <f t="shared" si="59"/>
        <v/>
      </c>
      <c r="F751" s="15" t="str">
        <f t="shared" ca="1" si="60"/>
        <v/>
      </c>
      <c r="G751" s="15" t="str">
        <f t="shared" ca="1" si="61"/>
        <v/>
      </c>
      <c r="H751" s="15" t="str">
        <f t="shared" ca="1" si="62"/>
        <v/>
      </c>
      <c r="I751" s="16" t="str">
        <f t="shared" ca="1" si="63"/>
        <v/>
      </c>
    </row>
    <row r="752" spans="1:9" x14ac:dyDescent="0.3">
      <c r="A752" s="3"/>
      <c r="B752" s="9"/>
      <c r="C752" s="9"/>
      <c r="E752" s="14" t="str">
        <f t="shared" si="59"/>
        <v/>
      </c>
      <c r="F752" s="15" t="str">
        <f t="shared" ca="1" si="60"/>
        <v/>
      </c>
      <c r="G752" s="15" t="str">
        <f t="shared" ca="1" si="61"/>
        <v/>
      </c>
      <c r="H752" s="15" t="str">
        <f t="shared" ca="1" si="62"/>
        <v/>
      </c>
      <c r="I752" s="16" t="str">
        <f t="shared" ca="1" si="63"/>
        <v/>
      </c>
    </row>
    <row r="753" spans="1:9" x14ac:dyDescent="0.3">
      <c r="A753" s="3"/>
      <c r="B753" s="9"/>
      <c r="C753" s="9"/>
      <c r="E753" s="14" t="str">
        <f t="shared" si="59"/>
        <v/>
      </c>
      <c r="F753" s="15" t="str">
        <f t="shared" ca="1" si="60"/>
        <v/>
      </c>
      <c r="G753" s="15" t="str">
        <f t="shared" ca="1" si="61"/>
        <v/>
      </c>
      <c r="H753" s="15" t="str">
        <f t="shared" ca="1" si="62"/>
        <v/>
      </c>
      <c r="I753" s="16" t="str">
        <f t="shared" ca="1" si="63"/>
        <v/>
      </c>
    </row>
    <row r="754" spans="1:9" x14ac:dyDescent="0.3">
      <c r="A754" s="3"/>
      <c r="B754" s="9"/>
      <c r="C754" s="9"/>
      <c r="E754" s="14" t="str">
        <f t="shared" si="59"/>
        <v/>
      </c>
      <c r="F754" s="15" t="str">
        <f t="shared" ca="1" si="60"/>
        <v/>
      </c>
      <c r="G754" s="15" t="str">
        <f t="shared" ca="1" si="61"/>
        <v/>
      </c>
      <c r="H754" s="15" t="str">
        <f t="shared" ca="1" si="62"/>
        <v/>
      </c>
      <c r="I754" s="16" t="str">
        <f t="shared" ca="1" si="63"/>
        <v/>
      </c>
    </row>
    <row r="755" spans="1:9" x14ac:dyDescent="0.3">
      <c r="A755" s="3"/>
      <c r="B755" s="9"/>
      <c r="C755" s="9"/>
      <c r="E755" s="14" t="str">
        <f t="shared" si="59"/>
        <v/>
      </c>
      <c r="F755" s="15" t="str">
        <f t="shared" ca="1" si="60"/>
        <v/>
      </c>
      <c r="G755" s="15" t="str">
        <f t="shared" ca="1" si="61"/>
        <v/>
      </c>
      <c r="H755" s="15" t="str">
        <f t="shared" ca="1" si="62"/>
        <v/>
      </c>
      <c r="I755" s="16" t="str">
        <f t="shared" ca="1" si="63"/>
        <v/>
      </c>
    </row>
    <row r="756" spans="1:9" x14ac:dyDescent="0.3">
      <c r="A756" s="3"/>
      <c r="B756" s="9"/>
      <c r="C756" s="9"/>
      <c r="E756" s="14" t="str">
        <f t="shared" si="59"/>
        <v/>
      </c>
      <c r="F756" s="15" t="str">
        <f t="shared" ca="1" si="60"/>
        <v/>
      </c>
      <c r="G756" s="15" t="str">
        <f t="shared" ca="1" si="61"/>
        <v/>
      </c>
      <c r="H756" s="15" t="str">
        <f t="shared" ca="1" si="62"/>
        <v/>
      </c>
      <c r="I756" s="16" t="str">
        <f t="shared" ca="1" si="63"/>
        <v/>
      </c>
    </row>
    <row r="757" spans="1:9" x14ac:dyDescent="0.3">
      <c r="A757" s="3"/>
      <c r="B757" s="9"/>
      <c r="C757" s="9"/>
      <c r="E757" s="14" t="str">
        <f t="shared" si="59"/>
        <v/>
      </c>
      <c r="F757" s="15" t="str">
        <f t="shared" ca="1" si="60"/>
        <v/>
      </c>
      <c r="G757" s="15" t="str">
        <f t="shared" ca="1" si="61"/>
        <v/>
      </c>
      <c r="H757" s="15" t="str">
        <f t="shared" ca="1" si="62"/>
        <v/>
      </c>
      <c r="I757" s="16" t="str">
        <f t="shared" ca="1" si="63"/>
        <v/>
      </c>
    </row>
    <row r="758" spans="1:9" x14ac:dyDescent="0.3">
      <c r="A758" s="3"/>
      <c r="B758" s="9"/>
      <c r="C758" s="9"/>
      <c r="E758" s="14" t="str">
        <f t="shared" si="59"/>
        <v/>
      </c>
      <c r="F758" s="15" t="str">
        <f t="shared" ca="1" si="60"/>
        <v/>
      </c>
      <c r="G758" s="15" t="str">
        <f t="shared" ca="1" si="61"/>
        <v/>
      </c>
      <c r="H758" s="15" t="str">
        <f t="shared" ca="1" si="62"/>
        <v/>
      </c>
      <c r="I758" s="16" t="str">
        <f t="shared" ca="1" si="63"/>
        <v/>
      </c>
    </row>
    <row r="759" spans="1:9" x14ac:dyDescent="0.3">
      <c r="A759" s="3"/>
      <c r="B759" s="9"/>
      <c r="C759" s="9"/>
      <c r="E759" s="14" t="str">
        <f t="shared" si="59"/>
        <v/>
      </c>
      <c r="F759" s="15" t="str">
        <f t="shared" ca="1" si="60"/>
        <v/>
      </c>
      <c r="G759" s="15" t="str">
        <f t="shared" ca="1" si="61"/>
        <v/>
      </c>
      <c r="H759" s="15" t="str">
        <f t="shared" ca="1" si="62"/>
        <v/>
      </c>
      <c r="I759" s="16" t="str">
        <f t="shared" ca="1" si="63"/>
        <v/>
      </c>
    </row>
    <row r="760" spans="1:9" x14ac:dyDescent="0.3">
      <c r="A760" s="3"/>
      <c r="B760" s="9"/>
      <c r="C760" s="9"/>
      <c r="E760" s="14" t="str">
        <f t="shared" si="59"/>
        <v/>
      </c>
      <c r="F760" s="15" t="str">
        <f t="shared" ca="1" si="60"/>
        <v/>
      </c>
      <c r="G760" s="15" t="str">
        <f t="shared" ca="1" si="61"/>
        <v/>
      </c>
      <c r="H760" s="15" t="str">
        <f t="shared" ca="1" si="62"/>
        <v/>
      </c>
      <c r="I760" s="16" t="str">
        <f t="shared" ca="1" si="63"/>
        <v/>
      </c>
    </row>
    <row r="761" spans="1:9" x14ac:dyDescent="0.3">
      <c r="A761" s="3"/>
      <c r="B761" s="9"/>
      <c r="C761" s="9"/>
      <c r="E761" s="14" t="str">
        <f t="shared" si="59"/>
        <v/>
      </c>
      <c r="F761" s="15" t="str">
        <f t="shared" ca="1" si="60"/>
        <v/>
      </c>
      <c r="G761" s="15" t="str">
        <f t="shared" ca="1" si="61"/>
        <v/>
      </c>
      <c r="H761" s="15" t="str">
        <f t="shared" ca="1" si="62"/>
        <v/>
      </c>
      <c r="I761" s="16" t="str">
        <f t="shared" ca="1" si="63"/>
        <v/>
      </c>
    </row>
    <row r="762" spans="1:9" x14ac:dyDescent="0.3">
      <c r="A762" s="3"/>
      <c r="B762" s="9"/>
      <c r="C762" s="9"/>
      <c r="E762" s="14" t="str">
        <f t="shared" si="59"/>
        <v/>
      </c>
      <c r="F762" s="15" t="str">
        <f t="shared" ca="1" si="60"/>
        <v/>
      </c>
      <c r="G762" s="15" t="str">
        <f t="shared" ca="1" si="61"/>
        <v/>
      </c>
      <c r="H762" s="15" t="str">
        <f t="shared" ca="1" si="62"/>
        <v/>
      </c>
      <c r="I762" s="16" t="str">
        <f t="shared" ca="1" si="63"/>
        <v/>
      </c>
    </row>
    <row r="763" spans="1:9" x14ac:dyDescent="0.3">
      <c r="A763" s="3"/>
      <c r="B763" s="9"/>
      <c r="C763" s="9"/>
      <c r="E763" s="14" t="str">
        <f t="shared" si="59"/>
        <v/>
      </c>
      <c r="F763" s="15" t="str">
        <f t="shared" ca="1" si="60"/>
        <v/>
      </c>
      <c r="G763" s="15" t="str">
        <f t="shared" ca="1" si="61"/>
        <v/>
      </c>
      <c r="H763" s="15" t="str">
        <f t="shared" ca="1" si="62"/>
        <v/>
      </c>
      <c r="I763" s="16" t="str">
        <f t="shared" ca="1" si="63"/>
        <v/>
      </c>
    </row>
    <row r="764" spans="1:9" x14ac:dyDescent="0.3">
      <c r="A764" s="3"/>
      <c r="B764" s="9"/>
      <c r="C764" s="9"/>
      <c r="E764" s="14" t="str">
        <f t="shared" si="59"/>
        <v/>
      </c>
      <c r="F764" s="15" t="str">
        <f t="shared" ca="1" si="60"/>
        <v/>
      </c>
      <c r="G764" s="15" t="str">
        <f t="shared" ca="1" si="61"/>
        <v/>
      </c>
      <c r="H764" s="15" t="str">
        <f t="shared" ca="1" si="62"/>
        <v/>
      </c>
      <c r="I764" s="16" t="str">
        <f t="shared" ca="1" si="63"/>
        <v/>
      </c>
    </row>
    <row r="765" spans="1:9" x14ac:dyDescent="0.3">
      <c r="A765" s="3"/>
      <c r="B765" s="9"/>
      <c r="C765" s="9"/>
      <c r="E765" s="14" t="str">
        <f t="shared" si="59"/>
        <v/>
      </c>
      <c r="F765" s="15" t="str">
        <f t="shared" ca="1" si="60"/>
        <v/>
      </c>
      <c r="G765" s="15" t="str">
        <f t="shared" ca="1" si="61"/>
        <v/>
      </c>
      <c r="H765" s="15" t="str">
        <f t="shared" ca="1" si="62"/>
        <v/>
      </c>
      <c r="I765" s="16" t="str">
        <f t="shared" ca="1" si="63"/>
        <v/>
      </c>
    </row>
    <row r="766" spans="1:9" x14ac:dyDescent="0.3">
      <c r="A766" s="3"/>
      <c r="B766" s="9"/>
      <c r="C766" s="9"/>
      <c r="E766" s="14" t="str">
        <f t="shared" si="59"/>
        <v/>
      </c>
      <c r="F766" s="15" t="str">
        <f t="shared" ca="1" si="60"/>
        <v/>
      </c>
      <c r="G766" s="15" t="str">
        <f t="shared" ca="1" si="61"/>
        <v/>
      </c>
      <c r="H766" s="15" t="str">
        <f t="shared" ca="1" si="62"/>
        <v/>
      </c>
      <c r="I766" s="16" t="str">
        <f t="shared" ca="1" si="63"/>
        <v/>
      </c>
    </row>
    <row r="767" spans="1:9" x14ac:dyDescent="0.3">
      <c r="A767" s="3"/>
      <c r="B767" s="9"/>
      <c r="C767" s="9"/>
      <c r="E767" s="14" t="str">
        <f t="shared" si="59"/>
        <v/>
      </c>
      <c r="F767" s="15" t="str">
        <f t="shared" ca="1" si="60"/>
        <v/>
      </c>
      <c r="G767" s="15" t="str">
        <f t="shared" ca="1" si="61"/>
        <v/>
      </c>
      <c r="H767" s="15" t="str">
        <f t="shared" ca="1" si="62"/>
        <v/>
      </c>
      <c r="I767" s="16" t="str">
        <f t="shared" ca="1" si="63"/>
        <v/>
      </c>
    </row>
    <row r="768" spans="1:9" x14ac:dyDescent="0.3">
      <c r="A768" s="3"/>
      <c r="B768" s="9"/>
      <c r="C768" s="9"/>
      <c r="E768" s="14" t="str">
        <f t="shared" si="59"/>
        <v/>
      </c>
      <c r="F768" s="15" t="str">
        <f t="shared" ca="1" si="60"/>
        <v/>
      </c>
      <c r="G768" s="15" t="str">
        <f t="shared" ca="1" si="61"/>
        <v/>
      </c>
      <c r="H768" s="15" t="str">
        <f t="shared" ca="1" si="62"/>
        <v/>
      </c>
      <c r="I768" s="16" t="str">
        <f t="shared" ca="1" si="63"/>
        <v/>
      </c>
    </row>
    <row r="769" spans="1:9" x14ac:dyDescent="0.3">
      <c r="A769" s="3"/>
      <c r="B769" s="9"/>
      <c r="C769" s="9"/>
      <c r="E769" s="14" t="str">
        <f t="shared" si="59"/>
        <v/>
      </c>
      <c r="F769" s="15" t="str">
        <f t="shared" ca="1" si="60"/>
        <v/>
      </c>
      <c r="G769" s="15" t="str">
        <f t="shared" ca="1" si="61"/>
        <v/>
      </c>
      <c r="H769" s="15" t="str">
        <f t="shared" ca="1" si="62"/>
        <v/>
      </c>
      <c r="I769" s="16" t="str">
        <f t="shared" ca="1" si="63"/>
        <v/>
      </c>
    </row>
    <row r="770" spans="1:9" x14ac:dyDescent="0.3">
      <c r="A770" s="3"/>
      <c r="B770" s="9"/>
      <c r="C770" s="9"/>
      <c r="E770" s="14" t="str">
        <f t="shared" si="59"/>
        <v/>
      </c>
      <c r="F770" s="15" t="str">
        <f t="shared" ca="1" si="60"/>
        <v/>
      </c>
      <c r="G770" s="15" t="str">
        <f t="shared" ca="1" si="61"/>
        <v/>
      </c>
      <c r="H770" s="15" t="str">
        <f t="shared" ca="1" si="62"/>
        <v/>
      </c>
      <c r="I770" s="16" t="str">
        <f t="shared" ca="1" si="63"/>
        <v/>
      </c>
    </row>
    <row r="771" spans="1:9" x14ac:dyDescent="0.3">
      <c r="A771" s="3"/>
      <c r="B771" s="9"/>
      <c r="C771" s="9"/>
      <c r="E771" s="14" t="str">
        <f t="shared" ref="E771:E834" si="64">IF(ISNUMBER(B771),B771/C771,"")</f>
        <v/>
      </c>
      <c r="F771" s="15" t="str">
        <f t="shared" ca="1" si="60"/>
        <v/>
      </c>
      <c r="G771" s="15" t="str">
        <f t="shared" ca="1" si="61"/>
        <v/>
      </c>
      <c r="H771" s="15" t="str">
        <f t="shared" ca="1" si="62"/>
        <v/>
      </c>
      <c r="I771" s="16" t="str">
        <f t="shared" ca="1" si="63"/>
        <v/>
      </c>
    </row>
    <row r="772" spans="1:9" x14ac:dyDescent="0.3">
      <c r="A772" s="3"/>
      <c r="B772" s="9"/>
      <c r="C772" s="9"/>
      <c r="E772" s="14" t="str">
        <f t="shared" si="64"/>
        <v/>
      </c>
      <c r="F772" s="15" t="str">
        <f t="shared" ca="1" si="60"/>
        <v/>
      </c>
      <c r="G772" s="15" t="str">
        <f t="shared" ca="1" si="61"/>
        <v/>
      </c>
      <c r="H772" s="15" t="str">
        <f t="shared" ca="1" si="62"/>
        <v/>
      </c>
      <c r="I772" s="16" t="str">
        <f t="shared" ca="1" si="63"/>
        <v/>
      </c>
    </row>
    <row r="773" spans="1:9" x14ac:dyDescent="0.3">
      <c r="A773" s="3"/>
      <c r="B773" s="9"/>
      <c r="C773" s="9"/>
      <c r="E773" s="14" t="str">
        <f t="shared" si="64"/>
        <v/>
      </c>
      <c r="F773" s="15" t="str">
        <f t="shared" ca="1" si="60"/>
        <v/>
      </c>
      <c r="G773" s="15" t="str">
        <f t="shared" ca="1" si="61"/>
        <v/>
      </c>
      <c r="H773" s="15" t="str">
        <f t="shared" ca="1" si="62"/>
        <v/>
      </c>
      <c r="I773" s="16" t="str">
        <f t="shared" ca="1" si="63"/>
        <v/>
      </c>
    </row>
    <row r="774" spans="1:9" x14ac:dyDescent="0.3">
      <c r="A774" s="3"/>
      <c r="B774" s="9"/>
      <c r="C774" s="9"/>
      <c r="E774" s="14" t="str">
        <f t="shared" si="64"/>
        <v/>
      </c>
      <c r="F774" s="15" t="str">
        <f t="shared" ca="1" si="60"/>
        <v/>
      </c>
      <c r="G774" s="15" t="str">
        <f t="shared" ca="1" si="61"/>
        <v/>
      </c>
      <c r="H774" s="15" t="str">
        <f t="shared" ca="1" si="62"/>
        <v/>
      </c>
      <c r="I774" s="16" t="str">
        <f t="shared" ca="1" si="63"/>
        <v/>
      </c>
    </row>
    <row r="775" spans="1:9" x14ac:dyDescent="0.3">
      <c r="A775" s="3"/>
      <c r="B775" s="9"/>
      <c r="C775" s="9"/>
      <c r="E775" s="14" t="str">
        <f t="shared" si="64"/>
        <v/>
      </c>
      <c r="F775" s="15" t="str">
        <f t="shared" ca="1" si="60"/>
        <v/>
      </c>
      <c r="G775" s="15" t="str">
        <f t="shared" ca="1" si="61"/>
        <v/>
      </c>
      <c r="H775" s="15" t="str">
        <f t="shared" ca="1" si="62"/>
        <v/>
      </c>
      <c r="I775" s="16" t="str">
        <f t="shared" ca="1" si="63"/>
        <v/>
      </c>
    </row>
    <row r="776" spans="1:9" x14ac:dyDescent="0.3">
      <c r="A776" s="3"/>
      <c r="B776" s="9"/>
      <c r="C776" s="9"/>
      <c r="E776" s="14" t="str">
        <f t="shared" si="64"/>
        <v/>
      </c>
      <c r="F776" s="15" t="str">
        <f t="shared" ca="1" si="60"/>
        <v/>
      </c>
      <c r="G776" s="15" t="str">
        <f t="shared" ca="1" si="61"/>
        <v/>
      </c>
      <c r="H776" s="15" t="str">
        <f t="shared" ca="1" si="62"/>
        <v/>
      </c>
      <c r="I776" s="16" t="str">
        <f t="shared" ca="1" si="63"/>
        <v/>
      </c>
    </row>
    <row r="777" spans="1:9" x14ac:dyDescent="0.3">
      <c r="A777" s="3"/>
      <c r="B777" s="9"/>
      <c r="C777" s="9"/>
      <c r="E777" s="14" t="str">
        <f t="shared" si="64"/>
        <v/>
      </c>
      <c r="F777" s="15" t="str">
        <f t="shared" ca="1" si="60"/>
        <v/>
      </c>
      <c r="G777" s="15" t="str">
        <f t="shared" ca="1" si="61"/>
        <v/>
      </c>
      <c r="H777" s="15" t="str">
        <f t="shared" ca="1" si="62"/>
        <v/>
      </c>
      <c r="I777" s="16" t="str">
        <f t="shared" ca="1" si="63"/>
        <v/>
      </c>
    </row>
    <row r="778" spans="1:9" x14ac:dyDescent="0.3">
      <c r="A778" s="3"/>
      <c r="B778" s="9"/>
      <c r="C778" s="9"/>
      <c r="E778" s="14" t="str">
        <f t="shared" si="64"/>
        <v/>
      </c>
      <c r="F778" s="15" t="str">
        <f t="shared" ca="1" si="60"/>
        <v/>
      </c>
      <c r="G778" s="15" t="str">
        <f t="shared" ca="1" si="61"/>
        <v/>
      </c>
      <c r="H778" s="15" t="str">
        <f t="shared" ca="1" si="62"/>
        <v/>
      </c>
      <c r="I778" s="16" t="str">
        <f t="shared" ca="1" si="63"/>
        <v/>
      </c>
    </row>
    <row r="779" spans="1:9" x14ac:dyDescent="0.3">
      <c r="A779" s="3"/>
      <c r="B779" s="9"/>
      <c r="C779" s="9"/>
      <c r="E779" s="14" t="str">
        <f t="shared" si="64"/>
        <v/>
      </c>
      <c r="F779" s="15" t="str">
        <f t="shared" ca="1" si="60"/>
        <v/>
      </c>
      <c r="G779" s="15" t="str">
        <f t="shared" ca="1" si="61"/>
        <v/>
      </c>
      <c r="H779" s="15" t="str">
        <f t="shared" ca="1" si="62"/>
        <v/>
      </c>
      <c r="I779" s="16" t="str">
        <f t="shared" ca="1" si="63"/>
        <v/>
      </c>
    </row>
    <row r="780" spans="1:9" x14ac:dyDescent="0.3">
      <c r="A780" s="3"/>
      <c r="B780" s="9"/>
      <c r="C780" s="9"/>
      <c r="E780" s="14" t="str">
        <f t="shared" si="64"/>
        <v/>
      </c>
      <c r="F780" s="15" t="str">
        <f t="shared" ca="1" si="60"/>
        <v/>
      </c>
      <c r="G780" s="15" t="str">
        <f t="shared" ca="1" si="61"/>
        <v/>
      </c>
      <c r="H780" s="15" t="str">
        <f t="shared" ca="1" si="62"/>
        <v/>
      </c>
      <c r="I780" s="16" t="str">
        <f t="shared" ca="1" si="63"/>
        <v/>
      </c>
    </row>
    <row r="781" spans="1:9" x14ac:dyDescent="0.3">
      <c r="A781" s="3"/>
      <c r="B781" s="9"/>
      <c r="C781" s="9"/>
      <c r="E781" s="14" t="str">
        <f t="shared" si="64"/>
        <v/>
      </c>
      <c r="F781" s="15" t="str">
        <f t="shared" ca="1" si="60"/>
        <v/>
      </c>
      <c r="G781" s="15" t="str">
        <f t="shared" ca="1" si="61"/>
        <v/>
      </c>
      <c r="H781" s="15" t="str">
        <f t="shared" ca="1" si="62"/>
        <v/>
      </c>
      <c r="I781" s="16" t="str">
        <f t="shared" ca="1" si="63"/>
        <v/>
      </c>
    </row>
    <row r="782" spans="1:9" x14ac:dyDescent="0.3">
      <c r="A782" s="3"/>
      <c r="B782" s="9"/>
      <c r="C782" s="9"/>
      <c r="E782" s="14" t="str">
        <f t="shared" si="64"/>
        <v/>
      </c>
      <c r="F782" s="15" t="str">
        <f t="shared" ca="1" si="60"/>
        <v/>
      </c>
      <c r="G782" s="15" t="str">
        <f t="shared" ca="1" si="61"/>
        <v/>
      </c>
      <c r="H782" s="15" t="str">
        <f t="shared" ca="1" si="62"/>
        <v/>
      </c>
      <c r="I782" s="16" t="str">
        <f t="shared" ca="1" si="63"/>
        <v/>
      </c>
    </row>
    <row r="783" spans="1:9" x14ac:dyDescent="0.3">
      <c r="A783" s="3"/>
      <c r="B783" s="9"/>
      <c r="C783" s="9"/>
      <c r="E783" s="14" t="str">
        <f t="shared" si="64"/>
        <v/>
      </c>
      <c r="F783" s="15" t="str">
        <f t="shared" ca="1" si="60"/>
        <v/>
      </c>
      <c r="G783" s="15" t="str">
        <f t="shared" ca="1" si="61"/>
        <v/>
      </c>
      <c r="H783" s="15" t="str">
        <f t="shared" ca="1" si="62"/>
        <v/>
      </c>
      <c r="I783" s="16" t="str">
        <f t="shared" ca="1" si="63"/>
        <v/>
      </c>
    </row>
    <row r="784" spans="1:9" x14ac:dyDescent="0.3">
      <c r="A784" s="3"/>
      <c r="B784" s="9"/>
      <c r="C784" s="9"/>
      <c r="E784" s="14" t="str">
        <f t="shared" si="64"/>
        <v/>
      </c>
      <c r="F784" s="15" t="str">
        <f t="shared" ca="1" si="60"/>
        <v/>
      </c>
      <c r="G784" s="15" t="str">
        <f t="shared" ca="1" si="61"/>
        <v/>
      </c>
      <c r="H784" s="15" t="str">
        <f t="shared" ca="1" si="62"/>
        <v/>
      </c>
      <c r="I784" s="16" t="str">
        <f t="shared" ca="1" si="63"/>
        <v/>
      </c>
    </row>
    <row r="785" spans="1:9" x14ac:dyDescent="0.3">
      <c r="A785" s="3"/>
      <c r="B785" s="9"/>
      <c r="C785" s="9"/>
      <c r="E785" s="14" t="str">
        <f t="shared" si="64"/>
        <v/>
      </c>
      <c r="F785" s="15" t="str">
        <f t="shared" ref="F785:F848" ca="1" si="65">IF(ISNUMBER(E785),IF(ROW(E785)&gt;$K$1,AVERAGE(OFFSET(E785,0,0,-$K$1)),""),"")</f>
        <v/>
      </c>
      <c r="G785" s="15" t="str">
        <f t="shared" ref="G785:G848" ca="1" si="66">IF(ISNUMBER(I785),F785+I785*$M$1,"")</f>
        <v/>
      </c>
      <c r="H785" s="15" t="str">
        <f t="shared" ref="H785:H848" ca="1" si="67">IF(ISNUMBER(I785),F785-I785*$M$1,"")</f>
        <v/>
      </c>
      <c r="I785" s="16" t="str">
        <f t="shared" ref="I785:I848" ca="1" si="68">IF(ISNUMBER(E785),IF(ROW(E785)&gt;$K$1,_xlfn.STDEV.P(OFFSET(E785,0,0,-$K$1)),""),"")</f>
        <v/>
      </c>
    </row>
    <row r="786" spans="1:9" x14ac:dyDescent="0.3">
      <c r="A786" s="3"/>
      <c r="B786" s="9"/>
      <c r="C786" s="9"/>
      <c r="E786" s="14" t="str">
        <f t="shared" si="64"/>
        <v/>
      </c>
      <c r="F786" s="15" t="str">
        <f t="shared" ca="1" si="65"/>
        <v/>
      </c>
      <c r="G786" s="15" t="str">
        <f t="shared" ca="1" si="66"/>
        <v/>
      </c>
      <c r="H786" s="15" t="str">
        <f t="shared" ca="1" si="67"/>
        <v/>
      </c>
      <c r="I786" s="16" t="str">
        <f t="shared" ca="1" si="68"/>
        <v/>
      </c>
    </row>
    <row r="787" spans="1:9" x14ac:dyDescent="0.3">
      <c r="A787" s="3"/>
      <c r="B787" s="9"/>
      <c r="C787" s="9"/>
      <c r="E787" s="14" t="str">
        <f t="shared" si="64"/>
        <v/>
      </c>
      <c r="F787" s="15" t="str">
        <f t="shared" ca="1" si="65"/>
        <v/>
      </c>
      <c r="G787" s="15" t="str">
        <f t="shared" ca="1" si="66"/>
        <v/>
      </c>
      <c r="H787" s="15" t="str">
        <f t="shared" ca="1" si="67"/>
        <v/>
      </c>
      <c r="I787" s="16" t="str">
        <f t="shared" ca="1" si="68"/>
        <v/>
      </c>
    </row>
    <row r="788" spans="1:9" x14ac:dyDescent="0.3">
      <c r="A788" s="3"/>
      <c r="B788" s="9"/>
      <c r="C788" s="9"/>
      <c r="E788" s="14" t="str">
        <f t="shared" si="64"/>
        <v/>
      </c>
      <c r="F788" s="15" t="str">
        <f t="shared" ca="1" si="65"/>
        <v/>
      </c>
      <c r="G788" s="15" t="str">
        <f t="shared" ca="1" si="66"/>
        <v/>
      </c>
      <c r="H788" s="15" t="str">
        <f t="shared" ca="1" si="67"/>
        <v/>
      </c>
      <c r="I788" s="16" t="str">
        <f t="shared" ca="1" si="68"/>
        <v/>
      </c>
    </row>
    <row r="789" spans="1:9" x14ac:dyDescent="0.3">
      <c r="A789" s="3"/>
      <c r="B789" s="9"/>
      <c r="C789" s="9"/>
      <c r="E789" s="14" t="str">
        <f t="shared" si="64"/>
        <v/>
      </c>
      <c r="F789" s="15" t="str">
        <f t="shared" ca="1" si="65"/>
        <v/>
      </c>
      <c r="G789" s="15" t="str">
        <f t="shared" ca="1" si="66"/>
        <v/>
      </c>
      <c r="H789" s="15" t="str">
        <f t="shared" ca="1" si="67"/>
        <v/>
      </c>
      <c r="I789" s="16" t="str">
        <f t="shared" ca="1" si="68"/>
        <v/>
      </c>
    </row>
    <row r="790" spans="1:9" x14ac:dyDescent="0.3">
      <c r="A790" s="3"/>
      <c r="B790" s="9"/>
      <c r="C790" s="9"/>
      <c r="E790" s="14" t="str">
        <f t="shared" si="64"/>
        <v/>
      </c>
      <c r="F790" s="15" t="str">
        <f t="shared" ca="1" si="65"/>
        <v/>
      </c>
      <c r="G790" s="15" t="str">
        <f t="shared" ca="1" si="66"/>
        <v/>
      </c>
      <c r="H790" s="15" t="str">
        <f t="shared" ca="1" si="67"/>
        <v/>
      </c>
      <c r="I790" s="16" t="str">
        <f t="shared" ca="1" si="68"/>
        <v/>
      </c>
    </row>
    <row r="791" spans="1:9" x14ac:dyDescent="0.3">
      <c r="A791" s="3"/>
      <c r="B791" s="9"/>
      <c r="C791" s="9"/>
      <c r="E791" s="14" t="str">
        <f t="shared" si="64"/>
        <v/>
      </c>
      <c r="F791" s="15" t="str">
        <f t="shared" ca="1" si="65"/>
        <v/>
      </c>
      <c r="G791" s="15" t="str">
        <f t="shared" ca="1" si="66"/>
        <v/>
      </c>
      <c r="H791" s="15" t="str">
        <f t="shared" ca="1" si="67"/>
        <v/>
      </c>
      <c r="I791" s="16" t="str">
        <f t="shared" ca="1" si="68"/>
        <v/>
      </c>
    </row>
    <row r="792" spans="1:9" x14ac:dyDescent="0.3">
      <c r="A792" s="3"/>
      <c r="B792" s="9"/>
      <c r="C792" s="9"/>
      <c r="E792" s="14" t="str">
        <f t="shared" si="64"/>
        <v/>
      </c>
      <c r="F792" s="15" t="str">
        <f t="shared" ca="1" si="65"/>
        <v/>
      </c>
      <c r="G792" s="15" t="str">
        <f t="shared" ca="1" si="66"/>
        <v/>
      </c>
      <c r="H792" s="15" t="str">
        <f t="shared" ca="1" si="67"/>
        <v/>
      </c>
      <c r="I792" s="16" t="str">
        <f t="shared" ca="1" si="68"/>
        <v/>
      </c>
    </row>
    <row r="793" spans="1:9" x14ac:dyDescent="0.3">
      <c r="A793" s="3"/>
      <c r="B793" s="9"/>
      <c r="C793" s="9"/>
      <c r="E793" s="14" t="str">
        <f t="shared" si="64"/>
        <v/>
      </c>
      <c r="F793" s="15" t="str">
        <f t="shared" ca="1" si="65"/>
        <v/>
      </c>
      <c r="G793" s="15" t="str">
        <f t="shared" ca="1" si="66"/>
        <v/>
      </c>
      <c r="H793" s="15" t="str">
        <f t="shared" ca="1" si="67"/>
        <v/>
      </c>
      <c r="I793" s="16" t="str">
        <f t="shared" ca="1" si="68"/>
        <v/>
      </c>
    </row>
    <row r="794" spans="1:9" x14ac:dyDescent="0.3">
      <c r="A794" s="3"/>
      <c r="B794" s="9"/>
      <c r="C794" s="9"/>
      <c r="E794" s="14" t="str">
        <f t="shared" si="64"/>
        <v/>
      </c>
      <c r="F794" s="15" t="str">
        <f t="shared" ca="1" si="65"/>
        <v/>
      </c>
      <c r="G794" s="15" t="str">
        <f t="shared" ca="1" si="66"/>
        <v/>
      </c>
      <c r="H794" s="15" t="str">
        <f t="shared" ca="1" si="67"/>
        <v/>
      </c>
      <c r="I794" s="16" t="str">
        <f t="shared" ca="1" si="68"/>
        <v/>
      </c>
    </row>
    <row r="795" spans="1:9" x14ac:dyDescent="0.3">
      <c r="A795" s="3"/>
      <c r="B795" s="9"/>
      <c r="C795" s="9"/>
      <c r="E795" s="14" t="str">
        <f t="shared" si="64"/>
        <v/>
      </c>
      <c r="F795" s="15" t="str">
        <f t="shared" ca="1" si="65"/>
        <v/>
      </c>
      <c r="G795" s="15" t="str">
        <f t="shared" ca="1" si="66"/>
        <v/>
      </c>
      <c r="H795" s="15" t="str">
        <f t="shared" ca="1" si="67"/>
        <v/>
      </c>
      <c r="I795" s="16" t="str">
        <f t="shared" ca="1" si="68"/>
        <v/>
      </c>
    </row>
    <row r="796" spans="1:9" x14ac:dyDescent="0.3">
      <c r="A796" s="3"/>
      <c r="B796" s="9"/>
      <c r="C796" s="9"/>
      <c r="E796" s="14" t="str">
        <f t="shared" si="64"/>
        <v/>
      </c>
      <c r="F796" s="15" t="str">
        <f t="shared" ca="1" si="65"/>
        <v/>
      </c>
      <c r="G796" s="15" t="str">
        <f t="shared" ca="1" si="66"/>
        <v/>
      </c>
      <c r="H796" s="15" t="str">
        <f t="shared" ca="1" si="67"/>
        <v/>
      </c>
      <c r="I796" s="16" t="str">
        <f t="shared" ca="1" si="68"/>
        <v/>
      </c>
    </row>
    <row r="797" spans="1:9" x14ac:dyDescent="0.3">
      <c r="A797" s="3"/>
      <c r="B797" s="9"/>
      <c r="C797" s="9"/>
      <c r="E797" s="14" t="str">
        <f t="shared" si="64"/>
        <v/>
      </c>
      <c r="F797" s="15" t="str">
        <f t="shared" ca="1" si="65"/>
        <v/>
      </c>
      <c r="G797" s="15" t="str">
        <f t="shared" ca="1" si="66"/>
        <v/>
      </c>
      <c r="H797" s="15" t="str">
        <f t="shared" ca="1" si="67"/>
        <v/>
      </c>
      <c r="I797" s="16" t="str">
        <f t="shared" ca="1" si="68"/>
        <v/>
      </c>
    </row>
    <row r="798" spans="1:9" x14ac:dyDescent="0.3">
      <c r="A798" s="3"/>
      <c r="B798" s="9"/>
      <c r="C798" s="9"/>
      <c r="E798" s="14" t="str">
        <f t="shared" si="64"/>
        <v/>
      </c>
      <c r="F798" s="15" t="str">
        <f t="shared" ca="1" si="65"/>
        <v/>
      </c>
      <c r="G798" s="15" t="str">
        <f t="shared" ca="1" si="66"/>
        <v/>
      </c>
      <c r="H798" s="15" t="str">
        <f t="shared" ca="1" si="67"/>
        <v/>
      </c>
      <c r="I798" s="16" t="str">
        <f t="shared" ca="1" si="68"/>
        <v/>
      </c>
    </row>
    <row r="799" spans="1:9" x14ac:dyDescent="0.3">
      <c r="A799" s="3"/>
      <c r="B799" s="9"/>
      <c r="C799" s="9"/>
      <c r="E799" s="14" t="str">
        <f t="shared" si="64"/>
        <v/>
      </c>
      <c r="F799" s="15" t="str">
        <f t="shared" ca="1" si="65"/>
        <v/>
      </c>
      <c r="G799" s="15" t="str">
        <f t="shared" ca="1" si="66"/>
        <v/>
      </c>
      <c r="H799" s="15" t="str">
        <f t="shared" ca="1" si="67"/>
        <v/>
      </c>
      <c r="I799" s="16" t="str">
        <f t="shared" ca="1" si="68"/>
        <v/>
      </c>
    </row>
    <row r="800" spans="1:9" x14ac:dyDescent="0.3">
      <c r="A800" s="3"/>
      <c r="B800" s="9"/>
      <c r="C800" s="9"/>
      <c r="E800" s="14" t="str">
        <f t="shared" si="64"/>
        <v/>
      </c>
      <c r="F800" s="15" t="str">
        <f t="shared" ca="1" si="65"/>
        <v/>
      </c>
      <c r="G800" s="15" t="str">
        <f t="shared" ca="1" si="66"/>
        <v/>
      </c>
      <c r="H800" s="15" t="str">
        <f t="shared" ca="1" si="67"/>
        <v/>
      </c>
      <c r="I800" s="16" t="str">
        <f t="shared" ca="1" si="68"/>
        <v/>
      </c>
    </row>
    <row r="801" spans="1:9" x14ac:dyDescent="0.3">
      <c r="A801" s="3"/>
      <c r="B801" s="9"/>
      <c r="C801" s="9"/>
      <c r="E801" s="14" t="str">
        <f t="shared" si="64"/>
        <v/>
      </c>
      <c r="F801" s="15" t="str">
        <f t="shared" ca="1" si="65"/>
        <v/>
      </c>
      <c r="G801" s="15" t="str">
        <f t="shared" ca="1" si="66"/>
        <v/>
      </c>
      <c r="H801" s="15" t="str">
        <f t="shared" ca="1" si="67"/>
        <v/>
      </c>
      <c r="I801" s="16" t="str">
        <f t="shared" ca="1" si="68"/>
        <v/>
      </c>
    </row>
    <row r="802" spans="1:9" x14ac:dyDescent="0.3">
      <c r="A802" s="3"/>
      <c r="B802" s="9"/>
      <c r="C802" s="9"/>
      <c r="E802" s="14" t="str">
        <f t="shared" si="64"/>
        <v/>
      </c>
      <c r="F802" s="15" t="str">
        <f t="shared" ca="1" si="65"/>
        <v/>
      </c>
      <c r="G802" s="15" t="str">
        <f t="shared" ca="1" si="66"/>
        <v/>
      </c>
      <c r="H802" s="15" t="str">
        <f t="shared" ca="1" si="67"/>
        <v/>
      </c>
      <c r="I802" s="16" t="str">
        <f t="shared" ca="1" si="68"/>
        <v/>
      </c>
    </row>
    <row r="803" spans="1:9" x14ac:dyDescent="0.3">
      <c r="A803" s="3"/>
      <c r="B803" s="9"/>
      <c r="C803" s="9"/>
      <c r="E803" s="14" t="str">
        <f t="shared" si="64"/>
        <v/>
      </c>
      <c r="F803" s="15" t="str">
        <f t="shared" ca="1" si="65"/>
        <v/>
      </c>
      <c r="G803" s="15" t="str">
        <f t="shared" ca="1" si="66"/>
        <v/>
      </c>
      <c r="H803" s="15" t="str">
        <f t="shared" ca="1" si="67"/>
        <v/>
      </c>
      <c r="I803" s="16" t="str">
        <f t="shared" ca="1" si="68"/>
        <v/>
      </c>
    </row>
    <row r="804" spans="1:9" x14ac:dyDescent="0.3">
      <c r="A804" s="3"/>
      <c r="B804" s="9"/>
      <c r="C804" s="9"/>
      <c r="E804" s="14" t="str">
        <f t="shared" si="64"/>
        <v/>
      </c>
      <c r="F804" s="15" t="str">
        <f t="shared" ca="1" si="65"/>
        <v/>
      </c>
      <c r="G804" s="15" t="str">
        <f t="shared" ca="1" si="66"/>
        <v/>
      </c>
      <c r="H804" s="15" t="str">
        <f t="shared" ca="1" si="67"/>
        <v/>
      </c>
      <c r="I804" s="16" t="str">
        <f t="shared" ca="1" si="68"/>
        <v/>
      </c>
    </row>
    <row r="805" spans="1:9" x14ac:dyDescent="0.3">
      <c r="A805" s="3"/>
      <c r="B805" s="9"/>
      <c r="C805" s="9"/>
      <c r="E805" s="14" t="str">
        <f t="shared" si="64"/>
        <v/>
      </c>
      <c r="F805" s="15" t="str">
        <f t="shared" ca="1" si="65"/>
        <v/>
      </c>
      <c r="G805" s="15" t="str">
        <f t="shared" ca="1" si="66"/>
        <v/>
      </c>
      <c r="H805" s="15" t="str">
        <f t="shared" ca="1" si="67"/>
        <v/>
      </c>
      <c r="I805" s="16" t="str">
        <f t="shared" ca="1" si="68"/>
        <v/>
      </c>
    </row>
    <row r="806" spans="1:9" x14ac:dyDescent="0.3">
      <c r="A806" s="3"/>
      <c r="B806" s="9"/>
      <c r="C806" s="9"/>
      <c r="E806" s="14" t="str">
        <f t="shared" si="64"/>
        <v/>
      </c>
      <c r="F806" s="15" t="str">
        <f t="shared" ca="1" si="65"/>
        <v/>
      </c>
      <c r="G806" s="15" t="str">
        <f t="shared" ca="1" si="66"/>
        <v/>
      </c>
      <c r="H806" s="15" t="str">
        <f t="shared" ca="1" si="67"/>
        <v/>
      </c>
      <c r="I806" s="16" t="str">
        <f t="shared" ca="1" si="68"/>
        <v/>
      </c>
    </row>
    <row r="807" spans="1:9" x14ac:dyDescent="0.3">
      <c r="A807" s="3"/>
      <c r="B807" s="9"/>
      <c r="C807" s="9"/>
      <c r="E807" s="14" t="str">
        <f t="shared" si="64"/>
        <v/>
      </c>
      <c r="F807" s="15" t="str">
        <f t="shared" ca="1" si="65"/>
        <v/>
      </c>
      <c r="G807" s="15" t="str">
        <f t="shared" ca="1" si="66"/>
        <v/>
      </c>
      <c r="H807" s="15" t="str">
        <f t="shared" ca="1" si="67"/>
        <v/>
      </c>
      <c r="I807" s="16" t="str">
        <f t="shared" ca="1" si="68"/>
        <v/>
      </c>
    </row>
    <row r="808" spans="1:9" x14ac:dyDescent="0.3">
      <c r="A808" s="3"/>
      <c r="B808" s="9"/>
      <c r="C808" s="9"/>
      <c r="E808" s="14" t="str">
        <f t="shared" si="64"/>
        <v/>
      </c>
      <c r="F808" s="15" t="str">
        <f t="shared" ca="1" si="65"/>
        <v/>
      </c>
      <c r="G808" s="15" t="str">
        <f t="shared" ca="1" si="66"/>
        <v/>
      </c>
      <c r="H808" s="15" t="str">
        <f t="shared" ca="1" si="67"/>
        <v/>
      </c>
      <c r="I808" s="16" t="str">
        <f t="shared" ca="1" si="68"/>
        <v/>
      </c>
    </row>
    <row r="809" spans="1:9" x14ac:dyDescent="0.3">
      <c r="A809" s="3"/>
      <c r="B809" s="9"/>
      <c r="C809" s="9"/>
      <c r="E809" s="14" t="str">
        <f t="shared" si="64"/>
        <v/>
      </c>
      <c r="F809" s="15" t="str">
        <f t="shared" ca="1" si="65"/>
        <v/>
      </c>
      <c r="G809" s="15" t="str">
        <f t="shared" ca="1" si="66"/>
        <v/>
      </c>
      <c r="H809" s="15" t="str">
        <f t="shared" ca="1" si="67"/>
        <v/>
      </c>
      <c r="I809" s="16" t="str">
        <f t="shared" ca="1" si="68"/>
        <v/>
      </c>
    </row>
    <row r="810" spans="1:9" x14ac:dyDescent="0.3">
      <c r="A810" s="3"/>
      <c r="B810" s="9"/>
      <c r="C810" s="9"/>
      <c r="E810" s="14" t="str">
        <f t="shared" si="64"/>
        <v/>
      </c>
      <c r="F810" s="15" t="str">
        <f t="shared" ca="1" si="65"/>
        <v/>
      </c>
      <c r="G810" s="15" t="str">
        <f t="shared" ca="1" si="66"/>
        <v/>
      </c>
      <c r="H810" s="15" t="str">
        <f t="shared" ca="1" si="67"/>
        <v/>
      </c>
      <c r="I810" s="16" t="str">
        <f t="shared" ca="1" si="68"/>
        <v/>
      </c>
    </row>
    <row r="811" spans="1:9" x14ac:dyDescent="0.3">
      <c r="A811" s="3"/>
      <c r="B811" s="9"/>
      <c r="C811" s="9"/>
      <c r="E811" s="14" t="str">
        <f t="shared" si="64"/>
        <v/>
      </c>
      <c r="F811" s="15" t="str">
        <f t="shared" ca="1" si="65"/>
        <v/>
      </c>
      <c r="G811" s="15" t="str">
        <f t="shared" ca="1" si="66"/>
        <v/>
      </c>
      <c r="H811" s="15" t="str">
        <f t="shared" ca="1" si="67"/>
        <v/>
      </c>
      <c r="I811" s="16" t="str">
        <f t="shared" ca="1" si="68"/>
        <v/>
      </c>
    </row>
    <row r="812" spans="1:9" x14ac:dyDescent="0.3">
      <c r="A812" s="3"/>
      <c r="B812" s="9"/>
      <c r="C812" s="9"/>
      <c r="E812" s="14" t="str">
        <f t="shared" si="64"/>
        <v/>
      </c>
      <c r="F812" s="15" t="str">
        <f t="shared" ca="1" si="65"/>
        <v/>
      </c>
      <c r="G812" s="15" t="str">
        <f t="shared" ca="1" si="66"/>
        <v/>
      </c>
      <c r="H812" s="15" t="str">
        <f t="shared" ca="1" si="67"/>
        <v/>
      </c>
      <c r="I812" s="16" t="str">
        <f t="shared" ca="1" si="68"/>
        <v/>
      </c>
    </row>
    <row r="813" spans="1:9" x14ac:dyDescent="0.3">
      <c r="A813" s="3"/>
      <c r="B813" s="9"/>
      <c r="C813" s="9"/>
      <c r="E813" s="14" t="str">
        <f t="shared" si="64"/>
        <v/>
      </c>
      <c r="F813" s="15" t="str">
        <f t="shared" ca="1" si="65"/>
        <v/>
      </c>
      <c r="G813" s="15" t="str">
        <f t="shared" ca="1" si="66"/>
        <v/>
      </c>
      <c r="H813" s="15" t="str">
        <f t="shared" ca="1" si="67"/>
        <v/>
      </c>
      <c r="I813" s="16" t="str">
        <f t="shared" ca="1" si="68"/>
        <v/>
      </c>
    </row>
    <row r="814" spans="1:9" x14ac:dyDescent="0.3">
      <c r="A814" s="3"/>
      <c r="B814" s="9"/>
      <c r="C814" s="9"/>
      <c r="E814" s="14" t="str">
        <f t="shared" si="64"/>
        <v/>
      </c>
      <c r="F814" s="15" t="str">
        <f t="shared" ca="1" si="65"/>
        <v/>
      </c>
      <c r="G814" s="15" t="str">
        <f t="shared" ca="1" si="66"/>
        <v/>
      </c>
      <c r="H814" s="15" t="str">
        <f t="shared" ca="1" si="67"/>
        <v/>
      </c>
      <c r="I814" s="16" t="str">
        <f t="shared" ca="1" si="68"/>
        <v/>
      </c>
    </row>
    <row r="815" spans="1:9" x14ac:dyDescent="0.3">
      <c r="A815" s="3"/>
      <c r="B815" s="9"/>
      <c r="C815" s="9"/>
      <c r="E815" s="14" t="str">
        <f t="shared" si="64"/>
        <v/>
      </c>
      <c r="F815" s="15" t="str">
        <f t="shared" ca="1" si="65"/>
        <v/>
      </c>
      <c r="G815" s="15" t="str">
        <f t="shared" ca="1" si="66"/>
        <v/>
      </c>
      <c r="H815" s="15" t="str">
        <f t="shared" ca="1" si="67"/>
        <v/>
      </c>
      <c r="I815" s="16" t="str">
        <f t="shared" ca="1" si="68"/>
        <v/>
      </c>
    </row>
    <row r="816" spans="1:9" x14ac:dyDescent="0.3">
      <c r="A816" s="3"/>
      <c r="B816" s="9"/>
      <c r="C816" s="9"/>
      <c r="E816" s="14" t="str">
        <f t="shared" si="64"/>
        <v/>
      </c>
      <c r="F816" s="15" t="str">
        <f t="shared" ca="1" si="65"/>
        <v/>
      </c>
      <c r="G816" s="15" t="str">
        <f t="shared" ca="1" si="66"/>
        <v/>
      </c>
      <c r="H816" s="15" t="str">
        <f t="shared" ca="1" si="67"/>
        <v/>
      </c>
      <c r="I816" s="16" t="str">
        <f t="shared" ca="1" si="68"/>
        <v/>
      </c>
    </row>
    <row r="817" spans="1:9" x14ac:dyDescent="0.3">
      <c r="A817" s="3"/>
      <c r="B817" s="9"/>
      <c r="C817" s="9"/>
      <c r="E817" s="14" t="str">
        <f t="shared" si="64"/>
        <v/>
      </c>
      <c r="F817" s="15" t="str">
        <f t="shared" ca="1" si="65"/>
        <v/>
      </c>
      <c r="G817" s="15" t="str">
        <f t="shared" ca="1" si="66"/>
        <v/>
      </c>
      <c r="H817" s="15" t="str">
        <f t="shared" ca="1" si="67"/>
        <v/>
      </c>
      <c r="I817" s="16" t="str">
        <f t="shared" ca="1" si="68"/>
        <v/>
      </c>
    </row>
    <row r="818" spans="1:9" x14ac:dyDescent="0.3">
      <c r="A818" s="3"/>
      <c r="B818" s="9"/>
      <c r="C818" s="9"/>
      <c r="E818" s="14" t="str">
        <f t="shared" si="64"/>
        <v/>
      </c>
      <c r="F818" s="15" t="str">
        <f t="shared" ca="1" si="65"/>
        <v/>
      </c>
      <c r="G818" s="15" t="str">
        <f t="shared" ca="1" si="66"/>
        <v/>
      </c>
      <c r="H818" s="15" t="str">
        <f t="shared" ca="1" si="67"/>
        <v/>
      </c>
      <c r="I818" s="16" t="str">
        <f t="shared" ca="1" si="68"/>
        <v/>
      </c>
    </row>
    <row r="819" spans="1:9" x14ac:dyDescent="0.3">
      <c r="A819" s="3"/>
      <c r="B819" s="9"/>
      <c r="C819" s="9"/>
      <c r="E819" s="14" t="str">
        <f t="shared" si="64"/>
        <v/>
      </c>
      <c r="F819" s="15" t="str">
        <f t="shared" ca="1" si="65"/>
        <v/>
      </c>
      <c r="G819" s="15" t="str">
        <f t="shared" ca="1" si="66"/>
        <v/>
      </c>
      <c r="H819" s="15" t="str">
        <f t="shared" ca="1" si="67"/>
        <v/>
      </c>
      <c r="I819" s="16" t="str">
        <f t="shared" ca="1" si="68"/>
        <v/>
      </c>
    </row>
    <row r="820" spans="1:9" x14ac:dyDescent="0.3">
      <c r="A820" s="3"/>
      <c r="B820" s="9"/>
      <c r="C820" s="9"/>
      <c r="E820" s="14" t="str">
        <f t="shared" si="64"/>
        <v/>
      </c>
      <c r="F820" s="15" t="str">
        <f t="shared" ca="1" si="65"/>
        <v/>
      </c>
      <c r="G820" s="15" t="str">
        <f t="shared" ca="1" si="66"/>
        <v/>
      </c>
      <c r="H820" s="15" t="str">
        <f t="shared" ca="1" si="67"/>
        <v/>
      </c>
      <c r="I820" s="16" t="str">
        <f t="shared" ca="1" si="68"/>
        <v/>
      </c>
    </row>
    <row r="821" spans="1:9" x14ac:dyDescent="0.3">
      <c r="A821" s="3"/>
      <c r="B821" s="9"/>
      <c r="C821" s="9"/>
      <c r="E821" s="14" t="str">
        <f t="shared" si="64"/>
        <v/>
      </c>
      <c r="F821" s="15" t="str">
        <f t="shared" ca="1" si="65"/>
        <v/>
      </c>
      <c r="G821" s="15" t="str">
        <f t="shared" ca="1" si="66"/>
        <v/>
      </c>
      <c r="H821" s="15" t="str">
        <f t="shared" ca="1" si="67"/>
        <v/>
      </c>
      <c r="I821" s="16" t="str">
        <f t="shared" ca="1" si="68"/>
        <v/>
      </c>
    </row>
    <row r="822" spans="1:9" x14ac:dyDescent="0.3">
      <c r="A822" s="3"/>
      <c r="B822" s="9"/>
      <c r="C822" s="9"/>
      <c r="E822" s="14" t="str">
        <f t="shared" si="64"/>
        <v/>
      </c>
      <c r="F822" s="15" t="str">
        <f t="shared" ca="1" si="65"/>
        <v/>
      </c>
      <c r="G822" s="15" t="str">
        <f t="shared" ca="1" si="66"/>
        <v/>
      </c>
      <c r="H822" s="15" t="str">
        <f t="shared" ca="1" si="67"/>
        <v/>
      </c>
      <c r="I822" s="16" t="str">
        <f t="shared" ca="1" si="68"/>
        <v/>
      </c>
    </row>
    <row r="823" spans="1:9" x14ac:dyDescent="0.3">
      <c r="A823" s="3"/>
      <c r="B823" s="9"/>
      <c r="C823" s="9"/>
      <c r="E823" s="14" t="str">
        <f t="shared" si="64"/>
        <v/>
      </c>
      <c r="F823" s="15" t="str">
        <f t="shared" ca="1" si="65"/>
        <v/>
      </c>
      <c r="G823" s="15" t="str">
        <f t="shared" ca="1" si="66"/>
        <v/>
      </c>
      <c r="H823" s="15" t="str">
        <f t="shared" ca="1" si="67"/>
        <v/>
      </c>
      <c r="I823" s="16" t="str">
        <f t="shared" ca="1" si="68"/>
        <v/>
      </c>
    </row>
    <row r="824" spans="1:9" x14ac:dyDescent="0.3">
      <c r="A824" s="3"/>
      <c r="B824" s="9"/>
      <c r="C824" s="9"/>
      <c r="E824" s="14" t="str">
        <f t="shared" si="64"/>
        <v/>
      </c>
      <c r="F824" s="15" t="str">
        <f t="shared" ca="1" si="65"/>
        <v/>
      </c>
      <c r="G824" s="15" t="str">
        <f t="shared" ca="1" si="66"/>
        <v/>
      </c>
      <c r="H824" s="15" t="str">
        <f t="shared" ca="1" si="67"/>
        <v/>
      </c>
      <c r="I824" s="16" t="str">
        <f t="shared" ca="1" si="68"/>
        <v/>
      </c>
    </row>
    <row r="825" spans="1:9" x14ac:dyDescent="0.3">
      <c r="A825" s="3"/>
      <c r="B825" s="9"/>
      <c r="C825" s="9"/>
      <c r="E825" s="14" t="str">
        <f t="shared" si="64"/>
        <v/>
      </c>
      <c r="F825" s="15" t="str">
        <f t="shared" ca="1" si="65"/>
        <v/>
      </c>
      <c r="G825" s="15" t="str">
        <f t="shared" ca="1" si="66"/>
        <v/>
      </c>
      <c r="H825" s="15" t="str">
        <f t="shared" ca="1" si="67"/>
        <v/>
      </c>
      <c r="I825" s="16" t="str">
        <f t="shared" ca="1" si="68"/>
        <v/>
      </c>
    </row>
    <row r="826" spans="1:9" x14ac:dyDescent="0.3">
      <c r="A826" s="3"/>
      <c r="B826" s="9"/>
      <c r="C826" s="9"/>
      <c r="E826" s="14" t="str">
        <f t="shared" si="64"/>
        <v/>
      </c>
      <c r="F826" s="15" t="str">
        <f t="shared" ca="1" si="65"/>
        <v/>
      </c>
      <c r="G826" s="15" t="str">
        <f t="shared" ca="1" si="66"/>
        <v/>
      </c>
      <c r="H826" s="15" t="str">
        <f t="shared" ca="1" si="67"/>
        <v/>
      </c>
      <c r="I826" s="16" t="str">
        <f t="shared" ca="1" si="68"/>
        <v/>
      </c>
    </row>
    <row r="827" spans="1:9" x14ac:dyDescent="0.3">
      <c r="A827" s="3"/>
      <c r="B827" s="9"/>
      <c r="C827" s="9"/>
      <c r="E827" s="14" t="str">
        <f t="shared" si="64"/>
        <v/>
      </c>
      <c r="F827" s="15" t="str">
        <f t="shared" ca="1" si="65"/>
        <v/>
      </c>
      <c r="G827" s="15" t="str">
        <f t="shared" ca="1" si="66"/>
        <v/>
      </c>
      <c r="H827" s="15" t="str">
        <f t="shared" ca="1" si="67"/>
        <v/>
      </c>
      <c r="I827" s="16" t="str">
        <f t="shared" ca="1" si="68"/>
        <v/>
      </c>
    </row>
    <row r="828" spans="1:9" x14ac:dyDescent="0.3">
      <c r="A828" s="3"/>
      <c r="B828" s="9"/>
      <c r="C828" s="9"/>
      <c r="E828" s="14" t="str">
        <f t="shared" si="64"/>
        <v/>
      </c>
      <c r="F828" s="15" t="str">
        <f t="shared" ca="1" si="65"/>
        <v/>
      </c>
      <c r="G828" s="15" t="str">
        <f t="shared" ca="1" si="66"/>
        <v/>
      </c>
      <c r="H828" s="15" t="str">
        <f t="shared" ca="1" si="67"/>
        <v/>
      </c>
      <c r="I828" s="16" t="str">
        <f t="shared" ca="1" si="68"/>
        <v/>
      </c>
    </row>
    <row r="829" spans="1:9" x14ac:dyDescent="0.3">
      <c r="A829" s="3"/>
      <c r="B829" s="9"/>
      <c r="C829" s="9"/>
      <c r="E829" s="14" t="str">
        <f t="shared" si="64"/>
        <v/>
      </c>
      <c r="F829" s="15" t="str">
        <f t="shared" ca="1" si="65"/>
        <v/>
      </c>
      <c r="G829" s="15" t="str">
        <f t="shared" ca="1" si="66"/>
        <v/>
      </c>
      <c r="H829" s="15" t="str">
        <f t="shared" ca="1" si="67"/>
        <v/>
      </c>
      <c r="I829" s="16" t="str">
        <f t="shared" ca="1" si="68"/>
        <v/>
      </c>
    </row>
    <row r="830" spans="1:9" x14ac:dyDescent="0.3">
      <c r="A830" s="3"/>
      <c r="B830" s="9"/>
      <c r="C830" s="9"/>
      <c r="E830" s="14" t="str">
        <f t="shared" si="64"/>
        <v/>
      </c>
      <c r="F830" s="15" t="str">
        <f t="shared" ca="1" si="65"/>
        <v/>
      </c>
      <c r="G830" s="15" t="str">
        <f t="shared" ca="1" si="66"/>
        <v/>
      </c>
      <c r="H830" s="15" t="str">
        <f t="shared" ca="1" si="67"/>
        <v/>
      </c>
      <c r="I830" s="16" t="str">
        <f t="shared" ca="1" si="68"/>
        <v/>
      </c>
    </row>
    <row r="831" spans="1:9" x14ac:dyDescent="0.3">
      <c r="A831" s="3"/>
      <c r="B831" s="9"/>
      <c r="C831" s="9"/>
      <c r="E831" s="14" t="str">
        <f t="shared" si="64"/>
        <v/>
      </c>
      <c r="F831" s="15" t="str">
        <f t="shared" ca="1" si="65"/>
        <v/>
      </c>
      <c r="G831" s="15" t="str">
        <f t="shared" ca="1" si="66"/>
        <v/>
      </c>
      <c r="H831" s="15" t="str">
        <f t="shared" ca="1" si="67"/>
        <v/>
      </c>
      <c r="I831" s="16" t="str">
        <f t="shared" ca="1" si="68"/>
        <v/>
      </c>
    </row>
    <row r="832" spans="1:9" x14ac:dyDescent="0.3">
      <c r="A832" s="3"/>
      <c r="B832" s="9"/>
      <c r="C832" s="9"/>
      <c r="E832" s="14" t="str">
        <f t="shared" si="64"/>
        <v/>
      </c>
      <c r="F832" s="15" t="str">
        <f t="shared" ca="1" si="65"/>
        <v/>
      </c>
      <c r="G832" s="15" t="str">
        <f t="shared" ca="1" si="66"/>
        <v/>
      </c>
      <c r="H832" s="15" t="str">
        <f t="shared" ca="1" si="67"/>
        <v/>
      </c>
      <c r="I832" s="16" t="str">
        <f t="shared" ca="1" si="68"/>
        <v/>
      </c>
    </row>
    <row r="833" spans="1:9" x14ac:dyDescent="0.3">
      <c r="A833" s="3"/>
      <c r="B833" s="9"/>
      <c r="C833" s="9"/>
      <c r="E833" s="14" t="str">
        <f t="shared" si="64"/>
        <v/>
      </c>
      <c r="F833" s="15" t="str">
        <f t="shared" ca="1" si="65"/>
        <v/>
      </c>
      <c r="G833" s="15" t="str">
        <f t="shared" ca="1" si="66"/>
        <v/>
      </c>
      <c r="H833" s="15" t="str">
        <f t="shared" ca="1" si="67"/>
        <v/>
      </c>
      <c r="I833" s="16" t="str">
        <f t="shared" ca="1" si="68"/>
        <v/>
      </c>
    </row>
    <row r="834" spans="1:9" x14ac:dyDescent="0.3">
      <c r="A834" s="3"/>
      <c r="B834" s="9"/>
      <c r="C834" s="9"/>
      <c r="E834" s="14" t="str">
        <f t="shared" si="64"/>
        <v/>
      </c>
      <c r="F834" s="15" t="str">
        <f t="shared" ca="1" si="65"/>
        <v/>
      </c>
      <c r="G834" s="15" t="str">
        <f t="shared" ca="1" si="66"/>
        <v/>
      </c>
      <c r="H834" s="15" t="str">
        <f t="shared" ca="1" si="67"/>
        <v/>
      </c>
      <c r="I834" s="16" t="str">
        <f t="shared" ca="1" si="68"/>
        <v/>
      </c>
    </row>
    <row r="835" spans="1:9" x14ac:dyDescent="0.3">
      <c r="A835" s="3"/>
      <c r="B835" s="9"/>
      <c r="C835" s="9"/>
      <c r="E835" s="14" t="str">
        <f t="shared" ref="E835:E898" si="69">IF(ISNUMBER(B835),B835/C835,"")</f>
        <v/>
      </c>
      <c r="F835" s="15" t="str">
        <f t="shared" ca="1" si="65"/>
        <v/>
      </c>
      <c r="G835" s="15" t="str">
        <f t="shared" ca="1" si="66"/>
        <v/>
      </c>
      <c r="H835" s="15" t="str">
        <f t="shared" ca="1" si="67"/>
        <v/>
      </c>
      <c r="I835" s="16" t="str">
        <f t="shared" ca="1" si="68"/>
        <v/>
      </c>
    </row>
    <row r="836" spans="1:9" x14ac:dyDescent="0.3">
      <c r="A836" s="3"/>
      <c r="B836" s="9"/>
      <c r="C836" s="9"/>
      <c r="E836" s="14" t="str">
        <f t="shared" si="69"/>
        <v/>
      </c>
      <c r="F836" s="15" t="str">
        <f t="shared" ca="1" si="65"/>
        <v/>
      </c>
      <c r="G836" s="15" t="str">
        <f t="shared" ca="1" si="66"/>
        <v/>
      </c>
      <c r="H836" s="15" t="str">
        <f t="shared" ca="1" si="67"/>
        <v/>
      </c>
      <c r="I836" s="16" t="str">
        <f t="shared" ca="1" si="68"/>
        <v/>
      </c>
    </row>
    <row r="837" spans="1:9" x14ac:dyDescent="0.3">
      <c r="A837" s="3"/>
      <c r="B837" s="9"/>
      <c r="C837" s="9"/>
      <c r="E837" s="14" t="str">
        <f t="shared" si="69"/>
        <v/>
      </c>
      <c r="F837" s="15" t="str">
        <f t="shared" ca="1" si="65"/>
        <v/>
      </c>
      <c r="G837" s="15" t="str">
        <f t="shared" ca="1" si="66"/>
        <v/>
      </c>
      <c r="H837" s="15" t="str">
        <f t="shared" ca="1" si="67"/>
        <v/>
      </c>
      <c r="I837" s="16" t="str">
        <f t="shared" ca="1" si="68"/>
        <v/>
      </c>
    </row>
    <row r="838" spans="1:9" x14ac:dyDescent="0.3">
      <c r="A838" s="3"/>
      <c r="B838" s="9"/>
      <c r="C838" s="9"/>
      <c r="E838" s="14" t="str">
        <f t="shared" si="69"/>
        <v/>
      </c>
      <c r="F838" s="15" t="str">
        <f t="shared" ca="1" si="65"/>
        <v/>
      </c>
      <c r="G838" s="15" t="str">
        <f t="shared" ca="1" si="66"/>
        <v/>
      </c>
      <c r="H838" s="15" t="str">
        <f t="shared" ca="1" si="67"/>
        <v/>
      </c>
      <c r="I838" s="16" t="str">
        <f t="shared" ca="1" si="68"/>
        <v/>
      </c>
    </row>
    <row r="839" spans="1:9" x14ac:dyDescent="0.3">
      <c r="A839" s="3"/>
      <c r="B839" s="9"/>
      <c r="C839" s="9"/>
      <c r="E839" s="14" t="str">
        <f t="shared" si="69"/>
        <v/>
      </c>
      <c r="F839" s="15" t="str">
        <f t="shared" ca="1" si="65"/>
        <v/>
      </c>
      <c r="G839" s="15" t="str">
        <f t="shared" ca="1" si="66"/>
        <v/>
      </c>
      <c r="H839" s="15" t="str">
        <f t="shared" ca="1" si="67"/>
        <v/>
      </c>
      <c r="I839" s="16" t="str">
        <f t="shared" ca="1" si="68"/>
        <v/>
      </c>
    </row>
    <row r="840" spans="1:9" x14ac:dyDescent="0.3">
      <c r="A840" s="3"/>
      <c r="B840" s="9"/>
      <c r="C840" s="9"/>
      <c r="E840" s="14" t="str">
        <f t="shared" si="69"/>
        <v/>
      </c>
      <c r="F840" s="15" t="str">
        <f t="shared" ca="1" si="65"/>
        <v/>
      </c>
      <c r="G840" s="15" t="str">
        <f t="shared" ca="1" si="66"/>
        <v/>
      </c>
      <c r="H840" s="15" t="str">
        <f t="shared" ca="1" si="67"/>
        <v/>
      </c>
      <c r="I840" s="16" t="str">
        <f t="shared" ca="1" si="68"/>
        <v/>
      </c>
    </row>
    <row r="841" spans="1:9" x14ac:dyDescent="0.3">
      <c r="A841" s="3"/>
      <c r="B841" s="9"/>
      <c r="C841" s="9"/>
      <c r="E841" s="14" t="str">
        <f t="shared" si="69"/>
        <v/>
      </c>
      <c r="F841" s="15" t="str">
        <f t="shared" ca="1" si="65"/>
        <v/>
      </c>
      <c r="G841" s="15" t="str">
        <f t="shared" ca="1" si="66"/>
        <v/>
      </c>
      <c r="H841" s="15" t="str">
        <f t="shared" ca="1" si="67"/>
        <v/>
      </c>
      <c r="I841" s="16" t="str">
        <f t="shared" ca="1" si="68"/>
        <v/>
      </c>
    </row>
    <row r="842" spans="1:9" x14ac:dyDescent="0.3">
      <c r="A842" s="3"/>
      <c r="B842" s="9"/>
      <c r="C842" s="9"/>
      <c r="E842" s="14" t="str">
        <f t="shared" si="69"/>
        <v/>
      </c>
      <c r="F842" s="15" t="str">
        <f t="shared" ca="1" si="65"/>
        <v/>
      </c>
      <c r="G842" s="15" t="str">
        <f t="shared" ca="1" si="66"/>
        <v/>
      </c>
      <c r="H842" s="15" t="str">
        <f t="shared" ca="1" si="67"/>
        <v/>
      </c>
      <c r="I842" s="16" t="str">
        <f t="shared" ca="1" si="68"/>
        <v/>
      </c>
    </row>
    <row r="843" spans="1:9" x14ac:dyDescent="0.3">
      <c r="A843" s="3"/>
      <c r="B843" s="9"/>
      <c r="C843" s="9"/>
      <c r="E843" s="14" t="str">
        <f t="shared" si="69"/>
        <v/>
      </c>
      <c r="F843" s="15" t="str">
        <f t="shared" ca="1" si="65"/>
        <v/>
      </c>
      <c r="G843" s="15" t="str">
        <f t="shared" ca="1" si="66"/>
        <v/>
      </c>
      <c r="H843" s="15" t="str">
        <f t="shared" ca="1" si="67"/>
        <v/>
      </c>
      <c r="I843" s="16" t="str">
        <f t="shared" ca="1" si="68"/>
        <v/>
      </c>
    </row>
    <row r="844" spans="1:9" x14ac:dyDescent="0.3">
      <c r="A844" s="3"/>
      <c r="B844" s="9"/>
      <c r="C844" s="9"/>
      <c r="E844" s="14" t="str">
        <f t="shared" si="69"/>
        <v/>
      </c>
      <c r="F844" s="15" t="str">
        <f t="shared" ca="1" si="65"/>
        <v/>
      </c>
      <c r="G844" s="15" t="str">
        <f t="shared" ca="1" si="66"/>
        <v/>
      </c>
      <c r="H844" s="15" t="str">
        <f t="shared" ca="1" si="67"/>
        <v/>
      </c>
      <c r="I844" s="16" t="str">
        <f t="shared" ca="1" si="68"/>
        <v/>
      </c>
    </row>
    <row r="845" spans="1:9" x14ac:dyDescent="0.3">
      <c r="A845" s="3"/>
      <c r="B845" s="9"/>
      <c r="C845" s="9"/>
      <c r="E845" s="14" t="str">
        <f t="shared" si="69"/>
        <v/>
      </c>
      <c r="F845" s="15" t="str">
        <f t="shared" ca="1" si="65"/>
        <v/>
      </c>
      <c r="G845" s="15" t="str">
        <f t="shared" ca="1" si="66"/>
        <v/>
      </c>
      <c r="H845" s="15" t="str">
        <f t="shared" ca="1" si="67"/>
        <v/>
      </c>
      <c r="I845" s="16" t="str">
        <f t="shared" ca="1" si="68"/>
        <v/>
      </c>
    </row>
    <row r="846" spans="1:9" x14ac:dyDescent="0.3">
      <c r="A846" s="3"/>
      <c r="B846" s="9"/>
      <c r="C846" s="9"/>
      <c r="E846" s="14" t="str">
        <f t="shared" si="69"/>
        <v/>
      </c>
      <c r="F846" s="15" t="str">
        <f t="shared" ca="1" si="65"/>
        <v/>
      </c>
      <c r="G846" s="15" t="str">
        <f t="shared" ca="1" si="66"/>
        <v/>
      </c>
      <c r="H846" s="15" t="str">
        <f t="shared" ca="1" si="67"/>
        <v/>
      </c>
      <c r="I846" s="16" t="str">
        <f t="shared" ca="1" si="68"/>
        <v/>
      </c>
    </row>
    <row r="847" spans="1:9" x14ac:dyDescent="0.3">
      <c r="A847" s="3"/>
      <c r="B847" s="9"/>
      <c r="C847" s="9"/>
      <c r="E847" s="14" t="str">
        <f t="shared" si="69"/>
        <v/>
      </c>
      <c r="F847" s="15" t="str">
        <f t="shared" ca="1" si="65"/>
        <v/>
      </c>
      <c r="G847" s="15" t="str">
        <f t="shared" ca="1" si="66"/>
        <v/>
      </c>
      <c r="H847" s="15" t="str">
        <f t="shared" ca="1" si="67"/>
        <v/>
      </c>
      <c r="I847" s="16" t="str">
        <f t="shared" ca="1" si="68"/>
        <v/>
      </c>
    </row>
    <row r="848" spans="1:9" x14ac:dyDescent="0.3">
      <c r="A848" s="3"/>
      <c r="B848" s="9"/>
      <c r="C848" s="9"/>
      <c r="E848" s="14" t="str">
        <f t="shared" si="69"/>
        <v/>
      </c>
      <c r="F848" s="15" t="str">
        <f t="shared" ca="1" si="65"/>
        <v/>
      </c>
      <c r="G848" s="15" t="str">
        <f t="shared" ca="1" si="66"/>
        <v/>
      </c>
      <c r="H848" s="15" t="str">
        <f t="shared" ca="1" si="67"/>
        <v/>
      </c>
      <c r="I848" s="16" t="str">
        <f t="shared" ca="1" si="68"/>
        <v/>
      </c>
    </row>
    <row r="849" spans="1:9" x14ac:dyDescent="0.3">
      <c r="A849" s="3"/>
      <c r="B849" s="9"/>
      <c r="C849" s="9"/>
      <c r="E849" s="14" t="str">
        <f t="shared" si="69"/>
        <v/>
      </c>
      <c r="F849" s="15" t="str">
        <f t="shared" ref="F849:F912" ca="1" si="70">IF(ISNUMBER(E849),IF(ROW(E849)&gt;$K$1,AVERAGE(OFFSET(E849,0,0,-$K$1)),""),"")</f>
        <v/>
      </c>
      <c r="G849" s="15" t="str">
        <f t="shared" ref="G849:G912" ca="1" si="71">IF(ISNUMBER(I849),F849+I849*$M$1,"")</f>
        <v/>
      </c>
      <c r="H849" s="15" t="str">
        <f t="shared" ref="H849:H912" ca="1" si="72">IF(ISNUMBER(I849),F849-I849*$M$1,"")</f>
        <v/>
      </c>
      <c r="I849" s="16" t="str">
        <f t="shared" ref="I849:I912" ca="1" si="73">IF(ISNUMBER(E849),IF(ROW(E849)&gt;$K$1,_xlfn.STDEV.P(OFFSET(E849,0,0,-$K$1)),""),"")</f>
        <v/>
      </c>
    </row>
    <row r="850" spans="1:9" x14ac:dyDescent="0.3">
      <c r="A850" s="3"/>
      <c r="B850" s="9"/>
      <c r="C850" s="9"/>
      <c r="E850" s="14" t="str">
        <f t="shared" si="69"/>
        <v/>
      </c>
      <c r="F850" s="15" t="str">
        <f t="shared" ca="1" si="70"/>
        <v/>
      </c>
      <c r="G850" s="15" t="str">
        <f t="shared" ca="1" si="71"/>
        <v/>
      </c>
      <c r="H850" s="15" t="str">
        <f t="shared" ca="1" si="72"/>
        <v/>
      </c>
      <c r="I850" s="16" t="str">
        <f t="shared" ca="1" si="73"/>
        <v/>
      </c>
    </row>
    <row r="851" spans="1:9" x14ac:dyDescent="0.3">
      <c r="A851" s="3"/>
      <c r="B851" s="9"/>
      <c r="C851" s="9"/>
      <c r="E851" s="14" t="str">
        <f t="shared" si="69"/>
        <v/>
      </c>
      <c r="F851" s="15" t="str">
        <f t="shared" ca="1" si="70"/>
        <v/>
      </c>
      <c r="G851" s="15" t="str">
        <f t="shared" ca="1" si="71"/>
        <v/>
      </c>
      <c r="H851" s="15" t="str">
        <f t="shared" ca="1" si="72"/>
        <v/>
      </c>
      <c r="I851" s="16" t="str">
        <f t="shared" ca="1" si="73"/>
        <v/>
      </c>
    </row>
    <row r="852" spans="1:9" x14ac:dyDescent="0.3">
      <c r="A852" s="3"/>
      <c r="B852" s="9"/>
      <c r="C852" s="9"/>
      <c r="E852" s="14" t="str">
        <f t="shared" si="69"/>
        <v/>
      </c>
      <c r="F852" s="15" t="str">
        <f t="shared" ca="1" si="70"/>
        <v/>
      </c>
      <c r="G852" s="15" t="str">
        <f t="shared" ca="1" si="71"/>
        <v/>
      </c>
      <c r="H852" s="15" t="str">
        <f t="shared" ca="1" si="72"/>
        <v/>
      </c>
      <c r="I852" s="16" t="str">
        <f t="shared" ca="1" si="73"/>
        <v/>
      </c>
    </row>
    <row r="853" spans="1:9" x14ac:dyDescent="0.3">
      <c r="A853" s="3"/>
      <c r="B853" s="9"/>
      <c r="C853" s="9"/>
      <c r="E853" s="14" t="str">
        <f t="shared" si="69"/>
        <v/>
      </c>
      <c r="F853" s="15" t="str">
        <f t="shared" ca="1" si="70"/>
        <v/>
      </c>
      <c r="G853" s="15" t="str">
        <f t="shared" ca="1" si="71"/>
        <v/>
      </c>
      <c r="H853" s="15" t="str">
        <f t="shared" ca="1" si="72"/>
        <v/>
      </c>
      <c r="I853" s="16" t="str">
        <f t="shared" ca="1" si="73"/>
        <v/>
      </c>
    </row>
    <row r="854" spans="1:9" x14ac:dyDescent="0.3">
      <c r="A854" s="3"/>
      <c r="B854" s="9"/>
      <c r="C854" s="9"/>
      <c r="E854" s="14" t="str">
        <f t="shared" si="69"/>
        <v/>
      </c>
      <c r="F854" s="15" t="str">
        <f t="shared" ca="1" si="70"/>
        <v/>
      </c>
      <c r="G854" s="15" t="str">
        <f t="shared" ca="1" si="71"/>
        <v/>
      </c>
      <c r="H854" s="15" t="str">
        <f t="shared" ca="1" si="72"/>
        <v/>
      </c>
      <c r="I854" s="16" t="str">
        <f t="shared" ca="1" si="73"/>
        <v/>
      </c>
    </row>
    <row r="855" spans="1:9" x14ac:dyDescent="0.3">
      <c r="A855" s="3"/>
      <c r="B855" s="9"/>
      <c r="C855" s="9"/>
      <c r="E855" s="14" t="str">
        <f t="shared" si="69"/>
        <v/>
      </c>
      <c r="F855" s="15" t="str">
        <f t="shared" ca="1" si="70"/>
        <v/>
      </c>
      <c r="G855" s="15" t="str">
        <f t="shared" ca="1" si="71"/>
        <v/>
      </c>
      <c r="H855" s="15" t="str">
        <f t="shared" ca="1" si="72"/>
        <v/>
      </c>
      <c r="I855" s="16" t="str">
        <f t="shared" ca="1" si="73"/>
        <v/>
      </c>
    </row>
    <row r="856" spans="1:9" x14ac:dyDescent="0.3">
      <c r="A856" s="3"/>
      <c r="B856" s="9"/>
      <c r="C856" s="9"/>
      <c r="E856" s="14" t="str">
        <f t="shared" si="69"/>
        <v/>
      </c>
      <c r="F856" s="15" t="str">
        <f t="shared" ca="1" si="70"/>
        <v/>
      </c>
      <c r="G856" s="15" t="str">
        <f t="shared" ca="1" si="71"/>
        <v/>
      </c>
      <c r="H856" s="15" t="str">
        <f t="shared" ca="1" si="72"/>
        <v/>
      </c>
      <c r="I856" s="16" t="str">
        <f t="shared" ca="1" si="73"/>
        <v/>
      </c>
    </row>
    <row r="857" spans="1:9" x14ac:dyDescent="0.3">
      <c r="A857" s="3"/>
      <c r="B857" s="9"/>
      <c r="C857" s="9"/>
      <c r="E857" s="14" t="str">
        <f t="shared" si="69"/>
        <v/>
      </c>
      <c r="F857" s="15" t="str">
        <f t="shared" ca="1" si="70"/>
        <v/>
      </c>
      <c r="G857" s="15" t="str">
        <f t="shared" ca="1" si="71"/>
        <v/>
      </c>
      <c r="H857" s="15" t="str">
        <f t="shared" ca="1" si="72"/>
        <v/>
      </c>
      <c r="I857" s="16" t="str">
        <f t="shared" ca="1" si="73"/>
        <v/>
      </c>
    </row>
    <row r="858" spans="1:9" x14ac:dyDescent="0.3">
      <c r="A858" s="3"/>
      <c r="B858" s="9"/>
      <c r="C858" s="9"/>
      <c r="E858" s="14" t="str">
        <f t="shared" si="69"/>
        <v/>
      </c>
      <c r="F858" s="15" t="str">
        <f t="shared" ca="1" si="70"/>
        <v/>
      </c>
      <c r="G858" s="15" t="str">
        <f t="shared" ca="1" si="71"/>
        <v/>
      </c>
      <c r="H858" s="15" t="str">
        <f t="shared" ca="1" si="72"/>
        <v/>
      </c>
      <c r="I858" s="16" t="str">
        <f t="shared" ca="1" si="73"/>
        <v/>
      </c>
    </row>
    <row r="859" spans="1:9" x14ac:dyDescent="0.3">
      <c r="A859" s="3"/>
      <c r="B859" s="9"/>
      <c r="C859" s="9"/>
      <c r="E859" s="14" t="str">
        <f t="shared" si="69"/>
        <v/>
      </c>
      <c r="F859" s="15" t="str">
        <f t="shared" ca="1" si="70"/>
        <v/>
      </c>
      <c r="G859" s="15" t="str">
        <f t="shared" ca="1" si="71"/>
        <v/>
      </c>
      <c r="H859" s="15" t="str">
        <f t="shared" ca="1" si="72"/>
        <v/>
      </c>
      <c r="I859" s="16" t="str">
        <f t="shared" ca="1" si="73"/>
        <v/>
      </c>
    </row>
    <row r="860" spans="1:9" x14ac:dyDescent="0.3">
      <c r="A860" s="3"/>
      <c r="B860" s="9"/>
      <c r="C860" s="9"/>
      <c r="E860" s="14" t="str">
        <f t="shared" si="69"/>
        <v/>
      </c>
      <c r="F860" s="15" t="str">
        <f t="shared" ca="1" si="70"/>
        <v/>
      </c>
      <c r="G860" s="15" t="str">
        <f t="shared" ca="1" si="71"/>
        <v/>
      </c>
      <c r="H860" s="15" t="str">
        <f t="shared" ca="1" si="72"/>
        <v/>
      </c>
      <c r="I860" s="16" t="str">
        <f t="shared" ca="1" si="73"/>
        <v/>
      </c>
    </row>
    <row r="861" spans="1:9" x14ac:dyDescent="0.3">
      <c r="A861" s="3"/>
      <c r="B861" s="9"/>
      <c r="C861" s="9"/>
      <c r="E861" s="14" t="str">
        <f t="shared" si="69"/>
        <v/>
      </c>
      <c r="F861" s="15" t="str">
        <f t="shared" ca="1" si="70"/>
        <v/>
      </c>
      <c r="G861" s="15" t="str">
        <f t="shared" ca="1" si="71"/>
        <v/>
      </c>
      <c r="H861" s="15" t="str">
        <f t="shared" ca="1" si="72"/>
        <v/>
      </c>
      <c r="I861" s="16" t="str">
        <f t="shared" ca="1" si="73"/>
        <v/>
      </c>
    </row>
    <row r="862" spans="1:9" x14ac:dyDescent="0.3">
      <c r="A862" s="3"/>
      <c r="B862" s="9"/>
      <c r="C862" s="9"/>
      <c r="E862" s="14" t="str">
        <f t="shared" si="69"/>
        <v/>
      </c>
      <c r="F862" s="15" t="str">
        <f t="shared" ca="1" si="70"/>
        <v/>
      </c>
      <c r="G862" s="15" t="str">
        <f t="shared" ca="1" si="71"/>
        <v/>
      </c>
      <c r="H862" s="15" t="str">
        <f t="shared" ca="1" si="72"/>
        <v/>
      </c>
      <c r="I862" s="16" t="str">
        <f t="shared" ca="1" si="73"/>
        <v/>
      </c>
    </row>
    <row r="863" spans="1:9" x14ac:dyDescent="0.3">
      <c r="A863" s="3"/>
      <c r="B863" s="9"/>
      <c r="C863" s="9"/>
      <c r="E863" s="14" t="str">
        <f t="shared" si="69"/>
        <v/>
      </c>
      <c r="F863" s="15" t="str">
        <f t="shared" ca="1" si="70"/>
        <v/>
      </c>
      <c r="G863" s="15" t="str">
        <f t="shared" ca="1" si="71"/>
        <v/>
      </c>
      <c r="H863" s="15" t="str">
        <f t="shared" ca="1" si="72"/>
        <v/>
      </c>
      <c r="I863" s="16" t="str">
        <f t="shared" ca="1" si="73"/>
        <v/>
      </c>
    </row>
    <row r="864" spans="1:9" x14ac:dyDescent="0.3">
      <c r="A864" s="3"/>
      <c r="B864" s="9"/>
      <c r="C864" s="9"/>
      <c r="E864" s="14" t="str">
        <f t="shared" si="69"/>
        <v/>
      </c>
      <c r="F864" s="15" t="str">
        <f t="shared" ca="1" si="70"/>
        <v/>
      </c>
      <c r="G864" s="15" t="str">
        <f t="shared" ca="1" si="71"/>
        <v/>
      </c>
      <c r="H864" s="15" t="str">
        <f t="shared" ca="1" si="72"/>
        <v/>
      </c>
      <c r="I864" s="16" t="str">
        <f t="shared" ca="1" si="73"/>
        <v/>
      </c>
    </row>
    <row r="865" spans="1:9" x14ac:dyDescent="0.3">
      <c r="A865" s="3"/>
      <c r="B865" s="9"/>
      <c r="C865" s="9"/>
      <c r="E865" s="14" t="str">
        <f t="shared" si="69"/>
        <v/>
      </c>
      <c r="F865" s="15" t="str">
        <f t="shared" ca="1" si="70"/>
        <v/>
      </c>
      <c r="G865" s="15" t="str">
        <f t="shared" ca="1" si="71"/>
        <v/>
      </c>
      <c r="H865" s="15" t="str">
        <f t="shared" ca="1" si="72"/>
        <v/>
      </c>
      <c r="I865" s="16" t="str">
        <f t="shared" ca="1" si="73"/>
        <v/>
      </c>
    </row>
    <row r="866" spans="1:9" x14ac:dyDescent="0.3">
      <c r="A866" s="3"/>
      <c r="B866" s="9"/>
      <c r="C866" s="9"/>
      <c r="E866" s="14" t="str">
        <f t="shared" si="69"/>
        <v/>
      </c>
      <c r="F866" s="15" t="str">
        <f t="shared" ca="1" si="70"/>
        <v/>
      </c>
      <c r="G866" s="15" t="str">
        <f t="shared" ca="1" si="71"/>
        <v/>
      </c>
      <c r="H866" s="15" t="str">
        <f t="shared" ca="1" si="72"/>
        <v/>
      </c>
      <c r="I866" s="16" t="str">
        <f t="shared" ca="1" si="73"/>
        <v/>
      </c>
    </row>
    <row r="867" spans="1:9" x14ac:dyDescent="0.3">
      <c r="A867" s="3"/>
      <c r="B867" s="9"/>
      <c r="C867" s="9"/>
      <c r="E867" s="14" t="str">
        <f t="shared" si="69"/>
        <v/>
      </c>
      <c r="F867" s="15" t="str">
        <f t="shared" ca="1" si="70"/>
        <v/>
      </c>
      <c r="G867" s="15" t="str">
        <f t="shared" ca="1" si="71"/>
        <v/>
      </c>
      <c r="H867" s="15" t="str">
        <f t="shared" ca="1" si="72"/>
        <v/>
      </c>
      <c r="I867" s="16" t="str">
        <f t="shared" ca="1" si="73"/>
        <v/>
      </c>
    </row>
    <row r="868" spans="1:9" x14ac:dyDescent="0.3">
      <c r="A868" s="3"/>
      <c r="B868" s="9"/>
      <c r="C868" s="9"/>
      <c r="E868" s="14" t="str">
        <f t="shared" si="69"/>
        <v/>
      </c>
      <c r="F868" s="15" t="str">
        <f t="shared" ca="1" si="70"/>
        <v/>
      </c>
      <c r="G868" s="15" t="str">
        <f t="shared" ca="1" si="71"/>
        <v/>
      </c>
      <c r="H868" s="15" t="str">
        <f t="shared" ca="1" si="72"/>
        <v/>
      </c>
      <c r="I868" s="16" t="str">
        <f t="shared" ca="1" si="73"/>
        <v/>
      </c>
    </row>
    <row r="869" spans="1:9" x14ac:dyDescent="0.3">
      <c r="A869" s="3"/>
      <c r="B869" s="9"/>
      <c r="C869" s="9"/>
      <c r="E869" s="14" t="str">
        <f t="shared" si="69"/>
        <v/>
      </c>
      <c r="F869" s="15" t="str">
        <f t="shared" ca="1" si="70"/>
        <v/>
      </c>
      <c r="G869" s="15" t="str">
        <f t="shared" ca="1" si="71"/>
        <v/>
      </c>
      <c r="H869" s="15" t="str">
        <f t="shared" ca="1" si="72"/>
        <v/>
      </c>
      <c r="I869" s="16" t="str">
        <f t="shared" ca="1" si="73"/>
        <v/>
      </c>
    </row>
    <row r="870" spans="1:9" x14ac:dyDescent="0.3">
      <c r="A870" s="3"/>
      <c r="B870" s="9"/>
      <c r="C870" s="9"/>
      <c r="E870" s="14" t="str">
        <f t="shared" si="69"/>
        <v/>
      </c>
      <c r="F870" s="15" t="str">
        <f t="shared" ca="1" si="70"/>
        <v/>
      </c>
      <c r="G870" s="15" t="str">
        <f t="shared" ca="1" si="71"/>
        <v/>
      </c>
      <c r="H870" s="15" t="str">
        <f t="shared" ca="1" si="72"/>
        <v/>
      </c>
      <c r="I870" s="16" t="str">
        <f t="shared" ca="1" si="73"/>
        <v/>
      </c>
    </row>
    <row r="871" spans="1:9" x14ac:dyDescent="0.3">
      <c r="A871" s="3"/>
      <c r="B871" s="9"/>
      <c r="C871" s="9"/>
      <c r="E871" s="14" t="str">
        <f t="shared" si="69"/>
        <v/>
      </c>
      <c r="F871" s="15" t="str">
        <f t="shared" ca="1" si="70"/>
        <v/>
      </c>
      <c r="G871" s="15" t="str">
        <f t="shared" ca="1" si="71"/>
        <v/>
      </c>
      <c r="H871" s="15" t="str">
        <f t="shared" ca="1" si="72"/>
        <v/>
      </c>
      <c r="I871" s="16" t="str">
        <f t="shared" ca="1" si="73"/>
        <v/>
      </c>
    </row>
    <row r="872" spans="1:9" x14ac:dyDescent="0.3">
      <c r="A872" s="3"/>
      <c r="B872" s="9"/>
      <c r="C872" s="9"/>
      <c r="E872" s="14" t="str">
        <f t="shared" si="69"/>
        <v/>
      </c>
      <c r="F872" s="15" t="str">
        <f t="shared" ca="1" si="70"/>
        <v/>
      </c>
      <c r="G872" s="15" t="str">
        <f t="shared" ca="1" si="71"/>
        <v/>
      </c>
      <c r="H872" s="15" t="str">
        <f t="shared" ca="1" si="72"/>
        <v/>
      </c>
      <c r="I872" s="16" t="str">
        <f t="shared" ca="1" si="73"/>
        <v/>
      </c>
    </row>
    <row r="873" spans="1:9" x14ac:dyDescent="0.3">
      <c r="A873" s="3"/>
      <c r="B873" s="9"/>
      <c r="C873" s="9"/>
      <c r="E873" s="14" t="str">
        <f t="shared" si="69"/>
        <v/>
      </c>
      <c r="F873" s="15" t="str">
        <f t="shared" ca="1" si="70"/>
        <v/>
      </c>
      <c r="G873" s="15" t="str">
        <f t="shared" ca="1" si="71"/>
        <v/>
      </c>
      <c r="H873" s="15" t="str">
        <f t="shared" ca="1" si="72"/>
        <v/>
      </c>
      <c r="I873" s="16" t="str">
        <f t="shared" ca="1" si="73"/>
        <v/>
      </c>
    </row>
    <row r="874" spans="1:9" x14ac:dyDescent="0.3">
      <c r="A874" s="3"/>
      <c r="B874" s="9"/>
      <c r="C874" s="9"/>
      <c r="E874" s="14" t="str">
        <f t="shared" si="69"/>
        <v/>
      </c>
      <c r="F874" s="15" t="str">
        <f t="shared" ca="1" si="70"/>
        <v/>
      </c>
      <c r="G874" s="15" t="str">
        <f t="shared" ca="1" si="71"/>
        <v/>
      </c>
      <c r="H874" s="15" t="str">
        <f t="shared" ca="1" si="72"/>
        <v/>
      </c>
      <c r="I874" s="16" t="str">
        <f t="shared" ca="1" si="73"/>
        <v/>
      </c>
    </row>
    <row r="875" spans="1:9" x14ac:dyDescent="0.3">
      <c r="A875" s="3"/>
      <c r="B875" s="9"/>
      <c r="C875" s="9"/>
      <c r="E875" s="14" t="str">
        <f t="shared" si="69"/>
        <v/>
      </c>
      <c r="F875" s="15" t="str">
        <f t="shared" ca="1" si="70"/>
        <v/>
      </c>
      <c r="G875" s="15" t="str">
        <f t="shared" ca="1" si="71"/>
        <v/>
      </c>
      <c r="H875" s="15" t="str">
        <f t="shared" ca="1" si="72"/>
        <v/>
      </c>
      <c r="I875" s="16" t="str">
        <f t="shared" ca="1" si="73"/>
        <v/>
      </c>
    </row>
    <row r="876" spans="1:9" x14ac:dyDescent="0.3">
      <c r="A876" s="3"/>
      <c r="B876" s="9"/>
      <c r="C876" s="9"/>
      <c r="E876" s="14" t="str">
        <f t="shared" si="69"/>
        <v/>
      </c>
      <c r="F876" s="15" t="str">
        <f t="shared" ca="1" si="70"/>
        <v/>
      </c>
      <c r="G876" s="15" t="str">
        <f t="shared" ca="1" si="71"/>
        <v/>
      </c>
      <c r="H876" s="15" t="str">
        <f t="shared" ca="1" si="72"/>
        <v/>
      </c>
      <c r="I876" s="16" t="str">
        <f t="shared" ca="1" si="73"/>
        <v/>
      </c>
    </row>
    <row r="877" spans="1:9" x14ac:dyDescent="0.3">
      <c r="A877" s="3"/>
      <c r="B877" s="9"/>
      <c r="C877" s="9"/>
      <c r="E877" s="14" t="str">
        <f t="shared" si="69"/>
        <v/>
      </c>
      <c r="F877" s="15" t="str">
        <f t="shared" ca="1" si="70"/>
        <v/>
      </c>
      <c r="G877" s="15" t="str">
        <f t="shared" ca="1" si="71"/>
        <v/>
      </c>
      <c r="H877" s="15" t="str">
        <f t="shared" ca="1" si="72"/>
        <v/>
      </c>
      <c r="I877" s="16" t="str">
        <f t="shared" ca="1" si="73"/>
        <v/>
      </c>
    </row>
    <row r="878" spans="1:9" x14ac:dyDescent="0.3">
      <c r="A878" s="3"/>
      <c r="B878" s="9"/>
      <c r="C878" s="9"/>
      <c r="E878" s="14" t="str">
        <f t="shared" si="69"/>
        <v/>
      </c>
      <c r="F878" s="15" t="str">
        <f t="shared" ca="1" si="70"/>
        <v/>
      </c>
      <c r="G878" s="15" t="str">
        <f t="shared" ca="1" si="71"/>
        <v/>
      </c>
      <c r="H878" s="15" t="str">
        <f t="shared" ca="1" si="72"/>
        <v/>
      </c>
      <c r="I878" s="16" t="str">
        <f t="shared" ca="1" si="73"/>
        <v/>
      </c>
    </row>
    <row r="879" spans="1:9" x14ac:dyDescent="0.3">
      <c r="A879" s="3"/>
      <c r="B879" s="9"/>
      <c r="C879" s="9"/>
      <c r="E879" s="14" t="str">
        <f t="shared" si="69"/>
        <v/>
      </c>
      <c r="F879" s="15" t="str">
        <f t="shared" ca="1" si="70"/>
        <v/>
      </c>
      <c r="G879" s="15" t="str">
        <f t="shared" ca="1" si="71"/>
        <v/>
      </c>
      <c r="H879" s="15" t="str">
        <f t="shared" ca="1" si="72"/>
        <v/>
      </c>
      <c r="I879" s="16" t="str">
        <f t="shared" ca="1" si="73"/>
        <v/>
      </c>
    </row>
    <row r="880" spans="1:9" x14ac:dyDescent="0.3">
      <c r="A880" s="3"/>
      <c r="B880" s="9"/>
      <c r="C880" s="9"/>
      <c r="E880" s="14" t="str">
        <f t="shared" si="69"/>
        <v/>
      </c>
      <c r="F880" s="15" t="str">
        <f t="shared" ca="1" si="70"/>
        <v/>
      </c>
      <c r="G880" s="15" t="str">
        <f t="shared" ca="1" si="71"/>
        <v/>
      </c>
      <c r="H880" s="15" t="str">
        <f t="shared" ca="1" si="72"/>
        <v/>
      </c>
      <c r="I880" s="16" t="str">
        <f t="shared" ca="1" si="73"/>
        <v/>
      </c>
    </row>
    <row r="881" spans="1:9" x14ac:dyDescent="0.3">
      <c r="A881" s="3"/>
      <c r="B881" s="9"/>
      <c r="C881" s="9"/>
      <c r="E881" s="14" t="str">
        <f t="shared" si="69"/>
        <v/>
      </c>
      <c r="F881" s="15" t="str">
        <f t="shared" ca="1" si="70"/>
        <v/>
      </c>
      <c r="G881" s="15" t="str">
        <f t="shared" ca="1" si="71"/>
        <v/>
      </c>
      <c r="H881" s="15" t="str">
        <f t="shared" ca="1" si="72"/>
        <v/>
      </c>
      <c r="I881" s="16" t="str">
        <f t="shared" ca="1" si="73"/>
        <v/>
      </c>
    </row>
    <row r="882" spans="1:9" x14ac:dyDescent="0.3">
      <c r="A882" s="3"/>
      <c r="B882" s="9"/>
      <c r="C882" s="9"/>
      <c r="E882" s="14" t="str">
        <f t="shared" si="69"/>
        <v/>
      </c>
      <c r="F882" s="15" t="str">
        <f t="shared" ca="1" si="70"/>
        <v/>
      </c>
      <c r="G882" s="15" t="str">
        <f t="shared" ca="1" si="71"/>
        <v/>
      </c>
      <c r="H882" s="15" t="str">
        <f t="shared" ca="1" si="72"/>
        <v/>
      </c>
      <c r="I882" s="16" t="str">
        <f t="shared" ca="1" si="73"/>
        <v/>
      </c>
    </row>
    <row r="883" spans="1:9" x14ac:dyDescent="0.3">
      <c r="A883" s="3"/>
      <c r="B883" s="9"/>
      <c r="C883" s="9"/>
      <c r="E883" s="14" t="str">
        <f t="shared" si="69"/>
        <v/>
      </c>
      <c r="F883" s="15" t="str">
        <f t="shared" ca="1" si="70"/>
        <v/>
      </c>
      <c r="G883" s="15" t="str">
        <f t="shared" ca="1" si="71"/>
        <v/>
      </c>
      <c r="H883" s="15" t="str">
        <f t="shared" ca="1" si="72"/>
        <v/>
      </c>
      <c r="I883" s="16" t="str">
        <f t="shared" ca="1" si="73"/>
        <v/>
      </c>
    </row>
    <row r="884" spans="1:9" x14ac:dyDescent="0.3">
      <c r="A884" s="3"/>
      <c r="B884" s="9"/>
      <c r="C884" s="9"/>
      <c r="E884" s="14" t="str">
        <f t="shared" si="69"/>
        <v/>
      </c>
      <c r="F884" s="15" t="str">
        <f t="shared" ca="1" si="70"/>
        <v/>
      </c>
      <c r="G884" s="15" t="str">
        <f t="shared" ca="1" si="71"/>
        <v/>
      </c>
      <c r="H884" s="15" t="str">
        <f t="shared" ca="1" si="72"/>
        <v/>
      </c>
      <c r="I884" s="16" t="str">
        <f t="shared" ca="1" si="73"/>
        <v/>
      </c>
    </row>
    <row r="885" spans="1:9" x14ac:dyDescent="0.3">
      <c r="A885" s="3"/>
      <c r="B885" s="9"/>
      <c r="C885" s="9"/>
      <c r="E885" s="14" t="str">
        <f t="shared" si="69"/>
        <v/>
      </c>
      <c r="F885" s="15" t="str">
        <f t="shared" ca="1" si="70"/>
        <v/>
      </c>
      <c r="G885" s="15" t="str">
        <f t="shared" ca="1" si="71"/>
        <v/>
      </c>
      <c r="H885" s="15" t="str">
        <f t="shared" ca="1" si="72"/>
        <v/>
      </c>
      <c r="I885" s="16" t="str">
        <f t="shared" ca="1" si="73"/>
        <v/>
      </c>
    </row>
    <row r="886" spans="1:9" x14ac:dyDescent="0.3">
      <c r="A886" s="3"/>
      <c r="B886" s="9"/>
      <c r="C886" s="9"/>
      <c r="E886" s="14" t="str">
        <f t="shared" si="69"/>
        <v/>
      </c>
      <c r="F886" s="15" t="str">
        <f t="shared" ca="1" si="70"/>
        <v/>
      </c>
      <c r="G886" s="15" t="str">
        <f t="shared" ca="1" si="71"/>
        <v/>
      </c>
      <c r="H886" s="15" t="str">
        <f t="shared" ca="1" si="72"/>
        <v/>
      </c>
      <c r="I886" s="16" t="str">
        <f t="shared" ca="1" si="73"/>
        <v/>
      </c>
    </row>
    <row r="887" spans="1:9" x14ac:dyDescent="0.3">
      <c r="A887" s="3"/>
      <c r="B887" s="9"/>
      <c r="C887" s="9"/>
      <c r="E887" s="14" t="str">
        <f t="shared" si="69"/>
        <v/>
      </c>
      <c r="F887" s="15" t="str">
        <f t="shared" ca="1" si="70"/>
        <v/>
      </c>
      <c r="G887" s="15" t="str">
        <f t="shared" ca="1" si="71"/>
        <v/>
      </c>
      <c r="H887" s="15" t="str">
        <f t="shared" ca="1" si="72"/>
        <v/>
      </c>
      <c r="I887" s="16" t="str">
        <f t="shared" ca="1" si="73"/>
        <v/>
      </c>
    </row>
    <row r="888" spans="1:9" x14ac:dyDescent="0.3">
      <c r="A888" s="3"/>
      <c r="B888" s="9"/>
      <c r="C888" s="9"/>
      <c r="E888" s="14" t="str">
        <f t="shared" si="69"/>
        <v/>
      </c>
      <c r="F888" s="15" t="str">
        <f t="shared" ca="1" si="70"/>
        <v/>
      </c>
      <c r="G888" s="15" t="str">
        <f t="shared" ca="1" si="71"/>
        <v/>
      </c>
      <c r="H888" s="15" t="str">
        <f t="shared" ca="1" si="72"/>
        <v/>
      </c>
      <c r="I888" s="16" t="str">
        <f t="shared" ca="1" si="73"/>
        <v/>
      </c>
    </row>
    <row r="889" spans="1:9" x14ac:dyDescent="0.3">
      <c r="A889" s="3"/>
      <c r="B889" s="9"/>
      <c r="C889" s="9"/>
      <c r="E889" s="14" t="str">
        <f t="shared" si="69"/>
        <v/>
      </c>
      <c r="F889" s="15" t="str">
        <f t="shared" ca="1" si="70"/>
        <v/>
      </c>
      <c r="G889" s="15" t="str">
        <f t="shared" ca="1" si="71"/>
        <v/>
      </c>
      <c r="H889" s="15" t="str">
        <f t="shared" ca="1" si="72"/>
        <v/>
      </c>
      <c r="I889" s="16" t="str">
        <f t="shared" ca="1" si="73"/>
        <v/>
      </c>
    </row>
    <row r="890" spans="1:9" x14ac:dyDescent="0.3">
      <c r="A890" s="3"/>
      <c r="B890" s="9"/>
      <c r="C890" s="9"/>
      <c r="E890" s="14" t="str">
        <f t="shared" si="69"/>
        <v/>
      </c>
      <c r="F890" s="15" t="str">
        <f t="shared" ca="1" si="70"/>
        <v/>
      </c>
      <c r="G890" s="15" t="str">
        <f t="shared" ca="1" si="71"/>
        <v/>
      </c>
      <c r="H890" s="15" t="str">
        <f t="shared" ca="1" si="72"/>
        <v/>
      </c>
      <c r="I890" s="16" t="str">
        <f t="shared" ca="1" si="73"/>
        <v/>
      </c>
    </row>
    <row r="891" spans="1:9" x14ac:dyDescent="0.3">
      <c r="A891" s="3"/>
      <c r="B891" s="9"/>
      <c r="C891" s="9"/>
      <c r="E891" s="14" t="str">
        <f t="shared" si="69"/>
        <v/>
      </c>
      <c r="F891" s="15" t="str">
        <f t="shared" ca="1" si="70"/>
        <v/>
      </c>
      <c r="G891" s="15" t="str">
        <f t="shared" ca="1" si="71"/>
        <v/>
      </c>
      <c r="H891" s="15" t="str">
        <f t="shared" ca="1" si="72"/>
        <v/>
      </c>
      <c r="I891" s="16" t="str">
        <f t="shared" ca="1" si="73"/>
        <v/>
      </c>
    </row>
    <row r="892" spans="1:9" x14ac:dyDescent="0.3">
      <c r="A892" s="3"/>
      <c r="B892" s="9"/>
      <c r="C892" s="9"/>
      <c r="E892" s="14" t="str">
        <f t="shared" si="69"/>
        <v/>
      </c>
      <c r="F892" s="15" t="str">
        <f t="shared" ca="1" si="70"/>
        <v/>
      </c>
      <c r="G892" s="15" t="str">
        <f t="shared" ca="1" si="71"/>
        <v/>
      </c>
      <c r="H892" s="15" t="str">
        <f t="shared" ca="1" si="72"/>
        <v/>
      </c>
      <c r="I892" s="16" t="str">
        <f t="shared" ca="1" si="73"/>
        <v/>
      </c>
    </row>
    <row r="893" spans="1:9" x14ac:dyDescent="0.3">
      <c r="A893" s="3"/>
      <c r="B893" s="9"/>
      <c r="C893" s="9"/>
      <c r="E893" s="14" t="str">
        <f t="shared" si="69"/>
        <v/>
      </c>
      <c r="F893" s="15" t="str">
        <f t="shared" ca="1" si="70"/>
        <v/>
      </c>
      <c r="G893" s="15" t="str">
        <f t="shared" ca="1" si="71"/>
        <v/>
      </c>
      <c r="H893" s="15" t="str">
        <f t="shared" ca="1" si="72"/>
        <v/>
      </c>
      <c r="I893" s="16" t="str">
        <f t="shared" ca="1" si="73"/>
        <v/>
      </c>
    </row>
    <row r="894" spans="1:9" x14ac:dyDescent="0.3">
      <c r="A894" s="3"/>
      <c r="B894" s="9"/>
      <c r="C894" s="9"/>
      <c r="E894" s="14" t="str">
        <f t="shared" si="69"/>
        <v/>
      </c>
      <c r="F894" s="15" t="str">
        <f t="shared" ca="1" si="70"/>
        <v/>
      </c>
      <c r="G894" s="15" t="str">
        <f t="shared" ca="1" si="71"/>
        <v/>
      </c>
      <c r="H894" s="15" t="str">
        <f t="shared" ca="1" si="72"/>
        <v/>
      </c>
      <c r="I894" s="16" t="str">
        <f t="shared" ca="1" si="73"/>
        <v/>
      </c>
    </row>
    <row r="895" spans="1:9" x14ac:dyDescent="0.3">
      <c r="A895" s="3"/>
      <c r="B895" s="9"/>
      <c r="C895" s="9"/>
      <c r="E895" s="14" t="str">
        <f t="shared" si="69"/>
        <v/>
      </c>
      <c r="F895" s="15" t="str">
        <f t="shared" ca="1" si="70"/>
        <v/>
      </c>
      <c r="G895" s="15" t="str">
        <f t="shared" ca="1" si="71"/>
        <v/>
      </c>
      <c r="H895" s="15" t="str">
        <f t="shared" ca="1" si="72"/>
        <v/>
      </c>
      <c r="I895" s="16" t="str">
        <f t="shared" ca="1" si="73"/>
        <v/>
      </c>
    </row>
    <row r="896" spans="1:9" x14ac:dyDescent="0.3">
      <c r="A896" s="3"/>
      <c r="B896" s="9"/>
      <c r="C896" s="9"/>
      <c r="E896" s="14" t="str">
        <f t="shared" si="69"/>
        <v/>
      </c>
      <c r="F896" s="15" t="str">
        <f t="shared" ca="1" si="70"/>
        <v/>
      </c>
      <c r="G896" s="15" t="str">
        <f t="shared" ca="1" si="71"/>
        <v/>
      </c>
      <c r="H896" s="15" t="str">
        <f t="shared" ca="1" si="72"/>
        <v/>
      </c>
      <c r="I896" s="16" t="str">
        <f t="shared" ca="1" si="73"/>
        <v/>
      </c>
    </row>
    <row r="897" spans="1:9" x14ac:dyDescent="0.3">
      <c r="A897" s="3"/>
      <c r="B897" s="9"/>
      <c r="C897" s="9"/>
      <c r="E897" s="14" t="str">
        <f t="shared" si="69"/>
        <v/>
      </c>
      <c r="F897" s="15" t="str">
        <f t="shared" ca="1" si="70"/>
        <v/>
      </c>
      <c r="G897" s="15" t="str">
        <f t="shared" ca="1" si="71"/>
        <v/>
      </c>
      <c r="H897" s="15" t="str">
        <f t="shared" ca="1" si="72"/>
        <v/>
      </c>
      <c r="I897" s="16" t="str">
        <f t="shared" ca="1" si="73"/>
        <v/>
      </c>
    </row>
    <row r="898" spans="1:9" x14ac:dyDescent="0.3">
      <c r="A898" s="3"/>
      <c r="B898" s="9"/>
      <c r="C898" s="9"/>
      <c r="E898" s="14" t="str">
        <f t="shared" si="69"/>
        <v/>
      </c>
      <c r="F898" s="15" t="str">
        <f t="shared" ca="1" si="70"/>
        <v/>
      </c>
      <c r="G898" s="15" t="str">
        <f t="shared" ca="1" si="71"/>
        <v/>
      </c>
      <c r="H898" s="15" t="str">
        <f t="shared" ca="1" si="72"/>
        <v/>
      </c>
      <c r="I898" s="16" t="str">
        <f t="shared" ca="1" si="73"/>
        <v/>
      </c>
    </row>
    <row r="899" spans="1:9" x14ac:dyDescent="0.3">
      <c r="A899" s="3"/>
      <c r="B899" s="9"/>
      <c r="C899" s="9"/>
      <c r="E899" s="14" t="str">
        <f t="shared" ref="E899:E962" si="74">IF(ISNUMBER(B899),B899/C899,"")</f>
        <v/>
      </c>
      <c r="F899" s="15" t="str">
        <f t="shared" ca="1" si="70"/>
        <v/>
      </c>
      <c r="G899" s="15" t="str">
        <f t="shared" ca="1" si="71"/>
        <v/>
      </c>
      <c r="H899" s="15" t="str">
        <f t="shared" ca="1" si="72"/>
        <v/>
      </c>
      <c r="I899" s="16" t="str">
        <f t="shared" ca="1" si="73"/>
        <v/>
      </c>
    </row>
    <row r="900" spans="1:9" x14ac:dyDescent="0.3">
      <c r="A900" s="3"/>
      <c r="B900" s="9"/>
      <c r="C900" s="9"/>
      <c r="E900" s="14" t="str">
        <f t="shared" si="74"/>
        <v/>
      </c>
      <c r="F900" s="15" t="str">
        <f t="shared" ca="1" si="70"/>
        <v/>
      </c>
      <c r="G900" s="15" t="str">
        <f t="shared" ca="1" si="71"/>
        <v/>
      </c>
      <c r="H900" s="15" t="str">
        <f t="shared" ca="1" si="72"/>
        <v/>
      </c>
      <c r="I900" s="16" t="str">
        <f t="shared" ca="1" si="73"/>
        <v/>
      </c>
    </row>
    <row r="901" spans="1:9" x14ac:dyDescent="0.3">
      <c r="A901" s="3"/>
      <c r="B901" s="9"/>
      <c r="C901" s="9"/>
      <c r="E901" s="14" t="str">
        <f t="shared" si="74"/>
        <v/>
      </c>
      <c r="F901" s="15" t="str">
        <f t="shared" ca="1" si="70"/>
        <v/>
      </c>
      <c r="G901" s="15" t="str">
        <f t="shared" ca="1" si="71"/>
        <v/>
      </c>
      <c r="H901" s="15" t="str">
        <f t="shared" ca="1" si="72"/>
        <v/>
      </c>
      <c r="I901" s="16" t="str">
        <f t="shared" ca="1" si="73"/>
        <v/>
      </c>
    </row>
    <row r="902" spans="1:9" x14ac:dyDescent="0.3">
      <c r="A902" s="3"/>
      <c r="B902" s="9"/>
      <c r="C902" s="9"/>
      <c r="E902" s="14" t="str">
        <f t="shared" si="74"/>
        <v/>
      </c>
      <c r="F902" s="15" t="str">
        <f t="shared" ca="1" si="70"/>
        <v/>
      </c>
      <c r="G902" s="15" t="str">
        <f t="shared" ca="1" si="71"/>
        <v/>
      </c>
      <c r="H902" s="15" t="str">
        <f t="shared" ca="1" si="72"/>
        <v/>
      </c>
      <c r="I902" s="16" t="str">
        <f t="shared" ca="1" si="73"/>
        <v/>
      </c>
    </row>
    <row r="903" spans="1:9" x14ac:dyDescent="0.3">
      <c r="A903" s="3"/>
      <c r="B903" s="9"/>
      <c r="C903" s="9"/>
      <c r="E903" s="14" t="str">
        <f t="shared" si="74"/>
        <v/>
      </c>
      <c r="F903" s="15" t="str">
        <f t="shared" ca="1" si="70"/>
        <v/>
      </c>
      <c r="G903" s="15" t="str">
        <f t="shared" ca="1" si="71"/>
        <v/>
      </c>
      <c r="H903" s="15" t="str">
        <f t="shared" ca="1" si="72"/>
        <v/>
      </c>
      <c r="I903" s="16" t="str">
        <f t="shared" ca="1" si="73"/>
        <v/>
      </c>
    </row>
    <row r="904" spans="1:9" x14ac:dyDescent="0.3">
      <c r="A904" s="3"/>
      <c r="B904" s="9"/>
      <c r="C904" s="9"/>
      <c r="E904" s="14" t="str">
        <f t="shared" si="74"/>
        <v/>
      </c>
      <c r="F904" s="15" t="str">
        <f t="shared" ca="1" si="70"/>
        <v/>
      </c>
      <c r="G904" s="15" t="str">
        <f t="shared" ca="1" si="71"/>
        <v/>
      </c>
      <c r="H904" s="15" t="str">
        <f t="shared" ca="1" si="72"/>
        <v/>
      </c>
      <c r="I904" s="16" t="str">
        <f t="shared" ca="1" si="73"/>
        <v/>
      </c>
    </row>
    <row r="905" spans="1:9" x14ac:dyDescent="0.3">
      <c r="A905" s="3"/>
      <c r="B905" s="9"/>
      <c r="C905" s="9"/>
      <c r="E905" s="14" t="str">
        <f t="shared" si="74"/>
        <v/>
      </c>
      <c r="F905" s="15" t="str">
        <f t="shared" ca="1" si="70"/>
        <v/>
      </c>
      <c r="G905" s="15" t="str">
        <f t="shared" ca="1" si="71"/>
        <v/>
      </c>
      <c r="H905" s="15" t="str">
        <f t="shared" ca="1" si="72"/>
        <v/>
      </c>
      <c r="I905" s="16" t="str">
        <f t="shared" ca="1" si="73"/>
        <v/>
      </c>
    </row>
    <row r="906" spans="1:9" x14ac:dyDescent="0.3">
      <c r="A906" s="3"/>
      <c r="B906" s="9"/>
      <c r="C906" s="9"/>
      <c r="E906" s="14" t="str">
        <f t="shared" si="74"/>
        <v/>
      </c>
      <c r="F906" s="15" t="str">
        <f t="shared" ca="1" si="70"/>
        <v/>
      </c>
      <c r="G906" s="15" t="str">
        <f t="shared" ca="1" si="71"/>
        <v/>
      </c>
      <c r="H906" s="15" t="str">
        <f t="shared" ca="1" si="72"/>
        <v/>
      </c>
      <c r="I906" s="16" t="str">
        <f t="shared" ca="1" si="73"/>
        <v/>
      </c>
    </row>
    <row r="907" spans="1:9" x14ac:dyDescent="0.3">
      <c r="A907" s="3"/>
      <c r="B907" s="9"/>
      <c r="C907" s="9"/>
      <c r="E907" s="14" t="str">
        <f t="shared" si="74"/>
        <v/>
      </c>
      <c r="F907" s="15" t="str">
        <f t="shared" ca="1" si="70"/>
        <v/>
      </c>
      <c r="G907" s="15" t="str">
        <f t="shared" ca="1" si="71"/>
        <v/>
      </c>
      <c r="H907" s="15" t="str">
        <f t="shared" ca="1" si="72"/>
        <v/>
      </c>
      <c r="I907" s="16" t="str">
        <f t="shared" ca="1" si="73"/>
        <v/>
      </c>
    </row>
    <row r="908" spans="1:9" x14ac:dyDescent="0.3">
      <c r="A908" s="3"/>
      <c r="B908" s="9"/>
      <c r="C908" s="9"/>
      <c r="E908" s="14" t="str">
        <f t="shared" si="74"/>
        <v/>
      </c>
      <c r="F908" s="15" t="str">
        <f t="shared" ca="1" si="70"/>
        <v/>
      </c>
      <c r="G908" s="15" t="str">
        <f t="shared" ca="1" si="71"/>
        <v/>
      </c>
      <c r="H908" s="15" t="str">
        <f t="shared" ca="1" si="72"/>
        <v/>
      </c>
      <c r="I908" s="16" t="str">
        <f t="shared" ca="1" si="73"/>
        <v/>
      </c>
    </row>
    <row r="909" spans="1:9" x14ac:dyDescent="0.3">
      <c r="A909" s="3"/>
      <c r="B909" s="9"/>
      <c r="C909" s="9"/>
      <c r="E909" s="14" t="str">
        <f t="shared" si="74"/>
        <v/>
      </c>
      <c r="F909" s="15" t="str">
        <f t="shared" ca="1" si="70"/>
        <v/>
      </c>
      <c r="G909" s="15" t="str">
        <f t="shared" ca="1" si="71"/>
        <v/>
      </c>
      <c r="H909" s="15" t="str">
        <f t="shared" ca="1" si="72"/>
        <v/>
      </c>
      <c r="I909" s="16" t="str">
        <f t="shared" ca="1" si="73"/>
        <v/>
      </c>
    </row>
    <row r="910" spans="1:9" x14ac:dyDescent="0.3">
      <c r="A910" s="3"/>
      <c r="B910" s="9"/>
      <c r="C910" s="9"/>
      <c r="E910" s="14" t="str">
        <f t="shared" si="74"/>
        <v/>
      </c>
      <c r="F910" s="15" t="str">
        <f t="shared" ca="1" si="70"/>
        <v/>
      </c>
      <c r="G910" s="15" t="str">
        <f t="shared" ca="1" si="71"/>
        <v/>
      </c>
      <c r="H910" s="15" t="str">
        <f t="shared" ca="1" si="72"/>
        <v/>
      </c>
      <c r="I910" s="16" t="str">
        <f t="shared" ca="1" si="73"/>
        <v/>
      </c>
    </row>
    <row r="911" spans="1:9" x14ac:dyDescent="0.3">
      <c r="A911" s="3"/>
      <c r="B911" s="9"/>
      <c r="C911" s="9"/>
      <c r="E911" s="14" t="str">
        <f t="shared" si="74"/>
        <v/>
      </c>
      <c r="F911" s="15" t="str">
        <f t="shared" ca="1" si="70"/>
        <v/>
      </c>
      <c r="G911" s="15" t="str">
        <f t="shared" ca="1" si="71"/>
        <v/>
      </c>
      <c r="H911" s="15" t="str">
        <f t="shared" ca="1" si="72"/>
        <v/>
      </c>
      <c r="I911" s="16" t="str">
        <f t="shared" ca="1" si="73"/>
        <v/>
      </c>
    </row>
    <row r="912" spans="1:9" x14ac:dyDescent="0.3">
      <c r="A912" s="3"/>
      <c r="B912" s="9"/>
      <c r="C912" s="9"/>
      <c r="E912" s="14" t="str">
        <f t="shared" si="74"/>
        <v/>
      </c>
      <c r="F912" s="15" t="str">
        <f t="shared" ca="1" si="70"/>
        <v/>
      </c>
      <c r="G912" s="15" t="str">
        <f t="shared" ca="1" si="71"/>
        <v/>
      </c>
      <c r="H912" s="15" t="str">
        <f t="shared" ca="1" si="72"/>
        <v/>
      </c>
      <c r="I912" s="16" t="str">
        <f t="shared" ca="1" si="73"/>
        <v/>
      </c>
    </row>
    <row r="913" spans="1:9" x14ac:dyDescent="0.3">
      <c r="A913" s="3"/>
      <c r="B913" s="9"/>
      <c r="C913" s="9"/>
      <c r="E913" s="14" t="str">
        <f t="shared" si="74"/>
        <v/>
      </c>
      <c r="F913" s="15" t="str">
        <f t="shared" ref="F913:F976" ca="1" si="75">IF(ISNUMBER(E913),IF(ROW(E913)&gt;$K$1,AVERAGE(OFFSET(E913,0,0,-$K$1)),""),"")</f>
        <v/>
      </c>
      <c r="G913" s="15" t="str">
        <f t="shared" ref="G913:G976" ca="1" si="76">IF(ISNUMBER(I913),F913+I913*$M$1,"")</f>
        <v/>
      </c>
      <c r="H913" s="15" t="str">
        <f t="shared" ref="H913:H976" ca="1" si="77">IF(ISNUMBER(I913),F913-I913*$M$1,"")</f>
        <v/>
      </c>
      <c r="I913" s="16" t="str">
        <f t="shared" ref="I913:I976" ca="1" si="78">IF(ISNUMBER(E913),IF(ROW(E913)&gt;$K$1,_xlfn.STDEV.P(OFFSET(E913,0,0,-$K$1)),""),"")</f>
        <v/>
      </c>
    </row>
    <row r="914" spans="1:9" x14ac:dyDescent="0.3">
      <c r="A914" s="3"/>
      <c r="B914" s="9"/>
      <c r="C914" s="9"/>
      <c r="E914" s="14" t="str">
        <f t="shared" si="74"/>
        <v/>
      </c>
      <c r="F914" s="15" t="str">
        <f t="shared" ca="1" si="75"/>
        <v/>
      </c>
      <c r="G914" s="15" t="str">
        <f t="shared" ca="1" si="76"/>
        <v/>
      </c>
      <c r="H914" s="15" t="str">
        <f t="shared" ca="1" si="77"/>
        <v/>
      </c>
      <c r="I914" s="16" t="str">
        <f t="shared" ca="1" si="78"/>
        <v/>
      </c>
    </row>
    <row r="915" spans="1:9" x14ac:dyDescent="0.3">
      <c r="A915" s="3"/>
      <c r="B915" s="9"/>
      <c r="C915" s="9"/>
      <c r="E915" s="14" t="str">
        <f t="shared" si="74"/>
        <v/>
      </c>
      <c r="F915" s="15" t="str">
        <f t="shared" ca="1" si="75"/>
        <v/>
      </c>
      <c r="G915" s="15" t="str">
        <f t="shared" ca="1" si="76"/>
        <v/>
      </c>
      <c r="H915" s="15" t="str">
        <f t="shared" ca="1" si="77"/>
        <v/>
      </c>
      <c r="I915" s="16" t="str">
        <f t="shared" ca="1" si="78"/>
        <v/>
      </c>
    </row>
    <row r="916" spans="1:9" x14ac:dyDescent="0.3">
      <c r="A916" s="3"/>
      <c r="B916" s="9"/>
      <c r="C916" s="9"/>
      <c r="E916" s="14" t="str">
        <f t="shared" si="74"/>
        <v/>
      </c>
      <c r="F916" s="15" t="str">
        <f t="shared" ca="1" si="75"/>
        <v/>
      </c>
      <c r="G916" s="15" t="str">
        <f t="shared" ca="1" si="76"/>
        <v/>
      </c>
      <c r="H916" s="15" t="str">
        <f t="shared" ca="1" si="77"/>
        <v/>
      </c>
      <c r="I916" s="16" t="str">
        <f t="shared" ca="1" si="78"/>
        <v/>
      </c>
    </row>
    <row r="917" spans="1:9" x14ac:dyDescent="0.3">
      <c r="A917" s="3"/>
      <c r="B917" s="9"/>
      <c r="C917" s="9"/>
      <c r="E917" s="14" t="str">
        <f t="shared" si="74"/>
        <v/>
      </c>
      <c r="F917" s="15" t="str">
        <f t="shared" ca="1" si="75"/>
        <v/>
      </c>
      <c r="G917" s="15" t="str">
        <f t="shared" ca="1" si="76"/>
        <v/>
      </c>
      <c r="H917" s="15" t="str">
        <f t="shared" ca="1" si="77"/>
        <v/>
      </c>
      <c r="I917" s="16" t="str">
        <f t="shared" ca="1" si="78"/>
        <v/>
      </c>
    </row>
    <row r="918" spans="1:9" x14ac:dyDescent="0.3">
      <c r="A918" s="3"/>
      <c r="B918" s="9"/>
      <c r="C918" s="9"/>
      <c r="E918" s="14" t="str">
        <f t="shared" si="74"/>
        <v/>
      </c>
      <c r="F918" s="15" t="str">
        <f t="shared" ca="1" si="75"/>
        <v/>
      </c>
      <c r="G918" s="15" t="str">
        <f t="shared" ca="1" si="76"/>
        <v/>
      </c>
      <c r="H918" s="15" t="str">
        <f t="shared" ca="1" si="77"/>
        <v/>
      </c>
      <c r="I918" s="16" t="str">
        <f t="shared" ca="1" si="78"/>
        <v/>
      </c>
    </row>
    <row r="919" spans="1:9" x14ac:dyDescent="0.3">
      <c r="A919" s="3"/>
      <c r="B919" s="9"/>
      <c r="C919" s="9"/>
      <c r="E919" s="14" t="str">
        <f t="shared" si="74"/>
        <v/>
      </c>
      <c r="F919" s="15" t="str">
        <f t="shared" ca="1" si="75"/>
        <v/>
      </c>
      <c r="G919" s="15" t="str">
        <f t="shared" ca="1" si="76"/>
        <v/>
      </c>
      <c r="H919" s="15" t="str">
        <f t="shared" ca="1" si="77"/>
        <v/>
      </c>
      <c r="I919" s="16" t="str">
        <f t="shared" ca="1" si="78"/>
        <v/>
      </c>
    </row>
    <row r="920" spans="1:9" x14ac:dyDescent="0.3">
      <c r="A920" s="3"/>
      <c r="B920" s="9"/>
      <c r="C920" s="9"/>
      <c r="E920" s="14" t="str">
        <f t="shared" si="74"/>
        <v/>
      </c>
      <c r="F920" s="15" t="str">
        <f t="shared" ca="1" si="75"/>
        <v/>
      </c>
      <c r="G920" s="15" t="str">
        <f t="shared" ca="1" si="76"/>
        <v/>
      </c>
      <c r="H920" s="15" t="str">
        <f t="shared" ca="1" si="77"/>
        <v/>
      </c>
      <c r="I920" s="16" t="str">
        <f t="shared" ca="1" si="78"/>
        <v/>
      </c>
    </row>
    <row r="921" spans="1:9" x14ac:dyDescent="0.3">
      <c r="A921" s="3"/>
      <c r="B921" s="9"/>
      <c r="C921" s="9"/>
      <c r="E921" s="14" t="str">
        <f t="shared" si="74"/>
        <v/>
      </c>
      <c r="F921" s="15" t="str">
        <f t="shared" ca="1" si="75"/>
        <v/>
      </c>
      <c r="G921" s="15" t="str">
        <f t="shared" ca="1" si="76"/>
        <v/>
      </c>
      <c r="H921" s="15" t="str">
        <f t="shared" ca="1" si="77"/>
        <v/>
      </c>
      <c r="I921" s="16" t="str">
        <f t="shared" ca="1" si="78"/>
        <v/>
      </c>
    </row>
    <row r="922" spans="1:9" x14ac:dyDescent="0.3">
      <c r="A922" s="3"/>
      <c r="B922" s="9"/>
      <c r="C922" s="9"/>
      <c r="E922" s="14" t="str">
        <f t="shared" si="74"/>
        <v/>
      </c>
      <c r="F922" s="15" t="str">
        <f t="shared" ca="1" si="75"/>
        <v/>
      </c>
      <c r="G922" s="15" t="str">
        <f t="shared" ca="1" si="76"/>
        <v/>
      </c>
      <c r="H922" s="15" t="str">
        <f t="shared" ca="1" si="77"/>
        <v/>
      </c>
      <c r="I922" s="16" t="str">
        <f t="shared" ca="1" si="78"/>
        <v/>
      </c>
    </row>
    <row r="923" spans="1:9" x14ac:dyDescent="0.3">
      <c r="A923" s="3"/>
      <c r="B923" s="9"/>
      <c r="C923" s="9"/>
      <c r="E923" s="14" t="str">
        <f t="shared" si="74"/>
        <v/>
      </c>
      <c r="F923" s="15" t="str">
        <f t="shared" ca="1" si="75"/>
        <v/>
      </c>
      <c r="G923" s="15" t="str">
        <f t="shared" ca="1" si="76"/>
        <v/>
      </c>
      <c r="H923" s="15" t="str">
        <f t="shared" ca="1" si="77"/>
        <v/>
      </c>
      <c r="I923" s="16" t="str">
        <f t="shared" ca="1" si="78"/>
        <v/>
      </c>
    </row>
    <row r="924" spans="1:9" x14ac:dyDescent="0.3">
      <c r="A924" s="3"/>
      <c r="B924" s="9"/>
      <c r="C924" s="9"/>
      <c r="E924" s="14" t="str">
        <f t="shared" si="74"/>
        <v/>
      </c>
      <c r="F924" s="15" t="str">
        <f t="shared" ca="1" si="75"/>
        <v/>
      </c>
      <c r="G924" s="15" t="str">
        <f t="shared" ca="1" si="76"/>
        <v/>
      </c>
      <c r="H924" s="15" t="str">
        <f t="shared" ca="1" si="77"/>
        <v/>
      </c>
      <c r="I924" s="16" t="str">
        <f t="shared" ca="1" si="78"/>
        <v/>
      </c>
    </row>
    <row r="925" spans="1:9" x14ac:dyDescent="0.3">
      <c r="A925" s="3"/>
      <c r="B925" s="9"/>
      <c r="C925" s="9"/>
      <c r="E925" s="14" t="str">
        <f t="shared" si="74"/>
        <v/>
      </c>
      <c r="F925" s="15" t="str">
        <f t="shared" ca="1" si="75"/>
        <v/>
      </c>
      <c r="G925" s="15" t="str">
        <f t="shared" ca="1" si="76"/>
        <v/>
      </c>
      <c r="H925" s="15" t="str">
        <f t="shared" ca="1" si="77"/>
        <v/>
      </c>
      <c r="I925" s="16" t="str">
        <f t="shared" ca="1" si="78"/>
        <v/>
      </c>
    </row>
    <row r="926" spans="1:9" x14ac:dyDescent="0.3">
      <c r="A926" s="3"/>
      <c r="B926" s="9"/>
      <c r="C926" s="9"/>
      <c r="E926" s="14" t="str">
        <f t="shared" si="74"/>
        <v/>
      </c>
      <c r="F926" s="15" t="str">
        <f t="shared" ca="1" si="75"/>
        <v/>
      </c>
      <c r="G926" s="15" t="str">
        <f t="shared" ca="1" si="76"/>
        <v/>
      </c>
      <c r="H926" s="15" t="str">
        <f t="shared" ca="1" si="77"/>
        <v/>
      </c>
      <c r="I926" s="16" t="str">
        <f t="shared" ca="1" si="78"/>
        <v/>
      </c>
    </row>
    <row r="927" spans="1:9" x14ac:dyDescent="0.3">
      <c r="A927" s="3"/>
      <c r="B927" s="9"/>
      <c r="C927" s="9"/>
      <c r="E927" s="14" t="str">
        <f t="shared" si="74"/>
        <v/>
      </c>
      <c r="F927" s="15" t="str">
        <f t="shared" ca="1" si="75"/>
        <v/>
      </c>
      <c r="G927" s="15" t="str">
        <f t="shared" ca="1" si="76"/>
        <v/>
      </c>
      <c r="H927" s="15" t="str">
        <f t="shared" ca="1" si="77"/>
        <v/>
      </c>
      <c r="I927" s="16" t="str">
        <f t="shared" ca="1" si="78"/>
        <v/>
      </c>
    </row>
    <row r="928" spans="1:9" x14ac:dyDescent="0.3">
      <c r="A928" s="3"/>
      <c r="B928" s="9"/>
      <c r="C928" s="9"/>
      <c r="E928" s="14" t="str">
        <f t="shared" si="74"/>
        <v/>
      </c>
      <c r="F928" s="15" t="str">
        <f t="shared" ca="1" si="75"/>
        <v/>
      </c>
      <c r="G928" s="15" t="str">
        <f t="shared" ca="1" si="76"/>
        <v/>
      </c>
      <c r="H928" s="15" t="str">
        <f t="shared" ca="1" si="77"/>
        <v/>
      </c>
      <c r="I928" s="16" t="str">
        <f t="shared" ca="1" si="78"/>
        <v/>
      </c>
    </row>
    <row r="929" spans="1:9" x14ac:dyDescent="0.3">
      <c r="A929" s="3"/>
      <c r="B929" s="9"/>
      <c r="C929" s="9"/>
      <c r="E929" s="14" t="str">
        <f t="shared" si="74"/>
        <v/>
      </c>
      <c r="F929" s="15" t="str">
        <f t="shared" ca="1" si="75"/>
        <v/>
      </c>
      <c r="G929" s="15" t="str">
        <f t="shared" ca="1" si="76"/>
        <v/>
      </c>
      <c r="H929" s="15" t="str">
        <f t="shared" ca="1" si="77"/>
        <v/>
      </c>
      <c r="I929" s="16" t="str">
        <f t="shared" ca="1" si="78"/>
        <v/>
      </c>
    </row>
    <row r="930" spans="1:9" x14ac:dyDescent="0.3">
      <c r="A930" s="3"/>
      <c r="B930" s="9"/>
      <c r="C930" s="9"/>
      <c r="E930" s="14" t="str">
        <f t="shared" si="74"/>
        <v/>
      </c>
      <c r="F930" s="15" t="str">
        <f t="shared" ca="1" si="75"/>
        <v/>
      </c>
      <c r="G930" s="15" t="str">
        <f t="shared" ca="1" si="76"/>
        <v/>
      </c>
      <c r="H930" s="15" t="str">
        <f t="shared" ca="1" si="77"/>
        <v/>
      </c>
      <c r="I930" s="16" t="str">
        <f t="shared" ca="1" si="78"/>
        <v/>
      </c>
    </row>
    <row r="931" spans="1:9" x14ac:dyDescent="0.3">
      <c r="A931" s="3"/>
      <c r="B931" s="9"/>
      <c r="C931" s="9"/>
      <c r="E931" s="14" t="str">
        <f t="shared" si="74"/>
        <v/>
      </c>
      <c r="F931" s="15" t="str">
        <f t="shared" ca="1" si="75"/>
        <v/>
      </c>
      <c r="G931" s="15" t="str">
        <f t="shared" ca="1" si="76"/>
        <v/>
      </c>
      <c r="H931" s="15" t="str">
        <f t="shared" ca="1" si="77"/>
        <v/>
      </c>
      <c r="I931" s="16" t="str">
        <f t="shared" ca="1" si="78"/>
        <v/>
      </c>
    </row>
    <row r="932" spans="1:9" x14ac:dyDescent="0.3">
      <c r="A932" s="3"/>
      <c r="B932" s="9"/>
      <c r="C932" s="9"/>
      <c r="E932" s="14" t="str">
        <f t="shared" si="74"/>
        <v/>
      </c>
      <c r="F932" s="15" t="str">
        <f t="shared" ca="1" si="75"/>
        <v/>
      </c>
      <c r="G932" s="15" t="str">
        <f t="shared" ca="1" si="76"/>
        <v/>
      </c>
      <c r="H932" s="15" t="str">
        <f t="shared" ca="1" si="77"/>
        <v/>
      </c>
      <c r="I932" s="16" t="str">
        <f t="shared" ca="1" si="78"/>
        <v/>
      </c>
    </row>
    <row r="933" spans="1:9" x14ac:dyDescent="0.3">
      <c r="A933" s="3"/>
      <c r="B933" s="9"/>
      <c r="C933" s="9"/>
      <c r="E933" s="14" t="str">
        <f t="shared" si="74"/>
        <v/>
      </c>
      <c r="F933" s="15" t="str">
        <f t="shared" ca="1" si="75"/>
        <v/>
      </c>
      <c r="G933" s="15" t="str">
        <f t="shared" ca="1" si="76"/>
        <v/>
      </c>
      <c r="H933" s="15" t="str">
        <f t="shared" ca="1" si="77"/>
        <v/>
      </c>
      <c r="I933" s="16" t="str">
        <f t="shared" ca="1" si="78"/>
        <v/>
      </c>
    </row>
    <row r="934" spans="1:9" x14ac:dyDescent="0.3">
      <c r="A934" s="3"/>
      <c r="B934" s="9"/>
      <c r="C934" s="9"/>
      <c r="E934" s="14" t="str">
        <f t="shared" si="74"/>
        <v/>
      </c>
      <c r="F934" s="15" t="str">
        <f t="shared" ca="1" si="75"/>
        <v/>
      </c>
      <c r="G934" s="15" t="str">
        <f t="shared" ca="1" si="76"/>
        <v/>
      </c>
      <c r="H934" s="15" t="str">
        <f t="shared" ca="1" si="77"/>
        <v/>
      </c>
      <c r="I934" s="16" t="str">
        <f t="shared" ca="1" si="78"/>
        <v/>
      </c>
    </row>
    <row r="935" spans="1:9" x14ac:dyDescent="0.3">
      <c r="A935" s="3"/>
      <c r="B935" s="9"/>
      <c r="C935" s="9"/>
      <c r="E935" s="14" t="str">
        <f t="shared" si="74"/>
        <v/>
      </c>
      <c r="F935" s="15" t="str">
        <f t="shared" ca="1" si="75"/>
        <v/>
      </c>
      <c r="G935" s="15" t="str">
        <f t="shared" ca="1" si="76"/>
        <v/>
      </c>
      <c r="H935" s="15" t="str">
        <f t="shared" ca="1" si="77"/>
        <v/>
      </c>
      <c r="I935" s="16" t="str">
        <f t="shared" ca="1" si="78"/>
        <v/>
      </c>
    </row>
    <row r="936" spans="1:9" x14ac:dyDescent="0.3">
      <c r="A936" s="3"/>
      <c r="B936" s="9"/>
      <c r="C936" s="9"/>
      <c r="E936" s="14" t="str">
        <f t="shared" si="74"/>
        <v/>
      </c>
      <c r="F936" s="15" t="str">
        <f t="shared" ca="1" si="75"/>
        <v/>
      </c>
      <c r="G936" s="15" t="str">
        <f t="shared" ca="1" si="76"/>
        <v/>
      </c>
      <c r="H936" s="15" t="str">
        <f t="shared" ca="1" si="77"/>
        <v/>
      </c>
      <c r="I936" s="16" t="str">
        <f t="shared" ca="1" si="78"/>
        <v/>
      </c>
    </row>
    <row r="937" spans="1:9" x14ac:dyDescent="0.3">
      <c r="A937" s="3"/>
      <c r="B937" s="9"/>
      <c r="C937" s="9"/>
      <c r="E937" s="14" t="str">
        <f t="shared" si="74"/>
        <v/>
      </c>
      <c r="F937" s="15" t="str">
        <f t="shared" ca="1" si="75"/>
        <v/>
      </c>
      <c r="G937" s="15" t="str">
        <f t="shared" ca="1" si="76"/>
        <v/>
      </c>
      <c r="H937" s="15" t="str">
        <f t="shared" ca="1" si="77"/>
        <v/>
      </c>
      <c r="I937" s="16" t="str">
        <f t="shared" ca="1" si="78"/>
        <v/>
      </c>
    </row>
    <row r="938" spans="1:9" x14ac:dyDescent="0.3">
      <c r="A938" s="3"/>
      <c r="B938" s="9"/>
      <c r="C938" s="9"/>
      <c r="E938" s="14" t="str">
        <f t="shared" si="74"/>
        <v/>
      </c>
      <c r="F938" s="15" t="str">
        <f t="shared" ca="1" si="75"/>
        <v/>
      </c>
      <c r="G938" s="15" t="str">
        <f t="shared" ca="1" si="76"/>
        <v/>
      </c>
      <c r="H938" s="15" t="str">
        <f t="shared" ca="1" si="77"/>
        <v/>
      </c>
      <c r="I938" s="16" t="str">
        <f t="shared" ca="1" si="78"/>
        <v/>
      </c>
    </row>
    <row r="939" spans="1:9" x14ac:dyDescent="0.3">
      <c r="A939" s="3"/>
      <c r="B939" s="9"/>
      <c r="C939" s="9"/>
      <c r="E939" s="14" t="str">
        <f t="shared" si="74"/>
        <v/>
      </c>
      <c r="F939" s="15" t="str">
        <f t="shared" ca="1" si="75"/>
        <v/>
      </c>
      <c r="G939" s="15" t="str">
        <f t="shared" ca="1" si="76"/>
        <v/>
      </c>
      <c r="H939" s="15" t="str">
        <f t="shared" ca="1" si="77"/>
        <v/>
      </c>
      <c r="I939" s="16" t="str">
        <f t="shared" ca="1" si="78"/>
        <v/>
      </c>
    </row>
    <row r="940" spans="1:9" x14ac:dyDescent="0.3">
      <c r="A940" s="3"/>
      <c r="B940" s="9"/>
      <c r="C940" s="9"/>
      <c r="E940" s="14" t="str">
        <f t="shared" si="74"/>
        <v/>
      </c>
      <c r="F940" s="15" t="str">
        <f t="shared" ca="1" si="75"/>
        <v/>
      </c>
      <c r="G940" s="15" t="str">
        <f t="shared" ca="1" si="76"/>
        <v/>
      </c>
      <c r="H940" s="15" t="str">
        <f t="shared" ca="1" si="77"/>
        <v/>
      </c>
      <c r="I940" s="16" t="str">
        <f t="shared" ca="1" si="78"/>
        <v/>
      </c>
    </row>
    <row r="941" spans="1:9" x14ac:dyDescent="0.3">
      <c r="A941" s="3"/>
      <c r="B941" s="9"/>
      <c r="C941" s="9"/>
      <c r="E941" s="14" t="str">
        <f t="shared" si="74"/>
        <v/>
      </c>
      <c r="F941" s="15" t="str">
        <f t="shared" ca="1" si="75"/>
        <v/>
      </c>
      <c r="G941" s="15" t="str">
        <f t="shared" ca="1" si="76"/>
        <v/>
      </c>
      <c r="H941" s="15" t="str">
        <f t="shared" ca="1" si="77"/>
        <v/>
      </c>
      <c r="I941" s="16" t="str">
        <f t="shared" ca="1" si="78"/>
        <v/>
      </c>
    </row>
    <row r="942" spans="1:9" x14ac:dyDescent="0.3">
      <c r="A942" s="3"/>
      <c r="B942" s="9"/>
      <c r="C942" s="9"/>
      <c r="E942" s="14" t="str">
        <f t="shared" si="74"/>
        <v/>
      </c>
      <c r="F942" s="15" t="str">
        <f t="shared" ca="1" si="75"/>
        <v/>
      </c>
      <c r="G942" s="15" t="str">
        <f t="shared" ca="1" si="76"/>
        <v/>
      </c>
      <c r="H942" s="15" t="str">
        <f t="shared" ca="1" si="77"/>
        <v/>
      </c>
      <c r="I942" s="16" t="str">
        <f t="shared" ca="1" si="78"/>
        <v/>
      </c>
    </row>
    <row r="943" spans="1:9" x14ac:dyDescent="0.3">
      <c r="A943" s="3"/>
      <c r="B943" s="9"/>
      <c r="C943" s="9"/>
      <c r="E943" s="14" t="str">
        <f t="shared" si="74"/>
        <v/>
      </c>
      <c r="F943" s="15" t="str">
        <f t="shared" ca="1" si="75"/>
        <v/>
      </c>
      <c r="G943" s="15" t="str">
        <f t="shared" ca="1" si="76"/>
        <v/>
      </c>
      <c r="H943" s="15" t="str">
        <f t="shared" ca="1" si="77"/>
        <v/>
      </c>
      <c r="I943" s="16" t="str">
        <f t="shared" ca="1" si="78"/>
        <v/>
      </c>
    </row>
    <row r="944" spans="1:9" x14ac:dyDescent="0.3">
      <c r="A944" s="3"/>
      <c r="B944" s="9"/>
      <c r="C944" s="9"/>
      <c r="E944" s="14" t="str">
        <f t="shared" si="74"/>
        <v/>
      </c>
      <c r="F944" s="15" t="str">
        <f t="shared" ca="1" si="75"/>
        <v/>
      </c>
      <c r="G944" s="15" t="str">
        <f t="shared" ca="1" si="76"/>
        <v/>
      </c>
      <c r="H944" s="15" t="str">
        <f t="shared" ca="1" si="77"/>
        <v/>
      </c>
      <c r="I944" s="16" t="str">
        <f t="shared" ca="1" si="78"/>
        <v/>
      </c>
    </row>
    <row r="945" spans="1:9" x14ac:dyDescent="0.3">
      <c r="A945" s="3"/>
      <c r="B945" s="9"/>
      <c r="C945" s="9"/>
      <c r="E945" s="14" t="str">
        <f t="shared" si="74"/>
        <v/>
      </c>
      <c r="F945" s="15" t="str">
        <f t="shared" ca="1" si="75"/>
        <v/>
      </c>
      <c r="G945" s="15" t="str">
        <f t="shared" ca="1" si="76"/>
        <v/>
      </c>
      <c r="H945" s="15" t="str">
        <f t="shared" ca="1" si="77"/>
        <v/>
      </c>
      <c r="I945" s="16" t="str">
        <f t="shared" ca="1" si="78"/>
        <v/>
      </c>
    </row>
    <row r="946" spans="1:9" x14ac:dyDescent="0.3">
      <c r="A946" s="3"/>
      <c r="B946" s="9"/>
      <c r="C946" s="9"/>
      <c r="E946" s="14" t="str">
        <f t="shared" si="74"/>
        <v/>
      </c>
      <c r="F946" s="15" t="str">
        <f t="shared" ca="1" si="75"/>
        <v/>
      </c>
      <c r="G946" s="15" t="str">
        <f t="shared" ca="1" si="76"/>
        <v/>
      </c>
      <c r="H946" s="15" t="str">
        <f t="shared" ca="1" si="77"/>
        <v/>
      </c>
      <c r="I946" s="16" t="str">
        <f t="shared" ca="1" si="78"/>
        <v/>
      </c>
    </row>
    <row r="947" spans="1:9" x14ac:dyDescent="0.3">
      <c r="A947" s="3"/>
      <c r="B947" s="9"/>
      <c r="C947" s="9"/>
      <c r="E947" s="14" t="str">
        <f t="shared" si="74"/>
        <v/>
      </c>
      <c r="F947" s="15" t="str">
        <f t="shared" ca="1" si="75"/>
        <v/>
      </c>
      <c r="G947" s="15" t="str">
        <f t="shared" ca="1" si="76"/>
        <v/>
      </c>
      <c r="H947" s="15" t="str">
        <f t="shared" ca="1" si="77"/>
        <v/>
      </c>
      <c r="I947" s="16" t="str">
        <f t="shared" ca="1" si="78"/>
        <v/>
      </c>
    </row>
    <row r="948" spans="1:9" x14ac:dyDescent="0.3">
      <c r="A948" s="3"/>
      <c r="B948" s="9"/>
      <c r="C948" s="9"/>
      <c r="E948" s="14" t="str">
        <f t="shared" si="74"/>
        <v/>
      </c>
      <c r="F948" s="15" t="str">
        <f t="shared" ca="1" si="75"/>
        <v/>
      </c>
      <c r="G948" s="15" t="str">
        <f t="shared" ca="1" si="76"/>
        <v/>
      </c>
      <c r="H948" s="15" t="str">
        <f t="shared" ca="1" si="77"/>
        <v/>
      </c>
      <c r="I948" s="16" t="str">
        <f t="shared" ca="1" si="78"/>
        <v/>
      </c>
    </row>
    <row r="949" spans="1:9" x14ac:dyDescent="0.3">
      <c r="A949" s="3"/>
      <c r="B949" s="9"/>
      <c r="C949" s="9"/>
      <c r="E949" s="14" t="str">
        <f t="shared" si="74"/>
        <v/>
      </c>
      <c r="F949" s="15" t="str">
        <f t="shared" ca="1" si="75"/>
        <v/>
      </c>
      <c r="G949" s="15" t="str">
        <f t="shared" ca="1" si="76"/>
        <v/>
      </c>
      <c r="H949" s="15" t="str">
        <f t="shared" ca="1" si="77"/>
        <v/>
      </c>
      <c r="I949" s="16" t="str">
        <f t="shared" ca="1" si="78"/>
        <v/>
      </c>
    </row>
    <row r="950" spans="1:9" x14ac:dyDescent="0.3">
      <c r="A950" s="3"/>
      <c r="B950" s="9"/>
      <c r="C950" s="9"/>
      <c r="E950" s="14" t="str">
        <f t="shared" si="74"/>
        <v/>
      </c>
      <c r="F950" s="15" t="str">
        <f t="shared" ca="1" si="75"/>
        <v/>
      </c>
      <c r="G950" s="15" t="str">
        <f t="shared" ca="1" si="76"/>
        <v/>
      </c>
      <c r="H950" s="15" t="str">
        <f t="shared" ca="1" si="77"/>
        <v/>
      </c>
      <c r="I950" s="16" t="str">
        <f t="shared" ca="1" si="78"/>
        <v/>
      </c>
    </row>
    <row r="951" spans="1:9" x14ac:dyDescent="0.3">
      <c r="A951" s="3"/>
      <c r="B951" s="9"/>
      <c r="C951" s="9"/>
      <c r="E951" s="14" t="str">
        <f t="shared" si="74"/>
        <v/>
      </c>
      <c r="F951" s="15" t="str">
        <f t="shared" ca="1" si="75"/>
        <v/>
      </c>
      <c r="G951" s="15" t="str">
        <f t="shared" ca="1" si="76"/>
        <v/>
      </c>
      <c r="H951" s="15" t="str">
        <f t="shared" ca="1" si="77"/>
        <v/>
      </c>
      <c r="I951" s="16" t="str">
        <f t="shared" ca="1" si="78"/>
        <v/>
      </c>
    </row>
    <row r="952" spans="1:9" x14ac:dyDescent="0.3">
      <c r="A952" s="3"/>
      <c r="B952" s="9"/>
      <c r="C952" s="9"/>
      <c r="E952" s="14" t="str">
        <f t="shared" si="74"/>
        <v/>
      </c>
      <c r="F952" s="15" t="str">
        <f t="shared" ca="1" si="75"/>
        <v/>
      </c>
      <c r="G952" s="15" t="str">
        <f t="shared" ca="1" si="76"/>
        <v/>
      </c>
      <c r="H952" s="15" t="str">
        <f t="shared" ca="1" si="77"/>
        <v/>
      </c>
      <c r="I952" s="16" t="str">
        <f t="shared" ca="1" si="78"/>
        <v/>
      </c>
    </row>
    <row r="953" spans="1:9" x14ac:dyDescent="0.3">
      <c r="A953" s="3"/>
      <c r="B953" s="9"/>
      <c r="C953" s="9"/>
      <c r="E953" s="14" t="str">
        <f t="shared" si="74"/>
        <v/>
      </c>
      <c r="F953" s="15" t="str">
        <f t="shared" ca="1" si="75"/>
        <v/>
      </c>
      <c r="G953" s="15" t="str">
        <f t="shared" ca="1" si="76"/>
        <v/>
      </c>
      <c r="H953" s="15" t="str">
        <f t="shared" ca="1" si="77"/>
        <v/>
      </c>
      <c r="I953" s="16" t="str">
        <f t="shared" ca="1" si="78"/>
        <v/>
      </c>
    </row>
    <row r="954" spans="1:9" x14ac:dyDescent="0.3">
      <c r="A954" s="3"/>
      <c r="B954" s="9"/>
      <c r="C954" s="9"/>
      <c r="E954" s="14" t="str">
        <f t="shared" si="74"/>
        <v/>
      </c>
      <c r="F954" s="15" t="str">
        <f t="shared" ca="1" si="75"/>
        <v/>
      </c>
      <c r="G954" s="15" t="str">
        <f t="shared" ca="1" si="76"/>
        <v/>
      </c>
      <c r="H954" s="15" t="str">
        <f t="shared" ca="1" si="77"/>
        <v/>
      </c>
      <c r="I954" s="16" t="str">
        <f t="shared" ca="1" si="78"/>
        <v/>
      </c>
    </row>
    <row r="955" spans="1:9" x14ac:dyDescent="0.3">
      <c r="A955" s="3"/>
      <c r="B955" s="9"/>
      <c r="C955" s="9"/>
      <c r="E955" s="14" t="str">
        <f t="shared" si="74"/>
        <v/>
      </c>
      <c r="F955" s="15" t="str">
        <f t="shared" ca="1" si="75"/>
        <v/>
      </c>
      <c r="G955" s="15" t="str">
        <f t="shared" ca="1" si="76"/>
        <v/>
      </c>
      <c r="H955" s="15" t="str">
        <f t="shared" ca="1" si="77"/>
        <v/>
      </c>
      <c r="I955" s="16" t="str">
        <f t="shared" ca="1" si="78"/>
        <v/>
      </c>
    </row>
    <row r="956" spans="1:9" x14ac:dyDescent="0.3">
      <c r="A956" s="3"/>
      <c r="B956" s="9"/>
      <c r="C956" s="9"/>
      <c r="E956" s="14" t="str">
        <f t="shared" si="74"/>
        <v/>
      </c>
      <c r="F956" s="15" t="str">
        <f t="shared" ca="1" si="75"/>
        <v/>
      </c>
      <c r="G956" s="15" t="str">
        <f t="shared" ca="1" si="76"/>
        <v/>
      </c>
      <c r="H956" s="15" t="str">
        <f t="shared" ca="1" si="77"/>
        <v/>
      </c>
      <c r="I956" s="16" t="str">
        <f t="shared" ca="1" si="78"/>
        <v/>
      </c>
    </row>
    <row r="957" spans="1:9" x14ac:dyDescent="0.3">
      <c r="A957" s="3"/>
      <c r="B957" s="9"/>
      <c r="C957" s="9"/>
      <c r="E957" s="14" t="str">
        <f t="shared" si="74"/>
        <v/>
      </c>
      <c r="F957" s="15" t="str">
        <f t="shared" ca="1" si="75"/>
        <v/>
      </c>
      <c r="G957" s="15" t="str">
        <f t="shared" ca="1" si="76"/>
        <v/>
      </c>
      <c r="H957" s="15" t="str">
        <f t="shared" ca="1" si="77"/>
        <v/>
      </c>
      <c r="I957" s="16" t="str">
        <f t="shared" ca="1" si="78"/>
        <v/>
      </c>
    </row>
    <row r="958" spans="1:9" x14ac:dyDescent="0.3">
      <c r="A958" s="3"/>
      <c r="B958" s="9"/>
      <c r="C958" s="9"/>
      <c r="E958" s="14" t="str">
        <f t="shared" si="74"/>
        <v/>
      </c>
      <c r="F958" s="15" t="str">
        <f t="shared" ca="1" si="75"/>
        <v/>
      </c>
      <c r="G958" s="15" t="str">
        <f t="shared" ca="1" si="76"/>
        <v/>
      </c>
      <c r="H958" s="15" t="str">
        <f t="shared" ca="1" si="77"/>
        <v/>
      </c>
      <c r="I958" s="16" t="str">
        <f t="shared" ca="1" si="78"/>
        <v/>
      </c>
    </row>
    <row r="959" spans="1:9" x14ac:dyDescent="0.3">
      <c r="A959" s="3"/>
      <c r="B959" s="9"/>
      <c r="C959" s="9"/>
      <c r="E959" s="14" t="str">
        <f t="shared" si="74"/>
        <v/>
      </c>
      <c r="F959" s="15" t="str">
        <f t="shared" ca="1" si="75"/>
        <v/>
      </c>
      <c r="G959" s="15" t="str">
        <f t="shared" ca="1" si="76"/>
        <v/>
      </c>
      <c r="H959" s="15" t="str">
        <f t="shared" ca="1" si="77"/>
        <v/>
      </c>
      <c r="I959" s="16" t="str">
        <f t="shared" ca="1" si="78"/>
        <v/>
      </c>
    </row>
    <row r="960" spans="1:9" x14ac:dyDescent="0.3">
      <c r="A960" s="3"/>
      <c r="B960" s="9"/>
      <c r="C960" s="9"/>
      <c r="E960" s="14" t="str">
        <f t="shared" si="74"/>
        <v/>
      </c>
      <c r="F960" s="15" t="str">
        <f t="shared" ca="1" si="75"/>
        <v/>
      </c>
      <c r="G960" s="15" t="str">
        <f t="shared" ca="1" si="76"/>
        <v/>
      </c>
      <c r="H960" s="15" t="str">
        <f t="shared" ca="1" si="77"/>
        <v/>
      </c>
      <c r="I960" s="16" t="str">
        <f t="shared" ca="1" si="78"/>
        <v/>
      </c>
    </row>
    <row r="961" spans="1:9" x14ac:dyDescent="0.3">
      <c r="A961" s="3"/>
      <c r="B961" s="9"/>
      <c r="C961" s="9"/>
      <c r="E961" s="14" t="str">
        <f t="shared" si="74"/>
        <v/>
      </c>
      <c r="F961" s="15" t="str">
        <f t="shared" ca="1" si="75"/>
        <v/>
      </c>
      <c r="G961" s="15" t="str">
        <f t="shared" ca="1" si="76"/>
        <v/>
      </c>
      <c r="H961" s="15" t="str">
        <f t="shared" ca="1" si="77"/>
        <v/>
      </c>
      <c r="I961" s="16" t="str">
        <f t="shared" ca="1" si="78"/>
        <v/>
      </c>
    </row>
    <row r="962" spans="1:9" x14ac:dyDescent="0.3">
      <c r="A962" s="3"/>
      <c r="B962" s="9"/>
      <c r="C962" s="9"/>
      <c r="E962" s="14" t="str">
        <f t="shared" si="74"/>
        <v/>
      </c>
      <c r="F962" s="15" t="str">
        <f t="shared" ca="1" si="75"/>
        <v/>
      </c>
      <c r="G962" s="15" t="str">
        <f t="shared" ca="1" si="76"/>
        <v/>
      </c>
      <c r="H962" s="15" t="str">
        <f t="shared" ca="1" si="77"/>
        <v/>
      </c>
      <c r="I962" s="16" t="str">
        <f t="shared" ca="1" si="78"/>
        <v/>
      </c>
    </row>
    <row r="963" spans="1:9" x14ac:dyDescent="0.3">
      <c r="A963" s="3"/>
      <c r="B963" s="9"/>
      <c r="C963" s="9"/>
      <c r="E963" s="14" t="str">
        <f t="shared" ref="E963:E1026" si="79">IF(ISNUMBER(B963),B963/C963,"")</f>
        <v/>
      </c>
      <c r="F963" s="15" t="str">
        <f t="shared" ca="1" si="75"/>
        <v/>
      </c>
      <c r="G963" s="15" t="str">
        <f t="shared" ca="1" si="76"/>
        <v/>
      </c>
      <c r="H963" s="15" t="str">
        <f t="shared" ca="1" si="77"/>
        <v/>
      </c>
      <c r="I963" s="16" t="str">
        <f t="shared" ca="1" si="78"/>
        <v/>
      </c>
    </row>
    <row r="964" spans="1:9" x14ac:dyDescent="0.3">
      <c r="A964" s="3"/>
      <c r="B964" s="9"/>
      <c r="C964" s="9"/>
      <c r="E964" s="14" t="str">
        <f t="shared" si="79"/>
        <v/>
      </c>
      <c r="F964" s="15" t="str">
        <f t="shared" ca="1" si="75"/>
        <v/>
      </c>
      <c r="G964" s="15" t="str">
        <f t="shared" ca="1" si="76"/>
        <v/>
      </c>
      <c r="H964" s="15" t="str">
        <f t="shared" ca="1" si="77"/>
        <v/>
      </c>
      <c r="I964" s="16" t="str">
        <f t="shared" ca="1" si="78"/>
        <v/>
      </c>
    </row>
    <row r="965" spans="1:9" x14ac:dyDescent="0.3">
      <c r="A965" s="3"/>
      <c r="B965" s="9"/>
      <c r="C965" s="9"/>
      <c r="E965" s="14" t="str">
        <f t="shared" si="79"/>
        <v/>
      </c>
      <c r="F965" s="15" t="str">
        <f t="shared" ca="1" si="75"/>
        <v/>
      </c>
      <c r="G965" s="15" t="str">
        <f t="shared" ca="1" si="76"/>
        <v/>
      </c>
      <c r="H965" s="15" t="str">
        <f t="shared" ca="1" si="77"/>
        <v/>
      </c>
      <c r="I965" s="16" t="str">
        <f t="shared" ca="1" si="78"/>
        <v/>
      </c>
    </row>
    <row r="966" spans="1:9" x14ac:dyDescent="0.3">
      <c r="A966" s="3"/>
      <c r="B966" s="9"/>
      <c r="C966" s="9"/>
      <c r="E966" s="14" t="str">
        <f t="shared" si="79"/>
        <v/>
      </c>
      <c r="F966" s="15" t="str">
        <f t="shared" ca="1" si="75"/>
        <v/>
      </c>
      <c r="G966" s="15" t="str">
        <f t="shared" ca="1" si="76"/>
        <v/>
      </c>
      <c r="H966" s="15" t="str">
        <f t="shared" ca="1" si="77"/>
        <v/>
      </c>
      <c r="I966" s="16" t="str">
        <f t="shared" ca="1" si="78"/>
        <v/>
      </c>
    </row>
    <row r="967" spans="1:9" x14ac:dyDescent="0.3">
      <c r="A967" s="3"/>
      <c r="B967" s="9"/>
      <c r="C967" s="9"/>
      <c r="E967" s="14" t="str">
        <f t="shared" si="79"/>
        <v/>
      </c>
      <c r="F967" s="15" t="str">
        <f t="shared" ca="1" si="75"/>
        <v/>
      </c>
      <c r="G967" s="15" t="str">
        <f t="shared" ca="1" si="76"/>
        <v/>
      </c>
      <c r="H967" s="15" t="str">
        <f t="shared" ca="1" si="77"/>
        <v/>
      </c>
      <c r="I967" s="16" t="str">
        <f t="shared" ca="1" si="78"/>
        <v/>
      </c>
    </row>
    <row r="968" spans="1:9" x14ac:dyDescent="0.3">
      <c r="A968" s="3"/>
      <c r="B968" s="9"/>
      <c r="C968" s="9"/>
      <c r="E968" s="14" t="str">
        <f t="shared" si="79"/>
        <v/>
      </c>
      <c r="F968" s="15" t="str">
        <f t="shared" ca="1" si="75"/>
        <v/>
      </c>
      <c r="G968" s="15" t="str">
        <f t="shared" ca="1" si="76"/>
        <v/>
      </c>
      <c r="H968" s="15" t="str">
        <f t="shared" ca="1" si="77"/>
        <v/>
      </c>
      <c r="I968" s="16" t="str">
        <f t="shared" ca="1" si="78"/>
        <v/>
      </c>
    </row>
    <row r="969" spans="1:9" x14ac:dyDescent="0.3">
      <c r="A969" s="3"/>
      <c r="B969" s="9"/>
      <c r="C969" s="9"/>
      <c r="E969" s="14" t="str">
        <f t="shared" si="79"/>
        <v/>
      </c>
      <c r="F969" s="15" t="str">
        <f t="shared" ca="1" si="75"/>
        <v/>
      </c>
      <c r="G969" s="15" t="str">
        <f t="shared" ca="1" si="76"/>
        <v/>
      </c>
      <c r="H969" s="15" t="str">
        <f t="shared" ca="1" si="77"/>
        <v/>
      </c>
      <c r="I969" s="16" t="str">
        <f t="shared" ca="1" si="78"/>
        <v/>
      </c>
    </row>
    <row r="970" spans="1:9" x14ac:dyDescent="0.3">
      <c r="A970" s="3"/>
      <c r="B970" s="9"/>
      <c r="C970" s="9"/>
      <c r="E970" s="14" t="str">
        <f t="shared" si="79"/>
        <v/>
      </c>
      <c r="F970" s="15" t="str">
        <f t="shared" ca="1" si="75"/>
        <v/>
      </c>
      <c r="G970" s="15" t="str">
        <f t="shared" ca="1" si="76"/>
        <v/>
      </c>
      <c r="H970" s="15" t="str">
        <f t="shared" ca="1" si="77"/>
        <v/>
      </c>
      <c r="I970" s="16" t="str">
        <f t="shared" ca="1" si="78"/>
        <v/>
      </c>
    </row>
    <row r="971" spans="1:9" x14ac:dyDescent="0.3">
      <c r="A971" s="3"/>
      <c r="B971" s="9"/>
      <c r="C971" s="9"/>
      <c r="E971" s="14" t="str">
        <f t="shared" si="79"/>
        <v/>
      </c>
      <c r="F971" s="15" t="str">
        <f t="shared" ca="1" si="75"/>
        <v/>
      </c>
      <c r="G971" s="15" t="str">
        <f t="shared" ca="1" si="76"/>
        <v/>
      </c>
      <c r="H971" s="15" t="str">
        <f t="shared" ca="1" si="77"/>
        <v/>
      </c>
      <c r="I971" s="16" t="str">
        <f t="shared" ca="1" si="78"/>
        <v/>
      </c>
    </row>
    <row r="972" spans="1:9" x14ac:dyDescent="0.3">
      <c r="A972" s="3"/>
      <c r="B972" s="9"/>
      <c r="C972" s="9"/>
      <c r="E972" s="14" t="str">
        <f t="shared" si="79"/>
        <v/>
      </c>
      <c r="F972" s="15" t="str">
        <f t="shared" ca="1" si="75"/>
        <v/>
      </c>
      <c r="G972" s="15" t="str">
        <f t="shared" ca="1" si="76"/>
        <v/>
      </c>
      <c r="H972" s="15" t="str">
        <f t="shared" ca="1" si="77"/>
        <v/>
      </c>
      <c r="I972" s="16" t="str">
        <f t="shared" ca="1" si="78"/>
        <v/>
      </c>
    </row>
    <row r="973" spans="1:9" x14ac:dyDescent="0.3">
      <c r="A973" s="3"/>
      <c r="B973" s="9"/>
      <c r="C973" s="9"/>
      <c r="E973" s="14" t="str">
        <f t="shared" si="79"/>
        <v/>
      </c>
      <c r="F973" s="15" t="str">
        <f t="shared" ca="1" si="75"/>
        <v/>
      </c>
      <c r="G973" s="15" t="str">
        <f t="shared" ca="1" si="76"/>
        <v/>
      </c>
      <c r="H973" s="15" t="str">
        <f t="shared" ca="1" si="77"/>
        <v/>
      </c>
      <c r="I973" s="16" t="str">
        <f t="shared" ca="1" si="78"/>
        <v/>
      </c>
    </row>
    <row r="974" spans="1:9" x14ac:dyDescent="0.3">
      <c r="A974" s="3"/>
      <c r="B974" s="9"/>
      <c r="C974" s="9"/>
      <c r="E974" s="14" t="str">
        <f t="shared" si="79"/>
        <v/>
      </c>
      <c r="F974" s="15" t="str">
        <f t="shared" ca="1" si="75"/>
        <v/>
      </c>
      <c r="G974" s="15" t="str">
        <f t="shared" ca="1" si="76"/>
        <v/>
      </c>
      <c r="H974" s="15" t="str">
        <f t="shared" ca="1" si="77"/>
        <v/>
      </c>
      <c r="I974" s="16" t="str">
        <f t="shared" ca="1" si="78"/>
        <v/>
      </c>
    </row>
    <row r="975" spans="1:9" x14ac:dyDescent="0.3">
      <c r="A975" s="3"/>
      <c r="B975" s="9"/>
      <c r="C975" s="9"/>
      <c r="E975" s="14" t="str">
        <f t="shared" si="79"/>
        <v/>
      </c>
      <c r="F975" s="15" t="str">
        <f t="shared" ca="1" si="75"/>
        <v/>
      </c>
      <c r="G975" s="15" t="str">
        <f t="shared" ca="1" si="76"/>
        <v/>
      </c>
      <c r="H975" s="15" t="str">
        <f t="shared" ca="1" si="77"/>
        <v/>
      </c>
      <c r="I975" s="16" t="str">
        <f t="shared" ca="1" si="78"/>
        <v/>
      </c>
    </row>
    <row r="976" spans="1:9" x14ac:dyDescent="0.3">
      <c r="A976" s="3"/>
      <c r="B976" s="9"/>
      <c r="C976" s="9"/>
      <c r="E976" s="14" t="str">
        <f t="shared" si="79"/>
        <v/>
      </c>
      <c r="F976" s="15" t="str">
        <f t="shared" ca="1" si="75"/>
        <v/>
      </c>
      <c r="G976" s="15" t="str">
        <f t="shared" ca="1" si="76"/>
        <v/>
      </c>
      <c r="H976" s="15" t="str">
        <f t="shared" ca="1" si="77"/>
        <v/>
      </c>
      <c r="I976" s="16" t="str">
        <f t="shared" ca="1" si="78"/>
        <v/>
      </c>
    </row>
    <row r="977" spans="1:9" x14ac:dyDescent="0.3">
      <c r="A977" s="3"/>
      <c r="B977" s="9"/>
      <c r="C977" s="9"/>
      <c r="E977" s="14" t="str">
        <f t="shared" si="79"/>
        <v/>
      </c>
      <c r="F977" s="15" t="str">
        <f t="shared" ref="F977:F1040" ca="1" si="80">IF(ISNUMBER(E977),IF(ROW(E977)&gt;$K$1,AVERAGE(OFFSET(E977,0,0,-$K$1)),""),"")</f>
        <v/>
      </c>
      <c r="G977" s="15" t="str">
        <f t="shared" ref="G977:G1040" ca="1" si="81">IF(ISNUMBER(I977),F977+I977*$M$1,"")</f>
        <v/>
      </c>
      <c r="H977" s="15" t="str">
        <f t="shared" ref="H977:H1040" ca="1" si="82">IF(ISNUMBER(I977),F977-I977*$M$1,"")</f>
        <v/>
      </c>
      <c r="I977" s="16" t="str">
        <f t="shared" ref="I977:I1040" ca="1" si="83">IF(ISNUMBER(E977),IF(ROW(E977)&gt;$K$1,_xlfn.STDEV.P(OFFSET(E977,0,0,-$K$1)),""),"")</f>
        <v/>
      </c>
    </row>
    <row r="978" spans="1:9" x14ac:dyDescent="0.3">
      <c r="A978" s="3"/>
      <c r="B978" s="9"/>
      <c r="C978" s="9"/>
      <c r="E978" s="14" t="str">
        <f t="shared" si="79"/>
        <v/>
      </c>
      <c r="F978" s="15" t="str">
        <f t="shared" ca="1" si="80"/>
        <v/>
      </c>
      <c r="G978" s="15" t="str">
        <f t="shared" ca="1" si="81"/>
        <v/>
      </c>
      <c r="H978" s="15" t="str">
        <f t="shared" ca="1" si="82"/>
        <v/>
      </c>
      <c r="I978" s="16" t="str">
        <f t="shared" ca="1" si="83"/>
        <v/>
      </c>
    </row>
    <row r="979" spans="1:9" x14ac:dyDescent="0.3">
      <c r="A979" s="3"/>
      <c r="B979" s="9"/>
      <c r="C979" s="9"/>
      <c r="E979" s="14" t="str">
        <f t="shared" si="79"/>
        <v/>
      </c>
      <c r="F979" s="15" t="str">
        <f t="shared" ca="1" si="80"/>
        <v/>
      </c>
      <c r="G979" s="15" t="str">
        <f t="shared" ca="1" si="81"/>
        <v/>
      </c>
      <c r="H979" s="15" t="str">
        <f t="shared" ca="1" si="82"/>
        <v/>
      </c>
      <c r="I979" s="16" t="str">
        <f t="shared" ca="1" si="83"/>
        <v/>
      </c>
    </row>
    <row r="980" spans="1:9" x14ac:dyDescent="0.3">
      <c r="A980" s="3"/>
      <c r="B980" s="9"/>
      <c r="C980" s="9"/>
      <c r="E980" s="14" t="str">
        <f t="shared" si="79"/>
        <v/>
      </c>
      <c r="F980" s="15" t="str">
        <f t="shared" ca="1" si="80"/>
        <v/>
      </c>
      <c r="G980" s="15" t="str">
        <f t="shared" ca="1" si="81"/>
        <v/>
      </c>
      <c r="H980" s="15" t="str">
        <f t="shared" ca="1" si="82"/>
        <v/>
      </c>
      <c r="I980" s="16" t="str">
        <f t="shared" ca="1" si="83"/>
        <v/>
      </c>
    </row>
    <row r="981" spans="1:9" x14ac:dyDescent="0.3">
      <c r="A981" s="3"/>
      <c r="B981" s="9"/>
      <c r="C981" s="9"/>
      <c r="E981" s="14" t="str">
        <f t="shared" si="79"/>
        <v/>
      </c>
      <c r="F981" s="15" t="str">
        <f t="shared" ca="1" si="80"/>
        <v/>
      </c>
      <c r="G981" s="15" t="str">
        <f t="shared" ca="1" si="81"/>
        <v/>
      </c>
      <c r="H981" s="15" t="str">
        <f t="shared" ca="1" si="82"/>
        <v/>
      </c>
      <c r="I981" s="16" t="str">
        <f t="shared" ca="1" si="83"/>
        <v/>
      </c>
    </row>
    <row r="982" spans="1:9" x14ac:dyDescent="0.3">
      <c r="A982" s="3"/>
      <c r="B982" s="9"/>
      <c r="C982" s="9"/>
      <c r="E982" s="14" t="str">
        <f t="shared" si="79"/>
        <v/>
      </c>
      <c r="F982" s="15" t="str">
        <f t="shared" ca="1" si="80"/>
        <v/>
      </c>
      <c r="G982" s="15" t="str">
        <f t="shared" ca="1" si="81"/>
        <v/>
      </c>
      <c r="H982" s="15" t="str">
        <f t="shared" ca="1" si="82"/>
        <v/>
      </c>
      <c r="I982" s="16" t="str">
        <f t="shared" ca="1" si="83"/>
        <v/>
      </c>
    </row>
    <row r="983" spans="1:9" x14ac:dyDescent="0.3">
      <c r="A983" s="3"/>
      <c r="B983" s="9"/>
      <c r="C983" s="9"/>
      <c r="E983" s="14" t="str">
        <f t="shared" si="79"/>
        <v/>
      </c>
      <c r="F983" s="15" t="str">
        <f t="shared" ca="1" si="80"/>
        <v/>
      </c>
      <c r="G983" s="15" t="str">
        <f t="shared" ca="1" si="81"/>
        <v/>
      </c>
      <c r="H983" s="15" t="str">
        <f t="shared" ca="1" si="82"/>
        <v/>
      </c>
      <c r="I983" s="16" t="str">
        <f t="shared" ca="1" si="83"/>
        <v/>
      </c>
    </row>
    <row r="984" spans="1:9" x14ac:dyDescent="0.3">
      <c r="A984" s="3"/>
      <c r="B984" s="9"/>
      <c r="C984" s="9"/>
      <c r="E984" s="14" t="str">
        <f t="shared" si="79"/>
        <v/>
      </c>
      <c r="F984" s="15" t="str">
        <f t="shared" ca="1" si="80"/>
        <v/>
      </c>
      <c r="G984" s="15" t="str">
        <f t="shared" ca="1" si="81"/>
        <v/>
      </c>
      <c r="H984" s="15" t="str">
        <f t="shared" ca="1" si="82"/>
        <v/>
      </c>
      <c r="I984" s="16" t="str">
        <f t="shared" ca="1" si="83"/>
        <v/>
      </c>
    </row>
    <row r="985" spans="1:9" x14ac:dyDescent="0.3">
      <c r="A985" s="3"/>
      <c r="B985" s="9"/>
      <c r="C985" s="9"/>
      <c r="E985" s="14" t="str">
        <f t="shared" si="79"/>
        <v/>
      </c>
      <c r="F985" s="15" t="str">
        <f t="shared" ca="1" si="80"/>
        <v/>
      </c>
      <c r="G985" s="15" t="str">
        <f t="shared" ca="1" si="81"/>
        <v/>
      </c>
      <c r="H985" s="15" t="str">
        <f t="shared" ca="1" si="82"/>
        <v/>
      </c>
      <c r="I985" s="16" t="str">
        <f t="shared" ca="1" si="83"/>
        <v/>
      </c>
    </row>
    <row r="986" spans="1:9" x14ac:dyDescent="0.3">
      <c r="A986" s="3"/>
      <c r="B986" s="9"/>
      <c r="C986" s="9"/>
      <c r="E986" s="14" t="str">
        <f t="shared" si="79"/>
        <v/>
      </c>
      <c r="F986" s="15" t="str">
        <f t="shared" ca="1" si="80"/>
        <v/>
      </c>
      <c r="G986" s="15" t="str">
        <f t="shared" ca="1" si="81"/>
        <v/>
      </c>
      <c r="H986" s="15" t="str">
        <f t="shared" ca="1" si="82"/>
        <v/>
      </c>
      <c r="I986" s="16" t="str">
        <f t="shared" ca="1" si="83"/>
        <v/>
      </c>
    </row>
    <row r="987" spans="1:9" x14ac:dyDescent="0.3">
      <c r="A987" s="3"/>
      <c r="B987" s="9"/>
      <c r="C987" s="9"/>
      <c r="E987" s="14" t="str">
        <f t="shared" si="79"/>
        <v/>
      </c>
      <c r="F987" s="15" t="str">
        <f t="shared" ca="1" si="80"/>
        <v/>
      </c>
      <c r="G987" s="15" t="str">
        <f t="shared" ca="1" si="81"/>
        <v/>
      </c>
      <c r="H987" s="15" t="str">
        <f t="shared" ca="1" si="82"/>
        <v/>
      </c>
      <c r="I987" s="16" t="str">
        <f t="shared" ca="1" si="83"/>
        <v/>
      </c>
    </row>
    <row r="988" spans="1:9" x14ac:dyDescent="0.3">
      <c r="A988" s="3"/>
      <c r="B988" s="9"/>
      <c r="C988" s="9"/>
      <c r="E988" s="14" t="str">
        <f t="shared" si="79"/>
        <v/>
      </c>
      <c r="F988" s="15" t="str">
        <f t="shared" ca="1" si="80"/>
        <v/>
      </c>
      <c r="G988" s="15" t="str">
        <f t="shared" ca="1" si="81"/>
        <v/>
      </c>
      <c r="H988" s="15" t="str">
        <f t="shared" ca="1" si="82"/>
        <v/>
      </c>
      <c r="I988" s="16" t="str">
        <f t="shared" ca="1" si="83"/>
        <v/>
      </c>
    </row>
    <row r="989" spans="1:9" x14ac:dyDescent="0.3">
      <c r="A989" s="3"/>
      <c r="B989" s="9"/>
      <c r="C989" s="9"/>
      <c r="E989" s="14" t="str">
        <f t="shared" si="79"/>
        <v/>
      </c>
      <c r="F989" s="15" t="str">
        <f t="shared" ca="1" si="80"/>
        <v/>
      </c>
      <c r="G989" s="15" t="str">
        <f t="shared" ca="1" si="81"/>
        <v/>
      </c>
      <c r="H989" s="15" t="str">
        <f t="shared" ca="1" si="82"/>
        <v/>
      </c>
      <c r="I989" s="16" t="str">
        <f t="shared" ca="1" si="83"/>
        <v/>
      </c>
    </row>
    <row r="990" spans="1:9" x14ac:dyDescent="0.3">
      <c r="A990" s="3"/>
      <c r="B990" s="9"/>
      <c r="C990" s="9"/>
      <c r="E990" s="14" t="str">
        <f t="shared" si="79"/>
        <v/>
      </c>
      <c r="F990" s="15" t="str">
        <f t="shared" ca="1" si="80"/>
        <v/>
      </c>
      <c r="G990" s="15" t="str">
        <f t="shared" ca="1" si="81"/>
        <v/>
      </c>
      <c r="H990" s="15" t="str">
        <f t="shared" ca="1" si="82"/>
        <v/>
      </c>
      <c r="I990" s="16" t="str">
        <f t="shared" ca="1" si="83"/>
        <v/>
      </c>
    </row>
    <row r="991" spans="1:9" x14ac:dyDescent="0.3">
      <c r="A991" s="3"/>
      <c r="B991" s="9"/>
      <c r="C991" s="9"/>
      <c r="E991" s="14" t="str">
        <f t="shared" si="79"/>
        <v/>
      </c>
      <c r="F991" s="15" t="str">
        <f t="shared" ca="1" si="80"/>
        <v/>
      </c>
      <c r="G991" s="15" t="str">
        <f t="shared" ca="1" si="81"/>
        <v/>
      </c>
      <c r="H991" s="15" t="str">
        <f t="shared" ca="1" si="82"/>
        <v/>
      </c>
      <c r="I991" s="16" t="str">
        <f t="shared" ca="1" si="83"/>
        <v/>
      </c>
    </row>
    <row r="992" spans="1:9" x14ac:dyDescent="0.3">
      <c r="A992" s="3"/>
      <c r="B992" s="9"/>
      <c r="C992" s="9"/>
      <c r="E992" s="14" t="str">
        <f t="shared" si="79"/>
        <v/>
      </c>
      <c r="F992" s="15" t="str">
        <f t="shared" ca="1" si="80"/>
        <v/>
      </c>
      <c r="G992" s="15" t="str">
        <f t="shared" ca="1" si="81"/>
        <v/>
      </c>
      <c r="H992" s="15" t="str">
        <f t="shared" ca="1" si="82"/>
        <v/>
      </c>
      <c r="I992" s="16" t="str">
        <f t="shared" ca="1" si="83"/>
        <v/>
      </c>
    </row>
    <row r="993" spans="1:9" x14ac:dyDescent="0.3">
      <c r="A993" s="3"/>
      <c r="B993" s="9"/>
      <c r="C993" s="9"/>
      <c r="E993" s="14" t="str">
        <f t="shared" si="79"/>
        <v/>
      </c>
      <c r="F993" s="15" t="str">
        <f t="shared" ca="1" si="80"/>
        <v/>
      </c>
      <c r="G993" s="15" t="str">
        <f t="shared" ca="1" si="81"/>
        <v/>
      </c>
      <c r="H993" s="15" t="str">
        <f t="shared" ca="1" si="82"/>
        <v/>
      </c>
      <c r="I993" s="16" t="str">
        <f t="shared" ca="1" si="83"/>
        <v/>
      </c>
    </row>
    <row r="994" spans="1:9" x14ac:dyDescent="0.3">
      <c r="A994" s="3"/>
      <c r="B994" s="9"/>
      <c r="C994" s="9"/>
      <c r="E994" s="14" t="str">
        <f t="shared" si="79"/>
        <v/>
      </c>
      <c r="F994" s="15" t="str">
        <f t="shared" ca="1" si="80"/>
        <v/>
      </c>
      <c r="G994" s="15" t="str">
        <f t="shared" ca="1" si="81"/>
        <v/>
      </c>
      <c r="H994" s="15" t="str">
        <f t="shared" ca="1" si="82"/>
        <v/>
      </c>
      <c r="I994" s="16" t="str">
        <f t="shared" ca="1" si="83"/>
        <v/>
      </c>
    </row>
    <row r="995" spans="1:9" x14ac:dyDescent="0.3">
      <c r="A995" s="3"/>
      <c r="B995" s="9"/>
      <c r="C995" s="9"/>
      <c r="E995" s="14" t="str">
        <f t="shared" si="79"/>
        <v/>
      </c>
      <c r="F995" s="15" t="str">
        <f t="shared" ca="1" si="80"/>
        <v/>
      </c>
      <c r="G995" s="15" t="str">
        <f t="shared" ca="1" si="81"/>
        <v/>
      </c>
      <c r="H995" s="15" t="str">
        <f t="shared" ca="1" si="82"/>
        <v/>
      </c>
      <c r="I995" s="16" t="str">
        <f t="shared" ca="1" si="83"/>
        <v/>
      </c>
    </row>
    <row r="996" spans="1:9" x14ac:dyDescent="0.3">
      <c r="A996" s="3"/>
      <c r="B996" s="9"/>
      <c r="C996" s="9"/>
      <c r="E996" s="14" t="str">
        <f t="shared" si="79"/>
        <v/>
      </c>
      <c r="F996" s="15" t="str">
        <f t="shared" ca="1" si="80"/>
        <v/>
      </c>
      <c r="G996" s="15" t="str">
        <f t="shared" ca="1" si="81"/>
        <v/>
      </c>
      <c r="H996" s="15" t="str">
        <f t="shared" ca="1" si="82"/>
        <v/>
      </c>
      <c r="I996" s="16" t="str">
        <f t="shared" ca="1" si="83"/>
        <v/>
      </c>
    </row>
    <row r="997" spans="1:9" x14ac:dyDescent="0.3">
      <c r="A997" s="3"/>
      <c r="B997" s="9"/>
      <c r="C997" s="9"/>
      <c r="E997" s="14" t="str">
        <f t="shared" si="79"/>
        <v/>
      </c>
      <c r="F997" s="15" t="str">
        <f t="shared" ca="1" si="80"/>
        <v/>
      </c>
      <c r="G997" s="15" t="str">
        <f t="shared" ca="1" si="81"/>
        <v/>
      </c>
      <c r="H997" s="15" t="str">
        <f t="shared" ca="1" si="82"/>
        <v/>
      </c>
      <c r="I997" s="16" t="str">
        <f t="shared" ca="1" si="83"/>
        <v/>
      </c>
    </row>
    <row r="998" spans="1:9" x14ac:dyDescent="0.3">
      <c r="A998" s="3"/>
      <c r="B998" s="9"/>
      <c r="C998" s="9"/>
      <c r="E998" s="14" t="str">
        <f t="shared" si="79"/>
        <v/>
      </c>
      <c r="F998" s="15" t="str">
        <f t="shared" ca="1" si="80"/>
        <v/>
      </c>
      <c r="G998" s="15" t="str">
        <f t="shared" ca="1" si="81"/>
        <v/>
      </c>
      <c r="H998" s="15" t="str">
        <f t="shared" ca="1" si="82"/>
        <v/>
      </c>
      <c r="I998" s="16" t="str">
        <f t="shared" ca="1" si="83"/>
        <v/>
      </c>
    </row>
    <row r="999" spans="1:9" x14ac:dyDescent="0.3">
      <c r="A999" s="3"/>
      <c r="B999" s="9"/>
      <c r="C999" s="9"/>
      <c r="E999" s="14" t="str">
        <f t="shared" si="79"/>
        <v/>
      </c>
      <c r="F999" s="15" t="str">
        <f t="shared" ca="1" si="80"/>
        <v/>
      </c>
      <c r="G999" s="15" t="str">
        <f t="shared" ca="1" si="81"/>
        <v/>
      </c>
      <c r="H999" s="15" t="str">
        <f t="shared" ca="1" si="82"/>
        <v/>
      </c>
      <c r="I999" s="16" t="str">
        <f t="shared" ca="1" si="83"/>
        <v/>
      </c>
    </row>
    <row r="1000" spans="1:9" x14ac:dyDescent="0.3">
      <c r="A1000" s="3"/>
      <c r="B1000" s="9"/>
      <c r="C1000" s="9"/>
      <c r="E1000" s="14" t="str">
        <f t="shared" si="79"/>
        <v/>
      </c>
      <c r="F1000" s="15" t="str">
        <f t="shared" ca="1" si="80"/>
        <v/>
      </c>
      <c r="G1000" s="15" t="str">
        <f t="shared" ca="1" si="81"/>
        <v/>
      </c>
      <c r="H1000" s="15" t="str">
        <f t="shared" ca="1" si="82"/>
        <v/>
      </c>
      <c r="I1000" s="16" t="str">
        <f t="shared" ca="1" si="83"/>
        <v/>
      </c>
    </row>
    <row r="1001" spans="1:9" x14ac:dyDescent="0.3">
      <c r="A1001" s="3"/>
      <c r="B1001" s="9"/>
      <c r="C1001" s="9"/>
      <c r="E1001" s="14" t="str">
        <f t="shared" si="79"/>
        <v/>
      </c>
      <c r="F1001" s="15" t="str">
        <f t="shared" ca="1" si="80"/>
        <v/>
      </c>
      <c r="G1001" s="15" t="str">
        <f t="shared" ca="1" si="81"/>
        <v/>
      </c>
      <c r="H1001" s="15" t="str">
        <f t="shared" ca="1" si="82"/>
        <v/>
      </c>
      <c r="I1001" s="16" t="str">
        <f t="shared" ca="1" si="83"/>
        <v/>
      </c>
    </row>
    <row r="1002" spans="1:9" x14ac:dyDescent="0.3">
      <c r="A1002" s="3"/>
      <c r="B1002" s="9"/>
      <c r="C1002" s="9"/>
      <c r="E1002" s="14" t="str">
        <f t="shared" si="79"/>
        <v/>
      </c>
      <c r="F1002" s="15" t="str">
        <f t="shared" ca="1" si="80"/>
        <v/>
      </c>
      <c r="G1002" s="15" t="str">
        <f t="shared" ca="1" si="81"/>
        <v/>
      </c>
      <c r="H1002" s="15" t="str">
        <f t="shared" ca="1" si="82"/>
        <v/>
      </c>
      <c r="I1002" s="16" t="str">
        <f t="shared" ca="1" si="83"/>
        <v/>
      </c>
    </row>
    <row r="1003" spans="1:9" x14ac:dyDescent="0.3">
      <c r="A1003" s="3"/>
      <c r="B1003" s="9"/>
      <c r="C1003" s="9"/>
      <c r="E1003" s="14" t="str">
        <f t="shared" si="79"/>
        <v/>
      </c>
      <c r="F1003" s="15" t="str">
        <f t="shared" ca="1" si="80"/>
        <v/>
      </c>
      <c r="G1003" s="15" t="str">
        <f t="shared" ca="1" si="81"/>
        <v/>
      </c>
      <c r="H1003" s="15" t="str">
        <f t="shared" ca="1" si="82"/>
        <v/>
      </c>
      <c r="I1003" s="16" t="str">
        <f t="shared" ca="1" si="83"/>
        <v/>
      </c>
    </row>
    <row r="1004" spans="1:9" x14ac:dyDescent="0.3">
      <c r="A1004" s="3"/>
      <c r="B1004" s="9"/>
      <c r="C1004" s="9"/>
      <c r="E1004" s="14" t="str">
        <f t="shared" si="79"/>
        <v/>
      </c>
      <c r="F1004" s="15" t="str">
        <f t="shared" ca="1" si="80"/>
        <v/>
      </c>
      <c r="G1004" s="15" t="str">
        <f t="shared" ca="1" si="81"/>
        <v/>
      </c>
      <c r="H1004" s="15" t="str">
        <f t="shared" ca="1" si="82"/>
        <v/>
      </c>
      <c r="I1004" s="16" t="str">
        <f t="shared" ca="1" si="83"/>
        <v/>
      </c>
    </row>
    <row r="1005" spans="1:9" x14ac:dyDescent="0.3">
      <c r="A1005" s="3"/>
      <c r="B1005" s="9"/>
      <c r="C1005" s="9"/>
      <c r="E1005" s="14" t="str">
        <f t="shared" si="79"/>
        <v/>
      </c>
      <c r="F1005" s="15" t="str">
        <f t="shared" ca="1" si="80"/>
        <v/>
      </c>
      <c r="G1005" s="15" t="str">
        <f t="shared" ca="1" si="81"/>
        <v/>
      </c>
      <c r="H1005" s="15" t="str">
        <f t="shared" ca="1" si="82"/>
        <v/>
      </c>
      <c r="I1005" s="16" t="str">
        <f t="shared" ca="1" si="83"/>
        <v/>
      </c>
    </row>
    <row r="1006" spans="1:9" x14ac:dyDescent="0.3">
      <c r="A1006" s="3"/>
      <c r="B1006" s="9"/>
      <c r="C1006" s="9"/>
      <c r="E1006" s="14" t="str">
        <f t="shared" si="79"/>
        <v/>
      </c>
      <c r="F1006" s="15" t="str">
        <f t="shared" ca="1" si="80"/>
        <v/>
      </c>
      <c r="G1006" s="15" t="str">
        <f t="shared" ca="1" si="81"/>
        <v/>
      </c>
      <c r="H1006" s="15" t="str">
        <f t="shared" ca="1" si="82"/>
        <v/>
      </c>
      <c r="I1006" s="16" t="str">
        <f t="shared" ca="1" si="83"/>
        <v/>
      </c>
    </row>
    <row r="1007" spans="1:9" x14ac:dyDescent="0.3">
      <c r="A1007" s="3"/>
      <c r="B1007" s="9"/>
      <c r="C1007" s="9"/>
      <c r="E1007" s="14" t="str">
        <f t="shared" si="79"/>
        <v/>
      </c>
      <c r="F1007" s="15" t="str">
        <f t="shared" ca="1" si="80"/>
        <v/>
      </c>
      <c r="G1007" s="15" t="str">
        <f t="shared" ca="1" si="81"/>
        <v/>
      </c>
      <c r="H1007" s="15" t="str">
        <f t="shared" ca="1" si="82"/>
        <v/>
      </c>
      <c r="I1007" s="16" t="str">
        <f t="shared" ca="1" si="83"/>
        <v/>
      </c>
    </row>
    <row r="1008" spans="1:9" x14ac:dyDescent="0.3">
      <c r="A1008" s="3"/>
      <c r="B1008" s="9"/>
      <c r="C1008" s="9"/>
      <c r="E1008" s="14" t="str">
        <f t="shared" si="79"/>
        <v/>
      </c>
      <c r="F1008" s="15" t="str">
        <f t="shared" ca="1" si="80"/>
        <v/>
      </c>
      <c r="G1008" s="15" t="str">
        <f t="shared" ca="1" si="81"/>
        <v/>
      </c>
      <c r="H1008" s="15" t="str">
        <f t="shared" ca="1" si="82"/>
        <v/>
      </c>
      <c r="I1008" s="16" t="str">
        <f t="shared" ca="1" si="83"/>
        <v/>
      </c>
    </row>
    <row r="1009" spans="1:9" x14ac:dyDescent="0.3">
      <c r="A1009" s="3"/>
      <c r="B1009" s="9"/>
      <c r="C1009" s="9"/>
      <c r="E1009" s="14" t="str">
        <f t="shared" si="79"/>
        <v/>
      </c>
      <c r="F1009" s="15" t="str">
        <f t="shared" ca="1" si="80"/>
        <v/>
      </c>
      <c r="G1009" s="15" t="str">
        <f t="shared" ca="1" si="81"/>
        <v/>
      </c>
      <c r="H1009" s="15" t="str">
        <f t="shared" ca="1" si="82"/>
        <v/>
      </c>
      <c r="I1009" s="16" t="str">
        <f t="shared" ca="1" si="83"/>
        <v/>
      </c>
    </row>
    <row r="1010" spans="1:9" x14ac:dyDescent="0.3">
      <c r="A1010" s="3"/>
      <c r="B1010" s="9"/>
      <c r="C1010" s="9"/>
      <c r="E1010" s="14" t="str">
        <f t="shared" si="79"/>
        <v/>
      </c>
      <c r="F1010" s="15" t="str">
        <f t="shared" ca="1" si="80"/>
        <v/>
      </c>
      <c r="G1010" s="15" t="str">
        <f t="shared" ca="1" si="81"/>
        <v/>
      </c>
      <c r="H1010" s="15" t="str">
        <f t="shared" ca="1" si="82"/>
        <v/>
      </c>
      <c r="I1010" s="16" t="str">
        <f t="shared" ca="1" si="83"/>
        <v/>
      </c>
    </row>
    <row r="1011" spans="1:9" x14ac:dyDescent="0.3">
      <c r="A1011" s="3"/>
      <c r="B1011" s="9"/>
      <c r="C1011" s="9"/>
      <c r="E1011" s="14" t="str">
        <f t="shared" si="79"/>
        <v/>
      </c>
      <c r="F1011" s="15" t="str">
        <f t="shared" ca="1" si="80"/>
        <v/>
      </c>
      <c r="G1011" s="15" t="str">
        <f t="shared" ca="1" si="81"/>
        <v/>
      </c>
      <c r="H1011" s="15" t="str">
        <f t="shared" ca="1" si="82"/>
        <v/>
      </c>
      <c r="I1011" s="16" t="str">
        <f t="shared" ca="1" si="83"/>
        <v/>
      </c>
    </row>
    <row r="1012" spans="1:9" x14ac:dyDescent="0.3">
      <c r="A1012" s="3"/>
      <c r="B1012" s="9"/>
      <c r="C1012" s="9"/>
      <c r="E1012" s="14" t="str">
        <f t="shared" si="79"/>
        <v/>
      </c>
      <c r="F1012" s="15" t="str">
        <f t="shared" ca="1" si="80"/>
        <v/>
      </c>
      <c r="G1012" s="15" t="str">
        <f t="shared" ca="1" si="81"/>
        <v/>
      </c>
      <c r="H1012" s="15" t="str">
        <f t="shared" ca="1" si="82"/>
        <v/>
      </c>
      <c r="I1012" s="16" t="str">
        <f t="shared" ca="1" si="83"/>
        <v/>
      </c>
    </row>
    <row r="1013" spans="1:9" x14ac:dyDescent="0.3">
      <c r="A1013" s="3"/>
      <c r="B1013" s="9"/>
      <c r="C1013" s="9"/>
      <c r="E1013" s="14" t="str">
        <f t="shared" si="79"/>
        <v/>
      </c>
      <c r="F1013" s="15" t="str">
        <f t="shared" ca="1" si="80"/>
        <v/>
      </c>
      <c r="G1013" s="15" t="str">
        <f t="shared" ca="1" si="81"/>
        <v/>
      </c>
      <c r="H1013" s="15" t="str">
        <f t="shared" ca="1" si="82"/>
        <v/>
      </c>
      <c r="I1013" s="16" t="str">
        <f t="shared" ca="1" si="83"/>
        <v/>
      </c>
    </row>
    <row r="1014" spans="1:9" x14ac:dyDescent="0.3">
      <c r="A1014" s="3"/>
      <c r="B1014" s="9"/>
      <c r="C1014" s="9"/>
      <c r="E1014" s="14" t="str">
        <f t="shared" si="79"/>
        <v/>
      </c>
      <c r="F1014" s="15" t="str">
        <f t="shared" ca="1" si="80"/>
        <v/>
      </c>
      <c r="G1014" s="15" t="str">
        <f t="shared" ca="1" si="81"/>
        <v/>
      </c>
      <c r="H1014" s="15" t="str">
        <f t="shared" ca="1" si="82"/>
        <v/>
      </c>
      <c r="I1014" s="16" t="str">
        <f t="shared" ca="1" si="83"/>
        <v/>
      </c>
    </row>
    <row r="1015" spans="1:9" x14ac:dyDescent="0.3">
      <c r="A1015" s="3"/>
      <c r="B1015" s="9"/>
      <c r="C1015" s="9"/>
      <c r="E1015" s="14" t="str">
        <f t="shared" si="79"/>
        <v/>
      </c>
      <c r="F1015" s="15" t="str">
        <f t="shared" ca="1" si="80"/>
        <v/>
      </c>
      <c r="G1015" s="15" t="str">
        <f t="shared" ca="1" si="81"/>
        <v/>
      </c>
      <c r="H1015" s="15" t="str">
        <f t="shared" ca="1" si="82"/>
        <v/>
      </c>
      <c r="I1015" s="16" t="str">
        <f t="shared" ca="1" si="83"/>
        <v/>
      </c>
    </row>
    <row r="1016" spans="1:9" x14ac:dyDescent="0.3">
      <c r="A1016" s="3"/>
      <c r="B1016" s="9"/>
      <c r="C1016" s="9"/>
      <c r="E1016" s="14" t="str">
        <f t="shared" si="79"/>
        <v/>
      </c>
      <c r="F1016" s="15" t="str">
        <f t="shared" ca="1" si="80"/>
        <v/>
      </c>
      <c r="G1016" s="15" t="str">
        <f t="shared" ca="1" si="81"/>
        <v/>
      </c>
      <c r="H1016" s="15" t="str">
        <f t="shared" ca="1" si="82"/>
        <v/>
      </c>
      <c r="I1016" s="16" t="str">
        <f t="shared" ca="1" si="83"/>
        <v/>
      </c>
    </row>
    <row r="1017" spans="1:9" x14ac:dyDescent="0.3">
      <c r="A1017" s="3"/>
      <c r="B1017" s="9"/>
      <c r="C1017" s="9"/>
      <c r="E1017" s="14" t="str">
        <f t="shared" si="79"/>
        <v/>
      </c>
      <c r="F1017" s="15" t="str">
        <f t="shared" ca="1" si="80"/>
        <v/>
      </c>
      <c r="G1017" s="15" t="str">
        <f t="shared" ca="1" si="81"/>
        <v/>
      </c>
      <c r="H1017" s="15" t="str">
        <f t="shared" ca="1" si="82"/>
        <v/>
      </c>
      <c r="I1017" s="16" t="str">
        <f t="shared" ca="1" si="83"/>
        <v/>
      </c>
    </row>
    <row r="1018" spans="1:9" x14ac:dyDescent="0.3">
      <c r="A1018" s="3"/>
      <c r="B1018" s="9"/>
      <c r="C1018" s="9"/>
      <c r="E1018" s="14" t="str">
        <f t="shared" si="79"/>
        <v/>
      </c>
      <c r="F1018" s="15" t="str">
        <f t="shared" ca="1" si="80"/>
        <v/>
      </c>
      <c r="G1018" s="15" t="str">
        <f t="shared" ca="1" si="81"/>
        <v/>
      </c>
      <c r="H1018" s="15" t="str">
        <f t="shared" ca="1" si="82"/>
        <v/>
      </c>
      <c r="I1018" s="16" t="str">
        <f t="shared" ca="1" si="83"/>
        <v/>
      </c>
    </row>
    <row r="1019" spans="1:9" x14ac:dyDescent="0.3">
      <c r="A1019" s="3"/>
      <c r="B1019" s="9"/>
      <c r="C1019" s="9"/>
      <c r="E1019" s="14" t="str">
        <f t="shared" si="79"/>
        <v/>
      </c>
      <c r="F1019" s="15" t="str">
        <f t="shared" ca="1" si="80"/>
        <v/>
      </c>
      <c r="G1019" s="15" t="str">
        <f t="shared" ca="1" si="81"/>
        <v/>
      </c>
      <c r="H1019" s="15" t="str">
        <f t="shared" ca="1" si="82"/>
        <v/>
      </c>
      <c r="I1019" s="16" t="str">
        <f t="shared" ca="1" si="83"/>
        <v/>
      </c>
    </row>
    <row r="1020" spans="1:9" x14ac:dyDescent="0.3">
      <c r="A1020" s="3"/>
      <c r="B1020" s="9"/>
      <c r="C1020" s="9"/>
      <c r="E1020" s="14" t="str">
        <f t="shared" si="79"/>
        <v/>
      </c>
      <c r="F1020" s="15" t="str">
        <f t="shared" ca="1" si="80"/>
        <v/>
      </c>
      <c r="G1020" s="15" t="str">
        <f t="shared" ca="1" si="81"/>
        <v/>
      </c>
      <c r="H1020" s="15" t="str">
        <f t="shared" ca="1" si="82"/>
        <v/>
      </c>
      <c r="I1020" s="16" t="str">
        <f t="shared" ca="1" si="83"/>
        <v/>
      </c>
    </row>
    <row r="1021" spans="1:9" x14ac:dyDescent="0.3">
      <c r="A1021" s="3"/>
      <c r="B1021" s="9"/>
      <c r="C1021" s="9"/>
      <c r="E1021" s="14" t="str">
        <f t="shared" si="79"/>
        <v/>
      </c>
      <c r="F1021" s="15" t="str">
        <f t="shared" ca="1" si="80"/>
        <v/>
      </c>
      <c r="G1021" s="15" t="str">
        <f t="shared" ca="1" si="81"/>
        <v/>
      </c>
      <c r="H1021" s="15" t="str">
        <f t="shared" ca="1" si="82"/>
        <v/>
      </c>
      <c r="I1021" s="16" t="str">
        <f t="shared" ca="1" si="83"/>
        <v/>
      </c>
    </row>
    <row r="1022" spans="1:9" x14ac:dyDescent="0.3">
      <c r="A1022" s="3"/>
      <c r="B1022" s="9"/>
      <c r="C1022" s="9"/>
      <c r="E1022" s="14" t="str">
        <f t="shared" si="79"/>
        <v/>
      </c>
      <c r="F1022" s="15" t="str">
        <f t="shared" ca="1" si="80"/>
        <v/>
      </c>
      <c r="G1022" s="15" t="str">
        <f t="shared" ca="1" si="81"/>
        <v/>
      </c>
      <c r="H1022" s="15" t="str">
        <f t="shared" ca="1" si="82"/>
        <v/>
      </c>
      <c r="I1022" s="16" t="str">
        <f t="shared" ca="1" si="83"/>
        <v/>
      </c>
    </row>
    <row r="1023" spans="1:9" x14ac:dyDescent="0.3">
      <c r="A1023" s="3"/>
      <c r="B1023" s="9"/>
      <c r="C1023" s="9"/>
      <c r="E1023" s="14" t="str">
        <f t="shared" si="79"/>
        <v/>
      </c>
      <c r="F1023" s="15" t="str">
        <f t="shared" ca="1" si="80"/>
        <v/>
      </c>
      <c r="G1023" s="15" t="str">
        <f t="shared" ca="1" si="81"/>
        <v/>
      </c>
      <c r="H1023" s="15" t="str">
        <f t="shared" ca="1" si="82"/>
        <v/>
      </c>
      <c r="I1023" s="16" t="str">
        <f t="shared" ca="1" si="83"/>
        <v/>
      </c>
    </row>
    <row r="1024" spans="1:9" x14ac:dyDescent="0.3">
      <c r="A1024" s="3"/>
      <c r="B1024" s="9"/>
      <c r="C1024" s="9"/>
      <c r="E1024" s="14" t="str">
        <f t="shared" si="79"/>
        <v/>
      </c>
      <c r="F1024" s="15" t="str">
        <f t="shared" ca="1" si="80"/>
        <v/>
      </c>
      <c r="G1024" s="15" t="str">
        <f t="shared" ca="1" si="81"/>
        <v/>
      </c>
      <c r="H1024" s="15" t="str">
        <f t="shared" ca="1" si="82"/>
        <v/>
      </c>
      <c r="I1024" s="16" t="str">
        <f t="shared" ca="1" si="83"/>
        <v/>
      </c>
    </row>
    <row r="1025" spans="1:9" x14ac:dyDescent="0.3">
      <c r="A1025" s="3"/>
      <c r="B1025" s="9"/>
      <c r="C1025" s="9"/>
      <c r="E1025" s="14" t="str">
        <f t="shared" si="79"/>
        <v/>
      </c>
      <c r="F1025" s="15" t="str">
        <f t="shared" ca="1" si="80"/>
        <v/>
      </c>
      <c r="G1025" s="15" t="str">
        <f t="shared" ca="1" si="81"/>
        <v/>
      </c>
      <c r="H1025" s="15" t="str">
        <f t="shared" ca="1" si="82"/>
        <v/>
      </c>
      <c r="I1025" s="16" t="str">
        <f t="shared" ca="1" si="83"/>
        <v/>
      </c>
    </row>
    <row r="1026" spans="1:9" x14ac:dyDescent="0.3">
      <c r="A1026" s="3"/>
      <c r="B1026" s="9"/>
      <c r="C1026" s="9"/>
      <c r="E1026" s="14" t="str">
        <f t="shared" si="79"/>
        <v/>
      </c>
      <c r="F1026" s="15" t="str">
        <f t="shared" ca="1" si="80"/>
        <v/>
      </c>
      <c r="G1026" s="15" t="str">
        <f t="shared" ca="1" si="81"/>
        <v/>
      </c>
      <c r="H1026" s="15" t="str">
        <f t="shared" ca="1" si="82"/>
        <v/>
      </c>
      <c r="I1026" s="16" t="str">
        <f t="shared" ca="1" si="83"/>
        <v/>
      </c>
    </row>
    <row r="1027" spans="1:9" x14ac:dyDescent="0.3">
      <c r="A1027" s="3"/>
      <c r="B1027" s="9"/>
      <c r="C1027" s="9"/>
      <c r="E1027" s="14" t="str">
        <f t="shared" ref="E1027:E1090" si="84">IF(ISNUMBER(B1027),B1027/C1027,"")</f>
        <v/>
      </c>
      <c r="F1027" s="15" t="str">
        <f t="shared" ca="1" si="80"/>
        <v/>
      </c>
      <c r="G1027" s="15" t="str">
        <f t="shared" ca="1" si="81"/>
        <v/>
      </c>
      <c r="H1027" s="15" t="str">
        <f t="shared" ca="1" si="82"/>
        <v/>
      </c>
      <c r="I1027" s="16" t="str">
        <f t="shared" ca="1" si="83"/>
        <v/>
      </c>
    </row>
    <row r="1028" spans="1:9" x14ac:dyDescent="0.3">
      <c r="A1028" s="3"/>
      <c r="B1028" s="9"/>
      <c r="C1028" s="9"/>
      <c r="E1028" s="14" t="str">
        <f t="shared" si="84"/>
        <v/>
      </c>
      <c r="F1028" s="15" t="str">
        <f t="shared" ca="1" si="80"/>
        <v/>
      </c>
      <c r="G1028" s="15" t="str">
        <f t="shared" ca="1" si="81"/>
        <v/>
      </c>
      <c r="H1028" s="15" t="str">
        <f t="shared" ca="1" si="82"/>
        <v/>
      </c>
      <c r="I1028" s="16" t="str">
        <f t="shared" ca="1" si="83"/>
        <v/>
      </c>
    </row>
    <row r="1029" spans="1:9" x14ac:dyDescent="0.3">
      <c r="A1029" s="3"/>
      <c r="B1029" s="9"/>
      <c r="C1029" s="9"/>
      <c r="E1029" s="14" t="str">
        <f t="shared" si="84"/>
        <v/>
      </c>
      <c r="F1029" s="15" t="str">
        <f t="shared" ca="1" si="80"/>
        <v/>
      </c>
      <c r="G1029" s="15" t="str">
        <f t="shared" ca="1" si="81"/>
        <v/>
      </c>
      <c r="H1029" s="15" t="str">
        <f t="shared" ca="1" si="82"/>
        <v/>
      </c>
      <c r="I1029" s="16" t="str">
        <f t="shared" ca="1" si="83"/>
        <v/>
      </c>
    </row>
    <row r="1030" spans="1:9" x14ac:dyDescent="0.3">
      <c r="A1030" s="3"/>
      <c r="B1030" s="9"/>
      <c r="C1030" s="9"/>
      <c r="E1030" s="14" t="str">
        <f t="shared" si="84"/>
        <v/>
      </c>
      <c r="F1030" s="15" t="str">
        <f t="shared" ca="1" si="80"/>
        <v/>
      </c>
      <c r="G1030" s="15" t="str">
        <f t="shared" ca="1" si="81"/>
        <v/>
      </c>
      <c r="H1030" s="15" t="str">
        <f t="shared" ca="1" si="82"/>
        <v/>
      </c>
      <c r="I1030" s="16" t="str">
        <f t="shared" ca="1" si="83"/>
        <v/>
      </c>
    </row>
    <row r="1031" spans="1:9" x14ac:dyDescent="0.3">
      <c r="A1031" s="3"/>
      <c r="B1031" s="9"/>
      <c r="C1031" s="9"/>
      <c r="E1031" s="14" t="str">
        <f t="shared" si="84"/>
        <v/>
      </c>
      <c r="F1031" s="15" t="str">
        <f t="shared" ca="1" si="80"/>
        <v/>
      </c>
      <c r="G1031" s="15" t="str">
        <f t="shared" ca="1" si="81"/>
        <v/>
      </c>
      <c r="H1031" s="15" t="str">
        <f t="shared" ca="1" si="82"/>
        <v/>
      </c>
      <c r="I1031" s="16" t="str">
        <f t="shared" ca="1" si="83"/>
        <v/>
      </c>
    </row>
    <row r="1032" spans="1:9" x14ac:dyDescent="0.3">
      <c r="A1032" s="3"/>
      <c r="B1032" s="9"/>
      <c r="C1032" s="9"/>
      <c r="E1032" s="14" t="str">
        <f t="shared" si="84"/>
        <v/>
      </c>
      <c r="F1032" s="15" t="str">
        <f t="shared" ca="1" si="80"/>
        <v/>
      </c>
      <c r="G1032" s="15" t="str">
        <f t="shared" ca="1" si="81"/>
        <v/>
      </c>
      <c r="H1032" s="15" t="str">
        <f t="shared" ca="1" si="82"/>
        <v/>
      </c>
      <c r="I1032" s="16" t="str">
        <f t="shared" ca="1" si="83"/>
        <v/>
      </c>
    </row>
    <row r="1033" spans="1:9" x14ac:dyDescent="0.3">
      <c r="A1033" s="3"/>
      <c r="B1033" s="9"/>
      <c r="C1033" s="9"/>
      <c r="E1033" s="14" t="str">
        <f t="shared" si="84"/>
        <v/>
      </c>
      <c r="F1033" s="15" t="str">
        <f t="shared" ca="1" si="80"/>
        <v/>
      </c>
      <c r="G1033" s="15" t="str">
        <f t="shared" ca="1" si="81"/>
        <v/>
      </c>
      <c r="H1033" s="15" t="str">
        <f t="shared" ca="1" si="82"/>
        <v/>
      </c>
      <c r="I1033" s="16" t="str">
        <f t="shared" ca="1" si="83"/>
        <v/>
      </c>
    </row>
    <row r="1034" spans="1:9" x14ac:dyDescent="0.3">
      <c r="A1034" s="3"/>
      <c r="B1034" s="9"/>
      <c r="C1034" s="9"/>
      <c r="E1034" s="14" t="str">
        <f t="shared" si="84"/>
        <v/>
      </c>
      <c r="F1034" s="15" t="str">
        <f t="shared" ca="1" si="80"/>
        <v/>
      </c>
      <c r="G1034" s="15" t="str">
        <f t="shared" ca="1" si="81"/>
        <v/>
      </c>
      <c r="H1034" s="15" t="str">
        <f t="shared" ca="1" si="82"/>
        <v/>
      </c>
      <c r="I1034" s="16" t="str">
        <f t="shared" ca="1" si="83"/>
        <v/>
      </c>
    </row>
    <row r="1035" spans="1:9" x14ac:dyDescent="0.3">
      <c r="A1035" s="3"/>
      <c r="B1035" s="9"/>
      <c r="C1035" s="9"/>
      <c r="E1035" s="14" t="str">
        <f t="shared" si="84"/>
        <v/>
      </c>
      <c r="F1035" s="15" t="str">
        <f t="shared" ca="1" si="80"/>
        <v/>
      </c>
      <c r="G1035" s="15" t="str">
        <f t="shared" ca="1" si="81"/>
        <v/>
      </c>
      <c r="H1035" s="15" t="str">
        <f t="shared" ca="1" si="82"/>
        <v/>
      </c>
      <c r="I1035" s="16" t="str">
        <f t="shared" ca="1" si="83"/>
        <v/>
      </c>
    </row>
    <row r="1036" spans="1:9" x14ac:dyDescent="0.3">
      <c r="A1036" s="3"/>
      <c r="B1036" s="9"/>
      <c r="C1036" s="9"/>
      <c r="E1036" s="14" t="str">
        <f t="shared" si="84"/>
        <v/>
      </c>
      <c r="F1036" s="15" t="str">
        <f t="shared" ca="1" si="80"/>
        <v/>
      </c>
      <c r="G1036" s="15" t="str">
        <f t="shared" ca="1" si="81"/>
        <v/>
      </c>
      <c r="H1036" s="15" t="str">
        <f t="shared" ca="1" si="82"/>
        <v/>
      </c>
      <c r="I1036" s="16" t="str">
        <f t="shared" ca="1" si="83"/>
        <v/>
      </c>
    </row>
    <row r="1037" spans="1:9" x14ac:dyDescent="0.3">
      <c r="A1037" s="3"/>
      <c r="B1037" s="9"/>
      <c r="C1037" s="9"/>
      <c r="E1037" s="14" t="str">
        <f t="shared" si="84"/>
        <v/>
      </c>
      <c r="F1037" s="15" t="str">
        <f t="shared" ca="1" si="80"/>
        <v/>
      </c>
      <c r="G1037" s="15" t="str">
        <f t="shared" ca="1" si="81"/>
        <v/>
      </c>
      <c r="H1037" s="15" t="str">
        <f t="shared" ca="1" si="82"/>
        <v/>
      </c>
      <c r="I1037" s="16" t="str">
        <f t="shared" ca="1" si="83"/>
        <v/>
      </c>
    </row>
    <row r="1038" spans="1:9" x14ac:dyDescent="0.3">
      <c r="A1038" s="3"/>
      <c r="B1038" s="9"/>
      <c r="C1038" s="9"/>
      <c r="E1038" s="14" t="str">
        <f t="shared" si="84"/>
        <v/>
      </c>
      <c r="F1038" s="15" t="str">
        <f t="shared" ca="1" si="80"/>
        <v/>
      </c>
      <c r="G1038" s="15" t="str">
        <f t="shared" ca="1" si="81"/>
        <v/>
      </c>
      <c r="H1038" s="15" t="str">
        <f t="shared" ca="1" si="82"/>
        <v/>
      </c>
      <c r="I1038" s="16" t="str">
        <f t="shared" ca="1" si="83"/>
        <v/>
      </c>
    </row>
    <row r="1039" spans="1:9" x14ac:dyDescent="0.3">
      <c r="A1039" s="3"/>
      <c r="B1039" s="9"/>
      <c r="C1039" s="9"/>
      <c r="E1039" s="14" t="str">
        <f t="shared" si="84"/>
        <v/>
      </c>
      <c r="F1039" s="15" t="str">
        <f t="shared" ca="1" si="80"/>
        <v/>
      </c>
      <c r="G1039" s="15" t="str">
        <f t="shared" ca="1" si="81"/>
        <v/>
      </c>
      <c r="H1039" s="15" t="str">
        <f t="shared" ca="1" si="82"/>
        <v/>
      </c>
      <c r="I1039" s="16" t="str">
        <f t="shared" ca="1" si="83"/>
        <v/>
      </c>
    </row>
    <row r="1040" spans="1:9" x14ac:dyDescent="0.3">
      <c r="A1040" s="3"/>
      <c r="B1040" s="9"/>
      <c r="C1040" s="9"/>
      <c r="E1040" s="14" t="str">
        <f t="shared" si="84"/>
        <v/>
      </c>
      <c r="F1040" s="15" t="str">
        <f t="shared" ca="1" si="80"/>
        <v/>
      </c>
      <c r="G1040" s="15" t="str">
        <f t="shared" ca="1" si="81"/>
        <v/>
      </c>
      <c r="H1040" s="15" t="str">
        <f t="shared" ca="1" si="82"/>
        <v/>
      </c>
      <c r="I1040" s="16" t="str">
        <f t="shared" ca="1" si="83"/>
        <v/>
      </c>
    </row>
    <row r="1041" spans="1:9" x14ac:dyDescent="0.3">
      <c r="A1041" s="3"/>
      <c r="B1041" s="9"/>
      <c r="C1041" s="9"/>
      <c r="E1041" s="14" t="str">
        <f t="shared" si="84"/>
        <v/>
      </c>
      <c r="F1041" s="15" t="str">
        <f t="shared" ref="F1041:F1104" ca="1" si="85">IF(ISNUMBER(E1041),IF(ROW(E1041)&gt;$K$1,AVERAGE(OFFSET(E1041,0,0,-$K$1)),""),"")</f>
        <v/>
      </c>
      <c r="G1041" s="15" t="str">
        <f t="shared" ref="G1041:G1104" ca="1" si="86">IF(ISNUMBER(I1041),F1041+I1041*$M$1,"")</f>
        <v/>
      </c>
      <c r="H1041" s="15" t="str">
        <f t="shared" ref="H1041:H1104" ca="1" si="87">IF(ISNUMBER(I1041),F1041-I1041*$M$1,"")</f>
        <v/>
      </c>
      <c r="I1041" s="16" t="str">
        <f t="shared" ref="I1041:I1104" ca="1" si="88">IF(ISNUMBER(E1041),IF(ROW(E1041)&gt;$K$1,_xlfn.STDEV.P(OFFSET(E1041,0,0,-$K$1)),""),"")</f>
        <v/>
      </c>
    </row>
    <row r="1042" spans="1:9" x14ac:dyDescent="0.3">
      <c r="A1042" s="3"/>
      <c r="B1042" s="9"/>
      <c r="C1042" s="9"/>
      <c r="E1042" s="14" t="str">
        <f t="shared" si="84"/>
        <v/>
      </c>
      <c r="F1042" s="15" t="str">
        <f t="shared" ca="1" si="85"/>
        <v/>
      </c>
      <c r="G1042" s="15" t="str">
        <f t="shared" ca="1" si="86"/>
        <v/>
      </c>
      <c r="H1042" s="15" t="str">
        <f t="shared" ca="1" si="87"/>
        <v/>
      </c>
      <c r="I1042" s="16" t="str">
        <f t="shared" ca="1" si="88"/>
        <v/>
      </c>
    </row>
    <row r="1043" spans="1:9" x14ac:dyDescent="0.3">
      <c r="A1043" s="3"/>
      <c r="B1043" s="9"/>
      <c r="C1043" s="9"/>
      <c r="E1043" s="14" t="str">
        <f t="shared" si="84"/>
        <v/>
      </c>
      <c r="F1043" s="15" t="str">
        <f t="shared" ca="1" si="85"/>
        <v/>
      </c>
      <c r="G1043" s="15" t="str">
        <f t="shared" ca="1" si="86"/>
        <v/>
      </c>
      <c r="H1043" s="15" t="str">
        <f t="shared" ca="1" si="87"/>
        <v/>
      </c>
      <c r="I1043" s="16" t="str">
        <f t="shared" ca="1" si="88"/>
        <v/>
      </c>
    </row>
    <row r="1044" spans="1:9" x14ac:dyDescent="0.3">
      <c r="A1044" s="3"/>
      <c r="B1044" s="9"/>
      <c r="C1044" s="9"/>
      <c r="E1044" s="14" t="str">
        <f t="shared" si="84"/>
        <v/>
      </c>
      <c r="F1044" s="15" t="str">
        <f t="shared" ca="1" si="85"/>
        <v/>
      </c>
      <c r="G1044" s="15" t="str">
        <f t="shared" ca="1" si="86"/>
        <v/>
      </c>
      <c r="H1044" s="15" t="str">
        <f t="shared" ca="1" si="87"/>
        <v/>
      </c>
      <c r="I1044" s="16" t="str">
        <f t="shared" ca="1" si="88"/>
        <v/>
      </c>
    </row>
    <row r="1045" spans="1:9" x14ac:dyDescent="0.3">
      <c r="A1045" s="3"/>
      <c r="B1045" s="9"/>
      <c r="C1045" s="9"/>
      <c r="E1045" s="14" t="str">
        <f t="shared" si="84"/>
        <v/>
      </c>
      <c r="F1045" s="15" t="str">
        <f t="shared" ca="1" si="85"/>
        <v/>
      </c>
      <c r="G1045" s="15" t="str">
        <f t="shared" ca="1" si="86"/>
        <v/>
      </c>
      <c r="H1045" s="15" t="str">
        <f t="shared" ca="1" si="87"/>
        <v/>
      </c>
      <c r="I1045" s="16" t="str">
        <f t="shared" ca="1" si="88"/>
        <v/>
      </c>
    </row>
    <row r="1046" spans="1:9" x14ac:dyDescent="0.3">
      <c r="A1046" s="3"/>
      <c r="B1046" s="9"/>
      <c r="C1046" s="9"/>
      <c r="E1046" s="14" t="str">
        <f t="shared" si="84"/>
        <v/>
      </c>
      <c r="F1046" s="15" t="str">
        <f t="shared" ca="1" si="85"/>
        <v/>
      </c>
      <c r="G1046" s="15" t="str">
        <f t="shared" ca="1" si="86"/>
        <v/>
      </c>
      <c r="H1046" s="15" t="str">
        <f t="shared" ca="1" si="87"/>
        <v/>
      </c>
      <c r="I1046" s="16" t="str">
        <f t="shared" ca="1" si="88"/>
        <v/>
      </c>
    </row>
    <row r="1047" spans="1:9" x14ac:dyDescent="0.3">
      <c r="A1047" s="3"/>
      <c r="B1047" s="9"/>
      <c r="C1047" s="9"/>
      <c r="E1047" s="14" t="str">
        <f t="shared" si="84"/>
        <v/>
      </c>
      <c r="F1047" s="15" t="str">
        <f t="shared" ca="1" si="85"/>
        <v/>
      </c>
      <c r="G1047" s="15" t="str">
        <f t="shared" ca="1" si="86"/>
        <v/>
      </c>
      <c r="H1047" s="15" t="str">
        <f t="shared" ca="1" si="87"/>
        <v/>
      </c>
      <c r="I1047" s="16" t="str">
        <f t="shared" ca="1" si="88"/>
        <v/>
      </c>
    </row>
    <row r="1048" spans="1:9" x14ac:dyDescent="0.3">
      <c r="A1048" s="3"/>
      <c r="B1048" s="9"/>
      <c r="C1048" s="9"/>
      <c r="E1048" s="14" t="str">
        <f t="shared" si="84"/>
        <v/>
      </c>
      <c r="F1048" s="15" t="str">
        <f t="shared" ca="1" si="85"/>
        <v/>
      </c>
      <c r="G1048" s="15" t="str">
        <f t="shared" ca="1" si="86"/>
        <v/>
      </c>
      <c r="H1048" s="15" t="str">
        <f t="shared" ca="1" si="87"/>
        <v/>
      </c>
      <c r="I1048" s="16" t="str">
        <f t="shared" ca="1" si="88"/>
        <v/>
      </c>
    </row>
    <row r="1049" spans="1:9" x14ac:dyDescent="0.3">
      <c r="A1049" s="3"/>
      <c r="B1049" s="9"/>
      <c r="C1049" s="9"/>
      <c r="E1049" s="14" t="str">
        <f t="shared" si="84"/>
        <v/>
      </c>
      <c r="F1049" s="15" t="str">
        <f t="shared" ca="1" si="85"/>
        <v/>
      </c>
      <c r="G1049" s="15" t="str">
        <f t="shared" ca="1" si="86"/>
        <v/>
      </c>
      <c r="H1049" s="15" t="str">
        <f t="shared" ca="1" si="87"/>
        <v/>
      </c>
      <c r="I1049" s="16" t="str">
        <f t="shared" ca="1" si="88"/>
        <v/>
      </c>
    </row>
    <row r="1050" spans="1:9" x14ac:dyDescent="0.3">
      <c r="A1050" s="3"/>
      <c r="B1050" s="9"/>
      <c r="C1050" s="9"/>
      <c r="E1050" s="14" t="str">
        <f t="shared" si="84"/>
        <v/>
      </c>
      <c r="F1050" s="15" t="str">
        <f t="shared" ca="1" si="85"/>
        <v/>
      </c>
      <c r="G1050" s="15" t="str">
        <f t="shared" ca="1" si="86"/>
        <v/>
      </c>
      <c r="H1050" s="15" t="str">
        <f t="shared" ca="1" si="87"/>
        <v/>
      </c>
      <c r="I1050" s="16" t="str">
        <f t="shared" ca="1" si="88"/>
        <v/>
      </c>
    </row>
    <row r="1051" spans="1:9" x14ac:dyDescent="0.3">
      <c r="A1051" s="3"/>
      <c r="B1051" s="9"/>
      <c r="C1051" s="9"/>
      <c r="E1051" s="14" t="str">
        <f t="shared" si="84"/>
        <v/>
      </c>
      <c r="F1051" s="15" t="str">
        <f t="shared" ca="1" si="85"/>
        <v/>
      </c>
      <c r="G1051" s="15" t="str">
        <f t="shared" ca="1" si="86"/>
        <v/>
      </c>
      <c r="H1051" s="15" t="str">
        <f t="shared" ca="1" si="87"/>
        <v/>
      </c>
      <c r="I1051" s="16" t="str">
        <f t="shared" ca="1" si="88"/>
        <v/>
      </c>
    </row>
    <row r="1052" spans="1:9" x14ac:dyDescent="0.3">
      <c r="A1052" s="3"/>
      <c r="B1052" s="9"/>
      <c r="C1052" s="9"/>
      <c r="E1052" s="14" t="str">
        <f t="shared" si="84"/>
        <v/>
      </c>
      <c r="F1052" s="15" t="str">
        <f t="shared" ca="1" si="85"/>
        <v/>
      </c>
      <c r="G1052" s="15" t="str">
        <f t="shared" ca="1" si="86"/>
        <v/>
      </c>
      <c r="H1052" s="15" t="str">
        <f t="shared" ca="1" si="87"/>
        <v/>
      </c>
      <c r="I1052" s="16" t="str">
        <f t="shared" ca="1" si="88"/>
        <v/>
      </c>
    </row>
    <row r="1053" spans="1:9" x14ac:dyDescent="0.3">
      <c r="A1053" s="3"/>
      <c r="B1053" s="9"/>
      <c r="C1053" s="9"/>
      <c r="E1053" s="14" t="str">
        <f t="shared" si="84"/>
        <v/>
      </c>
      <c r="F1053" s="15" t="str">
        <f t="shared" ca="1" si="85"/>
        <v/>
      </c>
      <c r="G1053" s="15" t="str">
        <f t="shared" ca="1" si="86"/>
        <v/>
      </c>
      <c r="H1053" s="15" t="str">
        <f t="shared" ca="1" si="87"/>
        <v/>
      </c>
      <c r="I1053" s="16" t="str">
        <f t="shared" ca="1" si="88"/>
        <v/>
      </c>
    </row>
    <row r="1054" spans="1:9" x14ac:dyDescent="0.3">
      <c r="A1054" s="3"/>
      <c r="B1054" s="9"/>
      <c r="C1054" s="9"/>
      <c r="E1054" s="14" t="str">
        <f t="shared" si="84"/>
        <v/>
      </c>
      <c r="F1054" s="15" t="str">
        <f t="shared" ca="1" si="85"/>
        <v/>
      </c>
      <c r="G1054" s="15" t="str">
        <f t="shared" ca="1" si="86"/>
        <v/>
      </c>
      <c r="H1054" s="15" t="str">
        <f t="shared" ca="1" si="87"/>
        <v/>
      </c>
      <c r="I1054" s="16" t="str">
        <f t="shared" ca="1" si="88"/>
        <v/>
      </c>
    </row>
    <row r="1055" spans="1:9" x14ac:dyDescent="0.3">
      <c r="A1055" s="3"/>
      <c r="B1055" s="9"/>
      <c r="C1055" s="9"/>
      <c r="E1055" s="14" t="str">
        <f t="shared" si="84"/>
        <v/>
      </c>
      <c r="F1055" s="15" t="str">
        <f t="shared" ca="1" si="85"/>
        <v/>
      </c>
      <c r="G1055" s="15" t="str">
        <f t="shared" ca="1" si="86"/>
        <v/>
      </c>
      <c r="H1055" s="15" t="str">
        <f t="shared" ca="1" si="87"/>
        <v/>
      </c>
      <c r="I1055" s="16" t="str">
        <f t="shared" ca="1" si="88"/>
        <v/>
      </c>
    </row>
    <row r="1056" spans="1:9" x14ac:dyDescent="0.3">
      <c r="A1056" s="3"/>
      <c r="B1056" s="9"/>
      <c r="C1056" s="9"/>
      <c r="E1056" s="14" t="str">
        <f t="shared" si="84"/>
        <v/>
      </c>
      <c r="F1056" s="15" t="str">
        <f t="shared" ca="1" si="85"/>
        <v/>
      </c>
      <c r="G1056" s="15" t="str">
        <f t="shared" ca="1" si="86"/>
        <v/>
      </c>
      <c r="H1056" s="15" t="str">
        <f t="shared" ca="1" si="87"/>
        <v/>
      </c>
      <c r="I1056" s="16" t="str">
        <f t="shared" ca="1" si="88"/>
        <v/>
      </c>
    </row>
    <row r="1057" spans="1:9" x14ac:dyDescent="0.3">
      <c r="A1057" s="3"/>
      <c r="B1057" s="9"/>
      <c r="C1057" s="9"/>
      <c r="E1057" s="14" t="str">
        <f t="shared" si="84"/>
        <v/>
      </c>
      <c r="F1057" s="15" t="str">
        <f t="shared" ca="1" si="85"/>
        <v/>
      </c>
      <c r="G1057" s="15" t="str">
        <f t="shared" ca="1" si="86"/>
        <v/>
      </c>
      <c r="H1057" s="15" t="str">
        <f t="shared" ca="1" si="87"/>
        <v/>
      </c>
      <c r="I1057" s="16" t="str">
        <f t="shared" ca="1" si="88"/>
        <v/>
      </c>
    </row>
    <row r="1058" spans="1:9" x14ac:dyDescent="0.3">
      <c r="A1058" s="3"/>
      <c r="B1058" s="9"/>
      <c r="C1058" s="9"/>
      <c r="E1058" s="14" t="str">
        <f t="shared" si="84"/>
        <v/>
      </c>
      <c r="F1058" s="15" t="str">
        <f t="shared" ca="1" si="85"/>
        <v/>
      </c>
      <c r="G1058" s="15" t="str">
        <f t="shared" ca="1" si="86"/>
        <v/>
      </c>
      <c r="H1058" s="15" t="str">
        <f t="shared" ca="1" si="87"/>
        <v/>
      </c>
      <c r="I1058" s="16" t="str">
        <f t="shared" ca="1" si="88"/>
        <v/>
      </c>
    </row>
    <row r="1059" spans="1:9" x14ac:dyDescent="0.3">
      <c r="A1059" s="3"/>
      <c r="B1059" s="9"/>
      <c r="C1059" s="9"/>
      <c r="E1059" s="14" t="str">
        <f t="shared" si="84"/>
        <v/>
      </c>
      <c r="F1059" s="15" t="str">
        <f t="shared" ca="1" si="85"/>
        <v/>
      </c>
      <c r="G1059" s="15" t="str">
        <f t="shared" ca="1" si="86"/>
        <v/>
      </c>
      <c r="H1059" s="15" t="str">
        <f t="shared" ca="1" si="87"/>
        <v/>
      </c>
      <c r="I1059" s="16" t="str">
        <f t="shared" ca="1" si="88"/>
        <v/>
      </c>
    </row>
    <row r="1060" spans="1:9" x14ac:dyDescent="0.3">
      <c r="A1060" s="3"/>
      <c r="B1060" s="9"/>
      <c r="C1060" s="9"/>
      <c r="E1060" s="14" t="str">
        <f t="shared" si="84"/>
        <v/>
      </c>
      <c r="F1060" s="15" t="str">
        <f t="shared" ca="1" si="85"/>
        <v/>
      </c>
      <c r="G1060" s="15" t="str">
        <f t="shared" ca="1" si="86"/>
        <v/>
      </c>
      <c r="H1060" s="15" t="str">
        <f t="shared" ca="1" si="87"/>
        <v/>
      </c>
      <c r="I1060" s="16" t="str">
        <f t="shared" ca="1" si="88"/>
        <v/>
      </c>
    </row>
    <row r="1061" spans="1:9" x14ac:dyDescent="0.3">
      <c r="A1061" s="3"/>
      <c r="B1061" s="9"/>
      <c r="C1061" s="9"/>
      <c r="E1061" s="14" t="str">
        <f t="shared" si="84"/>
        <v/>
      </c>
      <c r="F1061" s="15" t="str">
        <f t="shared" ca="1" si="85"/>
        <v/>
      </c>
      <c r="G1061" s="15" t="str">
        <f t="shared" ca="1" si="86"/>
        <v/>
      </c>
      <c r="H1061" s="15" t="str">
        <f t="shared" ca="1" si="87"/>
        <v/>
      </c>
      <c r="I1061" s="16" t="str">
        <f t="shared" ca="1" si="88"/>
        <v/>
      </c>
    </row>
    <row r="1062" spans="1:9" x14ac:dyDescent="0.3">
      <c r="A1062" s="3"/>
      <c r="B1062" s="9"/>
      <c r="C1062" s="9"/>
      <c r="E1062" s="14" t="str">
        <f t="shared" si="84"/>
        <v/>
      </c>
      <c r="F1062" s="15" t="str">
        <f t="shared" ca="1" si="85"/>
        <v/>
      </c>
      <c r="G1062" s="15" t="str">
        <f t="shared" ca="1" si="86"/>
        <v/>
      </c>
      <c r="H1062" s="15" t="str">
        <f t="shared" ca="1" si="87"/>
        <v/>
      </c>
      <c r="I1062" s="16" t="str">
        <f t="shared" ca="1" si="88"/>
        <v/>
      </c>
    </row>
    <row r="1063" spans="1:9" x14ac:dyDescent="0.3">
      <c r="A1063" s="3"/>
      <c r="B1063" s="9"/>
      <c r="C1063" s="9"/>
      <c r="E1063" s="14" t="str">
        <f t="shared" si="84"/>
        <v/>
      </c>
      <c r="F1063" s="15" t="str">
        <f t="shared" ca="1" si="85"/>
        <v/>
      </c>
      <c r="G1063" s="15" t="str">
        <f t="shared" ca="1" si="86"/>
        <v/>
      </c>
      <c r="H1063" s="15" t="str">
        <f t="shared" ca="1" si="87"/>
        <v/>
      </c>
      <c r="I1063" s="16" t="str">
        <f t="shared" ca="1" si="88"/>
        <v/>
      </c>
    </row>
    <row r="1064" spans="1:9" x14ac:dyDescent="0.3">
      <c r="A1064" s="3"/>
      <c r="B1064" s="9"/>
      <c r="C1064" s="9"/>
      <c r="E1064" s="14" t="str">
        <f t="shared" si="84"/>
        <v/>
      </c>
      <c r="F1064" s="15" t="str">
        <f t="shared" ca="1" si="85"/>
        <v/>
      </c>
      <c r="G1064" s="15" t="str">
        <f t="shared" ca="1" si="86"/>
        <v/>
      </c>
      <c r="H1064" s="15" t="str">
        <f t="shared" ca="1" si="87"/>
        <v/>
      </c>
      <c r="I1064" s="16" t="str">
        <f t="shared" ca="1" si="88"/>
        <v/>
      </c>
    </row>
    <row r="1065" spans="1:9" x14ac:dyDescent="0.3">
      <c r="A1065" s="3"/>
      <c r="B1065" s="9"/>
      <c r="C1065" s="9"/>
      <c r="E1065" s="14" t="str">
        <f t="shared" si="84"/>
        <v/>
      </c>
      <c r="F1065" s="15" t="str">
        <f t="shared" ca="1" si="85"/>
        <v/>
      </c>
      <c r="G1065" s="15" t="str">
        <f t="shared" ca="1" si="86"/>
        <v/>
      </c>
      <c r="H1065" s="15" t="str">
        <f t="shared" ca="1" si="87"/>
        <v/>
      </c>
      <c r="I1065" s="16" t="str">
        <f t="shared" ca="1" si="88"/>
        <v/>
      </c>
    </row>
    <row r="1066" spans="1:9" x14ac:dyDescent="0.3">
      <c r="A1066" s="3"/>
      <c r="B1066" s="9"/>
      <c r="C1066" s="9"/>
      <c r="E1066" s="14" t="str">
        <f t="shared" si="84"/>
        <v/>
      </c>
      <c r="F1066" s="15" t="str">
        <f t="shared" ca="1" si="85"/>
        <v/>
      </c>
      <c r="G1066" s="15" t="str">
        <f t="shared" ca="1" si="86"/>
        <v/>
      </c>
      <c r="H1066" s="15" t="str">
        <f t="shared" ca="1" si="87"/>
        <v/>
      </c>
      <c r="I1066" s="16" t="str">
        <f t="shared" ca="1" si="88"/>
        <v/>
      </c>
    </row>
    <row r="1067" spans="1:9" x14ac:dyDescent="0.3">
      <c r="A1067" s="3"/>
      <c r="B1067" s="9"/>
      <c r="C1067" s="9"/>
      <c r="E1067" s="14" t="str">
        <f t="shared" si="84"/>
        <v/>
      </c>
      <c r="F1067" s="15" t="str">
        <f t="shared" ca="1" si="85"/>
        <v/>
      </c>
      <c r="G1067" s="15" t="str">
        <f t="shared" ca="1" si="86"/>
        <v/>
      </c>
      <c r="H1067" s="15" t="str">
        <f t="shared" ca="1" si="87"/>
        <v/>
      </c>
      <c r="I1067" s="16" t="str">
        <f t="shared" ca="1" si="88"/>
        <v/>
      </c>
    </row>
    <row r="1068" spans="1:9" x14ac:dyDescent="0.3">
      <c r="A1068" s="3"/>
      <c r="B1068" s="9"/>
      <c r="C1068" s="9"/>
      <c r="E1068" s="14" t="str">
        <f t="shared" si="84"/>
        <v/>
      </c>
      <c r="F1068" s="15" t="str">
        <f t="shared" ca="1" si="85"/>
        <v/>
      </c>
      <c r="G1068" s="15" t="str">
        <f t="shared" ca="1" si="86"/>
        <v/>
      </c>
      <c r="H1068" s="15" t="str">
        <f t="shared" ca="1" si="87"/>
        <v/>
      </c>
      <c r="I1068" s="16" t="str">
        <f t="shared" ca="1" si="88"/>
        <v/>
      </c>
    </row>
    <row r="1069" spans="1:9" x14ac:dyDescent="0.3">
      <c r="A1069" s="3"/>
      <c r="B1069" s="9"/>
      <c r="C1069" s="9"/>
      <c r="E1069" s="14" t="str">
        <f t="shared" si="84"/>
        <v/>
      </c>
      <c r="F1069" s="15" t="str">
        <f t="shared" ca="1" si="85"/>
        <v/>
      </c>
      <c r="G1069" s="15" t="str">
        <f t="shared" ca="1" si="86"/>
        <v/>
      </c>
      <c r="H1069" s="15" t="str">
        <f t="shared" ca="1" si="87"/>
        <v/>
      </c>
      <c r="I1069" s="16" t="str">
        <f t="shared" ca="1" si="88"/>
        <v/>
      </c>
    </row>
    <row r="1070" spans="1:9" x14ac:dyDescent="0.3">
      <c r="A1070" s="3"/>
      <c r="B1070" s="9"/>
      <c r="C1070" s="9"/>
      <c r="E1070" s="14" t="str">
        <f t="shared" si="84"/>
        <v/>
      </c>
      <c r="F1070" s="15" t="str">
        <f t="shared" ca="1" si="85"/>
        <v/>
      </c>
      <c r="G1070" s="15" t="str">
        <f t="shared" ca="1" si="86"/>
        <v/>
      </c>
      <c r="H1070" s="15" t="str">
        <f t="shared" ca="1" si="87"/>
        <v/>
      </c>
      <c r="I1070" s="16" t="str">
        <f t="shared" ca="1" si="88"/>
        <v/>
      </c>
    </row>
    <row r="1071" spans="1:9" x14ac:dyDescent="0.3">
      <c r="A1071" s="3"/>
      <c r="B1071" s="9"/>
      <c r="C1071" s="9"/>
      <c r="E1071" s="14" t="str">
        <f t="shared" si="84"/>
        <v/>
      </c>
      <c r="F1071" s="15" t="str">
        <f t="shared" ca="1" si="85"/>
        <v/>
      </c>
      <c r="G1071" s="15" t="str">
        <f t="shared" ca="1" si="86"/>
        <v/>
      </c>
      <c r="H1071" s="15" t="str">
        <f t="shared" ca="1" si="87"/>
        <v/>
      </c>
      <c r="I1071" s="16" t="str">
        <f t="shared" ca="1" si="88"/>
        <v/>
      </c>
    </row>
    <row r="1072" spans="1:9" x14ac:dyDescent="0.3">
      <c r="A1072" s="3"/>
      <c r="B1072" s="9"/>
      <c r="C1072" s="9"/>
      <c r="E1072" s="14" t="str">
        <f t="shared" si="84"/>
        <v/>
      </c>
      <c r="F1072" s="15" t="str">
        <f t="shared" ca="1" si="85"/>
        <v/>
      </c>
      <c r="G1072" s="15" t="str">
        <f t="shared" ca="1" si="86"/>
        <v/>
      </c>
      <c r="H1072" s="15" t="str">
        <f t="shared" ca="1" si="87"/>
        <v/>
      </c>
      <c r="I1072" s="16" t="str">
        <f t="shared" ca="1" si="88"/>
        <v/>
      </c>
    </row>
    <row r="1073" spans="1:9" x14ac:dyDescent="0.3">
      <c r="A1073" s="3"/>
      <c r="B1073" s="9"/>
      <c r="C1073" s="9"/>
      <c r="E1073" s="14" t="str">
        <f t="shared" si="84"/>
        <v/>
      </c>
      <c r="F1073" s="15" t="str">
        <f t="shared" ca="1" si="85"/>
        <v/>
      </c>
      <c r="G1073" s="15" t="str">
        <f t="shared" ca="1" si="86"/>
        <v/>
      </c>
      <c r="H1073" s="15" t="str">
        <f t="shared" ca="1" si="87"/>
        <v/>
      </c>
      <c r="I1073" s="16" t="str">
        <f t="shared" ca="1" si="88"/>
        <v/>
      </c>
    </row>
    <row r="1074" spans="1:9" x14ac:dyDescent="0.3">
      <c r="A1074" s="3"/>
      <c r="B1074" s="9"/>
      <c r="C1074" s="9"/>
      <c r="E1074" s="14" t="str">
        <f t="shared" si="84"/>
        <v/>
      </c>
      <c r="F1074" s="15" t="str">
        <f t="shared" ca="1" si="85"/>
        <v/>
      </c>
      <c r="G1074" s="15" t="str">
        <f t="shared" ca="1" si="86"/>
        <v/>
      </c>
      <c r="H1074" s="15" t="str">
        <f t="shared" ca="1" si="87"/>
        <v/>
      </c>
      <c r="I1074" s="16" t="str">
        <f t="shared" ca="1" si="88"/>
        <v/>
      </c>
    </row>
    <row r="1075" spans="1:9" x14ac:dyDescent="0.3">
      <c r="A1075" s="3"/>
      <c r="B1075" s="9"/>
      <c r="C1075" s="9"/>
      <c r="E1075" s="14" t="str">
        <f t="shared" si="84"/>
        <v/>
      </c>
      <c r="F1075" s="15" t="str">
        <f t="shared" ca="1" si="85"/>
        <v/>
      </c>
      <c r="G1075" s="15" t="str">
        <f t="shared" ca="1" si="86"/>
        <v/>
      </c>
      <c r="H1075" s="15" t="str">
        <f t="shared" ca="1" si="87"/>
        <v/>
      </c>
      <c r="I1075" s="16" t="str">
        <f t="shared" ca="1" si="88"/>
        <v/>
      </c>
    </row>
    <row r="1076" spans="1:9" x14ac:dyDescent="0.3">
      <c r="A1076" s="3"/>
      <c r="B1076" s="9"/>
      <c r="C1076" s="9"/>
      <c r="E1076" s="14" t="str">
        <f t="shared" si="84"/>
        <v/>
      </c>
      <c r="F1076" s="15" t="str">
        <f t="shared" ca="1" si="85"/>
        <v/>
      </c>
      <c r="G1076" s="15" t="str">
        <f t="shared" ca="1" si="86"/>
        <v/>
      </c>
      <c r="H1076" s="15" t="str">
        <f t="shared" ca="1" si="87"/>
        <v/>
      </c>
      <c r="I1076" s="16" t="str">
        <f t="shared" ca="1" si="88"/>
        <v/>
      </c>
    </row>
    <row r="1077" spans="1:9" x14ac:dyDescent="0.3">
      <c r="A1077" s="3"/>
      <c r="B1077" s="9"/>
      <c r="C1077" s="9"/>
      <c r="E1077" s="14" t="str">
        <f t="shared" si="84"/>
        <v/>
      </c>
      <c r="F1077" s="15" t="str">
        <f t="shared" ca="1" si="85"/>
        <v/>
      </c>
      <c r="G1077" s="15" t="str">
        <f t="shared" ca="1" si="86"/>
        <v/>
      </c>
      <c r="H1077" s="15" t="str">
        <f t="shared" ca="1" si="87"/>
        <v/>
      </c>
      <c r="I1077" s="16" t="str">
        <f t="shared" ca="1" si="88"/>
        <v/>
      </c>
    </row>
    <row r="1078" spans="1:9" x14ac:dyDescent="0.3">
      <c r="A1078" s="3"/>
      <c r="B1078" s="9"/>
      <c r="C1078" s="9"/>
      <c r="E1078" s="14" t="str">
        <f t="shared" si="84"/>
        <v/>
      </c>
      <c r="F1078" s="15" t="str">
        <f t="shared" ca="1" si="85"/>
        <v/>
      </c>
      <c r="G1078" s="15" t="str">
        <f t="shared" ca="1" si="86"/>
        <v/>
      </c>
      <c r="H1078" s="15" t="str">
        <f t="shared" ca="1" si="87"/>
        <v/>
      </c>
      <c r="I1078" s="16" t="str">
        <f t="shared" ca="1" si="88"/>
        <v/>
      </c>
    </row>
    <row r="1079" spans="1:9" x14ac:dyDescent="0.3">
      <c r="A1079" s="3"/>
      <c r="B1079" s="9"/>
      <c r="C1079" s="9"/>
      <c r="E1079" s="14" t="str">
        <f t="shared" si="84"/>
        <v/>
      </c>
      <c r="F1079" s="15" t="str">
        <f t="shared" ca="1" si="85"/>
        <v/>
      </c>
      <c r="G1079" s="15" t="str">
        <f t="shared" ca="1" si="86"/>
        <v/>
      </c>
      <c r="H1079" s="15" t="str">
        <f t="shared" ca="1" si="87"/>
        <v/>
      </c>
      <c r="I1079" s="16" t="str">
        <f t="shared" ca="1" si="88"/>
        <v/>
      </c>
    </row>
    <row r="1080" spans="1:9" x14ac:dyDescent="0.3">
      <c r="A1080" s="3"/>
      <c r="B1080" s="9"/>
      <c r="C1080" s="9"/>
      <c r="E1080" s="14" t="str">
        <f t="shared" si="84"/>
        <v/>
      </c>
      <c r="F1080" s="15" t="str">
        <f t="shared" ca="1" si="85"/>
        <v/>
      </c>
      <c r="G1080" s="15" t="str">
        <f t="shared" ca="1" si="86"/>
        <v/>
      </c>
      <c r="H1080" s="15" t="str">
        <f t="shared" ca="1" si="87"/>
        <v/>
      </c>
      <c r="I1080" s="16" t="str">
        <f t="shared" ca="1" si="88"/>
        <v/>
      </c>
    </row>
    <row r="1081" spans="1:9" x14ac:dyDescent="0.3">
      <c r="A1081" s="3"/>
      <c r="B1081" s="9"/>
      <c r="C1081" s="9"/>
      <c r="E1081" s="14" t="str">
        <f t="shared" si="84"/>
        <v/>
      </c>
      <c r="F1081" s="15" t="str">
        <f t="shared" ca="1" si="85"/>
        <v/>
      </c>
      <c r="G1081" s="15" t="str">
        <f t="shared" ca="1" si="86"/>
        <v/>
      </c>
      <c r="H1081" s="15" t="str">
        <f t="shared" ca="1" si="87"/>
        <v/>
      </c>
      <c r="I1081" s="16" t="str">
        <f t="shared" ca="1" si="88"/>
        <v/>
      </c>
    </row>
    <row r="1082" spans="1:9" x14ac:dyDescent="0.3">
      <c r="A1082" s="3"/>
      <c r="B1082" s="9"/>
      <c r="C1082" s="9"/>
      <c r="E1082" s="14" t="str">
        <f t="shared" si="84"/>
        <v/>
      </c>
      <c r="F1082" s="15" t="str">
        <f t="shared" ca="1" si="85"/>
        <v/>
      </c>
      <c r="G1082" s="15" t="str">
        <f t="shared" ca="1" si="86"/>
        <v/>
      </c>
      <c r="H1082" s="15" t="str">
        <f t="shared" ca="1" si="87"/>
        <v/>
      </c>
      <c r="I1082" s="16" t="str">
        <f t="shared" ca="1" si="88"/>
        <v/>
      </c>
    </row>
    <row r="1083" spans="1:9" x14ac:dyDescent="0.3">
      <c r="A1083" s="3"/>
      <c r="B1083" s="9"/>
      <c r="C1083" s="9"/>
      <c r="E1083" s="14" t="str">
        <f t="shared" si="84"/>
        <v/>
      </c>
      <c r="F1083" s="15" t="str">
        <f t="shared" ca="1" si="85"/>
        <v/>
      </c>
      <c r="G1083" s="15" t="str">
        <f t="shared" ca="1" si="86"/>
        <v/>
      </c>
      <c r="H1083" s="15" t="str">
        <f t="shared" ca="1" si="87"/>
        <v/>
      </c>
      <c r="I1083" s="16" t="str">
        <f t="shared" ca="1" si="88"/>
        <v/>
      </c>
    </row>
    <row r="1084" spans="1:9" x14ac:dyDescent="0.3">
      <c r="A1084" s="3"/>
      <c r="B1084" s="9"/>
      <c r="C1084" s="9"/>
      <c r="E1084" s="14" t="str">
        <f t="shared" si="84"/>
        <v/>
      </c>
      <c r="F1084" s="15" t="str">
        <f t="shared" ca="1" si="85"/>
        <v/>
      </c>
      <c r="G1084" s="15" t="str">
        <f t="shared" ca="1" si="86"/>
        <v/>
      </c>
      <c r="H1084" s="15" t="str">
        <f t="shared" ca="1" si="87"/>
        <v/>
      </c>
      <c r="I1084" s="16" t="str">
        <f t="shared" ca="1" si="88"/>
        <v/>
      </c>
    </row>
    <row r="1085" spans="1:9" x14ac:dyDescent="0.3">
      <c r="A1085" s="3"/>
      <c r="B1085" s="9"/>
      <c r="C1085" s="9"/>
      <c r="E1085" s="14" t="str">
        <f t="shared" si="84"/>
        <v/>
      </c>
      <c r="F1085" s="15" t="str">
        <f t="shared" ca="1" si="85"/>
        <v/>
      </c>
      <c r="G1085" s="15" t="str">
        <f t="shared" ca="1" si="86"/>
        <v/>
      </c>
      <c r="H1085" s="15" t="str">
        <f t="shared" ca="1" si="87"/>
        <v/>
      </c>
      <c r="I1085" s="16" t="str">
        <f t="shared" ca="1" si="88"/>
        <v/>
      </c>
    </row>
    <row r="1086" spans="1:9" x14ac:dyDescent="0.3">
      <c r="A1086" s="3"/>
      <c r="B1086" s="9"/>
      <c r="C1086" s="9"/>
      <c r="E1086" s="14" t="str">
        <f t="shared" si="84"/>
        <v/>
      </c>
      <c r="F1086" s="15" t="str">
        <f t="shared" ca="1" si="85"/>
        <v/>
      </c>
      <c r="G1086" s="15" t="str">
        <f t="shared" ca="1" si="86"/>
        <v/>
      </c>
      <c r="H1086" s="15" t="str">
        <f t="shared" ca="1" si="87"/>
        <v/>
      </c>
      <c r="I1086" s="16" t="str">
        <f t="shared" ca="1" si="88"/>
        <v/>
      </c>
    </row>
    <row r="1087" spans="1:9" x14ac:dyDescent="0.3">
      <c r="A1087" s="3"/>
      <c r="B1087" s="9"/>
      <c r="C1087" s="9"/>
      <c r="E1087" s="14" t="str">
        <f t="shared" si="84"/>
        <v/>
      </c>
      <c r="F1087" s="15" t="str">
        <f t="shared" ca="1" si="85"/>
        <v/>
      </c>
      <c r="G1087" s="15" t="str">
        <f t="shared" ca="1" si="86"/>
        <v/>
      </c>
      <c r="H1087" s="15" t="str">
        <f t="shared" ca="1" si="87"/>
        <v/>
      </c>
      <c r="I1087" s="16" t="str">
        <f t="shared" ca="1" si="88"/>
        <v/>
      </c>
    </row>
    <row r="1088" spans="1:9" x14ac:dyDescent="0.3">
      <c r="A1088" s="3"/>
      <c r="B1088" s="9"/>
      <c r="C1088" s="9"/>
      <c r="E1088" s="14" t="str">
        <f t="shared" si="84"/>
        <v/>
      </c>
      <c r="F1088" s="15" t="str">
        <f t="shared" ca="1" si="85"/>
        <v/>
      </c>
      <c r="G1088" s="15" t="str">
        <f t="shared" ca="1" si="86"/>
        <v/>
      </c>
      <c r="H1088" s="15" t="str">
        <f t="shared" ca="1" si="87"/>
        <v/>
      </c>
      <c r="I1088" s="16" t="str">
        <f t="shared" ca="1" si="88"/>
        <v/>
      </c>
    </row>
    <row r="1089" spans="1:9" x14ac:dyDescent="0.3">
      <c r="A1089" s="3"/>
      <c r="B1089" s="9"/>
      <c r="C1089" s="9"/>
      <c r="E1089" s="14" t="str">
        <f t="shared" si="84"/>
        <v/>
      </c>
      <c r="F1089" s="15" t="str">
        <f t="shared" ca="1" si="85"/>
        <v/>
      </c>
      <c r="G1089" s="15" t="str">
        <f t="shared" ca="1" si="86"/>
        <v/>
      </c>
      <c r="H1089" s="15" t="str">
        <f t="shared" ca="1" si="87"/>
        <v/>
      </c>
      <c r="I1089" s="16" t="str">
        <f t="shared" ca="1" si="88"/>
        <v/>
      </c>
    </row>
    <row r="1090" spans="1:9" x14ac:dyDescent="0.3">
      <c r="A1090" s="3"/>
      <c r="B1090" s="9"/>
      <c r="C1090" s="9"/>
      <c r="E1090" s="14" t="str">
        <f t="shared" si="84"/>
        <v/>
      </c>
      <c r="F1090" s="15" t="str">
        <f t="shared" ca="1" si="85"/>
        <v/>
      </c>
      <c r="G1090" s="15" t="str">
        <f t="shared" ca="1" si="86"/>
        <v/>
      </c>
      <c r="H1090" s="15" t="str">
        <f t="shared" ca="1" si="87"/>
        <v/>
      </c>
      <c r="I1090" s="16" t="str">
        <f t="shared" ca="1" si="88"/>
        <v/>
      </c>
    </row>
    <row r="1091" spans="1:9" x14ac:dyDescent="0.3">
      <c r="A1091" s="3"/>
      <c r="B1091" s="9"/>
      <c r="C1091" s="9"/>
      <c r="E1091" s="14" t="str">
        <f t="shared" ref="E1091:E1154" si="89">IF(ISNUMBER(B1091),B1091/C1091,"")</f>
        <v/>
      </c>
      <c r="F1091" s="15" t="str">
        <f t="shared" ca="1" si="85"/>
        <v/>
      </c>
      <c r="G1091" s="15" t="str">
        <f t="shared" ca="1" si="86"/>
        <v/>
      </c>
      <c r="H1091" s="15" t="str">
        <f t="shared" ca="1" si="87"/>
        <v/>
      </c>
      <c r="I1091" s="16" t="str">
        <f t="shared" ca="1" si="88"/>
        <v/>
      </c>
    </row>
    <row r="1092" spans="1:9" x14ac:dyDescent="0.3">
      <c r="A1092" s="3"/>
      <c r="B1092" s="9"/>
      <c r="C1092" s="9"/>
      <c r="E1092" s="14" t="str">
        <f t="shared" si="89"/>
        <v/>
      </c>
      <c r="F1092" s="15" t="str">
        <f t="shared" ca="1" si="85"/>
        <v/>
      </c>
      <c r="G1092" s="15" t="str">
        <f t="shared" ca="1" si="86"/>
        <v/>
      </c>
      <c r="H1092" s="15" t="str">
        <f t="shared" ca="1" si="87"/>
        <v/>
      </c>
      <c r="I1092" s="16" t="str">
        <f t="shared" ca="1" si="88"/>
        <v/>
      </c>
    </row>
    <row r="1093" spans="1:9" x14ac:dyDescent="0.3">
      <c r="A1093" s="3"/>
      <c r="B1093" s="9"/>
      <c r="C1093" s="9"/>
      <c r="E1093" s="14" t="str">
        <f t="shared" si="89"/>
        <v/>
      </c>
      <c r="F1093" s="15" t="str">
        <f t="shared" ca="1" si="85"/>
        <v/>
      </c>
      <c r="G1093" s="15" t="str">
        <f t="shared" ca="1" si="86"/>
        <v/>
      </c>
      <c r="H1093" s="15" t="str">
        <f t="shared" ca="1" si="87"/>
        <v/>
      </c>
      <c r="I1093" s="16" t="str">
        <f t="shared" ca="1" si="88"/>
        <v/>
      </c>
    </row>
    <row r="1094" spans="1:9" x14ac:dyDescent="0.3">
      <c r="A1094" s="3"/>
      <c r="B1094" s="9"/>
      <c r="C1094" s="9"/>
      <c r="E1094" s="14" t="str">
        <f t="shared" si="89"/>
        <v/>
      </c>
      <c r="F1094" s="15" t="str">
        <f t="shared" ca="1" si="85"/>
        <v/>
      </c>
      <c r="G1094" s="15" t="str">
        <f t="shared" ca="1" si="86"/>
        <v/>
      </c>
      <c r="H1094" s="15" t="str">
        <f t="shared" ca="1" si="87"/>
        <v/>
      </c>
      <c r="I1094" s="16" t="str">
        <f t="shared" ca="1" si="88"/>
        <v/>
      </c>
    </row>
    <row r="1095" spans="1:9" x14ac:dyDescent="0.3">
      <c r="A1095" s="3"/>
      <c r="B1095" s="9"/>
      <c r="C1095" s="9"/>
      <c r="E1095" s="14" t="str">
        <f t="shared" si="89"/>
        <v/>
      </c>
      <c r="F1095" s="15" t="str">
        <f t="shared" ca="1" si="85"/>
        <v/>
      </c>
      <c r="G1095" s="15" t="str">
        <f t="shared" ca="1" si="86"/>
        <v/>
      </c>
      <c r="H1095" s="15" t="str">
        <f t="shared" ca="1" si="87"/>
        <v/>
      </c>
      <c r="I1095" s="16" t="str">
        <f t="shared" ca="1" si="88"/>
        <v/>
      </c>
    </row>
    <row r="1096" spans="1:9" x14ac:dyDescent="0.3">
      <c r="A1096" s="3"/>
      <c r="B1096" s="9"/>
      <c r="C1096" s="9"/>
      <c r="E1096" s="14" t="str">
        <f t="shared" si="89"/>
        <v/>
      </c>
      <c r="F1096" s="15" t="str">
        <f t="shared" ca="1" si="85"/>
        <v/>
      </c>
      <c r="G1096" s="15" t="str">
        <f t="shared" ca="1" si="86"/>
        <v/>
      </c>
      <c r="H1096" s="15" t="str">
        <f t="shared" ca="1" si="87"/>
        <v/>
      </c>
      <c r="I1096" s="16" t="str">
        <f t="shared" ca="1" si="88"/>
        <v/>
      </c>
    </row>
    <row r="1097" spans="1:9" x14ac:dyDescent="0.3">
      <c r="A1097" s="3"/>
      <c r="B1097" s="9"/>
      <c r="C1097" s="9"/>
      <c r="E1097" s="14" t="str">
        <f t="shared" si="89"/>
        <v/>
      </c>
      <c r="F1097" s="15" t="str">
        <f t="shared" ca="1" si="85"/>
        <v/>
      </c>
      <c r="G1097" s="15" t="str">
        <f t="shared" ca="1" si="86"/>
        <v/>
      </c>
      <c r="H1097" s="15" t="str">
        <f t="shared" ca="1" si="87"/>
        <v/>
      </c>
      <c r="I1097" s="16" t="str">
        <f t="shared" ca="1" si="88"/>
        <v/>
      </c>
    </row>
    <row r="1098" spans="1:9" x14ac:dyDescent="0.3">
      <c r="A1098" s="3"/>
      <c r="B1098" s="9"/>
      <c r="C1098" s="9"/>
      <c r="E1098" s="14" t="str">
        <f t="shared" si="89"/>
        <v/>
      </c>
      <c r="F1098" s="15" t="str">
        <f t="shared" ca="1" si="85"/>
        <v/>
      </c>
      <c r="G1098" s="15" t="str">
        <f t="shared" ca="1" si="86"/>
        <v/>
      </c>
      <c r="H1098" s="15" t="str">
        <f t="shared" ca="1" si="87"/>
        <v/>
      </c>
      <c r="I1098" s="16" t="str">
        <f t="shared" ca="1" si="88"/>
        <v/>
      </c>
    </row>
    <row r="1099" spans="1:9" x14ac:dyDescent="0.3">
      <c r="A1099" s="3"/>
      <c r="B1099" s="9"/>
      <c r="C1099" s="9"/>
      <c r="E1099" s="14" t="str">
        <f t="shared" si="89"/>
        <v/>
      </c>
      <c r="F1099" s="15" t="str">
        <f t="shared" ca="1" si="85"/>
        <v/>
      </c>
      <c r="G1099" s="15" t="str">
        <f t="shared" ca="1" si="86"/>
        <v/>
      </c>
      <c r="H1099" s="15" t="str">
        <f t="shared" ca="1" si="87"/>
        <v/>
      </c>
      <c r="I1099" s="16" t="str">
        <f t="shared" ca="1" si="88"/>
        <v/>
      </c>
    </row>
    <row r="1100" spans="1:9" x14ac:dyDescent="0.3">
      <c r="A1100" s="3"/>
      <c r="B1100" s="9"/>
      <c r="C1100" s="9"/>
      <c r="E1100" s="14" t="str">
        <f t="shared" si="89"/>
        <v/>
      </c>
      <c r="F1100" s="15" t="str">
        <f t="shared" ca="1" si="85"/>
        <v/>
      </c>
      <c r="G1100" s="15" t="str">
        <f t="shared" ca="1" si="86"/>
        <v/>
      </c>
      <c r="H1100" s="15" t="str">
        <f t="shared" ca="1" si="87"/>
        <v/>
      </c>
      <c r="I1100" s="16" t="str">
        <f t="shared" ca="1" si="88"/>
        <v/>
      </c>
    </row>
    <row r="1101" spans="1:9" x14ac:dyDescent="0.3">
      <c r="A1101" s="3"/>
      <c r="B1101" s="9"/>
      <c r="C1101" s="9"/>
      <c r="E1101" s="14" t="str">
        <f t="shared" si="89"/>
        <v/>
      </c>
      <c r="F1101" s="15" t="str">
        <f t="shared" ca="1" si="85"/>
        <v/>
      </c>
      <c r="G1101" s="15" t="str">
        <f t="shared" ca="1" si="86"/>
        <v/>
      </c>
      <c r="H1101" s="15" t="str">
        <f t="shared" ca="1" si="87"/>
        <v/>
      </c>
      <c r="I1101" s="16" t="str">
        <f t="shared" ca="1" si="88"/>
        <v/>
      </c>
    </row>
    <row r="1102" spans="1:9" x14ac:dyDescent="0.3">
      <c r="A1102" s="3"/>
      <c r="B1102" s="9"/>
      <c r="C1102" s="9"/>
      <c r="E1102" s="14" t="str">
        <f t="shared" si="89"/>
        <v/>
      </c>
      <c r="F1102" s="15" t="str">
        <f t="shared" ca="1" si="85"/>
        <v/>
      </c>
      <c r="G1102" s="15" t="str">
        <f t="shared" ca="1" si="86"/>
        <v/>
      </c>
      <c r="H1102" s="15" t="str">
        <f t="shared" ca="1" si="87"/>
        <v/>
      </c>
      <c r="I1102" s="16" t="str">
        <f t="shared" ca="1" si="88"/>
        <v/>
      </c>
    </row>
    <row r="1103" spans="1:9" x14ac:dyDescent="0.3">
      <c r="A1103" s="3"/>
      <c r="B1103" s="9"/>
      <c r="C1103" s="9"/>
      <c r="E1103" s="14" t="str">
        <f t="shared" si="89"/>
        <v/>
      </c>
      <c r="F1103" s="15" t="str">
        <f t="shared" ca="1" si="85"/>
        <v/>
      </c>
      <c r="G1103" s="15" t="str">
        <f t="shared" ca="1" si="86"/>
        <v/>
      </c>
      <c r="H1103" s="15" t="str">
        <f t="shared" ca="1" si="87"/>
        <v/>
      </c>
      <c r="I1103" s="16" t="str">
        <f t="shared" ca="1" si="88"/>
        <v/>
      </c>
    </row>
    <row r="1104" spans="1:9" x14ac:dyDescent="0.3">
      <c r="A1104" s="3"/>
      <c r="B1104" s="9"/>
      <c r="C1104" s="9"/>
      <c r="E1104" s="14" t="str">
        <f t="shared" si="89"/>
        <v/>
      </c>
      <c r="F1104" s="15" t="str">
        <f t="shared" ca="1" si="85"/>
        <v/>
      </c>
      <c r="G1104" s="15" t="str">
        <f t="shared" ca="1" si="86"/>
        <v/>
      </c>
      <c r="H1104" s="15" t="str">
        <f t="shared" ca="1" si="87"/>
        <v/>
      </c>
      <c r="I1104" s="16" t="str">
        <f t="shared" ca="1" si="88"/>
        <v/>
      </c>
    </row>
    <row r="1105" spans="1:9" x14ac:dyDescent="0.3">
      <c r="A1105" s="3"/>
      <c r="B1105" s="9"/>
      <c r="C1105" s="9"/>
      <c r="E1105" s="14" t="str">
        <f t="shared" si="89"/>
        <v/>
      </c>
      <c r="F1105" s="15" t="str">
        <f t="shared" ref="F1105:F1168" ca="1" si="90">IF(ISNUMBER(E1105),IF(ROW(E1105)&gt;$K$1,AVERAGE(OFFSET(E1105,0,0,-$K$1)),""),"")</f>
        <v/>
      </c>
      <c r="G1105" s="15" t="str">
        <f t="shared" ref="G1105:G1168" ca="1" si="91">IF(ISNUMBER(I1105),F1105+I1105*$M$1,"")</f>
        <v/>
      </c>
      <c r="H1105" s="15" t="str">
        <f t="shared" ref="H1105:H1168" ca="1" si="92">IF(ISNUMBER(I1105),F1105-I1105*$M$1,"")</f>
        <v/>
      </c>
      <c r="I1105" s="16" t="str">
        <f t="shared" ref="I1105:I1168" ca="1" si="93">IF(ISNUMBER(E1105),IF(ROW(E1105)&gt;$K$1,_xlfn.STDEV.P(OFFSET(E1105,0,0,-$K$1)),""),"")</f>
        <v/>
      </c>
    </row>
    <row r="1106" spans="1:9" x14ac:dyDescent="0.3">
      <c r="A1106" s="3"/>
      <c r="B1106" s="9"/>
      <c r="C1106" s="9"/>
      <c r="E1106" s="14" t="str">
        <f t="shared" si="89"/>
        <v/>
      </c>
      <c r="F1106" s="15" t="str">
        <f t="shared" ca="1" si="90"/>
        <v/>
      </c>
      <c r="G1106" s="15" t="str">
        <f t="shared" ca="1" si="91"/>
        <v/>
      </c>
      <c r="H1106" s="15" t="str">
        <f t="shared" ca="1" si="92"/>
        <v/>
      </c>
      <c r="I1106" s="16" t="str">
        <f t="shared" ca="1" si="93"/>
        <v/>
      </c>
    </row>
    <row r="1107" spans="1:9" x14ac:dyDescent="0.3">
      <c r="A1107" s="3"/>
      <c r="B1107" s="9"/>
      <c r="C1107" s="9"/>
      <c r="E1107" s="14" t="str">
        <f t="shared" si="89"/>
        <v/>
      </c>
      <c r="F1107" s="15" t="str">
        <f t="shared" ca="1" si="90"/>
        <v/>
      </c>
      <c r="G1107" s="15" t="str">
        <f t="shared" ca="1" si="91"/>
        <v/>
      </c>
      <c r="H1107" s="15" t="str">
        <f t="shared" ca="1" si="92"/>
        <v/>
      </c>
      <c r="I1107" s="16" t="str">
        <f t="shared" ca="1" si="93"/>
        <v/>
      </c>
    </row>
    <row r="1108" spans="1:9" x14ac:dyDescent="0.3">
      <c r="A1108" s="3"/>
      <c r="B1108" s="9"/>
      <c r="C1108" s="9"/>
      <c r="E1108" s="14" t="str">
        <f t="shared" si="89"/>
        <v/>
      </c>
      <c r="F1108" s="15" t="str">
        <f t="shared" ca="1" si="90"/>
        <v/>
      </c>
      <c r="G1108" s="15" t="str">
        <f t="shared" ca="1" si="91"/>
        <v/>
      </c>
      <c r="H1108" s="15" t="str">
        <f t="shared" ca="1" si="92"/>
        <v/>
      </c>
      <c r="I1108" s="16" t="str">
        <f t="shared" ca="1" si="93"/>
        <v/>
      </c>
    </row>
    <row r="1109" spans="1:9" x14ac:dyDescent="0.3">
      <c r="A1109" s="3"/>
      <c r="B1109" s="9"/>
      <c r="C1109" s="9"/>
      <c r="E1109" s="14" t="str">
        <f t="shared" si="89"/>
        <v/>
      </c>
      <c r="F1109" s="15" t="str">
        <f t="shared" ca="1" si="90"/>
        <v/>
      </c>
      <c r="G1109" s="15" t="str">
        <f t="shared" ca="1" si="91"/>
        <v/>
      </c>
      <c r="H1109" s="15" t="str">
        <f t="shared" ca="1" si="92"/>
        <v/>
      </c>
      <c r="I1109" s="16" t="str">
        <f t="shared" ca="1" si="93"/>
        <v/>
      </c>
    </row>
    <row r="1110" spans="1:9" x14ac:dyDescent="0.3">
      <c r="A1110" s="3"/>
      <c r="B1110" s="9"/>
      <c r="C1110" s="9"/>
      <c r="E1110" s="14" t="str">
        <f t="shared" si="89"/>
        <v/>
      </c>
      <c r="F1110" s="15" t="str">
        <f t="shared" ca="1" si="90"/>
        <v/>
      </c>
      <c r="G1110" s="15" t="str">
        <f t="shared" ca="1" si="91"/>
        <v/>
      </c>
      <c r="H1110" s="15" t="str">
        <f t="shared" ca="1" si="92"/>
        <v/>
      </c>
      <c r="I1110" s="16" t="str">
        <f t="shared" ca="1" si="93"/>
        <v/>
      </c>
    </row>
    <row r="1111" spans="1:9" x14ac:dyDescent="0.3">
      <c r="A1111" s="3"/>
      <c r="B1111" s="9"/>
      <c r="C1111" s="9"/>
      <c r="E1111" s="14" t="str">
        <f t="shared" si="89"/>
        <v/>
      </c>
      <c r="F1111" s="15" t="str">
        <f t="shared" ca="1" si="90"/>
        <v/>
      </c>
      <c r="G1111" s="15" t="str">
        <f t="shared" ca="1" si="91"/>
        <v/>
      </c>
      <c r="H1111" s="15" t="str">
        <f t="shared" ca="1" si="92"/>
        <v/>
      </c>
      <c r="I1111" s="16" t="str">
        <f t="shared" ca="1" si="93"/>
        <v/>
      </c>
    </row>
    <row r="1112" spans="1:9" x14ac:dyDescent="0.3">
      <c r="A1112" s="3"/>
      <c r="B1112" s="9"/>
      <c r="C1112" s="9"/>
      <c r="E1112" s="14" t="str">
        <f t="shared" si="89"/>
        <v/>
      </c>
      <c r="F1112" s="15" t="str">
        <f t="shared" ca="1" si="90"/>
        <v/>
      </c>
      <c r="G1112" s="15" t="str">
        <f t="shared" ca="1" si="91"/>
        <v/>
      </c>
      <c r="H1112" s="15" t="str">
        <f t="shared" ca="1" si="92"/>
        <v/>
      </c>
      <c r="I1112" s="16" t="str">
        <f t="shared" ca="1" si="93"/>
        <v/>
      </c>
    </row>
    <row r="1113" spans="1:9" x14ac:dyDescent="0.3">
      <c r="A1113" s="3"/>
      <c r="B1113" s="9"/>
      <c r="C1113" s="9"/>
      <c r="E1113" s="14" t="str">
        <f t="shared" si="89"/>
        <v/>
      </c>
      <c r="F1113" s="15" t="str">
        <f t="shared" ca="1" si="90"/>
        <v/>
      </c>
      <c r="G1113" s="15" t="str">
        <f t="shared" ca="1" si="91"/>
        <v/>
      </c>
      <c r="H1113" s="15" t="str">
        <f t="shared" ca="1" si="92"/>
        <v/>
      </c>
      <c r="I1113" s="16" t="str">
        <f t="shared" ca="1" si="93"/>
        <v/>
      </c>
    </row>
    <row r="1114" spans="1:9" x14ac:dyDescent="0.3">
      <c r="A1114" s="3"/>
      <c r="B1114" s="9"/>
      <c r="C1114" s="9"/>
      <c r="E1114" s="14" t="str">
        <f t="shared" si="89"/>
        <v/>
      </c>
      <c r="F1114" s="15" t="str">
        <f t="shared" ca="1" si="90"/>
        <v/>
      </c>
      <c r="G1114" s="15" t="str">
        <f t="shared" ca="1" si="91"/>
        <v/>
      </c>
      <c r="H1114" s="15" t="str">
        <f t="shared" ca="1" si="92"/>
        <v/>
      </c>
      <c r="I1114" s="16" t="str">
        <f t="shared" ca="1" si="93"/>
        <v/>
      </c>
    </row>
    <row r="1115" spans="1:9" x14ac:dyDescent="0.3">
      <c r="A1115" s="3"/>
      <c r="B1115" s="9"/>
      <c r="C1115" s="9"/>
      <c r="E1115" s="14" t="str">
        <f t="shared" si="89"/>
        <v/>
      </c>
      <c r="F1115" s="15" t="str">
        <f t="shared" ca="1" si="90"/>
        <v/>
      </c>
      <c r="G1115" s="15" t="str">
        <f t="shared" ca="1" si="91"/>
        <v/>
      </c>
      <c r="H1115" s="15" t="str">
        <f t="shared" ca="1" si="92"/>
        <v/>
      </c>
      <c r="I1115" s="16" t="str">
        <f t="shared" ca="1" si="93"/>
        <v/>
      </c>
    </row>
    <row r="1116" spans="1:9" x14ac:dyDescent="0.3">
      <c r="A1116" s="3"/>
      <c r="B1116" s="9"/>
      <c r="C1116" s="9"/>
      <c r="E1116" s="14" t="str">
        <f t="shared" si="89"/>
        <v/>
      </c>
      <c r="F1116" s="15" t="str">
        <f t="shared" ca="1" si="90"/>
        <v/>
      </c>
      <c r="G1116" s="15" t="str">
        <f t="shared" ca="1" si="91"/>
        <v/>
      </c>
      <c r="H1116" s="15" t="str">
        <f t="shared" ca="1" si="92"/>
        <v/>
      </c>
      <c r="I1116" s="16" t="str">
        <f t="shared" ca="1" si="93"/>
        <v/>
      </c>
    </row>
    <row r="1117" spans="1:9" x14ac:dyDescent="0.3">
      <c r="A1117" s="3"/>
      <c r="B1117" s="9"/>
      <c r="C1117" s="9"/>
      <c r="E1117" s="14" t="str">
        <f t="shared" si="89"/>
        <v/>
      </c>
      <c r="F1117" s="15" t="str">
        <f t="shared" ca="1" si="90"/>
        <v/>
      </c>
      <c r="G1117" s="15" t="str">
        <f t="shared" ca="1" si="91"/>
        <v/>
      </c>
      <c r="H1117" s="15" t="str">
        <f t="shared" ca="1" si="92"/>
        <v/>
      </c>
      <c r="I1117" s="16" t="str">
        <f t="shared" ca="1" si="93"/>
        <v/>
      </c>
    </row>
    <row r="1118" spans="1:9" x14ac:dyDescent="0.3">
      <c r="A1118" s="3"/>
      <c r="B1118" s="9"/>
      <c r="C1118" s="9"/>
      <c r="E1118" s="14" t="str">
        <f t="shared" si="89"/>
        <v/>
      </c>
      <c r="F1118" s="15" t="str">
        <f t="shared" ca="1" si="90"/>
        <v/>
      </c>
      <c r="G1118" s="15" t="str">
        <f t="shared" ca="1" si="91"/>
        <v/>
      </c>
      <c r="H1118" s="15" t="str">
        <f t="shared" ca="1" si="92"/>
        <v/>
      </c>
      <c r="I1118" s="16" t="str">
        <f t="shared" ca="1" si="93"/>
        <v/>
      </c>
    </row>
    <row r="1119" spans="1:9" x14ac:dyDescent="0.3">
      <c r="A1119" s="3"/>
      <c r="B1119" s="9"/>
      <c r="C1119" s="9"/>
      <c r="E1119" s="14" t="str">
        <f t="shared" si="89"/>
        <v/>
      </c>
      <c r="F1119" s="15" t="str">
        <f t="shared" ca="1" si="90"/>
        <v/>
      </c>
      <c r="G1119" s="15" t="str">
        <f t="shared" ca="1" si="91"/>
        <v/>
      </c>
      <c r="H1119" s="15" t="str">
        <f t="shared" ca="1" si="92"/>
        <v/>
      </c>
      <c r="I1119" s="16" t="str">
        <f t="shared" ca="1" si="93"/>
        <v/>
      </c>
    </row>
    <row r="1120" spans="1:9" x14ac:dyDescent="0.3">
      <c r="A1120" s="3"/>
      <c r="B1120" s="9"/>
      <c r="C1120" s="9"/>
      <c r="E1120" s="14" t="str">
        <f t="shared" si="89"/>
        <v/>
      </c>
      <c r="F1120" s="15" t="str">
        <f t="shared" ca="1" si="90"/>
        <v/>
      </c>
      <c r="G1120" s="15" t="str">
        <f t="shared" ca="1" si="91"/>
        <v/>
      </c>
      <c r="H1120" s="15" t="str">
        <f t="shared" ca="1" si="92"/>
        <v/>
      </c>
      <c r="I1120" s="16" t="str">
        <f t="shared" ca="1" si="93"/>
        <v/>
      </c>
    </row>
    <row r="1121" spans="1:9" x14ac:dyDescent="0.3">
      <c r="A1121" s="3"/>
      <c r="B1121" s="9"/>
      <c r="C1121" s="9"/>
      <c r="E1121" s="14" t="str">
        <f t="shared" si="89"/>
        <v/>
      </c>
      <c r="F1121" s="15" t="str">
        <f t="shared" ca="1" si="90"/>
        <v/>
      </c>
      <c r="G1121" s="15" t="str">
        <f t="shared" ca="1" si="91"/>
        <v/>
      </c>
      <c r="H1121" s="15" t="str">
        <f t="shared" ca="1" si="92"/>
        <v/>
      </c>
      <c r="I1121" s="16" t="str">
        <f t="shared" ca="1" si="93"/>
        <v/>
      </c>
    </row>
    <row r="1122" spans="1:9" x14ac:dyDescent="0.3">
      <c r="A1122" s="3"/>
      <c r="B1122" s="9"/>
      <c r="C1122" s="9"/>
      <c r="E1122" s="14" t="str">
        <f t="shared" si="89"/>
        <v/>
      </c>
      <c r="F1122" s="15" t="str">
        <f t="shared" ca="1" si="90"/>
        <v/>
      </c>
      <c r="G1122" s="15" t="str">
        <f t="shared" ca="1" si="91"/>
        <v/>
      </c>
      <c r="H1122" s="15" t="str">
        <f t="shared" ca="1" si="92"/>
        <v/>
      </c>
      <c r="I1122" s="16" t="str">
        <f t="shared" ca="1" si="93"/>
        <v/>
      </c>
    </row>
    <row r="1123" spans="1:9" x14ac:dyDescent="0.3">
      <c r="A1123" s="3"/>
      <c r="B1123" s="9"/>
      <c r="C1123" s="9"/>
      <c r="E1123" s="14" t="str">
        <f t="shared" si="89"/>
        <v/>
      </c>
      <c r="F1123" s="15" t="str">
        <f t="shared" ca="1" si="90"/>
        <v/>
      </c>
      <c r="G1123" s="15" t="str">
        <f t="shared" ca="1" si="91"/>
        <v/>
      </c>
      <c r="H1123" s="15" t="str">
        <f t="shared" ca="1" si="92"/>
        <v/>
      </c>
      <c r="I1123" s="16" t="str">
        <f t="shared" ca="1" si="93"/>
        <v/>
      </c>
    </row>
    <row r="1124" spans="1:9" x14ac:dyDescent="0.3">
      <c r="A1124" s="3"/>
      <c r="B1124" s="9"/>
      <c r="C1124" s="9"/>
      <c r="E1124" s="14" t="str">
        <f t="shared" si="89"/>
        <v/>
      </c>
      <c r="F1124" s="15" t="str">
        <f t="shared" ca="1" si="90"/>
        <v/>
      </c>
      <c r="G1124" s="15" t="str">
        <f t="shared" ca="1" si="91"/>
        <v/>
      </c>
      <c r="H1124" s="15" t="str">
        <f t="shared" ca="1" si="92"/>
        <v/>
      </c>
      <c r="I1124" s="16" t="str">
        <f t="shared" ca="1" si="93"/>
        <v/>
      </c>
    </row>
    <row r="1125" spans="1:9" x14ac:dyDescent="0.3">
      <c r="A1125" s="3"/>
      <c r="B1125" s="9"/>
      <c r="C1125" s="9"/>
      <c r="E1125" s="14" t="str">
        <f t="shared" si="89"/>
        <v/>
      </c>
      <c r="F1125" s="15" t="str">
        <f t="shared" ca="1" si="90"/>
        <v/>
      </c>
      <c r="G1125" s="15" t="str">
        <f t="shared" ca="1" si="91"/>
        <v/>
      </c>
      <c r="H1125" s="15" t="str">
        <f t="shared" ca="1" si="92"/>
        <v/>
      </c>
      <c r="I1125" s="16" t="str">
        <f t="shared" ca="1" si="93"/>
        <v/>
      </c>
    </row>
    <row r="1126" spans="1:9" x14ac:dyDescent="0.3">
      <c r="A1126" s="3"/>
      <c r="B1126" s="9"/>
      <c r="C1126" s="9"/>
      <c r="E1126" s="14" t="str">
        <f t="shared" si="89"/>
        <v/>
      </c>
      <c r="F1126" s="15" t="str">
        <f t="shared" ca="1" si="90"/>
        <v/>
      </c>
      <c r="G1126" s="15" t="str">
        <f t="shared" ca="1" si="91"/>
        <v/>
      </c>
      <c r="H1126" s="15" t="str">
        <f t="shared" ca="1" si="92"/>
        <v/>
      </c>
      <c r="I1126" s="16" t="str">
        <f t="shared" ca="1" si="93"/>
        <v/>
      </c>
    </row>
    <row r="1127" spans="1:9" x14ac:dyDescent="0.3">
      <c r="A1127" s="3"/>
      <c r="B1127" s="9"/>
      <c r="C1127" s="9"/>
      <c r="E1127" s="14" t="str">
        <f t="shared" si="89"/>
        <v/>
      </c>
      <c r="F1127" s="15" t="str">
        <f t="shared" ca="1" si="90"/>
        <v/>
      </c>
      <c r="G1127" s="15" t="str">
        <f t="shared" ca="1" si="91"/>
        <v/>
      </c>
      <c r="H1127" s="15" t="str">
        <f t="shared" ca="1" si="92"/>
        <v/>
      </c>
      <c r="I1127" s="16" t="str">
        <f t="shared" ca="1" si="93"/>
        <v/>
      </c>
    </row>
    <row r="1128" spans="1:9" x14ac:dyDescent="0.3">
      <c r="A1128" s="3"/>
      <c r="B1128" s="9"/>
      <c r="C1128" s="9"/>
      <c r="E1128" s="14" t="str">
        <f t="shared" si="89"/>
        <v/>
      </c>
      <c r="F1128" s="15" t="str">
        <f t="shared" ca="1" si="90"/>
        <v/>
      </c>
      <c r="G1128" s="15" t="str">
        <f t="shared" ca="1" si="91"/>
        <v/>
      </c>
      <c r="H1128" s="15" t="str">
        <f t="shared" ca="1" si="92"/>
        <v/>
      </c>
      <c r="I1128" s="16" t="str">
        <f t="shared" ca="1" si="93"/>
        <v/>
      </c>
    </row>
    <row r="1129" spans="1:9" x14ac:dyDescent="0.3">
      <c r="A1129" s="3"/>
      <c r="B1129" s="9"/>
      <c r="C1129" s="9"/>
      <c r="E1129" s="14" t="str">
        <f t="shared" si="89"/>
        <v/>
      </c>
      <c r="F1129" s="15" t="str">
        <f t="shared" ca="1" si="90"/>
        <v/>
      </c>
      <c r="G1129" s="15" t="str">
        <f t="shared" ca="1" si="91"/>
        <v/>
      </c>
      <c r="H1129" s="15" t="str">
        <f t="shared" ca="1" si="92"/>
        <v/>
      </c>
      <c r="I1129" s="16" t="str">
        <f t="shared" ca="1" si="93"/>
        <v/>
      </c>
    </row>
    <row r="1130" spans="1:9" x14ac:dyDescent="0.3">
      <c r="A1130" s="3"/>
      <c r="B1130" s="9"/>
      <c r="C1130" s="9"/>
      <c r="E1130" s="14" t="str">
        <f t="shared" si="89"/>
        <v/>
      </c>
      <c r="F1130" s="15" t="str">
        <f t="shared" ca="1" si="90"/>
        <v/>
      </c>
      <c r="G1130" s="15" t="str">
        <f t="shared" ca="1" si="91"/>
        <v/>
      </c>
      <c r="H1130" s="15" t="str">
        <f t="shared" ca="1" si="92"/>
        <v/>
      </c>
      <c r="I1130" s="16" t="str">
        <f t="shared" ca="1" si="93"/>
        <v/>
      </c>
    </row>
    <row r="1131" spans="1:9" x14ac:dyDescent="0.3">
      <c r="A1131" s="3"/>
      <c r="B1131" s="9"/>
      <c r="C1131" s="9"/>
      <c r="E1131" s="14" t="str">
        <f t="shared" si="89"/>
        <v/>
      </c>
      <c r="F1131" s="15" t="str">
        <f t="shared" ca="1" si="90"/>
        <v/>
      </c>
      <c r="G1131" s="15" t="str">
        <f t="shared" ca="1" si="91"/>
        <v/>
      </c>
      <c r="H1131" s="15" t="str">
        <f t="shared" ca="1" si="92"/>
        <v/>
      </c>
      <c r="I1131" s="16" t="str">
        <f t="shared" ca="1" si="93"/>
        <v/>
      </c>
    </row>
    <row r="1132" spans="1:9" x14ac:dyDescent="0.3">
      <c r="A1132" s="3"/>
      <c r="B1132" s="9"/>
      <c r="C1132" s="9"/>
      <c r="E1132" s="14" t="str">
        <f t="shared" si="89"/>
        <v/>
      </c>
      <c r="F1132" s="15" t="str">
        <f t="shared" ca="1" si="90"/>
        <v/>
      </c>
      <c r="G1132" s="15" t="str">
        <f t="shared" ca="1" si="91"/>
        <v/>
      </c>
      <c r="H1132" s="15" t="str">
        <f t="shared" ca="1" si="92"/>
        <v/>
      </c>
      <c r="I1132" s="16" t="str">
        <f t="shared" ca="1" si="93"/>
        <v/>
      </c>
    </row>
    <row r="1133" spans="1:9" x14ac:dyDescent="0.3">
      <c r="A1133" s="3"/>
      <c r="B1133" s="9"/>
      <c r="C1133" s="9"/>
      <c r="E1133" s="14" t="str">
        <f t="shared" si="89"/>
        <v/>
      </c>
      <c r="F1133" s="15" t="str">
        <f t="shared" ca="1" si="90"/>
        <v/>
      </c>
      <c r="G1133" s="15" t="str">
        <f t="shared" ca="1" si="91"/>
        <v/>
      </c>
      <c r="H1133" s="15" t="str">
        <f t="shared" ca="1" si="92"/>
        <v/>
      </c>
      <c r="I1133" s="16" t="str">
        <f t="shared" ca="1" si="93"/>
        <v/>
      </c>
    </row>
    <row r="1134" spans="1:9" x14ac:dyDescent="0.3">
      <c r="A1134" s="3"/>
      <c r="B1134" s="9"/>
      <c r="C1134" s="9"/>
      <c r="E1134" s="14" t="str">
        <f t="shared" si="89"/>
        <v/>
      </c>
      <c r="F1134" s="15" t="str">
        <f t="shared" ca="1" si="90"/>
        <v/>
      </c>
      <c r="G1134" s="15" t="str">
        <f t="shared" ca="1" si="91"/>
        <v/>
      </c>
      <c r="H1134" s="15" t="str">
        <f t="shared" ca="1" si="92"/>
        <v/>
      </c>
      <c r="I1134" s="16" t="str">
        <f t="shared" ca="1" si="93"/>
        <v/>
      </c>
    </row>
    <row r="1135" spans="1:9" x14ac:dyDescent="0.3">
      <c r="A1135" s="3"/>
      <c r="B1135" s="9"/>
      <c r="C1135" s="9"/>
      <c r="E1135" s="14" t="str">
        <f t="shared" si="89"/>
        <v/>
      </c>
      <c r="F1135" s="15" t="str">
        <f t="shared" ca="1" si="90"/>
        <v/>
      </c>
      <c r="G1135" s="15" t="str">
        <f t="shared" ca="1" si="91"/>
        <v/>
      </c>
      <c r="H1135" s="15" t="str">
        <f t="shared" ca="1" si="92"/>
        <v/>
      </c>
      <c r="I1135" s="16" t="str">
        <f t="shared" ca="1" si="93"/>
        <v/>
      </c>
    </row>
    <row r="1136" spans="1:9" x14ac:dyDescent="0.3">
      <c r="A1136" s="3"/>
      <c r="B1136" s="9"/>
      <c r="C1136" s="9"/>
      <c r="E1136" s="14" t="str">
        <f t="shared" si="89"/>
        <v/>
      </c>
      <c r="F1136" s="15" t="str">
        <f t="shared" ca="1" si="90"/>
        <v/>
      </c>
      <c r="G1136" s="15" t="str">
        <f t="shared" ca="1" si="91"/>
        <v/>
      </c>
      <c r="H1136" s="15" t="str">
        <f t="shared" ca="1" si="92"/>
        <v/>
      </c>
      <c r="I1136" s="16" t="str">
        <f t="shared" ca="1" si="93"/>
        <v/>
      </c>
    </row>
    <row r="1137" spans="1:9" x14ac:dyDescent="0.3">
      <c r="A1137" s="3"/>
      <c r="B1137" s="9"/>
      <c r="C1137" s="9"/>
      <c r="E1137" s="14" t="str">
        <f t="shared" si="89"/>
        <v/>
      </c>
      <c r="F1137" s="15" t="str">
        <f t="shared" ca="1" si="90"/>
        <v/>
      </c>
      <c r="G1137" s="15" t="str">
        <f t="shared" ca="1" si="91"/>
        <v/>
      </c>
      <c r="H1137" s="15" t="str">
        <f t="shared" ca="1" si="92"/>
        <v/>
      </c>
      <c r="I1137" s="16" t="str">
        <f t="shared" ca="1" si="93"/>
        <v/>
      </c>
    </row>
    <row r="1138" spans="1:9" x14ac:dyDescent="0.3">
      <c r="A1138" s="3"/>
      <c r="B1138" s="9"/>
      <c r="C1138" s="9"/>
      <c r="E1138" s="14" t="str">
        <f t="shared" si="89"/>
        <v/>
      </c>
      <c r="F1138" s="15" t="str">
        <f t="shared" ca="1" si="90"/>
        <v/>
      </c>
      <c r="G1138" s="15" t="str">
        <f t="shared" ca="1" si="91"/>
        <v/>
      </c>
      <c r="H1138" s="15" t="str">
        <f t="shared" ca="1" si="92"/>
        <v/>
      </c>
      <c r="I1138" s="16" t="str">
        <f t="shared" ca="1" si="93"/>
        <v/>
      </c>
    </row>
    <row r="1139" spans="1:9" x14ac:dyDescent="0.3">
      <c r="A1139" s="3"/>
      <c r="B1139" s="9"/>
      <c r="C1139" s="9"/>
      <c r="E1139" s="14" t="str">
        <f t="shared" si="89"/>
        <v/>
      </c>
      <c r="F1139" s="15" t="str">
        <f t="shared" ca="1" si="90"/>
        <v/>
      </c>
      <c r="G1139" s="15" t="str">
        <f t="shared" ca="1" si="91"/>
        <v/>
      </c>
      <c r="H1139" s="15" t="str">
        <f t="shared" ca="1" si="92"/>
        <v/>
      </c>
      <c r="I1139" s="16" t="str">
        <f t="shared" ca="1" si="93"/>
        <v/>
      </c>
    </row>
    <row r="1140" spans="1:9" x14ac:dyDescent="0.3">
      <c r="A1140" s="3"/>
      <c r="B1140" s="9"/>
      <c r="C1140" s="9"/>
      <c r="E1140" s="14" t="str">
        <f t="shared" si="89"/>
        <v/>
      </c>
      <c r="F1140" s="15" t="str">
        <f t="shared" ca="1" si="90"/>
        <v/>
      </c>
      <c r="G1140" s="15" t="str">
        <f t="shared" ca="1" si="91"/>
        <v/>
      </c>
      <c r="H1140" s="15" t="str">
        <f t="shared" ca="1" si="92"/>
        <v/>
      </c>
      <c r="I1140" s="16" t="str">
        <f t="shared" ca="1" si="93"/>
        <v/>
      </c>
    </row>
    <row r="1141" spans="1:9" x14ac:dyDescent="0.3">
      <c r="A1141" s="3"/>
      <c r="B1141" s="9"/>
      <c r="C1141" s="9"/>
      <c r="E1141" s="14" t="str">
        <f t="shared" si="89"/>
        <v/>
      </c>
      <c r="F1141" s="15" t="str">
        <f t="shared" ca="1" si="90"/>
        <v/>
      </c>
      <c r="G1141" s="15" t="str">
        <f t="shared" ca="1" si="91"/>
        <v/>
      </c>
      <c r="H1141" s="15" t="str">
        <f t="shared" ca="1" si="92"/>
        <v/>
      </c>
      <c r="I1141" s="16" t="str">
        <f t="shared" ca="1" si="93"/>
        <v/>
      </c>
    </row>
    <row r="1142" spans="1:9" x14ac:dyDescent="0.3">
      <c r="A1142" s="3"/>
      <c r="B1142" s="9"/>
      <c r="C1142" s="9"/>
      <c r="E1142" s="14" t="str">
        <f t="shared" si="89"/>
        <v/>
      </c>
      <c r="F1142" s="15" t="str">
        <f t="shared" ca="1" si="90"/>
        <v/>
      </c>
      <c r="G1142" s="15" t="str">
        <f t="shared" ca="1" si="91"/>
        <v/>
      </c>
      <c r="H1142" s="15" t="str">
        <f t="shared" ca="1" si="92"/>
        <v/>
      </c>
      <c r="I1142" s="16" t="str">
        <f t="shared" ca="1" si="93"/>
        <v/>
      </c>
    </row>
    <row r="1143" spans="1:9" x14ac:dyDescent="0.3">
      <c r="A1143" s="3"/>
      <c r="B1143" s="9"/>
      <c r="C1143" s="9"/>
      <c r="E1143" s="14" t="str">
        <f t="shared" si="89"/>
        <v/>
      </c>
      <c r="F1143" s="15" t="str">
        <f t="shared" ca="1" si="90"/>
        <v/>
      </c>
      <c r="G1143" s="15" t="str">
        <f t="shared" ca="1" si="91"/>
        <v/>
      </c>
      <c r="H1143" s="15" t="str">
        <f t="shared" ca="1" si="92"/>
        <v/>
      </c>
      <c r="I1143" s="16" t="str">
        <f t="shared" ca="1" si="93"/>
        <v/>
      </c>
    </row>
    <row r="1144" spans="1:9" x14ac:dyDescent="0.3">
      <c r="A1144" s="3"/>
      <c r="B1144" s="9"/>
      <c r="C1144" s="9"/>
      <c r="E1144" s="14" t="str">
        <f t="shared" si="89"/>
        <v/>
      </c>
      <c r="F1144" s="15" t="str">
        <f t="shared" ca="1" si="90"/>
        <v/>
      </c>
      <c r="G1144" s="15" t="str">
        <f t="shared" ca="1" si="91"/>
        <v/>
      </c>
      <c r="H1144" s="15" t="str">
        <f t="shared" ca="1" si="92"/>
        <v/>
      </c>
      <c r="I1144" s="16" t="str">
        <f t="shared" ca="1" si="93"/>
        <v/>
      </c>
    </row>
    <row r="1145" spans="1:9" x14ac:dyDescent="0.3">
      <c r="A1145" s="3"/>
      <c r="B1145" s="9"/>
      <c r="C1145" s="9"/>
      <c r="E1145" s="14" t="str">
        <f t="shared" si="89"/>
        <v/>
      </c>
      <c r="F1145" s="15" t="str">
        <f t="shared" ca="1" si="90"/>
        <v/>
      </c>
      <c r="G1145" s="15" t="str">
        <f t="shared" ca="1" si="91"/>
        <v/>
      </c>
      <c r="H1145" s="15" t="str">
        <f t="shared" ca="1" si="92"/>
        <v/>
      </c>
      <c r="I1145" s="16" t="str">
        <f t="shared" ca="1" si="93"/>
        <v/>
      </c>
    </row>
    <row r="1146" spans="1:9" x14ac:dyDescent="0.3">
      <c r="A1146" s="3"/>
      <c r="B1146" s="9"/>
      <c r="C1146" s="9"/>
      <c r="E1146" s="14" t="str">
        <f t="shared" si="89"/>
        <v/>
      </c>
      <c r="F1146" s="15" t="str">
        <f t="shared" ca="1" si="90"/>
        <v/>
      </c>
      <c r="G1146" s="15" t="str">
        <f t="shared" ca="1" si="91"/>
        <v/>
      </c>
      <c r="H1146" s="15" t="str">
        <f t="shared" ca="1" si="92"/>
        <v/>
      </c>
      <c r="I1146" s="16" t="str">
        <f t="shared" ca="1" si="93"/>
        <v/>
      </c>
    </row>
    <row r="1147" spans="1:9" x14ac:dyDescent="0.3">
      <c r="A1147" s="3"/>
      <c r="B1147" s="9"/>
      <c r="C1147" s="9"/>
      <c r="E1147" s="14" t="str">
        <f t="shared" si="89"/>
        <v/>
      </c>
      <c r="F1147" s="15" t="str">
        <f t="shared" ca="1" si="90"/>
        <v/>
      </c>
      <c r="G1147" s="15" t="str">
        <f t="shared" ca="1" si="91"/>
        <v/>
      </c>
      <c r="H1147" s="15" t="str">
        <f t="shared" ca="1" si="92"/>
        <v/>
      </c>
      <c r="I1147" s="16" t="str">
        <f t="shared" ca="1" si="93"/>
        <v/>
      </c>
    </row>
    <row r="1148" spans="1:9" x14ac:dyDescent="0.3">
      <c r="A1148" s="3"/>
      <c r="B1148" s="9"/>
      <c r="C1148" s="9"/>
      <c r="E1148" s="14" t="str">
        <f t="shared" si="89"/>
        <v/>
      </c>
      <c r="F1148" s="15" t="str">
        <f t="shared" ca="1" si="90"/>
        <v/>
      </c>
      <c r="G1148" s="15" t="str">
        <f t="shared" ca="1" si="91"/>
        <v/>
      </c>
      <c r="H1148" s="15" t="str">
        <f t="shared" ca="1" si="92"/>
        <v/>
      </c>
      <c r="I1148" s="16" t="str">
        <f t="shared" ca="1" si="93"/>
        <v/>
      </c>
    </row>
    <row r="1149" spans="1:9" x14ac:dyDescent="0.3">
      <c r="A1149" s="3"/>
      <c r="B1149" s="9"/>
      <c r="C1149" s="9"/>
      <c r="E1149" s="14" t="str">
        <f t="shared" si="89"/>
        <v/>
      </c>
      <c r="F1149" s="15" t="str">
        <f t="shared" ca="1" si="90"/>
        <v/>
      </c>
      <c r="G1149" s="15" t="str">
        <f t="shared" ca="1" si="91"/>
        <v/>
      </c>
      <c r="H1149" s="15" t="str">
        <f t="shared" ca="1" si="92"/>
        <v/>
      </c>
      <c r="I1149" s="16" t="str">
        <f t="shared" ca="1" si="93"/>
        <v/>
      </c>
    </row>
    <row r="1150" spans="1:9" x14ac:dyDescent="0.3">
      <c r="A1150" s="3"/>
      <c r="B1150" s="9"/>
      <c r="C1150" s="9"/>
      <c r="E1150" s="14" t="str">
        <f t="shared" si="89"/>
        <v/>
      </c>
      <c r="F1150" s="15" t="str">
        <f t="shared" ca="1" si="90"/>
        <v/>
      </c>
      <c r="G1150" s="15" t="str">
        <f t="shared" ca="1" si="91"/>
        <v/>
      </c>
      <c r="H1150" s="15" t="str">
        <f t="shared" ca="1" si="92"/>
        <v/>
      </c>
      <c r="I1150" s="16" t="str">
        <f t="shared" ca="1" si="93"/>
        <v/>
      </c>
    </row>
    <row r="1151" spans="1:9" x14ac:dyDescent="0.3">
      <c r="A1151" s="3"/>
      <c r="B1151" s="9"/>
      <c r="C1151" s="9"/>
      <c r="E1151" s="14" t="str">
        <f t="shared" si="89"/>
        <v/>
      </c>
      <c r="F1151" s="15" t="str">
        <f t="shared" ca="1" si="90"/>
        <v/>
      </c>
      <c r="G1151" s="15" t="str">
        <f t="shared" ca="1" si="91"/>
        <v/>
      </c>
      <c r="H1151" s="15" t="str">
        <f t="shared" ca="1" si="92"/>
        <v/>
      </c>
      <c r="I1151" s="16" t="str">
        <f t="shared" ca="1" si="93"/>
        <v/>
      </c>
    </row>
    <row r="1152" spans="1:9" x14ac:dyDescent="0.3">
      <c r="A1152" s="3"/>
      <c r="B1152" s="9"/>
      <c r="C1152" s="9"/>
      <c r="E1152" s="14" t="str">
        <f t="shared" si="89"/>
        <v/>
      </c>
      <c r="F1152" s="15" t="str">
        <f t="shared" ca="1" si="90"/>
        <v/>
      </c>
      <c r="G1152" s="15" t="str">
        <f t="shared" ca="1" si="91"/>
        <v/>
      </c>
      <c r="H1152" s="15" t="str">
        <f t="shared" ca="1" si="92"/>
        <v/>
      </c>
      <c r="I1152" s="16" t="str">
        <f t="shared" ca="1" si="93"/>
        <v/>
      </c>
    </row>
    <row r="1153" spans="1:9" x14ac:dyDescent="0.3">
      <c r="A1153" s="3"/>
      <c r="B1153" s="9"/>
      <c r="C1153" s="9"/>
      <c r="E1153" s="14" t="str">
        <f t="shared" si="89"/>
        <v/>
      </c>
      <c r="F1153" s="15" t="str">
        <f t="shared" ca="1" si="90"/>
        <v/>
      </c>
      <c r="G1153" s="15" t="str">
        <f t="shared" ca="1" si="91"/>
        <v/>
      </c>
      <c r="H1153" s="15" t="str">
        <f t="shared" ca="1" si="92"/>
        <v/>
      </c>
      <c r="I1153" s="16" t="str">
        <f t="shared" ca="1" si="93"/>
        <v/>
      </c>
    </row>
    <row r="1154" spans="1:9" x14ac:dyDescent="0.3">
      <c r="A1154" s="3"/>
      <c r="B1154" s="9"/>
      <c r="C1154" s="9"/>
      <c r="E1154" s="14" t="str">
        <f t="shared" si="89"/>
        <v/>
      </c>
      <c r="F1154" s="15" t="str">
        <f t="shared" ca="1" si="90"/>
        <v/>
      </c>
      <c r="G1154" s="15" t="str">
        <f t="shared" ca="1" si="91"/>
        <v/>
      </c>
      <c r="H1154" s="15" t="str">
        <f t="shared" ca="1" si="92"/>
        <v/>
      </c>
      <c r="I1154" s="16" t="str">
        <f t="shared" ca="1" si="93"/>
        <v/>
      </c>
    </row>
    <row r="1155" spans="1:9" x14ac:dyDescent="0.3">
      <c r="A1155" s="3"/>
      <c r="B1155" s="9"/>
      <c r="C1155" s="9"/>
      <c r="E1155" s="14" t="str">
        <f t="shared" ref="E1155:E1218" si="94">IF(ISNUMBER(B1155),B1155/C1155,"")</f>
        <v/>
      </c>
      <c r="F1155" s="15" t="str">
        <f t="shared" ca="1" si="90"/>
        <v/>
      </c>
      <c r="G1155" s="15" t="str">
        <f t="shared" ca="1" si="91"/>
        <v/>
      </c>
      <c r="H1155" s="15" t="str">
        <f t="shared" ca="1" si="92"/>
        <v/>
      </c>
      <c r="I1155" s="16" t="str">
        <f t="shared" ca="1" si="93"/>
        <v/>
      </c>
    </row>
    <row r="1156" spans="1:9" x14ac:dyDescent="0.3">
      <c r="A1156" s="3"/>
      <c r="B1156" s="9"/>
      <c r="C1156" s="9"/>
      <c r="E1156" s="14" t="str">
        <f t="shared" si="94"/>
        <v/>
      </c>
      <c r="F1156" s="15" t="str">
        <f t="shared" ca="1" si="90"/>
        <v/>
      </c>
      <c r="G1156" s="15" t="str">
        <f t="shared" ca="1" si="91"/>
        <v/>
      </c>
      <c r="H1156" s="15" t="str">
        <f t="shared" ca="1" si="92"/>
        <v/>
      </c>
      <c r="I1156" s="16" t="str">
        <f t="shared" ca="1" si="93"/>
        <v/>
      </c>
    </row>
    <row r="1157" spans="1:9" x14ac:dyDescent="0.3">
      <c r="A1157" s="3"/>
      <c r="B1157" s="9"/>
      <c r="C1157" s="9"/>
      <c r="E1157" s="14" t="str">
        <f t="shared" si="94"/>
        <v/>
      </c>
      <c r="F1157" s="15" t="str">
        <f t="shared" ca="1" si="90"/>
        <v/>
      </c>
      <c r="G1157" s="15" t="str">
        <f t="shared" ca="1" si="91"/>
        <v/>
      </c>
      <c r="H1157" s="15" t="str">
        <f t="shared" ca="1" si="92"/>
        <v/>
      </c>
      <c r="I1157" s="16" t="str">
        <f t="shared" ca="1" si="93"/>
        <v/>
      </c>
    </row>
    <row r="1158" spans="1:9" x14ac:dyDescent="0.3">
      <c r="A1158" s="3"/>
      <c r="B1158" s="9"/>
      <c r="C1158" s="9"/>
      <c r="E1158" s="14" t="str">
        <f t="shared" si="94"/>
        <v/>
      </c>
      <c r="F1158" s="15" t="str">
        <f t="shared" ca="1" si="90"/>
        <v/>
      </c>
      <c r="G1158" s="15" t="str">
        <f t="shared" ca="1" si="91"/>
        <v/>
      </c>
      <c r="H1158" s="15" t="str">
        <f t="shared" ca="1" si="92"/>
        <v/>
      </c>
      <c r="I1158" s="16" t="str">
        <f t="shared" ca="1" si="93"/>
        <v/>
      </c>
    </row>
    <row r="1159" spans="1:9" x14ac:dyDescent="0.3">
      <c r="A1159" s="3"/>
      <c r="B1159" s="9"/>
      <c r="C1159" s="9"/>
      <c r="E1159" s="14" t="str">
        <f t="shared" si="94"/>
        <v/>
      </c>
      <c r="F1159" s="15" t="str">
        <f t="shared" ca="1" si="90"/>
        <v/>
      </c>
      <c r="G1159" s="15" t="str">
        <f t="shared" ca="1" si="91"/>
        <v/>
      </c>
      <c r="H1159" s="15" t="str">
        <f t="shared" ca="1" si="92"/>
        <v/>
      </c>
      <c r="I1159" s="16" t="str">
        <f t="shared" ca="1" si="93"/>
        <v/>
      </c>
    </row>
    <row r="1160" spans="1:9" x14ac:dyDescent="0.3">
      <c r="A1160" s="3"/>
      <c r="B1160" s="9"/>
      <c r="C1160" s="9"/>
      <c r="E1160" s="14" t="str">
        <f t="shared" si="94"/>
        <v/>
      </c>
      <c r="F1160" s="15" t="str">
        <f t="shared" ca="1" si="90"/>
        <v/>
      </c>
      <c r="G1160" s="15" t="str">
        <f t="shared" ca="1" si="91"/>
        <v/>
      </c>
      <c r="H1160" s="15" t="str">
        <f t="shared" ca="1" si="92"/>
        <v/>
      </c>
      <c r="I1160" s="16" t="str">
        <f t="shared" ca="1" si="93"/>
        <v/>
      </c>
    </row>
    <row r="1161" spans="1:9" x14ac:dyDescent="0.3">
      <c r="A1161" s="3"/>
      <c r="B1161" s="9"/>
      <c r="C1161" s="9"/>
      <c r="E1161" s="14" t="str">
        <f t="shared" si="94"/>
        <v/>
      </c>
      <c r="F1161" s="15" t="str">
        <f t="shared" ca="1" si="90"/>
        <v/>
      </c>
      <c r="G1161" s="15" t="str">
        <f t="shared" ca="1" si="91"/>
        <v/>
      </c>
      <c r="H1161" s="15" t="str">
        <f t="shared" ca="1" si="92"/>
        <v/>
      </c>
      <c r="I1161" s="16" t="str">
        <f t="shared" ca="1" si="93"/>
        <v/>
      </c>
    </row>
    <row r="1162" spans="1:9" x14ac:dyDescent="0.3">
      <c r="A1162" s="3"/>
      <c r="B1162" s="9"/>
      <c r="C1162" s="9"/>
      <c r="E1162" s="14" t="str">
        <f t="shared" si="94"/>
        <v/>
      </c>
      <c r="F1162" s="15" t="str">
        <f t="shared" ca="1" si="90"/>
        <v/>
      </c>
      <c r="G1162" s="15" t="str">
        <f t="shared" ca="1" si="91"/>
        <v/>
      </c>
      <c r="H1162" s="15" t="str">
        <f t="shared" ca="1" si="92"/>
        <v/>
      </c>
      <c r="I1162" s="16" t="str">
        <f t="shared" ca="1" si="93"/>
        <v/>
      </c>
    </row>
    <row r="1163" spans="1:9" x14ac:dyDescent="0.3">
      <c r="A1163" s="3"/>
      <c r="B1163" s="9"/>
      <c r="C1163" s="9"/>
      <c r="E1163" s="14" t="str">
        <f t="shared" si="94"/>
        <v/>
      </c>
      <c r="F1163" s="15" t="str">
        <f t="shared" ca="1" si="90"/>
        <v/>
      </c>
      <c r="G1163" s="15" t="str">
        <f t="shared" ca="1" si="91"/>
        <v/>
      </c>
      <c r="H1163" s="15" t="str">
        <f t="shared" ca="1" si="92"/>
        <v/>
      </c>
      <c r="I1163" s="16" t="str">
        <f t="shared" ca="1" si="93"/>
        <v/>
      </c>
    </row>
    <row r="1164" spans="1:9" x14ac:dyDescent="0.3">
      <c r="A1164" s="3"/>
      <c r="B1164" s="9"/>
      <c r="C1164" s="9"/>
      <c r="E1164" s="14" t="str">
        <f t="shared" si="94"/>
        <v/>
      </c>
      <c r="F1164" s="15" t="str">
        <f t="shared" ca="1" si="90"/>
        <v/>
      </c>
      <c r="G1164" s="15" t="str">
        <f t="shared" ca="1" si="91"/>
        <v/>
      </c>
      <c r="H1164" s="15" t="str">
        <f t="shared" ca="1" si="92"/>
        <v/>
      </c>
      <c r="I1164" s="16" t="str">
        <f t="shared" ca="1" si="93"/>
        <v/>
      </c>
    </row>
    <row r="1165" spans="1:9" x14ac:dyDescent="0.3">
      <c r="A1165" s="3"/>
      <c r="B1165" s="9"/>
      <c r="C1165" s="9"/>
      <c r="E1165" s="14" t="str">
        <f t="shared" si="94"/>
        <v/>
      </c>
      <c r="F1165" s="15" t="str">
        <f t="shared" ca="1" si="90"/>
        <v/>
      </c>
      <c r="G1165" s="15" t="str">
        <f t="shared" ca="1" si="91"/>
        <v/>
      </c>
      <c r="H1165" s="15" t="str">
        <f t="shared" ca="1" si="92"/>
        <v/>
      </c>
      <c r="I1165" s="16" t="str">
        <f t="shared" ca="1" si="93"/>
        <v/>
      </c>
    </row>
    <row r="1166" spans="1:9" x14ac:dyDescent="0.3">
      <c r="A1166" s="3"/>
      <c r="B1166" s="9"/>
      <c r="C1166" s="9"/>
      <c r="E1166" s="14" t="str">
        <f t="shared" si="94"/>
        <v/>
      </c>
      <c r="F1166" s="15" t="str">
        <f t="shared" ca="1" si="90"/>
        <v/>
      </c>
      <c r="G1166" s="15" t="str">
        <f t="shared" ca="1" si="91"/>
        <v/>
      </c>
      <c r="H1166" s="15" t="str">
        <f t="shared" ca="1" si="92"/>
        <v/>
      </c>
      <c r="I1166" s="16" t="str">
        <f t="shared" ca="1" si="93"/>
        <v/>
      </c>
    </row>
    <row r="1167" spans="1:9" x14ac:dyDescent="0.3">
      <c r="A1167" s="3"/>
      <c r="B1167" s="9"/>
      <c r="C1167" s="9"/>
      <c r="E1167" s="14" t="str">
        <f t="shared" si="94"/>
        <v/>
      </c>
      <c r="F1167" s="15" t="str">
        <f t="shared" ca="1" si="90"/>
        <v/>
      </c>
      <c r="G1167" s="15" t="str">
        <f t="shared" ca="1" si="91"/>
        <v/>
      </c>
      <c r="H1167" s="15" t="str">
        <f t="shared" ca="1" si="92"/>
        <v/>
      </c>
      <c r="I1167" s="16" t="str">
        <f t="shared" ca="1" si="93"/>
        <v/>
      </c>
    </row>
    <row r="1168" spans="1:9" x14ac:dyDescent="0.3">
      <c r="A1168" s="3"/>
      <c r="B1168" s="9"/>
      <c r="C1168" s="9"/>
      <c r="E1168" s="14" t="str">
        <f t="shared" si="94"/>
        <v/>
      </c>
      <c r="F1168" s="15" t="str">
        <f t="shared" ca="1" si="90"/>
        <v/>
      </c>
      <c r="G1168" s="15" t="str">
        <f t="shared" ca="1" si="91"/>
        <v/>
      </c>
      <c r="H1168" s="15" t="str">
        <f t="shared" ca="1" si="92"/>
        <v/>
      </c>
      <c r="I1168" s="16" t="str">
        <f t="shared" ca="1" si="93"/>
        <v/>
      </c>
    </row>
    <row r="1169" spans="1:9" x14ac:dyDescent="0.3">
      <c r="A1169" s="3"/>
      <c r="B1169" s="9"/>
      <c r="C1169" s="9"/>
      <c r="E1169" s="14" t="str">
        <f t="shared" si="94"/>
        <v/>
      </c>
      <c r="F1169" s="15" t="str">
        <f t="shared" ref="F1169:F1232" ca="1" si="95">IF(ISNUMBER(E1169),IF(ROW(E1169)&gt;$K$1,AVERAGE(OFFSET(E1169,0,0,-$K$1)),""),"")</f>
        <v/>
      </c>
      <c r="G1169" s="15" t="str">
        <f t="shared" ref="G1169:G1232" ca="1" si="96">IF(ISNUMBER(I1169),F1169+I1169*$M$1,"")</f>
        <v/>
      </c>
      <c r="H1169" s="15" t="str">
        <f t="shared" ref="H1169:H1232" ca="1" si="97">IF(ISNUMBER(I1169),F1169-I1169*$M$1,"")</f>
        <v/>
      </c>
      <c r="I1169" s="16" t="str">
        <f t="shared" ref="I1169:I1232" ca="1" si="98">IF(ISNUMBER(E1169),IF(ROW(E1169)&gt;$K$1,_xlfn.STDEV.P(OFFSET(E1169,0,0,-$K$1)),""),"")</f>
        <v/>
      </c>
    </row>
    <row r="1170" spans="1:9" x14ac:dyDescent="0.3">
      <c r="A1170" s="3"/>
      <c r="B1170" s="9"/>
      <c r="C1170" s="9"/>
      <c r="E1170" s="14" t="str">
        <f t="shared" si="94"/>
        <v/>
      </c>
      <c r="F1170" s="15" t="str">
        <f t="shared" ca="1" si="95"/>
        <v/>
      </c>
      <c r="G1170" s="15" t="str">
        <f t="shared" ca="1" si="96"/>
        <v/>
      </c>
      <c r="H1170" s="15" t="str">
        <f t="shared" ca="1" si="97"/>
        <v/>
      </c>
      <c r="I1170" s="16" t="str">
        <f t="shared" ca="1" si="98"/>
        <v/>
      </c>
    </row>
    <row r="1171" spans="1:9" x14ac:dyDescent="0.3">
      <c r="A1171" s="3"/>
      <c r="B1171" s="9"/>
      <c r="C1171" s="9"/>
      <c r="E1171" s="14" t="str">
        <f t="shared" si="94"/>
        <v/>
      </c>
      <c r="F1171" s="15" t="str">
        <f t="shared" ca="1" si="95"/>
        <v/>
      </c>
      <c r="G1171" s="15" t="str">
        <f t="shared" ca="1" si="96"/>
        <v/>
      </c>
      <c r="H1171" s="15" t="str">
        <f t="shared" ca="1" si="97"/>
        <v/>
      </c>
      <c r="I1171" s="16" t="str">
        <f t="shared" ca="1" si="98"/>
        <v/>
      </c>
    </row>
    <row r="1172" spans="1:9" x14ac:dyDescent="0.3">
      <c r="A1172" s="3"/>
      <c r="B1172" s="9"/>
      <c r="C1172" s="9"/>
      <c r="E1172" s="14" t="str">
        <f t="shared" si="94"/>
        <v/>
      </c>
      <c r="F1172" s="15" t="str">
        <f t="shared" ca="1" si="95"/>
        <v/>
      </c>
      <c r="G1172" s="15" t="str">
        <f t="shared" ca="1" si="96"/>
        <v/>
      </c>
      <c r="H1172" s="15" t="str">
        <f t="shared" ca="1" si="97"/>
        <v/>
      </c>
      <c r="I1172" s="16" t="str">
        <f t="shared" ca="1" si="98"/>
        <v/>
      </c>
    </row>
    <row r="1173" spans="1:9" x14ac:dyDescent="0.3">
      <c r="A1173" s="3"/>
      <c r="B1173" s="9"/>
      <c r="C1173" s="9"/>
      <c r="E1173" s="14" t="str">
        <f t="shared" si="94"/>
        <v/>
      </c>
      <c r="F1173" s="15" t="str">
        <f t="shared" ca="1" si="95"/>
        <v/>
      </c>
      <c r="G1173" s="15" t="str">
        <f t="shared" ca="1" si="96"/>
        <v/>
      </c>
      <c r="H1173" s="15" t="str">
        <f t="shared" ca="1" si="97"/>
        <v/>
      </c>
      <c r="I1173" s="16" t="str">
        <f t="shared" ca="1" si="98"/>
        <v/>
      </c>
    </row>
    <row r="1174" spans="1:9" x14ac:dyDescent="0.3">
      <c r="A1174" s="3"/>
      <c r="B1174" s="9"/>
      <c r="C1174" s="9"/>
      <c r="E1174" s="14" t="str">
        <f t="shared" si="94"/>
        <v/>
      </c>
      <c r="F1174" s="15" t="str">
        <f t="shared" ca="1" si="95"/>
        <v/>
      </c>
      <c r="G1174" s="15" t="str">
        <f t="shared" ca="1" si="96"/>
        <v/>
      </c>
      <c r="H1174" s="15" t="str">
        <f t="shared" ca="1" si="97"/>
        <v/>
      </c>
      <c r="I1174" s="16" t="str">
        <f t="shared" ca="1" si="98"/>
        <v/>
      </c>
    </row>
    <row r="1175" spans="1:9" x14ac:dyDescent="0.3">
      <c r="A1175" s="3"/>
      <c r="B1175" s="9"/>
      <c r="C1175" s="9"/>
      <c r="E1175" s="14" t="str">
        <f t="shared" si="94"/>
        <v/>
      </c>
      <c r="F1175" s="15" t="str">
        <f t="shared" ca="1" si="95"/>
        <v/>
      </c>
      <c r="G1175" s="15" t="str">
        <f t="shared" ca="1" si="96"/>
        <v/>
      </c>
      <c r="H1175" s="15" t="str">
        <f t="shared" ca="1" si="97"/>
        <v/>
      </c>
      <c r="I1175" s="16" t="str">
        <f t="shared" ca="1" si="98"/>
        <v/>
      </c>
    </row>
    <row r="1176" spans="1:9" x14ac:dyDescent="0.3">
      <c r="A1176" s="3"/>
      <c r="B1176" s="9"/>
      <c r="C1176" s="9"/>
      <c r="E1176" s="14" t="str">
        <f t="shared" si="94"/>
        <v/>
      </c>
      <c r="F1176" s="15" t="str">
        <f t="shared" ca="1" si="95"/>
        <v/>
      </c>
      <c r="G1176" s="15" t="str">
        <f t="shared" ca="1" si="96"/>
        <v/>
      </c>
      <c r="H1176" s="15" t="str">
        <f t="shared" ca="1" si="97"/>
        <v/>
      </c>
      <c r="I1176" s="16" t="str">
        <f t="shared" ca="1" si="98"/>
        <v/>
      </c>
    </row>
    <row r="1177" spans="1:9" x14ac:dyDescent="0.3">
      <c r="A1177" s="3"/>
      <c r="B1177" s="9"/>
      <c r="C1177" s="9"/>
      <c r="E1177" s="14" t="str">
        <f t="shared" si="94"/>
        <v/>
      </c>
      <c r="F1177" s="15" t="str">
        <f t="shared" ca="1" si="95"/>
        <v/>
      </c>
      <c r="G1177" s="15" t="str">
        <f t="shared" ca="1" si="96"/>
        <v/>
      </c>
      <c r="H1177" s="15" t="str">
        <f t="shared" ca="1" si="97"/>
        <v/>
      </c>
      <c r="I1177" s="16" t="str">
        <f t="shared" ca="1" si="98"/>
        <v/>
      </c>
    </row>
    <row r="1178" spans="1:9" x14ac:dyDescent="0.3">
      <c r="A1178" s="3"/>
      <c r="B1178" s="9"/>
      <c r="C1178" s="9"/>
      <c r="E1178" s="14" t="str">
        <f t="shared" si="94"/>
        <v/>
      </c>
      <c r="F1178" s="15" t="str">
        <f t="shared" ca="1" si="95"/>
        <v/>
      </c>
      <c r="G1178" s="15" t="str">
        <f t="shared" ca="1" si="96"/>
        <v/>
      </c>
      <c r="H1178" s="15" t="str">
        <f t="shared" ca="1" si="97"/>
        <v/>
      </c>
      <c r="I1178" s="16" t="str">
        <f t="shared" ca="1" si="98"/>
        <v/>
      </c>
    </row>
    <row r="1179" spans="1:9" x14ac:dyDescent="0.3">
      <c r="A1179" s="3"/>
      <c r="B1179" s="9"/>
      <c r="C1179" s="9"/>
      <c r="E1179" s="14" t="str">
        <f t="shared" si="94"/>
        <v/>
      </c>
      <c r="F1179" s="15" t="str">
        <f t="shared" ca="1" si="95"/>
        <v/>
      </c>
      <c r="G1179" s="15" t="str">
        <f t="shared" ca="1" si="96"/>
        <v/>
      </c>
      <c r="H1179" s="15" t="str">
        <f t="shared" ca="1" si="97"/>
        <v/>
      </c>
      <c r="I1179" s="16" t="str">
        <f t="shared" ca="1" si="98"/>
        <v/>
      </c>
    </row>
    <row r="1180" spans="1:9" x14ac:dyDescent="0.3">
      <c r="A1180" s="3"/>
      <c r="B1180" s="9"/>
      <c r="C1180" s="9"/>
      <c r="E1180" s="14" t="str">
        <f t="shared" si="94"/>
        <v/>
      </c>
      <c r="F1180" s="15" t="str">
        <f t="shared" ca="1" si="95"/>
        <v/>
      </c>
      <c r="G1180" s="15" t="str">
        <f t="shared" ca="1" si="96"/>
        <v/>
      </c>
      <c r="H1180" s="15" t="str">
        <f t="shared" ca="1" si="97"/>
        <v/>
      </c>
      <c r="I1180" s="16" t="str">
        <f t="shared" ca="1" si="98"/>
        <v/>
      </c>
    </row>
    <row r="1181" spans="1:9" x14ac:dyDescent="0.3">
      <c r="A1181" s="3"/>
      <c r="B1181" s="9"/>
      <c r="C1181" s="9"/>
      <c r="E1181" s="14" t="str">
        <f t="shared" si="94"/>
        <v/>
      </c>
      <c r="F1181" s="15" t="str">
        <f t="shared" ca="1" si="95"/>
        <v/>
      </c>
      <c r="G1181" s="15" t="str">
        <f t="shared" ca="1" si="96"/>
        <v/>
      </c>
      <c r="H1181" s="15" t="str">
        <f t="shared" ca="1" si="97"/>
        <v/>
      </c>
      <c r="I1181" s="16" t="str">
        <f t="shared" ca="1" si="98"/>
        <v/>
      </c>
    </row>
    <row r="1182" spans="1:9" x14ac:dyDescent="0.3">
      <c r="A1182" s="3"/>
      <c r="B1182" s="9"/>
      <c r="C1182" s="9"/>
      <c r="E1182" s="14" t="str">
        <f t="shared" si="94"/>
        <v/>
      </c>
      <c r="F1182" s="15" t="str">
        <f t="shared" ca="1" si="95"/>
        <v/>
      </c>
      <c r="G1182" s="15" t="str">
        <f t="shared" ca="1" si="96"/>
        <v/>
      </c>
      <c r="H1182" s="15" t="str">
        <f t="shared" ca="1" si="97"/>
        <v/>
      </c>
      <c r="I1182" s="16" t="str">
        <f t="shared" ca="1" si="98"/>
        <v/>
      </c>
    </row>
    <row r="1183" spans="1:9" x14ac:dyDescent="0.3">
      <c r="A1183" s="3"/>
      <c r="B1183" s="9"/>
      <c r="C1183" s="9"/>
      <c r="E1183" s="14" t="str">
        <f t="shared" si="94"/>
        <v/>
      </c>
      <c r="F1183" s="15" t="str">
        <f t="shared" ca="1" si="95"/>
        <v/>
      </c>
      <c r="G1183" s="15" t="str">
        <f t="shared" ca="1" si="96"/>
        <v/>
      </c>
      <c r="H1183" s="15" t="str">
        <f t="shared" ca="1" si="97"/>
        <v/>
      </c>
      <c r="I1183" s="16" t="str">
        <f t="shared" ca="1" si="98"/>
        <v/>
      </c>
    </row>
    <row r="1184" spans="1:9" x14ac:dyDescent="0.3">
      <c r="A1184" s="3"/>
      <c r="B1184" s="9"/>
      <c r="C1184" s="9"/>
      <c r="E1184" s="14" t="str">
        <f t="shared" si="94"/>
        <v/>
      </c>
      <c r="F1184" s="15" t="str">
        <f t="shared" ca="1" si="95"/>
        <v/>
      </c>
      <c r="G1184" s="15" t="str">
        <f t="shared" ca="1" si="96"/>
        <v/>
      </c>
      <c r="H1184" s="15" t="str">
        <f t="shared" ca="1" si="97"/>
        <v/>
      </c>
      <c r="I1184" s="16" t="str">
        <f t="shared" ca="1" si="98"/>
        <v/>
      </c>
    </row>
    <row r="1185" spans="1:9" x14ac:dyDescent="0.3">
      <c r="A1185" s="3"/>
      <c r="B1185" s="9"/>
      <c r="C1185" s="9"/>
      <c r="E1185" s="14" t="str">
        <f t="shared" si="94"/>
        <v/>
      </c>
      <c r="F1185" s="15" t="str">
        <f t="shared" ca="1" si="95"/>
        <v/>
      </c>
      <c r="G1185" s="15" t="str">
        <f t="shared" ca="1" si="96"/>
        <v/>
      </c>
      <c r="H1185" s="15" t="str">
        <f t="shared" ca="1" si="97"/>
        <v/>
      </c>
      <c r="I1185" s="16" t="str">
        <f t="shared" ca="1" si="98"/>
        <v/>
      </c>
    </row>
    <row r="1186" spans="1:9" x14ac:dyDescent="0.3">
      <c r="A1186" s="3"/>
      <c r="B1186" s="9"/>
      <c r="C1186" s="9"/>
      <c r="E1186" s="14" t="str">
        <f t="shared" si="94"/>
        <v/>
      </c>
      <c r="F1186" s="15" t="str">
        <f t="shared" ca="1" si="95"/>
        <v/>
      </c>
      <c r="G1186" s="15" t="str">
        <f t="shared" ca="1" si="96"/>
        <v/>
      </c>
      <c r="H1186" s="15" t="str">
        <f t="shared" ca="1" si="97"/>
        <v/>
      </c>
      <c r="I1186" s="16" t="str">
        <f t="shared" ca="1" si="98"/>
        <v/>
      </c>
    </row>
    <row r="1187" spans="1:9" x14ac:dyDescent="0.3">
      <c r="A1187" s="3"/>
      <c r="B1187" s="9"/>
      <c r="C1187" s="9"/>
      <c r="E1187" s="14" t="str">
        <f t="shared" si="94"/>
        <v/>
      </c>
      <c r="F1187" s="15" t="str">
        <f t="shared" ca="1" si="95"/>
        <v/>
      </c>
      <c r="G1187" s="15" t="str">
        <f t="shared" ca="1" si="96"/>
        <v/>
      </c>
      <c r="H1187" s="15" t="str">
        <f t="shared" ca="1" si="97"/>
        <v/>
      </c>
      <c r="I1187" s="16" t="str">
        <f t="shared" ca="1" si="98"/>
        <v/>
      </c>
    </row>
    <row r="1188" spans="1:9" x14ac:dyDescent="0.3">
      <c r="A1188" s="3"/>
      <c r="B1188" s="9"/>
      <c r="C1188" s="9"/>
      <c r="E1188" s="14" t="str">
        <f t="shared" si="94"/>
        <v/>
      </c>
      <c r="F1188" s="15" t="str">
        <f t="shared" ca="1" si="95"/>
        <v/>
      </c>
      <c r="G1188" s="15" t="str">
        <f t="shared" ca="1" si="96"/>
        <v/>
      </c>
      <c r="H1188" s="15" t="str">
        <f t="shared" ca="1" si="97"/>
        <v/>
      </c>
      <c r="I1188" s="16" t="str">
        <f t="shared" ca="1" si="98"/>
        <v/>
      </c>
    </row>
    <row r="1189" spans="1:9" x14ac:dyDescent="0.3">
      <c r="A1189" s="3"/>
      <c r="B1189" s="9"/>
      <c r="C1189" s="9"/>
      <c r="E1189" s="14" t="str">
        <f t="shared" si="94"/>
        <v/>
      </c>
      <c r="F1189" s="15" t="str">
        <f t="shared" ca="1" si="95"/>
        <v/>
      </c>
      <c r="G1189" s="15" t="str">
        <f t="shared" ca="1" si="96"/>
        <v/>
      </c>
      <c r="H1189" s="15" t="str">
        <f t="shared" ca="1" si="97"/>
        <v/>
      </c>
      <c r="I1189" s="16" t="str">
        <f t="shared" ca="1" si="98"/>
        <v/>
      </c>
    </row>
    <row r="1190" spans="1:9" x14ac:dyDescent="0.3">
      <c r="A1190" s="3"/>
      <c r="B1190" s="9"/>
      <c r="C1190" s="9"/>
      <c r="E1190" s="14" t="str">
        <f t="shared" si="94"/>
        <v/>
      </c>
      <c r="F1190" s="15" t="str">
        <f t="shared" ca="1" si="95"/>
        <v/>
      </c>
      <c r="G1190" s="15" t="str">
        <f t="shared" ca="1" si="96"/>
        <v/>
      </c>
      <c r="H1190" s="15" t="str">
        <f t="shared" ca="1" si="97"/>
        <v/>
      </c>
      <c r="I1190" s="16" t="str">
        <f t="shared" ca="1" si="98"/>
        <v/>
      </c>
    </row>
    <row r="1191" spans="1:9" x14ac:dyDescent="0.3">
      <c r="A1191" s="3"/>
      <c r="B1191" s="9"/>
      <c r="C1191" s="9"/>
      <c r="E1191" s="14" t="str">
        <f t="shared" si="94"/>
        <v/>
      </c>
      <c r="F1191" s="15" t="str">
        <f t="shared" ca="1" si="95"/>
        <v/>
      </c>
      <c r="G1191" s="15" t="str">
        <f t="shared" ca="1" si="96"/>
        <v/>
      </c>
      <c r="H1191" s="15" t="str">
        <f t="shared" ca="1" si="97"/>
        <v/>
      </c>
      <c r="I1191" s="16" t="str">
        <f t="shared" ca="1" si="98"/>
        <v/>
      </c>
    </row>
    <row r="1192" spans="1:9" x14ac:dyDescent="0.3">
      <c r="A1192" s="3"/>
      <c r="B1192" s="9"/>
      <c r="C1192" s="9"/>
      <c r="E1192" s="14" t="str">
        <f t="shared" si="94"/>
        <v/>
      </c>
      <c r="F1192" s="15" t="str">
        <f t="shared" ca="1" si="95"/>
        <v/>
      </c>
      <c r="G1192" s="15" t="str">
        <f t="shared" ca="1" si="96"/>
        <v/>
      </c>
      <c r="H1192" s="15" t="str">
        <f t="shared" ca="1" si="97"/>
        <v/>
      </c>
      <c r="I1192" s="16" t="str">
        <f t="shared" ca="1" si="98"/>
        <v/>
      </c>
    </row>
    <row r="1193" spans="1:9" x14ac:dyDescent="0.3">
      <c r="A1193" s="3"/>
      <c r="B1193" s="9"/>
      <c r="C1193" s="9"/>
      <c r="E1193" s="14" t="str">
        <f t="shared" si="94"/>
        <v/>
      </c>
      <c r="F1193" s="15" t="str">
        <f t="shared" ca="1" si="95"/>
        <v/>
      </c>
      <c r="G1193" s="15" t="str">
        <f t="shared" ca="1" si="96"/>
        <v/>
      </c>
      <c r="H1193" s="15" t="str">
        <f t="shared" ca="1" si="97"/>
        <v/>
      </c>
      <c r="I1193" s="16" t="str">
        <f t="shared" ca="1" si="98"/>
        <v/>
      </c>
    </row>
    <row r="1194" spans="1:9" x14ac:dyDescent="0.3">
      <c r="A1194" s="3"/>
      <c r="B1194" s="9"/>
      <c r="C1194" s="9"/>
      <c r="E1194" s="14" t="str">
        <f t="shared" si="94"/>
        <v/>
      </c>
      <c r="F1194" s="15" t="str">
        <f t="shared" ca="1" si="95"/>
        <v/>
      </c>
      <c r="G1194" s="15" t="str">
        <f t="shared" ca="1" si="96"/>
        <v/>
      </c>
      <c r="H1194" s="15" t="str">
        <f t="shared" ca="1" si="97"/>
        <v/>
      </c>
      <c r="I1194" s="16" t="str">
        <f t="shared" ca="1" si="98"/>
        <v/>
      </c>
    </row>
    <row r="1195" spans="1:9" x14ac:dyDescent="0.3">
      <c r="A1195" s="3"/>
      <c r="B1195" s="9"/>
      <c r="C1195" s="9"/>
      <c r="E1195" s="14" t="str">
        <f t="shared" si="94"/>
        <v/>
      </c>
      <c r="F1195" s="15" t="str">
        <f t="shared" ca="1" si="95"/>
        <v/>
      </c>
      <c r="G1195" s="15" t="str">
        <f t="shared" ca="1" si="96"/>
        <v/>
      </c>
      <c r="H1195" s="15" t="str">
        <f t="shared" ca="1" si="97"/>
        <v/>
      </c>
      <c r="I1195" s="16" t="str">
        <f t="shared" ca="1" si="98"/>
        <v/>
      </c>
    </row>
    <row r="1196" spans="1:9" x14ac:dyDescent="0.3">
      <c r="A1196" s="3"/>
      <c r="B1196" s="9"/>
      <c r="C1196" s="9"/>
      <c r="E1196" s="14" t="str">
        <f t="shared" si="94"/>
        <v/>
      </c>
      <c r="F1196" s="15" t="str">
        <f t="shared" ca="1" si="95"/>
        <v/>
      </c>
      <c r="G1196" s="15" t="str">
        <f t="shared" ca="1" si="96"/>
        <v/>
      </c>
      <c r="H1196" s="15" t="str">
        <f t="shared" ca="1" si="97"/>
        <v/>
      </c>
      <c r="I1196" s="16" t="str">
        <f t="shared" ca="1" si="98"/>
        <v/>
      </c>
    </row>
    <row r="1197" spans="1:9" x14ac:dyDescent="0.3">
      <c r="A1197" s="3"/>
      <c r="B1197" s="9"/>
      <c r="C1197" s="9"/>
      <c r="E1197" s="14" t="str">
        <f t="shared" si="94"/>
        <v/>
      </c>
      <c r="F1197" s="15" t="str">
        <f t="shared" ca="1" si="95"/>
        <v/>
      </c>
      <c r="G1197" s="15" t="str">
        <f t="shared" ca="1" si="96"/>
        <v/>
      </c>
      <c r="H1197" s="15" t="str">
        <f t="shared" ca="1" si="97"/>
        <v/>
      </c>
      <c r="I1197" s="16" t="str">
        <f t="shared" ca="1" si="98"/>
        <v/>
      </c>
    </row>
    <row r="1198" spans="1:9" x14ac:dyDescent="0.3">
      <c r="A1198" s="3"/>
      <c r="B1198" s="9"/>
      <c r="C1198" s="9"/>
      <c r="E1198" s="14" t="str">
        <f t="shared" si="94"/>
        <v/>
      </c>
      <c r="F1198" s="15" t="str">
        <f t="shared" ca="1" si="95"/>
        <v/>
      </c>
      <c r="G1198" s="15" t="str">
        <f t="shared" ca="1" si="96"/>
        <v/>
      </c>
      <c r="H1198" s="15" t="str">
        <f t="shared" ca="1" si="97"/>
        <v/>
      </c>
      <c r="I1198" s="16" t="str">
        <f t="shared" ca="1" si="98"/>
        <v/>
      </c>
    </row>
    <row r="1199" spans="1:9" x14ac:dyDescent="0.3">
      <c r="A1199" s="3"/>
      <c r="B1199" s="9"/>
      <c r="C1199" s="9"/>
      <c r="E1199" s="14" t="str">
        <f t="shared" si="94"/>
        <v/>
      </c>
      <c r="F1199" s="15" t="str">
        <f t="shared" ca="1" si="95"/>
        <v/>
      </c>
      <c r="G1199" s="15" t="str">
        <f t="shared" ca="1" si="96"/>
        <v/>
      </c>
      <c r="H1199" s="15" t="str">
        <f t="shared" ca="1" si="97"/>
        <v/>
      </c>
      <c r="I1199" s="16" t="str">
        <f t="shared" ca="1" si="98"/>
        <v/>
      </c>
    </row>
    <row r="1200" spans="1:9" x14ac:dyDescent="0.3">
      <c r="A1200" s="3"/>
      <c r="B1200" s="9"/>
      <c r="C1200" s="9"/>
      <c r="E1200" s="14" t="str">
        <f t="shared" si="94"/>
        <v/>
      </c>
      <c r="F1200" s="15" t="str">
        <f t="shared" ca="1" si="95"/>
        <v/>
      </c>
      <c r="G1200" s="15" t="str">
        <f t="shared" ca="1" si="96"/>
        <v/>
      </c>
      <c r="H1200" s="15" t="str">
        <f t="shared" ca="1" si="97"/>
        <v/>
      </c>
      <c r="I1200" s="16" t="str">
        <f t="shared" ca="1" si="98"/>
        <v/>
      </c>
    </row>
    <row r="1201" spans="1:9" x14ac:dyDescent="0.3">
      <c r="A1201" s="3"/>
      <c r="B1201" s="9"/>
      <c r="C1201" s="9"/>
      <c r="E1201" s="14" t="str">
        <f t="shared" si="94"/>
        <v/>
      </c>
      <c r="F1201" s="15" t="str">
        <f t="shared" ca="1" si="95"/>
        <v/>
      </c>
      <c r="G1201" s="15" t="str">
        <f t="shared" ca="1" si="96"/>
        <v/>
      </c>
      <c r="H1201" s="15" t="str">
        <f t="shared" ca="1" si="97"/>
        <v/>
      </c>
      <c r="I1201" s="16" t="str">
        <f t="shared" ca="1" si="98"/>
        <v/>
      </c>
    </row>
    <row r="1202" spans="1:9" x14ac:dyDescent="0.3">
      <c r="A1202" s="3"/>
      <c r="B1202" s="9"/>
      <c r="C1202" s="9"/>
      <c r="E1202" s="14" t="str">
        <f t="shared" si="94"/>
        <v/>
      </c>
      <c r="F1202" s="15" t="str">
        <f t="shared" ca="1" si="95"/>
        <v/>
      </c>
      <c r="G1202" s="15" t="str">
        <f t="shared" ca="1" si="96"/>
        <v/>
      </c>
      <c r="H1202" s="15" t="str">
        <f t="shared" ca="1" si="97"/>
        <v/>
      </c>
      <c r="I1202" s="16" t="str">
        <f t="shared" ca="1" si="98"/>
        <v/>
      </c>
    </row>
    <row r="1203" spans="1:9" x14ac:dyDescent="0.3">
      <c r="A1203" s="3"/>
      <c r="B1203" s="9"/>
      <c r="C1203" s="9"/>
      <c r="E1203" s="14" t="str">
        <f t="shared" si="94"/>
        <v/>
      </c>
      <c r="F1203" s="15" t="str">
        <f t="shared" ca="1" si="95"/>
        <v/>
      </c>
      <c r="G1203" s="15" t="str">
        <f t="shared" ca="1" si="96"/>
        <v/>
      </c>
      <c r="H1203" s="15" t="str">
        <f t="shared" ca="1" si="97"/>
        <v/>
      </c>
      <c r="I1203" s="16" t="str">
        <f t="shared" ca="1" si="98"/>
        <v/>
      </c>
    </row>
    <row r="1204" spans="1:9" x14ac:dyDescent="0.3">
      <c r="A1204" s="3"/>
      <c r="B1204" s="9"/>
      <c r="C1204" s="9"/>
      <c r="E1204" s="14" t="str">
        <f t="shared" si="94"/>
        <v/>
      </c>
      <c r="F1204" s="15" t="str">
        <f t="shared" ca="1" si="95"/>
        <v/>
      </c>
      <c r="G1204" s="15" t="str">
        <f t="shared" ca="1" si="96"/>
        <v/>
      </c>
      <c r="H1204" s="15" t="str">
        <f t="shared" ca="1" si="97"/>
        <v/>
      </c>
      <c r="I1204" s="16" t="str">
        <f t="shared" ca="1" si="98"/>
        <v/>
      </c>
    </row>
    <row r="1205" spans="1:9" x14ac:dyDescent="0.3">
      <c r="A1205" s="3"/>
      <c r="B1205" s="9"/>
      <c r="C1205" s="9"/>
      <c r="E1205" s="14" t="str">
        <f t="shared" si="94"/>
        <v/>
      </c>
      <c r="F1205" s="15" t="str">
        <f t="shared" ca="1" si="95"/>
        <v/>
      </c>
      <c r="G1205" s="15" t="str">
        <f t="shared" ca="1" si="96"/>
        <v/>
      </c>
      <c r="H1205" s="15" t="str">
        <f t="shared" ca="1" si="97"/>
        <v/>
      </c>
      <c r="I1205" s="16" t="str">
        <f t="shared" ca="1" si="98"/>
        <v/>
      </c>
    </row>
    <row r="1206" spans="1:9" x14ac:dyDescent="0.3">
      <c r="A1206" s="3"/>
      <c r="B1206" s="9"/>
      <c r="C1206" s="9"/>
      <c r="E1206" s="14" t="str">
        <f t="shared" si="94"/>
        <v/>
      </c>
      <c r="F1206" s="15" t="str">
        <f t="shared" ca="1" si="95"/>
        <v/>
      </c>
      <c r="G1206" s="15" t="str">
        <f t="shared" ca="1" si="96"/>
        <v/>
      </c>
      <c r="H1206" s="15" t="str">
        <f t="shared" ca="1" si="97"/>
        <v/>
      </c>
      <c r="I1206" s="16" t="str">
        <f t="shared" ca="1" si="98"/>
        <v/>
      </c>
    </row>
    <row r="1207" spans="1:9" x14ac:dyDescent="0.3">
      <c r="A1207" s="3"/>
      <c r="B1207" s="9"/>
      <c r="C1207" s="9"/>
      <c r="E1207" s="14" t="str">
        <f t="shared" si="94"/>
        <v/>
      </c>
      <c r="F1207" s="15" t="str">
        <f t="shared" ca="1" si="95"/>
        <v/>
      </c>
      <c r="G1207" s="15" t="str">
        <f t="shared" ca="1" si="96"/>
        <v/>
      </c>
      <c r="H1207" s="15" t="str">
        <f t="shared" ca="1" si="97"/>
        <v/>
      </c>
      <c r="I1207" s="16" t="str">
        <f t="shared" ca="1" si="98"/>
        <v/>
      </c>
    </row>
    <row r="1208" spans="1:9" x14ac:dyDescent="0.3">
      <c r="A1208" s="3"/>
      <c r="B1208" s="9"/>
      <c r="C1208" s="9"/>
      <c r="E1208" s="14" t="str">
        <f t="shared" si="94"/>
        <v/>
      </c>
      <c r="F1208" s="15" t="str">
        <f t="shared" ca="1" si="95"/>
        <v/>
      </c>
      <c r="G1208" s="15" t="str">
        <f t="shared" ca="1" si="96"/>
        <v/>
      </c>
      <c r="H1208" s="15" t="str">
        <f t="shared" ca="1" si="97"/>
        <v/>
      </c>
      <c r="I1208" s="16" t="str">
        <f t="shared" ca="1" si="98"/>
        <v/>
      </c>
    </row>
    <row r="1209" spans="1:9" x14ac:dyDescent="0.3">
      <c r="A1209" s="3"/>
      <c r="B1209" s="9"/>
      <c r="C1209" s="9"/>
      <c r="E1209" s="14" t="str">
        <f t="shared" si="94"/>
        <v/>
      </c>
      <c r="F1209" s="15" t="str">
        <f t="shared" ca="1" si="95"/>
        <v/>
      </c>
      <c r="G1209" s="15" t="str">
        <f t="shared" ca="1" si="96"/>
        <v/>
      </c>
      <c r="H1209" s="15" t="str">
        <f t="shared" ca="1" si="97"/>
        <v/>
      </c>
      <c r="I1209" s="16" t="str">
        <f t="shared" ca="1" si="98"/>
        <v/>
      </c>
    </row>
    <row r="1210" spans="1:9" x14ac:dyDescent="0.3">
      <c r="A1210" s="3"/>
      <c r="B1210" s="9"/>
      <c r="C1210" s="9"/>
      <c r="E1210" s="14" t="str">
        <f t="shared" si="94"/>
        <v/>
      </c>
      <c r="F1210" s="15" t="str">
        <f t="shared" ca="1" si="95"/>
        <v/>
      </c>
      <c r="G1210" s="15" t="str">
        <f t="shared" ca="1" si="96"/>
        <v/>
      </c>
      <c r="H1210" s="15" t="str">
        <f t="shared" ca="1" si="97"/>
        <v/>
      </c>
      <c r="I1210" s="16" t="str">
        <f t="shared" ca="1" si="98"/>
        <v/>
      </c>
    </row>
    <row r="1211" spans="1:9" x14ac:dyDescent="0.3">
      <c r="A1211" s="3"/>
      <c r="B1211" s="9"/>
      <c r="C1211" s="9"/>
      <c r="E1211" s="14" t="str">
        <f t="shared" si="94"/>
        <v/>
      </c>
      <c r="F1211" s="15" t="str">
        <f t="shared" ca="1" si="95"/>
        <v/>
      </c>
      <c r="G1211" s="15" t="str">
        <f t="shared" ca="1" si="96"/>
        <v/>
      </c>
      <c r="H1211" s="15" t="str">
        <f t="shared" ca="1" si="97"/>
        <v/>
      </c>
      <c r="I1211" s="16" t="str">
        <f t="shared" ca="1" si="98"/>
        <v/>
      </c>
    </row>
    <row r="1212" spans="1:9" x14ac:dyDescent="0.3">
      <c r="A1212" s="3"/>
      <c r="B1212" s="9"/>
      <c r="C1212" s="9"/>
      <c r="E1212" s="14" t="str">
        <f t="shared" si="94"/>
        <v/>
      </c>
      <c r="F1212" s="15" t="str">
        <f t="shared" ca="1" si="95"/>
        <v/>
      </c>
      <c r="G1212" s="15" t="str">
        <f t="shared" ca="1" si="96"/>
        <v/>
      </c>
      <c r="H1212" s="15" t="str">
        <f t="shared" ca="1" si="97"/>
        <v/>
      </c>
      <c r="I1212" s="16" t="str">
        <f t="shared" ca="1" si="98"/>
        <v/>
      </c>
    </row>
    <row r="1213" spans="1:9" x14ac:dyDescent="0.3">
      <c r="A1213" s="3"/>
      <c r="B1213" s="9"/>
      <c r="C1213" s="9"/>
      <c r="E1213" s="14" t="str">
        <f t="shared" si="94"/>
        <v/>
      </c>
      <c r="F1213" s="15" t="str">
        <f t="shared" ca="1" si="95"/>
        <v/>
      </c>
      <c r="G1213" s="15" t="str">
        <f t="shared" ca="1" si="96"/>
        <v/>
      </c>
      <c r="H1213" s="15" t="str">
        <f t="shared" ca="1" si="97"/>
        <v/>
      </c>
      <c r="I1213" s="16" t="str">
        <f t="shared" ca="1" si="98"/>
        <v/>
      </c>
    </row>
    <row r="1214" spans="1:9" x14ac:dyDescent="0.3">
      <c r="A1214" s="3"/>
      <c r="B1214" s="9"/>
      <c r="C1214" s="9"/>
      <c r="E1214" s="14" t="str">
        <f t="shared" si="94"/>
        <v/>
      </c>
      <c r="F1214" s="15" t="str">
        <f t="shared" ca="1" si="95"/>
        <v/>
      </c>
      <c r="G1214" s="15" t="str">
        <f t="shared" ca="1" si="96"/>
        <v/>
      </c>
      <c r="H1214" s="15" t="str">
        <f t="shared" ca="1" si="97"/>
        <v/>
      </c>
      <c r="I1214" s="16" t="str">
        <f t="shared" ca="1" si="98"/>
        <v/>
      </c>
    </row>
    <row r="1215" spans="1:9" x14ac:dyDescent="0.3">
      <c r="A1215" s="3"/>
      <c r="B1215" s="9"/>
      <c r="C1215" s="9"/>
      <c r="E1215" s="14" t="str">
        <f t="shared" si="94"/>
        <v/>
      </c>
      <c r="F1215" s="15" t="str">
        <f t="shared" ca="1" si="95"/>
        <v/>
      </c>
      <c r="G1215" s="15" t="str">
        <f t="shared" ca="1" si="96"/>
        <v/>
      </c>
      <c r="H1215" s="15" t="str">
        <f t="shared" ca="1" si="97"/>
        <v/>
      </c>
      <c r="I1215" s="16" t="str">
        <f t="shared" ca="1" si="98"/>
        <v/>
      </c>
    </row>
    <row r="1216" spans="1:9" x14ac:dyDescent="0.3">
      <c r="A1216" s="3"/>
      <c r="B1216" s="9"/>
      <c r="C1216" s="9"/>
      <c r="E1216" s="14" t="str">
        <f t="shared" si="94"/>
        <v/>
      </c>
      <c r="F1216" s="15" t="str">
        <f t="shared" ca="1" si="95"/>
        <v/>
      </c>
      <c r="G1216" s="15" t="str">
        <f t="shared" ca="1" si="96"/>
        <v/>
      </c>
      <c r="H1216" s="15" t="str">
        <f t="shared" ca="1" si="97"/>
        <v/>
      </c>
      <c r="I1216" s="16" t="str">
        <f t="shared" ca="1" si="98"/>
        <v/>
      </c>
    </row>
    <row r="1217" spans="1:9" x14ac:dyDescent="0.3">
      <c r="A1217" s="3"/>
      <c r="B1217" s="9"/>
      <c r="C1217" s="9"/>
      <c r="E1217" s="14" t="str">
        <f t="shared" si="94"/>
        <v/>
      </c>
      <c r="F1217" s="15" t="str">
        <f t="shared" ca="1" si="95"/>
        <v/>
      </c>
      <c r="G1217" s="15" t="str">
        <f t="shared" ca="1" si="96"/>
        <v/>
      </c>
      <c r="H1217" s="15" t="str">
        <f t="shared" ca="1" si="97"/>
        <v/>
      </c>
      <c r="I1217" s="16" t="str">
        <f t="shared" ca="1" si="98"/>
        <v/>
      </c>
    </row>
    <row r="1218" spans="1:9" x14ac:dyDescent="0.3">
      <c r="A1218" s="3"/>
      <c r="B1218" s="9"/>
      <c r="C1218" s="9"/>
      <c r="E1218" s="14" t="str">
        <f t="shared" si="94"/>
        <v/>
      </c>
      <c r="F1218" s="15" t="str">
        <f t="shared" ca="1" si="95"/>
        <v/>
      </c>
      <c r="G1218" s="15" t="str">
        <f t="shared" ca="1" si="96"/>
        <v/>
      </c>
      <c r="H1218" s="15" t="str">
        <f t="shared" ca="1" si="97"/>
        <v/>
      </c>
      <c r="I1218" s="16" t="str">
        <f t="shared" ca="1" si="98"/>
        <v/>
      </c>
    </row>
    <row r="1219" spans="1:9" x14ac:dyDescent="0.3">
      <c r="A1219" s="3"/>
      <c r="B1219" s="9"/>
      <c r="C1219" s="9"/>
      <c r="E1219" s="14" t="str">
        <f t="shared" ref="E1219:E1282" si="99">IF(ISNUMBER(B1219),B1219/C1219,"")</f>
        <v/>
      </c>
      <c r="F1219" s="15" t="str">
        <f t="shared" ca="1" si="95"/>
        <v/>
      </c>
      <c r="G1219" s="15" t="str">
        <f t="shared" ca="1" si="96"/>
        <v/>
      </c>
      <c r="H1219" s="15" t="str">
        <f t="shared" ca="1" si="97"/>
        <v/>
      </c>
      <c r="I1219" s="16" t="str">
        <f t="shared" ca="1" si="98"/>
        <v/>
      </c>
    </row>
    <row r="1220" spans="1:9" x14ac:dyDescent="0.3">
      <c r="A1220" s="3"/>
      <c r="B1220" s="9"/>
      <c r="C1220" s="9"/>
      <c r="E1220" s="14" t="str">
        <f t="shared" si="99"/>
        <v/>
      </c>
      <c r="F1220" s="15" t="str">
        <f t="shared" ca="1" si="95"/>
        <v/>
      </c>
      <c r="G1220" s="15" t="str">
        <f t="shared" ca="1" si="96"/>
        <v/>
      </c>
      <c r="H1220" s="15" t="str">
        <f t="shared" ca="1" si="97"/>
        <v/>
      </c>
      <c r="I1220" s="16" t="str">
        <f t="shared" ca="1" si="98"/>
        <v/>
      </c>
    </row>
    <row r="1221" spans="1:9" x14ac:dyDescent="0.3">
      <c r="A1221" s="3"/>
      <c r="B1221" s="9"/>
      <c r="C1221" s="9"/>
      <c r="E1221" s="14" t="str">
        <f t="shared" si="99"/>
        <v/>
      </c>
      <c r="F1221" s="15" t="str">
        <f t="shared" ca="1" si="95"/>
        <v/>
      </c>
      <c r="G1221" s="15" t="str">
        <f t="shared" ca="1" si="96"/>
        <v/>
      </c>
      <c r="H1221" s="15" t="str">
        <f t="shared" ca="1" si="97"/>
        <v/>
      </c>
      <c r="I1221" s="16" t="str">
        <f t="shared" ca="1" si="98"/>
        <v/>
      </c>
    </row>
    <row r="1222" spans="1:9" x14ac:dyDescent="0.3">
      <c r="A1222" s="3"/>
      <c r="B1222" s="9"/>
      <c r="C1222" s="9"/>
      <c r="E1222" s="14" t="str">
        <f t="shared" si="99"/>
        <v/>
      </c>
      <c r="F1222" s="15" t="str">
        <f t="shared" ca="1" si="95"/>
        <v/>
      </c>
      <c r="G1222" s="15" t="str">
        <f t="shared" ca="1" si="96"/>
        <v/>
      </c>
      <c r="H1222" s="15" t="str">
        <f t="shared" ca="1" si="97"/>
        <v/>
      </c>
      <c r="I1222" s="16" t="str">
        <f t="shared" ca="1" si="98"/>
        <v/>
      </c>
    </row>
    <row r="1223" spans="1:9" x14ac:dyDescent="0.3">
      <c r="A1223" s="3"/>
      <c r="B1223" s="9"/>
      <c r="C1223" s="9"/>
      <c r="E1223" s="14" t="str">
        <f t="shared" si="99"/>
        <v/>
      </c>
      <c r="F1223" s="15" t="str">
        <f t="shared" ca="1" si="95"/>
        <v/>
      </c>
      <c r="G1223" s="15" t="str">
        <f t="shared" ca="1" si="96"/>
        <v/>
      </c>
      <c r="H1223" s="15" t="str">
        <f t="shared" ca="1" si="97"/>
        <v/>
      </c>
      <c r="I1223" s="16" t="str">
        <f t="shared" ca="1" si="98"/>
        <v/>
      </c>
    </row>
    <row r="1224" spans="1:9" x14ac:dyDescent="0.3">
      <c r="A1224" s="3"/>
      <c r="B1224" s="9"/>
      <c r="C1224" s="9"/>
      <c r="E1224" s="14" t="str">
        <f t="shared" si="99"/>
        <v/>
      </c>
      <c r="F1224" s="15" t="str">
        <f t="shared" ca="1" si="95"/>
        <v/>
      </c>
      <c r="G1224" s="15" t="str">
        <f t="shared" ca="1" si="96"/>
        <v/>
      </c>
      <c r="H1224" s="15" t="str">
        <f t="shared" ca="1" si="97"/>
        <v/>
      </c>
      <c r="I1224" s="16" t="str">
        <f t="shared" ca="1" si="98"/>
        <v/>
      </c>
    </row>
    <row r="1225" spans="1:9" x14ac:dyDescent="0.3">
      <c r="A1225" s="3"/>
      <c r="B1225" s="9"/>
      <c r="C1225" s="9"/>
      <c r="E1225" s="14" t="str">
        <f t="shared" si="99"/>
        <v/>
      </c>
      <c r="F1225" s="15" t="str">
        <f t="shared" ca="1" si="95"/>
        <v/>
      </c>
      <c r="G1225" s="15" t="str">
        <f t="shared" ca="1" si="96"/>
        <v/>
      </c>
      <c r="H1225" s="15" t="str">
        <f t="shared" ca="1" si="97"/>
        <v/>
      </c>
      <c r="I1225" s="16" t="str">
        <f t="shared" ca="1" si="98"/>
        <v/>
      </c>
    </row>
    <row r="1226" spans="1:9" x14ac:dyDescent="0.3">
      <c r="A1226" s="3"/>
      <c r="B1226" s="9"/>
      <c r="C1226" s="9"/>
      <c r="E1226" s="14" t="str">
        <f t="shared" si="99"/>
        <v/>
      </c>
      <c r="F1226" s="15" t="str">
        <f t="shared" ca="1" si="95"/>
        <v/>
      </c>
      <c r="G1226" s="15" t="str">
        <f t="shared" ca="1" si="96"/>
        <v/>
      </c>
      <c r="H1226" s="15" t="str">
        <f t="shared" ca="1" si="97"/>
        <v/>
      </c>
      <c r="I1226" s="16" t="str">
        <f t="shared" ca="1" si="98"/>
        <v/>
      </c>
    </row>
    <row r="1227" spans="1:9" x14ac:dyDescent="0.3">
      <c r="A1227" s="3"/>
      <c r="B1227" s="9"/>
      <c r="C1227" s="9"/>
      <c r="E1227" s="14" t="str">
        <f t="shared" si="99"/>
        <v/>
      </c>
      <c r="F1227" s="15" t="str">
        <f t="shared" ca="1" si="95"/>
        <v/>
      </c>
      <c r="G1227" s="15" t="str">
        <f t="shared" ca="1" si="96"/>
        <v/>
      </c>
      <c r="H1227" s="15" t="str">
        <f t="shared" ca="1" si="97"/>
        <v/>
      </c>
      <c r="I1227" s="16" t="str">
        <f t="shared" ca="1" si="98"/>
        <v/>
      </c>
    </row>
    <row r="1228" spans="1:9" x14ac:dyDescent="0.3">
      <c r="A1228" s="3"/>
      <c r="B1228" s="9"/>
      <c r="C1228" s="9"/>
      <c r="E1228" s="14" t="str">
        <f t="shared" si="99"/>
        <v/>
      </c>
      <c r="F1228" s="15" t="str">
        <f t="shared" ca="1" si="95"/>
        <v/>
      </c>
      <c r="G1228" s="15" t="str">
        <f t="shared" ca="1" si="96"/>
        <v/>
      </c>
      <c r="H1228" s="15" t="str">
        <f t="shared" ca="1" si="97"/>
        <v/>
      </c>
      <c r="I1228" s="16" t="str">
        <f t="shared" ca="1" si="98"/>
        <v/>
      </c>
    </row>
    <row r="1229" spans="1:9" x14ac:dyDescent="0.3">
      <c r="A1229" s="3"/>
      <c r="B1229" s="9"/>
      <c r="C1229" s="9"/>
      <c r="E1229" s="14" t="str">
        <f t="shared" si="99"/>
        <v/>
      </c>
      <c r="F1229" s="15" t="str">
        <f t="shared" ca="1" si="95"/>
        <v/>
      </c>
      <c r="G1229" s="15" t="str">
        <f t="shared" ca="1" si="96"/>
        <v/>
      </c>
      <c r="H1229" s="15" t="str">
        <f t="shared" ca="1" si="97"/>
        <v/>
      </c>
      <c r="I1229" s="16" t="str">
        <f t="shared" ca="1" si="98"/>
        <v/>
      </c>
    </row>
    <row r="1230" spans="1:9" x14ac:dyDescent="0.3">
      <c r="A1230" s="3"/>
      <c r="B1230" s="9"/>
      <c r="C1230" s="9"/>
      <c r="E1230" s="14" t="str">
        <f t="shared" si="99"/>
        <v/>
      </c>
      <c r="F1230" s="15" t="str">
        <f t="shared" ca="1" si="95"/>
        <v/>
      </c>
      <c r="G1230" s="15" t="str">
        <f t="shared" ca="1" si="96"/>
        <v/>
      </c>
      <c r="H1230" s="15" t="str">
        <f t="shared" ca="1" si="97"/>
        <v/>
      </c>
      <c r="I1230" s="16" t="str">
        <f t="shared" ca="1" si="98"/>
        <v/>
      </c>
    </row>
    <row r="1231" spans="1:9" x14ac:dyDescent="0.3">
      <c r="A1231" s="3"/>
      <c r="B1231" s="9"/>
      <c r="C1231" s="9"/>
      <c r="E1231" s="14" t="str">
        <f t="shared" si="99"/>
        <v/>
      </c>
      <c r="F1231" s="15" t="str">
        <f t="shared" ca="1" si="95"/>
        <v/>
      </c>
      <c r="G1231" s="15" t="str">
        <f t="shared" ca="1" si="96"/>
        <v/>
      </c>
      <c r="H1231" s="15" t="str">
        <f t="shared" ca="1" si="97"/>
        <v/>
      </c>
      <c r="I1231" s="16" t="str">
        <f t="shared" ca="1" si="98"/>
        <v/>
      </c>
    </row>
    <row r="1232" spans="1:9" x14ac:dyDescent="0.3">
      <c r="A1232" s="3"/>
      <c r="B1232" s="9"/>
      <c r="C1232" s="9"/>
      <c r="E1232" s="14" t="str">
        <f t="shared" si="99"/>
        <v/>
      </c>
      <c r="F1232" s="15" t="str">
        <f t="shared" ca="1" si="95"/>
        <v/>
      </c>
      <c r="G1232" s="15" t="str">
        <f t="shared" ca="1" si="96"/>
        <v/>
      </c>
      <c r="H1232" s="15" t="str">
        <f t="shared" ca="1" si="97"/>
        <v/>
      </c>
      <c r="I1232" s="16" t="str">
        <f t="shared" ca="1" si="98"/>
        <v/>
      </c>
    </row>
    <row r="1233" spans="1:9" x14ac:dyDescent="0.3">
      <c r="A1233" s="3"/>
      <c r="B1233" s="9"/>
      <c r="C1233" s="9"/>
      <c r="E1233" s="14" t="str">
        <f t="shared" si="99"/>
        <v/>
      </c>
      <c r="F1233" s="15" t="str">
        <f t="shared" ref="F1233:F1296" ca="1" si="100">IF(ISNUMBER(E1233),IF(ROW(E1233)&gt;$K$1,AVERAGE(OFFSET(E1233,0,0,-$K$1)),""),"")</f>
        <v/>
      </c>
      <c r="G1233" s="15" t="str">
        <f t="shared" ref="G1233:G1296" ca="1" si="101">IF(ISNUMBER(I1233),F1233+I1233*$M$1,"")</f>
        <v/>
      </c>
      <c r="H1233" s="15" t="str">
        <f t="shared" ref="H1233:H1296" ca="1" si="102">IF(ISNUMBER(I1233),F1233-I1233*$M$1,"")</f>
        <v/>
      </c>
      <c r="I1233" s="16" t="str">
        <f t="shared" ref="I1233:I1296" ca="1" si="103">IF(ISNUMBER(E1233),IF(ROW(E1233)&gt;$K$1,_xlfn.STDEV.P(OFFSET(E1233,0,0,-$K$1)),""),"")</f>
        <v/>
      </c>
    </row>
    <row r="1234" spans="1:9" x14ac:dyDescent="0.3">
      <c r="A1234" s="3"/>
      <c r="B1234" s="9"/>
      <c r="C1234" s="9"/>
      <c r="E1234" s="14" t="str">
        <f t="shared" si="99"/>
        <v/>
      </c>
      <c r="F1234" s="15" t="str">
        <f t="shared" ca="1" si="100"/>
        <v/>
      </c>
      <c r="G1234" s="15" t="str">
        <f t="shared" ca="1" si="101"/>
        <v/>
      </c>
      <c r="H1234" s="15" t="str">
        <f t="shared" ca="1" si="102"/>
        <v/>
      </c>
      <c r="I1234" s="16" t="str">
        <f t="shared" ca="1" si="103"/>
        <v/>
      </c>
    </row>
    <row r="1235" spans="1:9" x14ac:dyDescent="0.3">
      <c r="A1235" s="3"/>
      <c r="B1235" s="9"/>
      <c r="C1235" s="9"/>
      <c r="E1235" s="14" t="str">
        <f t="shared" si="99"/>
        <v/>
      </c>
      <c r="F1235" s="15" t="str">
        <f t="shared" ca="1" si="100"/>
        <v/>
      </c>
      <c r="G1235" s="15" t="str">
        <f t="shared" ca="1" si="101"/>
        <v/>
      </c>
      <c r="H1235" s="15" t="str">
        <f t="shared" ca="1" si="102"/>
        <v/>
      </c>
      <c r="I1235" s="16" t="str">
        <f t="shared" ca="1" si="103"/>
        <v/>
      </c>
    </row>
    <row r="1236" spans="1:9" x14ac:dyDescent="0.3">
      <c r="A1236" s="3"/>
      <c r="B1236" s="9"/>
      <c r="C1236" s="9"/>
      <c r="E1236" s="14" t="str">
        <f t="shared" si="99"/>
        <v/>
      </c>
      <c r="F1236" s="15" t="str">
        <f t="shared" ca="1" si="100"/>
        <v/>
      </c>
      <c r="G1236" s="15" t="str">
        <f t="shared" ca="1" si="101"/>
        <v/>
      </c>
      <c r="H1236" s="15" t="str">
        <f t="shared" ca="1" si="102"/>
        <v/>
      </c>
      <c r="I1236" s="16" t="str">
        <f t="shared" ca="1" si="103"/>
        <v/>
      </c>
    </row>
    <row r="1237" spans="1:9" x14ac:dyDescent="0.3">
      <c r="A1237" s="3"/>
      <c r="B1237" s="9"/>
      <c r="C1237" s="9"/>
      <c r="E1237" s="14" t="str">
        <f t="shared" si="99"/>
        <v/>
      </c>
      <c r="F1237" s="15" t="str">
        <f t="shared" ca="1" si="100"/>
        <v/>
      </c>
      <c r="G1237" s="15" t="str">
        <f t="shared" ca="1" si="101"/>
        <v/>
      </c>
      <c r="H1237" s="15" t="str">
        <f t="shared" ca="1" si="102"/>
        <v/>
      </c>
      <c r="I1237" s="16" t="str">
        <f t="shared" ca="1" si="103"/>
        <v/>
      </c>
    </row>
    <row r="1238" spans="1:9" x14ac:dyDescent="0.3">
      <c r="A1238" s="3"/>
      <c r="B1238" s="9"/>
      <c r="C1238" s="9"/>
      <c r="E1238" s="14" t="str">
        <f t="shared" si="99"/>
        <v/>
      </c>
      <c r="F1238" s="15" t="str">
        <f t="shared" ca="1" si="100"/>
        <v/>
      </c>
      <c r="G1238" s="15" t="str">
        <f t="shared" ca="1" si="101"/>
        <v/>
      </c>
      <c r="H1238" s="15" t="str">
        <f t="shared" ca="1" si="102"/>
        <v/>
      </c>
      <c r="I1238" s="16" t="str">
        <f t="shared" ca="1" si="103"/>
        <v/>
      </c>
    </row>
    <row r="1239" spans="1:9" x14ac:dyDescent="0.3">
      <c r="A1239" s="3"/>
      <c r="B1239" s="9"/>
      <c r="C1239" s="9"/>
      <c r="E1239" s="14" t="str">
        <f t="shared" si="99"/>
        <v/>
      </c>
      <c r="F1239" s="15" t="str">
        <f t="shared" ca="1" si="100"/>
        <v/>
      </c>
      <c r="G1239" s="15" t="str">
        <f t="shared" ca="1" si="101"/>
        <v/>
      </c>
      <c r="H1239" s="15" t="str">
        <f t="shared" ca="1" si="102"/>
        <v/>
      </c>
      <c r="I1239" s="16" t="str">
        <f t="shared" ca="1" si="103"/>
        <v/>
      </c>
    </row>
    <row r="1240" spans="1:9" x14ac:dyDescent="0.3">
      <c r="A1240" s="3"/>
      <c r="B1240" s="9"/>
      <c r="C1240" s="9"/>
      <c r="E1240" s="14" t="str">
        <f t="shared" si="99"/>
        <v/>
      </c>
      <c r="F1240" s="15" t="str">
        <f t="shared" ca="1" si="100"/>
        <v/>
      </c>
      <c r="G1240" s="15" t="str">
        <f t="shared" ca="1" si="101"/>
        <v/>
      </c>
      <c r="H1240" s="15" t="str">
        <f t="shared" ca="1" si="102"/>
        <v/>
      </c>
      <c r="I1240" s="16" t="str">
        <f t="shared" ca="1" si="103"/>
        <v/>
      </c>
    </row>
    <row r="1241" spans="1:9" x14ac:dyDescent="0.3">
      <c r="A1241" s="3"/>
      <c r="B1241" s="9"/>
      <c r="C1241" s="9"/>
      <c r="E1241" s="14" t="str">
        <f t="shared" si="99"/>
        <v/>
      </c>
      <c r="F1241" s="15" t="str">
        <f t="shared" ca="1" si="100"/>
        <v/>
      </c>
      <c r="G1241" s="15" t="str">
        <f t="shared" ca="1" si="101"/>
        <v/>
      </c>
      <c r="H1241" s="15" t="str">
        <f t="shared" ca="1" si="102"/>
        <v/>
      </c>
      <c r="I1241" s="16" t="str">
        <f t="shared" ca="1" si="103"/>
        <v/>
      </c>
    </row>
    <row r="1242" spans="1:9" x14ac:dyDescent="0.3">
      <c r="A1242" s="3"/>
      <c r="B1242" s="9"/>
      <c r="C1242" s="9"/>
      <c r="E1242" s="14" t="str">
        <f t="shared" si="99"/>
        <v/>
      </c>
      <c r="F1242" s="15" t="str">
        <f t="shared" ca="1" si="100"/>
        <v/>
      </c>
      <c r="G1242" s="15" t="str">
        <f t="shared" ca="1" si="101"/>
        <v/>
      </c>
      <c r="H1242" s="15" t="str">
        <f t="shared" ca="1" si="102"/>
        <v/>
      </c>
      <c r="I1242" s="16" t="str">
        <f t="shared" ca="1" si="103"/>
        <v/>
      </c>
    </row>
    <row r="1243" spans="1:9" x14ac:dyDescent="0.3">
      <c r="A1243" s="3"/>
      <c r="B1243" s="9"/>
      <c r="C1243" s="9"/>
      <c r="E1243" s="14" t="str">
        <f t="shared" si="99"/>
        <v/>
      </c>
      <c r="F1243" s="15" t="str">
        <f t="shared" ca="1" si="100"/>
        <v/>
      </c>
      <c r="G1243" s="15" t="str">
        <f t="shared" ca="1" si="101"/>
        <v/>
      </c>
      <c r="H1243" s="15" t="str">
        <f t="shared" ca="1" si="102"/>
        <v/>
      </c>
      <c r="I1243" s="16" t="str">
        <f t="shared" ca="1" si="103"/>
        <v/>
      </c>
    </row>
    <row r="1244" spans="1:9" x14ac:dyDescent="0.3">
      <c r="A1244" s="3"/>
      <c r="B1244" s="9"/>
      <c r="C1244" s="9"/>
      <c r="E1244" s="14" t="str">
        <f t="shared" si="99"/>
        <v/>
      </c>
      <c r="F1244" s="15" t="str">
        <f t="shared" ca="1" si="100"/>
        <v/>
      </c>
      <c r="G1244" s="15" t="str">
        <f t="shared" ca="1" si="101"/>
        <v/>
      </c>
      <c r="H1244" s="15" t="str">
        <f t="shared" ca="1" si="102"/>
        <v/>
      </c>
      <c r="I1244" s="16" t="str">
        <f t="shared" ca="1" si="103"/>
        <v/>
      </c>
    </row>
    <row r="1245" spans="1:9" x14ac:dyDescent="0.3">
      <c r="A1245" s="3"/>
      <c r="B1245" s="9"/>
      <c r="C1245" s="9"/>
      <c r="E1245" s="14" t="str">
        <f t="shared" si="99"/>
        <v/>
      </c>
      <c r="F1245" s="15" t="str">
        <f t="shared" ca="1" si="100"/>
        <v/>
      </c>
      <c r="G1245" s="15" t="str">
        <f t="shared" ca="1" si="101"/>
        <v/>
      </c>
      <c r="H1245" s="15" t="str">
        <f t="shared" ca="1" si="102"/>
        <v/>
      </c>
      <c r="I1245" s="16" t="str">
        <f t="shared" ca="1" si="103"/>
        <v/>
      </c>
    </row>
    <row r="1246" spans="1:9" x14ac:dyDescent="0.3">
      <c r="A1246" s="3"/>
      <c r="B1246" s="9"/>
      <c r="C1246" s="9"/>
      <c r="E1246" s="14" t="str">
        <f t="shared" si="99"/>
        <v/>
      </c>
      <c r="F1246" s="15" t="str">
        <f t="shared" ca="1" si="100"/>
        <v/>
      </c>
      <c r="G1246" s="15" t="str">
        <f t="shared" ca="1" si="101"/>
        <v/>
      </c>
      <c r="H1246" s="15" t="str">
        <f t="shared" ca="1" si="102"/>
        <v/>
      </c>
      <c r="I1246" s="16" t="str">
        <f t="shared" ca="1" si="103"/>
        <v/>
      </c>
    </row>
    <row r="1247" spans="1:9" x14ac:dyDescent="0.3">
      <c r="A1247" s="3"/>
      <c r="B1247" s="9"/>
      <c r="C1247" s="9"/>
      <c r="E1247" s="14" t="str">
        <f t="shared" si="99"/>
        <v/>
      </c>
      <c r="F1247" s="15" t="str">
        <f t="shared" ca="1" si="100"/>
        <v/>
      </c>
      <c r="G1247" s="15" t="str">
        <f t="shared" ca="1" si="101"/>
        <v/>
      </c>
      <c r="H1247" s="15" t="str">
        <f t="shared" ca="1" si="102"/>
        <v/>
      </c>
      <c r="I1247" s="16" t="str">
        <f t="shared" ca="1" si="103"/>
        <v/>
      </c>
    </row>
    <row r="1248" spans="1:9" x14ac:dyDescent="0.3">
      <c r="A1248" s="3"/>
      <c r="B1248" s="9"/>
      <c r="C1248" s="9"/>
      <c r="E1248" s="14" t="str">
        <f t="shared" si="99"/>
        <v/>
      </c>
      <c r="F1248" s="15" t="str">
        <f t="shared" ca="1" si="100"/>
        <v/>
      </c>
      <c r="G1248" s="15" t="str">
        <f t="shared" ca="1" si="101"/>
        <v/>
      </c>
      <c r="H1248" s="15" t="str">
        <f t="shared" ca="1" si="102"/>
        <v/>
      </c>
      <c r="I1248" s="16" t="str">
        <f t="shared" ca="1" si="103"/>
        <v/>
      </c>
    </row>
    <row r="1249" spans="1:9" x14ac:dyDescent="0.3">
      <c r="A1249" s="3"/>
      <c r="B1249" s="9"/>
      <c r="C1249" s="9"/>
      <c r="E1249" s="14" t="str">
        <f t="shared" si="99"/>
        <v/>
      </c>
      <c r="F1249" s="15" t="str">
        <f t="shared" ca="1" si="100"/>
        <v/>
      </c>
      <c r="G1249" s="15" t="str">
        <f t="shared" ca="1" si="101"/>
        <v/>
      </c>
      <c r="H1249" s="15" t="str">
        <f t="shared" ca="1" si="102"/>
        <v/>
      </c>
      <c r="I1249" s="16" t="str">
        <f t="shared" ca="1" si="103"/>
        <v/>
      </c>
    </row>
    <row r="1250" spans="1:9" x14ac:dyDescent="0.3">
      <c r="A1250" s="3"/>
      <c r="B1250" s="9"/>
      <c r="C1250" s="9"/>
      <c r="E1250" s="14" t="str">
        <f t="shared" si="99"/>
        <v/>
      </c>
      <c r="F1250" s="15" t="str">
        <f t="shared" ca="1" si="100"/>
        <v/>
      </c>
      <c r="G1250" s="15" t="str">
        <f t="shared" ca="1" si="101"/>
        <v/>
      </c>
      <c r="H1250" s="15" t="str">
        <f t="shared" ca="1" si="102"/>
        <v/>
      </c>
      <c r="I1250" s="16" t="str">
        <f t="shared" ca="1" si="103"/>
        <v/>
      </c>
    </row>
    <row r="1251" spans="1:9" x14ac:dyDescent="0.3">
      <c r="A1251" s="3"/>
      <c r="B1251" s="9"/>
      <c r="C1251" s="9"/>
      <c r="E1251" s="14" t="str">
        <f t="shared" si="99"/>
        <v/>
      </c>
      <c r="F1251" s="15" t="str">
        <f t="shared" ca="1" si="100"/>
        <v/>
      </c>
      <c r="G1251" s="15" t="str">
        <f t="shared" ca="1" si="101"/>
        <v/>
      </c>
      <c r="H1251" s="15" t="str">
        <f t="shared" ca="1" si="102"/>
        <v/>
      </c>
      <c r="I1251" s="16" t="str">
        <f t="shared" ca="1" si="103"/>
        <v/>
      </c>
    </row>
    <row r="1252" spans="1:9" x14ac:dyDescent="0.3">
      <c r="A1252" s="3"/>
      <c r="B1252" s="9"/>
      <c r="C1252" s="9"/>
      <c r="E1252" s="14" t="str">
        <f t="shared" si="99"/>
        <v/>
      </c>
      <c r="F1252" s="15" t="str">
        <f t="shared" ca="1" si="100"/>
        <v/>
      </c>
      <c r="G1252" s="15" t="str">
        <f t="shared" ca="1" si="101"/>
        <v/>
      </c>
      <c r="H1252" s="15" t="str">
        <f t="shared" ca="1" si="102"/>
        <v/>
      </c>
      <c r="I1252" s="16" t="str">
        <f t="shared" ca="1" si="103"/>
        <v/>
      </c>
    </row>
    <row r="1253" spans="1:9" x14ac:dyDescent="0.3">
      <c r="A1253" s="3"/>
      <c r="B1253" s="9"/>
      <c r="C1253" s="9"/>
      <c r="E1253" s="14" t="str">
        <f t="shared" si="99"/>
        <v/>
      </c>
      <c r="F1253" s="15" t="str">
        <f t="shared" ca="1" si="100"/>
        <v/>
      </c>
      <c r="G1253" s="15" t="str">
        <f t="shared" ca="1" si="101"/>
        <v/>
      </c>
      <c r="H1253" s="15" t="str">
        <f t="shared" ca="1" si="102"/>
        <v/>
      </c>
      <c r="I1253" s="16" t="str">
        <f t="shared" ca="1" si="103"/>
        <v/>
      </c>
    </row>
    <row r="1254" spans="1:9" x14ac:dyDescent="0.3">
      <c r="A1254" s="3"/>
      <c r="B1254" s="9"/>
      <c r="C1254" s="9"/>
      <c r="E1254" s="14" t="str">
        <f t="shared" si="99"/>
        <v/>
      </c>
      <c r="F1254" s="15" t="str">
        <f t="shared" ca="1" si="100"/>
        <v/>
      </c>
      <c r="G1254" s="15" t="str">
        <f t="shared" ca="1" si="101"/>
        <v/>
      </c>
      <c r="H1254" s="15" t="str">
        <f t="shared" ca="1" si="102"/>
        <v/>
      </c>
      <c r="I1254" s="16" t="str">
        <f t="shared" ca="1" si="103"/>
        <v/>
      </c>
    </row>
    <row r="1255" spans="1:9" x14ac:dyDescent="0.3">
      <c r="A1255" s="3"/>
      <c r="B1255" s="9"/>
      <c r="C1255" s="9"/>
      <c r="E1255" s="14" t="str">
        <f t="shared" si="99"/>
        <v/>
      </c>
      <c r="F1255" s="15" t="str">
        <f t="shared" ca="1" si="100"/>
        <v/>
      </c>
      <c r="G1255" s="15" t="str">
        <f t="shared" ca="1" si="101"/>
        <v/>
      </c>
      <c r="H1255" s="15" t="str">
        <f t="shared" ca="1" si="102"/>
        <v/>
      </c>
      <c r="I1255" s="16" t="str">
        <f t="shared" ca="1" si="103"/>
        <v/>
      </c>
    </row>
    <row r="1256" spans="1:9" x14ac:dyDescent="0.3">
      <c r="A1256" s="3"/>
      <c r="B1256" s="9"/>
      <c r="C1256" s="9"/>
      <c r="E1256" s="14" t="str">
        <f t="shared" si="99"/>
        <v/>
      </c>
      <c r="F1256" s="15" t="str">
        <f t="shared" ca="1" si="100"/>
        <v/>
      </c>
      <c r="G1256" s="15" t="str">
        <f t="shared" ca="1" si="101"/>
        <v/>
      </c>
      <c r="H1256" s="15" t="str">
        <f t="shared" ca="1" si="102"/>
        <v/>
      </c>
      <c r="I1256" s="16" t="str">
        <f t="shared" ca="1" si="103"/>
        <v/>
      </c>
    </row>
    <row r="1257" spans="1:9" x14ac:dyDescent="0.3">
      <c r="A1257" s="3"/>
      <c r="B1257" s="9"/>
      <c r="C1257" s="9"/>
      <c r="E1257" s="14" t="str">
        <f t="shared" si="99"/>
        <v/>
      </c>
      <c r="F1257" s="15" t="str">
        <f t="shared" ca="1" si="100"/>
        <v/>
      </c>
      <c r="G1257" s="15" t="str">
        <f t="shared" ca="1" si="101"/>
        <v/>
      </c>
      <c r="H1257" s="15" t="str">
        <f t="shared" ca="1" si="102"/>
        <v/>
      </c>
      <c r="I1257" s="16" t="str">
        <f t="shared" ca="1" si="103"/>
        <v/>
      </c>
    </row>
    <row r="1258" spans="1:9" x14ac:dyDescent="0.3">
      <c r="A1258" s="3"/>
      <c r="B1258" s="9"/>
      <c r="C1258" s="9"/>
      <c r="E1258" s="14" t="str">
        <f t="shared" si="99"/>
        <v/>
      </c>
      <c r="F1258" s="15" t="str">
        <f t="shared" ca="1" si="100"/>
        <v/>
      </c>
      <c r="G1258" s="15" t="str">
        <f t="shared" ca="1" si="101"/>
        <v/>
      </c>
      <c r="H1258" s="15" t="str">
        <f t="shared" ca="1" si="102"/>
        <v/>
      </c>
      <c r="I1258" s="16" t="str">
        <f t="shared" ca="1" si="103"/>
        <v/>
      </c>
    </row>
    <row r="1259" spans="1:9" x14ac:dyDescent="0.3">
      <c r="A1259" s="3"/>
      <c r="B1259" s="9"/>
      <c r="C1259" s="9"/>
      <c r="E1259" s="14" t="str">
        <f t="shared" si="99"/>
        <v/>
      </c>
      <c r="F1259" s="15" t="str">
        <f t="shared" ca="1" si="100"/>
        <v/>
      </c>
      <c r="G1259" s="15" t="str">
        <f t="shared" ca="1" si="101"/>
        <v/>
      </c>
      <c r="H1259" s="15" t="str">
        <f t="shared" ca="1" si="102"/>
        <v/>
      </c>
      <c r="I1259" s="16" t="str">
        <f t="shared" ca="1" si="103"/>
        <v/>
      </c>
    </row>
    <row r="1260" spans="1:9" x14ac:dyDescent="0.3">
      <c r="A1260" s="3"/>
      <c r="B1260" s="9"/>
      <c r="C1260" s="9"/>
      <c r="E1260" s="14" t="str">
        <f t="shared" si="99"/>
        <v/>
      </c>
      <c r="F1260" s="15" t="str">
        <f t="shared" ca="1" si="100"/>
        <v/>
      </c>
      <c r="G1260" s="15" t="str">
        <f t="shared" ca="1" si="101"/>
        <v/>
      </c>
      <c r="H1260" s="15" t="str">
        <f t="shared" ca="1" si="102"/>
        <v/>
      </c>
      <c r="I1260" s="16" t="str">
        <f t="shared" ca="1" si="103"/>
        <v/>
      </c>
    </row>
    <row r="1261" spans="1:9" x14ac:dyDescent="0.3">
      <c r="A1261" s="3"/>
      <c r="B1261" s="9"/>
      <c r="C1261" s="9"/>
      <c r="E1261" s="14" t="str">
        <f t="shared" si="99"/>
        <v/>
      </c>
      <c r="F1261" s="15" t="str">
        <f t="shared" ca="1" si="100"/>
        <v/>
      </c>
      <c r="G1261" s="15" t="str">
        <f t="shared" ca="1" si="101"/>
        <v/>
      </c>
      <c r="H1261" s="15" t="str">
        <f t="shared" ca="1" si="102"/>
        <v/>
      </c>
      <c r="I1261" s="16" t="str">
        <f t="shared" ca="1" si="103"/>
        <v/>
      </c>
    </row>
    <row r="1262" spans="1:9" x14ac:dyDescent="0.3">
      <c r="A1262" s="3"/>
      <c r="B1262" s="9"/>
      <c r="C1262" s="9"/>
      <c r="E1262" s="14" t="str">
        <f t="shared" si="99"/>
        <v/>
      </c>
      <c r="F1262" s="15" t="str">
        <f t="shared" ca="1" si="100"/>
        <v/>
      </c>
      <c r="G1262" s="15" t="str">
        <f t="shared" ca="1" si="101"/>
        <v/>
      </c>
      <c r="H1262" s="15" t="str">
        <f t="shared" ca="1" si="102"/>
        <v/>
      </c>
      <c r="I1262" s="16" t="str">
        <f t="shared" ca="1" si="103"/>
        <v/>
      </c>
    </row>
    <row r="1263" spans="1:9" x14ac:dyDescent="0.3">
      <c r="A1263" s="3"/>
      <c r="B1263" s="9"/>
      <c r="C1263" s="9"/>
      <c r="E1263" s="14" t="str">
        <f t="shared" si="99"/>
        <v/>
      </c>
      <c r="F1263" s="15" t="str">
        <f t="shared" ca="1" si="100"/>
        <v/>
      </c>
      <c r="G1263" s="15" t="str">
        <f t="shared" ca="1" si="101"/>
        <v/>
      </c>
      <c r="H1263" s="15" t="str">
        <f t="shared" ca="1" si="102"/>
        <v/>
      </c>
      <c r="I1263" s="16" t="str">
        <f t="shared" ca="1" si="103"/>
        <v/>
      </c>
    </row>
    <row r="1264" spans="1:9" x14ac:dyDescent="0.3">
      <c r="A1264" s="3"/>
      <c r="B1264" s="9"/>
      <c r="C1264" s="9"/>
      <c r="E1264" s="14" t="str">
        <f t="shared" si="99"/>
        <v/>
      </c>
      <c r="F1264" s="15" t="str">
        <f t="shared" ca="1" si="100"/>
        <v/>
      </c>
      <c r="G1264" s="15" t="str">
        <f t="shared" ca="1" si="101"/>
        <v/>
      </c>
      <c r="H1264" s="15" t="str">
        <f t="shared" ca="1" si="102"/>
        <v/>
      </c>
      <c r="I1264" s="16" t="str">
        <f t="shared" ca="1" si="103"/>
        <v/>
      </c>
    </row>
    <row r="1265" spans="1:9" x14ac:dyDescent="0.3">
      <c r="A1265" s="3"/>
      <c r="B1265" s="9"/>
      <c r="C1265" s="9"/>
      <c r="E1265" s="14" t="str">
        <f t="shared" si="99"/>
        <v/>
      </c>
      <c r="F1265" s="15" t="str">
        <f t="shared" ca="1" si="100"/>
        <v/>
      </c>
      <c r="G1265" s="15" t="str">
        <f t="shared" ca="1" si="101"/>
        <v/>
      </c>
      <c r="H1265" s="15" t="str">
        <f t="shared" ca="1" si="102"/>
        <v/>
      </c>
      <c r="I1265" s="16" t="str">
        <f t="shared" ca="1" si="103"/>
        <v/>
      </c>
    </row>
    <row r="1266" spans="1:9" x14ac:dyDescent="0.3">
      <c r="A1266" s="3"/>
      <c r="B1266" s="9"/>
      <c r="C1266" s="9"/>
      <c r="E1266" s="14" t="str">
        <f t="shared" si="99"/>
        <v/>
      </c>
      <c r="F1266" s="15" t="str">
        <f t="shared" ca="1" si="100"/>
        <v/>
      </c>
      <c r="G1266" s="15" t="str">
        <f t="shared" ca="1" si="101"/>
        <v/>
      </c>
      <c r="H1266" s="15" t="str">
        <f t="shared" ca="1" si="102"/>
        <v/>
      </c>
      <c r="I1266" s="16" t="str">
        <f t="shared" ca="1" si="103"/>
        <v/>
      </c>
    </row>
    <row r="1267" spans="1:9" x14ac:dyDescent="0.3">
      <c r="A1267" s="3"/>
      <c r="B1267" s="9"/>
      <c r="C1267" s="9"/>
      <c r="E1267" s="14" t="str">
        <f t="shared" si="99"/>
        <v/>
      </c>
      <c r="F1267" s="15" t="str">
        <f t="shared" ca="1" si="100"/>
        <v/>
      </c>
      <c r="G1267" s="15" t="str">
        <f t="shared" ca="1" si="101"/>
        <v/>
      </c>
      <c r="H1267" s="15" t="str">
        <f t="shared" ca="1" si="102"/>
        <v/>
      </c>
      <c r="I1267" s="16" t="str">
        <f t="shared" ca="1" si="103"/>
        <v/>
      </c>
    </row>
    <row r="1268" spans="1:9" x14ac:dyDescent="0.3">
      <c r="A1268" s="3"/>
      <c r="B1268" s="9"/>
      <c r="C1268" s="9"/>
      <c r="E1268" s="14" t="str">
        <f t="shared" si="99"/>
        <v/>
      </c>
      <c r="F1268" s="15" t="str">
        <f t="shared" ca="1" si="100"/>
        <v/>
      </c>
      <c r="G1268" s="15" t="str">
        <f t="shared" ca="1" si="101"/>
        <v/>
      </c>
      <c r="H1268" s="15" t="str">
        <f t="shared" ca="1" si="102"/>
        <v/>
      </c>
      <c r="I1268" s="16" t="str">
        <f t="shared" ca="1" si="103"/>
        <v/>
      </c>
    </row>
    <row r="1269" spans="1:9" x14ac:dyDescent="0.3">
      <c r="A1269" s="3"/>
      <c r="B1269" s="9"/>
      <c r="C1269" s="9"/>
      <c r="E1269" s="14" t="str">
        <f t="shared" si="99"/>
        <v/>
      </c>
      <c r="F1269" s="15" t="str">
        <f t="shared" ca="1" si="100"/>
        <v/>
      </c>
      <c r="G1269" s="15" t="str">
        <f t="shared" ca="1" si="101"/>
        <v/>
      </c>
      <c r="H1269" s="15" t="str">
        <f t="shared" ca="1" si="102"/>
        <v/>
      </c>
      <c r="I1269" s="16" t="str">
        <f t="shared" ca="1" si="103"/>
        <v/>
      </c>
    </row>
    <row r="1270" spans="1:9" x14ac:dyDescent="0.3">
      <c r="A1270" s="3"/>
      <c r="B1270" s="9"/>
      <c r="C1270" s="9"/>
      <c r="E1270" s="14" t="str">
        <f t="shared" si="99"/>
        <v/>
      </c>
      <c r="F1270" s="15" t="str">
        <f t="shared" ca="1" si="100"/>
        <v/>
      </c>
      <c r="G1270" s="15" t="str">
        <f t="shared" ca="1" si="101"/>
        <v/>
      </c>
      <c r="H1270" s="15" t="str">
        <f t="shared" ca="1" si="102"/>
        <v/>
      </c>
      <c r="I1270" s="16" t="str">
        <f t="shared" ca="1" si="103"/>
        <v/>
      </c>
    </row>
    <row r="1271" spans="1:9" x14ac:dyDescent="0.3">
      <c r="A1271" s="3"/>
      <c r="B1271" s="9"/>
      <c r="C1271" s="9"/>
      <c r="E1271" s="14" t="str">
        <f t="shared" si="99"/>
        <v/>
      </c>
      <c r="F1271" s="15" t="str">
        <f t="shared" ca="1" si="100"/>
        <v/>
      </c>
      <c r="G1271" s="15" t="str">
        <f t="shared" ca="1" si="101"/>
        <v/>
      </c>
      <c r="H1271" s="15" t="str">
        <f t="shared" ca="1" si="102"/>
        <v/>
      </c>
      <c r="I1271" s="16" t="str">
        <f t="shared" ca="1" si="103"/>
        <v/>
      </c>
    </row>
    <row r="1272" spans="1:9" x14ac:dyDescent="0.3">
      <c r="A1272" s="3"/>
      <c r="B1272" s="9"/>
      <c r="C1272" s="9"/>
      <c r="E1272" s="14" t="str">
        <f t="shared" si="99"/>
        <v/>
      </c>
      <c r="F1272" s="15" t="str">
        <f t="shared" ca="1" si="100"/>
        <v/>
      </c>
      <c r="G1272" s="15" t="str">
        <f t="shared" ca="1" si="101"/>
        <v/>
      </c>
      <c r="H1272" s="15" t="str">
        <f t="shared" ca="1" si="102"/>
        <v/>
      </c>
      <c r="I1272" s="16" t="str">
        <f t="shared" ca="1" si="103"/>
        <v/>
      </c>
    </row>
    <row r="1273" spans="1:9" x14ac:dyDescent="0.3">
      <c r="A1273" s="3"/>
      <c r="B1273" s="9"/>
      <c r="C1273" s="9"/>
      <c r="E1273" s="14" t="str">
        <f t="shared" si="99"/>
        <v/>
      </c>
      <c r="F1273" s="15" t="str">
        <f t="shared" ca="1" si="100"/>
        <v/>
      </c>
      <c r="G1273" s="15" t="str">
        <f t="shared" ca="1" si="101"/>
        <v/>
      </c>
      <c r="H1273" s="15" t="str">
        <f t="shared" ca="1" si="102"/>
        <v/>
      </c>
      <c r="I1273" s="16" t="str">
        <f t="shared" ca="1" si="103"/>
        <v/>
      </c>
    </row>
    <row r="1274" spans="1:9" x14ac:dyDescent="0.3">
      <c r="A1274" s="3"/>
      <c r="B1274" s="9"/>
      <c r="C1274" s="9"/>
      <c r="E1274" s="14" t="str">
        <f t="shared" si="99"/>
        <v/>
      </c>
      <c r="F1274" s="15" t="str">
        <f t="shared" ca="1" si="100"/>
        <v/>
      </c>
      <c r="G1274" s="15" t="str">
        <f t="shared" ca="1" si="101"/>
        <v/>
      </c>
      <c r="H1274" s="15" t="str">
        <f t="shared" ca="1" si="102"/>
        <v/>
      </c>
      <c r="I1274" s="16" t="str">
        <f t="shared" ca="1" si="103"/>
        <v/>
      </c>
    </row>
    <row r="1275" spans="1:9" x14ac:dyDescent="0.3">
      <c r="A1275" s="3"/>
      <c r="B1275" s="9"/>
      <c r="C1275" s="9"/>
      <c r="E1275" s="14" t="str">
        <f t="shared" si="99"/>
        <v/>
      </c>
      <c r="F1275" s="15" t="str">
        <f t="shared" ca="1" si="100"/>
        <v/>
      </c>
      <c r="G1275" s="15" t="str">
        <f t="shared" ca="1" si="101"/>
        <v/>
      </c>
      <c r="H1275" s="15" t="str">
        <f t="shared" ca="1" si="102"/>
        <v/>
      </c>
      <c r="I1275" s="16" t="str">
        <f t="shared" ca="1" si="103"/>
        <v/>
      </c>
    </row>
    <row r="1276" spans="1:9" x14ac:dyDescent="0.3">
      <c r="A1276" s="3"/>
      <c r="B1276" s="9"/>
      <c r="C1276" s="9"/>
      <c r="E1276" s="14" t="str">
        <f t="shared" si="99"/>
        <v/>
      </c>
      <c r="F1276" s="15" t="str">
        <f t="shared" ca="1" si="100"/>
        <v/>
      </c>
      <c r="G1276" s="15" t="str">
        <f t="shared" ca="1" si="101"/>
        <v/>
      </c>
      <c r="H1276" s="15" t="str">
        <f t="shared" ca="1" si="102"/>
        <v/>
      </c>
      <c r="I1276" s="16" t="str">
        <f t="shared" ca="1" si="103"/>
        <v/>
      </c>
    </row>
    <row r="1277" spans="1:9" x14ac:dyDescent="0.3">
      <c r="A1277" s="3"/>
      <c r="B1277" s="9"/>
      <c r="C1277" s="9"/>
      <c r="E1277" s="14" t="str">
        <f t="shared" si="99"/>
        <v/>
      </c>
      <c r="F1277" s="15" t="str">
        <f t="shared" ca="1" si="100"/>
        <v/>
      </c>
      <c r="G1277" s="15" t="str">
        <f t="shared" ca="1" si="101"/>
        <v/>
      </c>
      <c r="H1277" s="15" t="str">
        <f t="shared" ca="1" si="102"/>
        <v/>
      </c>
      <c r="I1277" s="16" t="str">
        <f t="shared" ca="1" si="103"/>
        <v/>
      </c>
    </row>
    <row r="1278" spans="1:9" x14ac:dyDescent="0.3">
      <c r="A1278" s="3"/>
      <c r="B1278" s="9"/>
      <c r="C1278" s="9"/>
      <c r="E1278" s="14" t="str">
        <f t="shared" si="99"/>
        <v/>
      </c>
      <c r="F1278" s="15" t="str">
        <f t="shared" ca="1" si="100"/>
        <v/>
      </c>
      <c r="G1278" s="15" t="str">
        <f t="shared" ca="1" si="101"/>
        <v/>
      </c>
      <c r="H1278" s="15" t="str">
        <f t="shared" ca="1" si="102"/>
        <v/>
      </c>
      <c r="I1278" s="16" t="str">
        <f t="shared" ca="1" si="103"/>
        <v/>
      </c>
    </row>
    <row r="1279" spans="1:9" x14ac:dyDescent="0.3">
      <c r="A1279" s="3"/>
      <c r="B1279" s="9"/>
      <c r="C1279" s="9"/>
      <c r="E1279" s="14" t="str">
        <f t="shared" si="99"/>
        <v/>
      </c>
      <c r="F1279" s="15" t="str">
        <f t="shared" ca="1" si="100"/>
        <v/>
      </c>
      <c r="G1279" s="15" t="str">
        <f t="shared" ca="1" si="101"/>
        <v/>
      </c>
      <c r="H1279" s="15" t="str">
        <f t="shared" ca="1" si="102"/>
        <v/>
      </c>
      <c r="I1279" s="16" t="str">
        <f t="shared" ca="1" si="103"/>
        <v/>
      </c>
    </row>
    <row r="1280" spans="1:9" x14ac:dyDescent="0.3">
      <c r="A1280" s="3"/>
      <c r="B1280" s="9"/>
      <c r="C1280" s="9"/>
      <c r="E1280" s="14" t="str">
        <f t="shared" si="99"/>
        <v/>
      </c>
      <c r="F1280" s="15" t="str">
        <f t="shared" ca="1" si="100"/>
        <v/>
      </c>
      <c r="G1280" s="15" t="str">
        <f t="shared" ca="1" si="101"/>
        <v/>
      </c>
      <c r="H1280" s="15" t="str">
        <f t="shared" ca="1" si="102"/>
        <v/>
      </c>
      <c r="I1280" s="16" t="str">
        <f t="shared" ca="1" si="103"/>
        <v/>
      </c>
    </row>
    <row r="1281" spans="1:9" x14ac:dyDescent="0.3">
      <c r="A1281" s="3"/>
      <c r="B1281" s="9"/>
      <c r="C1281" s="9"/>
      <c r="E1281" s="14" t="str">
        <f t="shared" si="99"/>
        <v/>
      </c>
      <c r="F1281" s="15" t="str">
        <f t="shared" ca="1" si="100"/>
        <v/>
      </c>
      <c r="G1281" s="15" t="str">
        <f t="shared" ca="1" si="101"/>
        <v/>
      </c>
      <c r="H1281" s="15" t="str">
        <f t="shared" ca="1" si="102"/>
        <v/>
      </c>
      <c r="I1281" s="16" t="str">
        <f t="shared" ca="1" si="103"/>
        <v/>
      </c>
    </row>
    <row r="1282" spans="1:9" x14ac:dyDescent="0.3">
      <c r="A1282" s="3"/>
      <c r="B1282" s="9"/>
      <c r="C1282" s="9"/>
      <c r="E1282" s="14" t="str">
        <f t="shared" si="99"/>
        <v/>
      </c>
      <c r="F1282" s="15" t="str">
        <f t="shared" ca="1" si="100"/>
        <v/>
      </c>
      <c r="G1282" s="15" t="str">
        <f t="shared" ca="1" si="101"/>
        <v/>
      </c>
      <c r="H1282" s="15" t="str">
        <f t="shared" ca="1" si="102"/>
        <v/>
      </c>
      <c r="I1282" s="16" t="str">
        <f t="shared" ca="1" si="103"/>
        <v/>
      </c>
    </row>
    <row r="1283" spans="1:9" x14ac:dyDescent="0.3">
      <c r="A1283" s="3"/>
      <c r="B1283" s="9"/>
      <c r="C1283" s="9"/>
      <c r="E1283" s="14" t="str">
        <f t="shared" ref="E1283:E1346" si="104">IF(ISNUMBER(B1283),B1283/C1283,"")</f>
        <v/>
      </c>
      <c r="F1283" s="15" t="str">
        <f t="shared" ca="1" si="100"/>
        <v/>
      </c>
      <c r="G1283" s="15" t="str">
        <f t="shared" ca="1" si="101"/>
        <v/>
      </c>
      <c r="H1283" s="15" t="str">
        <f t="shared" ca="1" si="102"/>
        <v/>
      </c>
      <c r="I1283" s="16" t="str">
        <f t="shared" ca="1" si="103"/>
        <v/>
      </c>
    </row>
    <row r="1284" spans="1:9" x14ac:dyDescent="0.3">
      <c r="A1284" s="3"/>
      <c r="B1284" s="9"/>
      <c r="C1284" s="9"/>
      <c r="E1284" s="14" t="str">
        <f t="shared" si="104"/>
        <v/>
      </c>
      <c r="F1284" s="15" t="str">
        <f t="shared" ca="1" si="100"/>
        <v/>
      </c>
      <c r="G1284" s="15" t="str">
        <f t="shared" ca="1" si="101"/>
        <v/>
      </c>
      <c r="H1284" s="15" t="str">
        <f t="shared" ca="1" si="102"/>
        <v/>
      </c>
      <c r="I1284" s="16" t="str">
        <f t="shared" ca="1" si="103"/>
        <v/>
      </c>
    </row>
    <row r="1285" spans="1:9" x14ac:dyDescent="0.3">
      <c r="A1285" s="3"/>
      <c r="B1285" s="9"/>
      <c r="C1285" s="9"/>
      <c r="E1285" s="14" t="str">
        <f t="shared" si="104"/>
        <v/>
      </c>
      <c r="F1285" s="15" t="str">
        <f t="shared" ca="1" si="100"/>
        <v/>
      </c>
      <c r="G1285" s="15" t="str">
        <f t="shared" ca="1" si="101"/>
        <v/>
      </c>
      <c r="H1285" s="15" t="str">
        <f t="shared" ca="1" si="102"/>
        <v/>
      </c>
      <c r="I1285" s="16" t="str">
        <f t="shared" ca="1" si="103"/>
        <v/>
      </c>
    </row>
    <row r="1286" spans="1:9" x14ac:dyDescent="0.3">
      <c r="A1286" s="3"/>
      <c r="B1286" s="9"/>
      <c r="C1286" s="9"/>
      <c r="E1286" s="14" t="str">
        <f t="shared" si="104"/>
        <v/>
      </c>
      <c r="F1286" s="15" t="str">
        <f t="shared" ca="1" si="100"/>
        <v/>
      </c>
      <c r="G1286" s="15" t="str">
        <f t="shared" ca="1" si="101"/>
        <v/>
      </c>
      <c r="H1286" s="15" t="str">
        <f t="shared" ca="1" si="102"/>
        <v/>
      </c>
      <c r="I1286" s="16" t="str">
        <f t="shared" ca="1" si="103"/>
        <v/>
      </c>
    </row>
    <row r="1287" spans="1:9" x14ac:dyDescent="0.3">
      <c r="A1287" s="3"/>
      <c r="B1287" s="9"/>
      <c r="C1287" s="9"/>
      <c r="E1287" s="14" t="str">
        <f t="shared" si="104"/>
        <v/>
      </c>
      <c r="F1287" s="15" t="str">
        <f t="shared" ca="1" si="100"/>
        <v/>
      </c>
      <c r="G1287" s="15" t="str">
        <f t="shared" ca="1" si="101"/>
        <v/>
      </c>
      <c r="H1287" s="15" t="str">
        <f t="shared" ca="1" si="102"/>
        <v/>
      </c>
      <c r="I1287" s="16" t="str">
        <f t="shared" ca="1" si="103"/>
        <v/>
      </c>
    </row>
    <row r="1288" spans="1:9" x14ac:dyDescent="0.3">
      <c r="A1288" s="3"/>
      <c r="B1288" s="9"/>
      <c r="C1288" s="9"/>
      <c r="E1288" s="14" t="str">
        <f t="shared" si="104"/>
        <v/>
      </c>
      <c r="F1288" s="15" t="str">
        <f t="shared" ca="1" si="100"/>
        <v/>
      </c>
      <c r="G1288" s="15" t="str">
        <f t="shared" ca="1" si="101"/>
        <v/>
      </c>
      <c r="H1288" s="15" t="str">
        <f t="shared" ca="1" si="102"/>
        <v/>
      </c>
      <c r="I1288" s="16" t="str">
        <f t="shared" ca="1" si="103"/>
        <v/>
      </c>
    </row>
    <row r="1289" spans="1:9" x14ac:dyDescent="0.3">
      <c r="A1289" s="3"/>
      <c r="B1289" s="9"/>
      <c r="C1289" s="9"/>
      <c r="E1289" s="14" t="str">
        <f t="shared" si="104"/>
        <v/>
      </c>
      <c r="F1289" s="15" t="str">
        <f t="shared" ca="1" si="100"/>
        <v/>
      </c>
      <c r="G1289" s="15" t="str">
        <f t="shared" ca="1" si="101"/>
        <v/>
      </c>
      <c r="H1289" s="15" t="str">
        <f t="shared" ca="1" si="102"/>
        <v/>
      </c>
      <c r="I1289" s="16" t="str">
        <f t="shared" ca="1" si="103"/>
        <v/>
      </c>
    </row>
    <row r="1290" spans="1:9" x14ac:dyDescent="0.3">
      <c r="A1290" s="3"/>
      <c r="B1290" s="9"/>
      <c r="C1290" s="9"/>
      <c r="E1290" s="14" t="str">
        <f t="shared" si="104"/>
        <v/>
      </c>
      <c r="F1290" s="15" t="str">
        <f t="shared" ca="1" si="100"/>
        <v/>
      </c>
      <c r="G1290" s="15" t="str">
        <f t="shared" ca="1" si="101"/>
        <v/>
      </c>
      <c r="H1290" s="15" t="str">
        <f t="shared" ca="1" si="102"/>
        <v/>
      </c>
      <c r="I1290" s="16" t="str">
        <f t="shared" ca="1" si="103"/>
        <v/>
      </c>
    </row>
    <row r="1291" spans="1:9" x14ac:dyDescent="0.3">
      <c r="A1291" s="3"/>
      <c r="B1291" s="9"/>
      <c r="C1291" s="9"/>
      <c r="E1291" s="14" t="str">
        <f t="shared" si="104"/>
        <v/>
      </c>
      <c r="F1291" s="15" t="str">
        <f t="shared" ca="1" si="100"/>
        <v/>
      </c>
      <c r="G1291" s="15" t="str">
        <f t="shared" ca="1" si="101"/>
        <v/>
      </c>
      <c r="H1291" s="15" t="str">
        <f t="shared" ca="1" si="102"/>
        <v/>
      </c>
      <c r="I1291" s="16" t="str">
        <f t="shared" ca="1" si="103"/>
        <v/>
      </c>
    </row>
    <row r="1292" spans="1:9" x14ac:dyDescent="0.3">
      <c r="A1292" s="3"/>
      <c r="B1292" s="9"/>
      <c r="C1292" s="9"/>
      <c r="E1292" s="14" t="str">
        <f t="shared" si="104"/>
        <v/>
      </c>
      <c r="F1292" s="15" t="str">
        <f t="shared" ca="1" si="100"/>
        <v/>
      </c>
      <c r="G1292" s="15" t="str">
        <f t="shared" ca="1" si="101"/>
        <v/>
      </c>
      <c r="H1292" s="15" t="str">
        <f t="shared" ca="1" si="102"/>
        <v/>
      </c>
      <c r="I1292" s="16" t="str">
        <f t="shared" ca="1" si="103"/>
        <v/>
      </c>
    </row>
    <row r="1293" spans="1:9" x14ac:dyDescent="0.3">
      <c r="A1293" s="3"/>
      <c r="B1293" s="9"/>
      <c r="C1293" s="9"/>
      <c r="E1293" s="14" t="str">
        <f t="shared" si="104"/>
        <v/>
      </c>
      <c r="F1293" s="15" t="str">
        <f t="shared" ca="1" si="100"/>
        <v/>
      </c>
      <c r="G1293" s="15" t="str">
        <f t="shared" ca="1" si="101"/>
        <v/>
      </c>
      <c r="H1293" s="15" t="str">
        <f t="shared" ca="1" si="102"/>
        <v/>
      </c>
      <c r="I1293" s="16" t="str">
        <f t="shared" ca="1" si="103"/>
        <v/>
      </c>
    </row>
    <row r="1294" spans="1:9" x14ac:dyDescent="0.3">
      <c r="A1294" s="3"/>
      <c r="B1294" s="9"/>
      <c r="C1294" s="9"/>
      <c r="E1294" s="14" t="str">
        <f t="shared" si="104"/>
        <v/>
      </c>
      <c r="F1294" s="15" t="str">
        <f t="shared" ca="1" si="100"/>
        <v/>
      </c>
      <c r="G1294" s="15" t="str">
        <f t="shared" ca="1" si="101"/>
        <v/>
      </c>
      <c r="H1294" s="15" t="str">
        <f t="shared" ca="1" si="102"/>
        <v/>
      </c>
      <c r="I1294" s="16" t="str">
        <f t="shared" ca="1" si="103"/>
        <v/>
      </c>
    </row>
    <row r="1295" spans="1:9" x14ac:dyDescent="0.3">
      <c r="A1295" s="3"/>
      <c r="B1295" s="9"/>
      <c r="C1295" s="9"/>
      <c r="E1295" s="14" t="str">
        <f t="shared" si="104"/>
        <v/>
      </c>
      <c r="F1295" s="15" t="str">
        <f t="shared" ca="1" si="100"/>
        <v/>
      </c>
      <c r="G1295" s="15" t="str">
        <f t="shared" ca="1" si="101"/>
        <v/>
      </c>
      <c r="H1295" s="15" t="str">
        <f t="shared" ca="1" si="102"/>
        <v/>
      </c>
      <c r="I1295" s="16" t="str">
        <f t="shared" ca="1" si="103"/>
        <v/>
      </c>
    </row>
    <row r="1296" spans="1:9" x14ac:dyDescent="0.3">
      <c r="A1296" s="3"/>
      <c r="B1296" s="9"/>
      <c r="C1296" s="9"/>
      <c r="E1296" s="14" t="str">
        <f t="shared" si="104"/>
        <v/>
      </c>
      <c r="F1296" s="15" t="str">
        <f t="shared" ca="1" si="100"/>
        <v/>
      </c>
      <c r="G1296" s="15" t="str">
        <f t="shared" ca="1" si="101"/>
        <v/>
      </c>
      <c r="H1296" s="15" t="str">
        <f t="shared" ca="1" si="102"/>
        <v/>
      </c>
      <c r="I1296" s="16" t="str">
        <f t="shared" ca="1" si="103"/>
        <v/>
      </c>
    </row>
    <row r="1297" spans="1:9" x14ac:dyDescent="0.3">
      <c r="A1297" s="3"/>
      <c r="B1297" s="9"/>
      <c r="C1297" s="9"/>
      <c r="E1297" s="14" t="str">
        <f t="shared" si="104"/>
        <v/>
      </c>
      <c r="F1297" s="15" t="str">
        <f t="shared" ref="F1297:F1360" ca="1" si="105">IF(ISNUMBER(E1297),IF(ROW(E1297)&gt;$K$1,AVERAGE(OFFSET(E1297,0,0,-$K$1)),""),"")</f>
        <v/>
      </c>
      <c r="G1297" s="15" t="str">
        <f t="shared" ref="G1297:G1360" ca="1" si="106">IF(ISNUMBER(I1297),F1297+I1297*$M$1,"")</f>
        <v/>
      </c>
      <c r="H1297" s="15" t="str">
        <f t="shared" ref="H1297:H1360" ca="1" si="107">IF(ISNUMBER(I1297),F1297-I1297*$M$1,"")</f>
        <v/>
      </c>
      <c r="I1297" s="16" t="str">
        <f t="shared" ref="I1297:I1360" ca="1" si="108">IF(ISNUMBER(E1297),IF(ROW(E1297)&gt;$K$1,_xlfn.STDEV.P(OFFSET(E1297,0,0,-$K$1)),""),"")</f>
        <v/>
      </c>
    </row>
    <row r="1298" spans="1:9" x14ac:dyDescent="0.3">
      <c r="A1298" s="3"/>
      <c r="B1298" s="9"/>
      <c r="C1298" s="9"/>
      <c r="E1298" s="14" t="str">
        <f t="shared" si="104"/>
        <v/>
      </c>
      <c r="F1298" s="15" t="str">
        <f t="shared" ca="1" si="105"/>
        <v/>
      </c>
      <c r="G1298" s="15" t="str">
        <f t="shared" ca="1" si="106"/>
        <v/>
      </c>
      <c r="H1298" s="15" t="str">
        <f t="shared" ca="1" si="107"/>
        <v/>
      </c>
      <c r="I1298" s="16" t="str">
        <f t="shared" ca="1" si="108"/>
        <v/>
      </c>
    </row>
    <row r="1299" spans="1:9" x14ac:dyDescent="0.3">
      <c r="A1299" s="3"/>
      <c r="B1299" s="9"/>
      <c r="C1299" s="9"/>
      <c r="E1299" s="14" t="str">
        <f t="shared" si="104"/>
        <v/>
      </c>
      <c r="F1299" s="15" t="str">
        <f t="shared" ca="1" si="105"/>
        <v/>
      </c>
      <c r="G1299" s="15" t="str">
        <f t="shared" ca="1" si="106"/>
        <v/>
      </c>
      <c r="H1299" s="15" t="str">
        <f t="shared" ca="1" si="107"/>
        <v/>
      </c>
      <c r="I1299" s="16" t="str">
        <f t="shared" ca="1" si="108"/>
        <v/>
      </c>
    </row>
    <row r="1300" spans="1:9" x14ac:dyDescent="0.3">
      <c r="A1300" s="3"/>
      <c r="B1300" s="9"/>
      <c r="C1300" s="9"/>
      <c r="E1300" s="14" t="str">
        <f t="shared" si="104"/>
        <v/>
      </c>
      <c r="F1300" s="15" t="str">
        <f t="shared" ca="1" si="105"/>
        <v/>
      </c>
      <c r="G1300" s="15" t="str">
        <f t="shared" ca="1" si="106"/>
        <v/>
      </c>
      <c r="H1300" s="15" t="str">
        <f t="shared" ca="1" si="107"/>
        <v/>
      </c>
      <c r="I1300" s="16" t="str">
        <f t="shared" ca="1" si="108"/>
        <v/>
      </c>
    </row>
    <row r="1301" spans="1:9" x14ac:dyDescent="0.3">
      <c r="A1301" s="3"/>
      <c r="B1301" s="9"/>
      <c r="C1301" s="9"/>
      <c r="E1301" s="14" t="str">
        <f t="shared" si="104"/>
        <v/>
      </c>
      <c r="F1301" s="15" t="str">
        <f t="shared" ca="1" si="105"/>
        <v/>
      </c>
      <c r="G1301" s="15" t="str">
        <f t="shared" ca="1" si="106"/>
        <v/>
      </c>
      <c r="H1301" s="15" t="str">
        <f t="shared" ca="1" si="107"/>
        <v/>
      </c>
      <c r="I1301" s="16" t="str">
        <f t="shared" ca="1" si="108"/>
        <v/>
      </c>
    </row>
    <row r="1302" spans="1:9" x14ac:dyDescent="0.3">
      <c r="A1302" s="3"/>
      <c r="B1302" s="9"/>
      <c r="C1302" s="9"/>
      <c r="E1302" s="14" t="str">
        <f t="shared" si="104"/>
        <v/>
      </c>
      <c r="F1302" s="15" t="str">
        <f t="shared" ca="1" si="105"/>
        <v/>
      </c>
      <c r="G1302" s="15" t="str">
        <f t="shared" ca="1" si="106"/>
        <v/>
      </c>
      <c r="H1302" s="15" t="str">
        <f t="shared" ca="1" si="107"/>
        <v/>
      </c>
      <c r="I1302" s="16" t="str">
        <f t="shared" ca="1" si="108"/>
        <v/>
      </c>
    </row>
    <row r="1303" spans="1:9" x14ac:dyDescent="0.3">
      <c r="A1303" s="3"/>
      <c r="B1303" s="9"/>
      <c r="C1303" s="9"/>
      <c r="E1303" s="14" t="str">
        <f t="shared" si="104"/>
        <v/>
      </c>
      <c r="F1303" s="15" t="str">
        <f t="shared" ca="1" si="105"/>
        <v/>
      </c>
      <c r="G1303" s="15" t="str">
        <f t="shared" ca="1" si="106"/>
        <v/>
      </c>
      <c r="H1303" s="15" t="str">
        <f t="shared" ca="1" si="107"/>
        <v/>
      </c>
      <c r="I1303" s="16" t="str">
        <f t="shared" ca="1" si="108"/>
        <v/>
      </c>
    </row>
    <row r="1304" spans="1:9" x14ac:dyDescent="0.3">
      <c r="A1304" s="3"/>
      <c r="B1304" s="9"/>
      <c r="C1304" s="9"/>
      <c r="E1304" s="14" t="str">
        <f t="shared" si="104"/>
        <v/>
      </c>
      <c r="F1304" s="15" t="str">
        <f t="shared" ca="1" si="105"/>
        <v/>
      </c>
      <c r="G1304" s="15" t="str">
        <f t="shared" ca="1" si="106"/>
        <v/>
      </c>
      <c r="H1304" s="15" t="str">
        <f t="shared" ca="1" si="107"/>
        <v/>
      </c>
      <c r="I1304" s="16" t="str">
        <f t="shared" ca="1" si="108"/>
        <v/>
      </c>
    </row>
    <row r="1305" spans="1:9" x14ac:dyDescent="0.3">
      <c r="A1305" s="3"/>
      <c r="B1305" s="9"/>
      <c r="C1305" s="9"/>
      <c r="E1305" s="14" t="str">
        <f t="shared" si="104"/>
        <v/>
      </c>
      <c r="F1305" s="15" t="str">
        <f t="shared" ca="1" si="105"/>
        <v/>
      </c>
      <c r="G1305" s="15" t="str">
        <f t="shared" ca="1" si="106"/>
        <v/>
      </c>
      <c r="H1305" s="15" t="str">
        <f t="shared" ca="1" si="107"/>
        <v/>
      </c>
      <c r="I1305" s="16" t="str">
        <f t="shared" ca="1" si="108"/>
        <v/>
      </c>
    </row>
    <row r="1306" spans="1:9" x14ac:dyDescent="0.3">
      <c r="A1306" s="3"/>
      <c r="B1306" s="9"/>
      <c r="C1306" s="9"/>
      <c r="E1306" s="14" t="str">
        <f t="shared" si="104"/>
        <v/>
      </c>
      <c r="F1306" s="15" t="str">
        <f t="shared" ca="1" si="105"/>
        <v/>
      </c>
      <c r="G1306" s="15" t="str">
        <f t="shared" ca="1" si="106"/>
        <v/>
      </c>
      <c r="H1306" s="15" t="str">
        <f t="shared" ca="1" si="107"/>
        <v/>
      </c>
      <c r="I1306" s="16" t="str">
        <f t="shared" ca="1" si="108"/>
        <v/>
      </c>
    </row>
    <row r="1307" spans="1:9" x14ac:dyDescent="0.3">
      <c r="A1307" s="3"/>
      <c r="B1307" s="9"/>
      <c r="C1307" s="9"/>
      <c r="E1307" s="14" t="str">
        <f t="shared" si="104"/>
        <v/>
      </c>
      <c r="F1307" s="15" t="str">
        <f t="shared" ca="1" si="105"/>
        <v/>
      </c>
      <c r="G1307" s="15" t="str">
        <f t="shared" ca="1" si="106"/>
        <v/>
      </c>
      <c r="H1307" s="15" t="str">
        <f t="shared" ca="1" si="107"/>
        <v/>
      </c>
      <c r="I1307" s="16" t="str">
        <f t="shared" ca="1" si="108"/>
        <v/>
      </c>
    </row>
    <row r="1308" spans="1:9" x14ac:dyDescent="0.3">
      <c r="A1308" s="3"/>
      <c r="B1308" s="9"/>
      <c r="C1308" s="9"/>
      <c r="E1308" s="14" t="str">
        <f t="shared" si="104"/>
        <v/>
      </c>
      <c r="F1308" s="15" t="str">
        <f t="shared" ca="1" si="105"/>
        <v/>
      </c>
      <c r="G1308" s="15" t="str">
        <f t="shared" ca="1" si="106"/>
        <v/>
      </c>
      <c r="H1308" s="15" t="str">
        <f t="shared" ca="1" si="107"/>
        <v/>
      </c>
      <c r="I1308" s="16" t="str">
        <f t="shared" ca="1" si="108"/>
        <v/>
      </c>
    </row>
    <row r="1309" spans="1:9" x14ac:dyDescent="0.3">
      <c r="A1309" s="3"/>
      <c r="B1309" s="9"/>
      <c r="C1309" s="9"/>
      <c r="E1309" s="14" t="str">
        <f t="shared" si="104"/>
        <v/>
      </c>
      <c r="F1309" s="15" t="str">
        <f t="shared" ca="1" si="105"/>
        <v/>
      </c>
      <c r="G1309" s="15" t="str">
        <f t="shared" ca="1" si="106"/>
        <v/>
      </c>
      <c r="H1309" s="15" t="str">
        <f t="shared" ca="1" si="107"/>
        <v/>
      </c>
      <c r="I1309" s="16" t="str">
        <f t="shared" ca="1" si="108"/>
        <v/>
      </c>
    </row>
    <row r="1310" spans="1:9" x14ac:dyDescent="0.3">
      <c r="A1310" s="3"/>
      <c r="B1310" s="9"/>
      <c r="C1310" s="9"/>
      <c r="E1310" s="14" t="str">
        <f t="shared" si="104"/>
        <v/>
      </c>
      <c r="F1310" s="15" t="str">
        <f t="shared" ca="1" si="105"/>
        <v/>
      </c>
      <c r="G1310" s="15" t="str">
        <f t="shared" ca="1" si="106"/>
        <v/>
      </c>
      <c r="H1310" s="15" t="str">
        <f t="shared" ca="1" si="107"/>
        <v/>
      </c>
      <c r="I1310" s="16" t="str">
        <f t="shared" ca="1" si="108"/>
        <v/>
      </c>
    </row>
    <row r="1311" spans="1:9" x14ac:dyDescent="0.3">
      <c r="A1311" s="3"/>
      <c r="B1311" s="9"/>
      <c r="C1311" s="9"/>
      <c r="E1311" s="14" t="str">
        <f t="shared" si="104"/>
        <v/>
      </c>
      <c r="F1311" s="15" t="str">
        <f t="shared" ca="1" si="105"/>
        <v/>
      </c>
      <c r="G1311" s="15" t="str">
        <f t="shared" ca="1" si="106"/>
        <v/>
      </c>
      <c r="H1311" s="15" t="str">
        <f t="shared" ca="1" si="107"/>
        <v/>
      </c>
      <c r="I1311" s="16" t="str">
        <f t="shared" ca="1" si="108"/>
        <v/>
      </c>
    </row>
    <row r="1312" spans="1:9" x14ac:dyDescent="0.3">
      <c r="A1312" s="3"/>
      <c r="B1312" s="9"/>
      <c r="C1312" s="9"/>
      <c r="E1312" s="14" t="str">
        <f t="shared" si="104"/>
        <v/>
      </c>
      <c r="F1312" s="15" t="str">
        <f t="shared" ca="1" si="105"/>
        <v/>
      </c>
      <c r="G1312" s="15" t="str">
        <f t="shared" ca="1" si="106"/>
        <v/>
      </c>
      <c r="H1312" s="15" t="str">
        <f t="shared" ca="1" si="107"/>
        <v/>
      </c>
      <c r="I1312" s="16" t="str">
        <f t="shared" ca="1" si="108"/>
        <v/>
      </c>
    </row>
    <row r="1313" spans="1:9" x14ac:dyDescent="0.3">
      <c r="A1313" s="3"/>
      <c r="B1313" s="9"/>
      <c r="C1313" s="9"/>
      <c r="E1313" s="14" t="str">
        <f t="shared" si="104"/>
        <v/>
      </c>
      <c r="F1313" s="15" t="str">
        <f t="shared" ca="1" si="105"/>
        <v/>
      </c>
      <c r="G1313" s="15" t="str">
        <f t="shared" ca="1" si="106"/>
        <v/>
      </c>
      <c r="H1313" s="15" t="str">
        <f t="shared" ca="1" si="107"/>
        <v/>
      </c>
      <c r="I1313" s="16" t="str">
        <f t="shared" ca="1" si="108"/>
        <v/>
      </c>
    </row>
    <row r="1314" spans="1:9" x14ac:dyDescent="0.3">
      <c r="A1314" s="3"/>
      <c r="B1314" s="9"/>
      <c r="C1314" s="9"/>
      <c r="E1314" s="14" t="str">
        <f t="shared" si="104"/>
        <v/>
      </c>
      <c r="F1314" s="15" t="str">
        <f t="shared" ca="1" si="105"/>
        <v/>
      </c>
      <c r="G1314" s="15" t="str">
        <f t="shared" ca="1" si="106"/>
        <v/>
      </c>
      <c r="H1314" s="15" t="str">
        <f t="shared" ca="1" si="107"/>
        <v/>
      </c>
      <c r="I1314" s="16" t="str">
        <f t="shared" ca="1" si="108"/>
        <v/>
      </c>
    </row>
    <row r="1315" spans="1:9" x14ac:dyDescent="0.3">
      <c r="A1315" s="3"/>
      <c r="B1315" s="9"/>
      <c r="C1315" s="9"/>
      <c r="E1315" s="14" t="str">
        <f t="shared" si="104"/>
        <v/>
      </c>
      <c r="F1315" s="15" t="str">
        <f t="shared" ca="1" si="105"/>
        <v/>
      </c>
      <c r="G1315" s="15" t="str">
        <f t="shared" ca="1" si="106"/>
        <v/>
      </c>
      <c r="H1315" s="15" t="str">
        <f t="shared" ca="1" si="107"/>
        <v/>
      </c>
      <c r="I1315" s="16" t="str">
        <f t="shared" ca="1" si="108"/>
        <v/>
      </c>
    </row>
    <row r="1316" spans="1:9" x14ac:dyDescent="0.3">
      <c r="A1316" s="3"/>
      <c r="B1316" s="9"/>
      <c r="C1316" s="9"/>
      <c r="E1316" s="14" t="str">
        <f t="shared" si="104"/>
        <v/>
      </c>
      <c r="F1316" s="15" t="str">
        <f t="shared" ca="1" si="105"/>
        <v/>
      </c>
      <c r="G1316" s="15" t="str">
        <f t="shared" ca="1" si="106"/>
        <v/>
      </c>
      <c r="H1316" s="15" t="str">
        <f t="shared" ca="1" si="107"/>
        <v/>
      </c>
      <c r="I1316" s="16" t="str">
        <f t="shared" ca="1" si="108"/>
        <v/>
      </c>
    </row>
    <row r="1317" spans="1:9" x14ac:dyDescent="0.3">
      <c r="A1317" s="3"/>
      <c r="B1317" s="9"/>
      <c r="C1317" s="9"/>
      <c r="E1317" s="14" t="str">
        <f t="shared" si="104"/>
        <v/>
      </c>
      <c r="F1317" s="15" t="str">
        <f t="shared" ca="1" si="105"/>
        <v/>
      </c>
      <c r="G1317" s="15" t="str">
        <f t="shared" ca="1" si="106"/>
        <v/>
      </c>
      <c r="H1317" s="15" t="str">
        <f t="shared" ca="1" si="107"/>
        <v/>
      </c>
      <c r="I1317" s="16" t="str">
        <f t="shared" ca="1" si="108"/>
        <v/>
      </c>
    </row>
    <row r="1318" spans="1:9" x14ac:dyDescent="0.3">
      <c r="A1318" s="3"/>
      <c r="B1318" s="9"/>
      <c r="C1318" s="9"/>
      <c r="E1318" s="14" t="str">
        <f t="shared" si="104"/>
        <v/>
      </c>
      <c r="F1318" s="15" t="str">
        <f t="shared" ca="1" si="105"/>
        <v/>
      </c>
      <c r="G1318" s="15" t="str">
        <f t="shared" ca="1" si="106"/>
        <v/>
      </c>
      <c r="H1318" s="15" t="str">
        <f t="shared" ca="1" si="107"/>
        <v/>
      </c>
      <c r="I1318" s="16" t="str">
        <f t="shared" ca="1" si="108"/>
        <v/>
      </c>
    </row>
    <row r="1319" spans="1:9" x14ac:dyDescent="0.3">
      <c r="A1319" s="3"/>
      <c r="B1319" s="9"/>
      <c r="C1319" s="9"/>
      <c r="E1319" s="14" t="str">
        <f t="shared" si="104"/>
        <v/>
      </c>
      <c r="F1319" s="15" t="str">
        <f t="shared" ca="1" si="105"/>
        <v/>
      </c>
      <c r="G1319" s="15" t="str">
        <f t="shared" ca="1" si="106"/>
        <v/>
      </c>
      <c r="H1319" s="15" t="str">
        <f t="shared" ca="1" si="107"/>
        <v/>
      </c>
      <c r="I1319" s="16" t="str">
        <f t="shared" ca="1" si="108"/>
        <v/>
      </c>
    </row>
    <row r="1320" spans="1:9" x14ac:dyDescent="0.3">
      <c r="A1320" s="3"/>
      <c r="B1320" s="9"/>
      <c r="C1320" s="9"/>
      <c r="E1320" s="14" t="str">
        <f t="shared" si="104"/>
        <v/>
      </c>
      <c r="F1320" s="15" t="str">
        <f t="shared" ca="1" si="105"/>
        <v/>
      </c>
      <c r="G1320" s="15" t="str">
        <f t="shared" ca="1" si="106"/>
        <v/>
      </c>
      <c r="H1320" s="15" t="str">
        <f t="shared" ca="1" si="107"/>
        <v/>
      </c>
      <c r="I1320" s="16" t="str">
        <f t="shared" ca="1" si="108"/>
        <v/>
      </c>
    </row>
    <row r="1321" spans="1:9" x14ac:dyDescent="0.3">
      <c r="A1321" s="3"/>
      <c r="B1321" s="9"/>
      <c r="C1321" s="9"/>
      <c r="E1321" s="14" t="str">
        <f t="shared" si="104"/>
        <v/>
      </c>
      <c r="F1321" s="15" t="str">
        <f t="shared" ca="1" si="105"/>
        <v/>
      </c>
      <c r="G1321" s="15" t="str">
        <f t="shared" ca="1" si="106"/>
        <v/>
      </c>
      <c r="H1321" s="15" t="str">
        <f t="shared" ca="1" si="107"/>
        <v/>
      </c>
      <c r="I1321" s="16" t="str">
        <f t="shared" ca="1" si="108"/>
        <v/>
      </c>
    </row>
    <row r="1322" spans="1:9" x14ac:dyDescent="0.3">
      <c r="A1322" s="3"/>
      <c r="B1322" s="9"/>
      <c r="C1322" s="9"/>
      <c r="E1322" s="14" t="str">
        <f t="shared" si="104"/>
        <v/>
      </c>
      <c r="F1322" s="15" t="str">
        <f t="shared" ca="1" si="105"/>
        <v/>
      </c>
      <c r="G1322" s="15" t="str">
        <f t="shared" ca="1" si="106"/>
        <v/>
      </c>
      <c r="H1322" s="15" t="str">
        <f t="shared" ca="1" si="107"/>
        <v/>
      </c>
      <c r="I1322" s="16" t="str">
        <f t="shared" ca="1" si="108"/>
        <v/>
      </c>
    </row>
    <row r="1323" spans="1:9" x14ac:dyDescent="0.3">
      <c r="A1323" s="3"/>
      <c r="B1323" s="9"/>
      <c r="C1323" s="9"/>
      <c r="E1323" s="14" t="str">
        <f t="shared" si="104"/>
        <v/>
      </c>
      <c r="F1323" s="15" t="str">
        <f t="shared" ca="1" si="105"/>
        <v/>
      </c>
      <c r="G1323" s="15" t="str">
        <f t="shared" ca="1" si="106"/>
        <v/>
      </c>
      <c r="H1323" s="15" t="str">
        <f t="shared" ca="1" si="107"/>
        <v/>
      </c>
      <c r="I1323" s="16" t="str">
        <f t="shared" ca="1" si="108"/>
        <v/>
      </c>
    </row>
    <row r="1324" spans="1:9" x14ac:dyDescent="0.3">
      <c r="A1324" s="3"/>
      <c r="B1324" s="9"/>
      <c r="C1324" s="9"/>
      <c r="E1324" s="14" t="str">
        <f t="shared" si="104"/>
        <v/>
      </c>
      <c r="F1324" s="15" t="str">
        <f t="shared" ca="1" si="105"/>
        <v/>
      </c>
      <c r="G1324" s="15" t="str">
        <f t="shared" ca="1" si="106"/>
        <v/>
      </c>
      <c r="H1324" s="15" t="str">
        <f t="shared" ca="1" si="107"/>
        <v/>
      </c>
      <c r="I1324" s="16" t="str">
        <f t="shared" ca="1" si="108"/>
        <v/>
      </c>
    </row>
    <row r="1325" spans="1:9" x14ac:dyDescent="0.3">
      <c r="A1325" s="3"/>
      <c r="B1325" s="9"/>
      <c r="C1325" s="9"/>
      <c r="E1325" s="14" t="str">
        <f t="shared" si="104"/>
        <v/>
      </c>
      <c r="F1325" s="15" t="str">
        <f t="shared" ca="1" si="105"/>
        <v/>
      </c>
      <c r="G1325" s="15" t="str">
        <f t="shared" ca="1" si="106"/>
        <v/>
      </c>
      <c r="H1325" s="15" t="str">
        <f t="shared" ca="1" si="107"/>
        <v/>
      </c>
      <c r="I1325" s="16" t="str">
        <f t="shared" ca="1" si="108"/>
        <v/>
      </c>
    </row>
    <row r="1326" spans="1:9" x14ac:dyDescent="0.3">
      <c r="A1326" s="3"/>
      <c r="B1326" s="9"/>
      <c r="C1326" s="9"/>
      <c r="E1326" s="14" t="str">
        <f t="shared" si="104"/>
        <v/>
      </c>
      <c r="F1326" s="15" t="str">
        <f t="shared" ca="1" si="105"/>
        <v/>
      </c>
      <c r="G1326" s="15" t="str">
        <f t="shared" ca="1" si="106"/>
        <v/>
      </c>
      <c r="H1326" s="15" t="str">
        <f t="shared" ca="1" si="107"/>
        <v/>
      </c>
      <c r="I1326" s="16" t="str">
        <f t="shared" ca="1" si="108"/>
        <v/>
      </c>
    </row>
    <row r="1327" spans="1:9" x14ac:dyDescent="0.3">
      <c r="A1327" s="3"/>
      <c r="B1327" s="9"/>
      <c r="C1327" s="9"/>
      <c r="E1327" s="14" t="str">
        <f t="shared" si="104"/>
        <v/>
      </c>
      <c r="F1327" s="15" t="str">
        <f t="shared" ca="1" si="105"/>
        <v/>
      </c>
      <c r="G1327" s="15" t="str">
        <f t="shared" ca="1" si="106"/>
        <v/>
      </c>
      <c r="H1327" s="15" t="str">
        <f t="shared" ca="1" si="107"/>
        <v/>
      </c>
      <c r="I1327" s="16" t="str">
        <f t="shared" ca="1" si="108"/>
        <v/>
      </c>
    </row>
    <row r="1328" spans="1:9" x14ac:dyDescent="0.3">
      <c r="A1328" s="3"/>
      <c r="B1328" s="9"/>
      <c r="C1328" s="9"/>
      <c r="E1328" s="14" t="str">
        <f t="shared" si="104"/>
        <v/>
      </c>
      <c r="F1328" s="15" t="str">
        <f t="shared" ca="1" si="105"/>
        <v/>
      </c>
      <c r="G1328" s="15" t="str">
        <f t="shared" ca="1" si="106"/>
        <v/>
      </c>
      <c r="H1328" s="15" t="str">
        <f t="shared" ca="1" si="107"/>
        <v/>
      </c>
      <c r="I1328" s="16" t="str">
        <f t="shared" ca="1" si="108"/>
        <v/>
      </c>
    </row>
    <row r="1329" spans="1:9" x14ac:dyDescent="0.3">
      <c r="A1329" s="3"/>
      <c r="B1329" s="9"/>
      <c r="C1329" s="9"/>
      <c r="E1329" s="14" t="str">
        <f t="shared" si="104"/>
        <v/>
      </c>
      <c r="F1329" s="15" t="str">
        <f t="shared" ca="1" si="105"/>
        <v/>
      </c>
      <c r="G1329" s="15" t="str">
        <f t="shared" ca="1" si="106"/>
        <v/>
      </c>
      <c r="H1329" s="15" t="str">
        <f t="shared" ca="1" si="107"/>
        <v/>
      </c>
      <c r="I1329" s="16" t="str">
        <f t="shared" ca="1" si="108"/>
        <v/>
      </c>
    </row>
    <row r="1330" spans="1:9" x14ac:dyDescent="0.3">
      <c r="A1330" s="3"/>
      <c r="B1330" s="9"/>
      <c r="C1330" s="9"/>
      <c r="E1330" s="14" t="str">
        <f t="shared" si="104"/>
        <v/>
      </c>
      <c r="F1330" s="15" t="str">
        <f t="shared" ca="1" si="105"/>
        <v/>
      </c>
      <c r="G1330" s="15" t="str">
        <f t="shared" ca="1" si="106"/>
        <v/>
      </c>
      <c r="H1330" s="15" t="str">
        <f t="shared" ca="1" si="107"/>
        <v/>
      </c>
      <c r="I1330" s="16" t="str">
        <f t="shared" ca="1" si="108"/>
        <v/>
      </c>
    </row>
    <row r="1331" spans="1:9" x14ac:dyDescent="0.3">
      <c r="A1331" s="3"/>
      <c r="B1331" s="9"/>
      <c r="C1331" s="9"/>
      <c r="E1331" s="14" t="str">
        <f t="shared" si="104"/>
        <v/>
      </c>
      <c r="F1331" s="15" t="str">
        <f t="shared" ca="1" si="105"/>
        <v/>
      </c>
      <c r="G1331" s="15" t="str">
        <f t="shared" ca="1" si="106"/>
        <v/>
      </c>
      <c r="H1331" s="15" t="str">
        <f t="shared" ca="1" si="107"/>
        <v/>
      </c>
      <c r="I1331" s="16" t="str">
        <f t="shared" ca="1" si="108"/>
        <v/>
      </c>
    </row>
    <row r="1332" spans="1:9" x14ac:dyDescent="0.3">
      <c r="A1332" s="3"/>
      <c r="B1332" s="9"/>
      <c r="C1332" s="9"/>
      <c r="E1332" s="14" t="str">
        <f t="shared" si="104"/>
        <v/>
      </c>
      <c r="F1332" s="15" t="str">
        <f t="shared" ca="1" si="105"/>
        <v/>
      </c>
      <c r="G1332" s="15" t="str">
        <f t="shared" ca="1" si="106"/>
        <v/>
      </c>
      <c r="H1332" s="15" t="str">
        <f t="shared" ca="1" si="107"/>
        <v/>
      </c>
      <c r="I1332" s="16" t="str">
        <f t="shared" ca="1" si="108"/>
        <v/>
      </c>
    </row>
    <row r="1333" spans="1:9" x14ac:dyDescent="0.3">
      <c r="A1333" s="3"/>
      <c r="B1333" s="9"/>
      <c r="C1333" s="9"/>
      <c r="E1333" s="14" t="str">
        <f t="shared" si="104"/>
        <v/>
      </c>
      <c r="F1333" s="15" t="str">
        <f t="shared" ca="1" si="105"/>
        <v/>
      </c>
      <c r="G1333" s="15" t="str">
        <f t="shared" ca="1" si="106"/>
        <v/>
      </c>
      <c r="H1333" s="15" t="str">
        <f t="shared" ca="1" si="107"/>
        <v/>
      </c>
      <c r="I1333" s="16" t="str">
        <f t="shared" ca="1" si="108"/>
        <v/>
      </c>
    </row>
    <row r="1334" spans="1:9" x14ac:dyDescent="0.3">
      <c r="A1334" s="3"/>
      <c r="B1334" s="9"/>
      <c r="C1334" s="9"/>
      <c r="E1334" s="14" t="str">
        <f t="shared" si="104"/>
        <v/>
      </c>
      <c r="F1334" s="15" t="str">
        <f t="shared" ca="1" si="105"/>
        <v/>
      </c>
      <c r="G1334" s="15" t="str">
        <f t="shared" ca="1" si="106"/>
        <v/>
      </c>
      <c r="H1334" s="15" t="str">
        <f t="shared" ca="1" si="107"/>
        <v/>
      </c>
      <c r="I1334" s="16" t="str">
        <f t="shared" ca="1" si="108"/>
        <v/>
      </c>
    </row>
    <row r="1335" spans="1:9" x14ac:dyDescent="0.3">
      <c r="A1335" s="3"/>
      <c r="B1335" s="9"/>
      <c r="C1335" s="9"/>
      <c r="E1335" s="14" t="str">
        <f t="shared" si="104"/>
        <v/>
      </c>
      <c r="F1335" s="15" t="str">
        <f t="shared" ca="1" si="105"/>
        <v/>
      </c>
      <c r="G1335" s="15" t="str">
        <f t="shared" ca="1" si="106"/>
        <v/>
      </c>
      <c r="H1335" s="15" t="str">
        <f t="shared" ca="1" si="107"/>
        <v/>
      </c>
      <c r="I1335" s="16" t="str">
        <f t="shared" ca="1" si="108"/>
        <v/>
      </c>
    </row>
    <row r="1336" spans="1:9" x14ac:dyDescent="0.3">
      <c r="A1336" s="3"/>
      <c r="B1336" s="9"/>
      <c r="C1336" s="9"/>
      <c r="E1336" s="14" t="str">
        <f t="shared" si="104"/>
        <v/>
      </c>
      <c r="F1336" s="15" t="str">
        <f t="shared" ca="1" si="105"/>
        <v/>
      </c>
      <c r="G1336" s="15" t="str">
        <f t="shared" ca="1" si="106"/>
        <v/>
      </c>
      <c r="H1336" s="15" t="str">
        <f t="shared" ca="1" si="107"/>
        <v/>
      </c>
      <c r="I1336" s="16" t="str">
        <f t="shared" ca="1" si="108"/>
        <v/>
      </c>
    </row>
    <row r="1337" spans="1:9" x14ac:dyDescent="0.3">
      <c r="A1337" s="3"/>
      <c r="B1337" s="9"/>
      <c r="C1337" s="9"/>
      <c r="E1337" s="14" t="str">
        <f t="shared" si="104"/>
        <v/>
      </c>
      <c r="F1337" s="15" t="str">
        <f t="shared" ca="1" si="105"/>
        <v/>
      </c>
      <c r="G1337" s="15" t="str">
        <f t="shared" ca="1" si="106"/>
        <v/>
      </c>
      <c r="H1337" s="15" t="str">
        <f t="shared" ca="1" si="107"/>
        <v/>
      </c>
      <c r="I1337" s="16" t="str">
        <f t="shared" ca="1" si="108"/>
        <v/>
      </c>
    </row>
    <row r="1338" spans="1:9" x14ac:dyDescent="0.3">
      <c r="A1338" s="3"/>
      <c r="B1338" s="9"/>
      <c r="C1338" s="9"/>
      <c r="E1338" s="14" t="str">
        <f t="shared" si="104"/>
        <v/>
      </c>
      <c r="F1338" s="15" t="str">
        <f t="shared" ca="1" si="105"/>
        <v/>
      </c>
      <c r="G1338" s="15" t="str">
        <f t="shared" ca="1" si="106"/>
        <v/>
      </c>
      <c r="H1338" s="15" t="str">
        <f t="shared" ca="1" si="107"/>
        <v/>
      </c>
      <c r="I1338" s="16" t="str">
        <f t="shared" ca="1" si="108"/>
        <v/>
      </c>
    </row>
    <row r="1339" spans="1:9" x14ac:dyDescent="0.3">
      <c r="A1339" s="3"/>
      <c r="B1339" s="9"/>
      <c r="C1339" s="9"/>
      <c r="E1339" s="14" t="str">
        <f t="shared" si="104"/>
        <v/>
      </c>
      <c r="F1339" s="15" t="str">
        <f t="shared" ca="1" si="105"/>
        <v/>
      </c>
      <c r="G1339" s="15" t="str">
        <f t="shared" ca="1" si="106"/>
        <v/>
      </c>
      <c r="H1339" s="15" t="str">
        <f t="shared" ca="1" si="107"/>
        <v/>
      </c>
      <c r="I1339" s="16" t="str">
        <f t="shared" ca="1" si="108"/>
        <v/>
      </c>
    </row>
    <row r="1340" spans="1:9" x14ac:dyDescent="0.3">
      <c r="A1340" s="3"/>
      <c r="B1340" s="9"/>
      <c r="C1340" s="9"/>
      <c r="E1340" s="14" t="str">
        <f t="shared" si="104"/>
        <v/>
      </c>
      <c r="F1340" s="15" t="str">
        <f t="shared" ca="1" si="105"/>
        <v/>
      </c>
      <c r="G1340" s="15" t="str">
        <f t="shared" ca="1" si="106"/>
        <v/>
      </c>
      <c r="H1340" s="15" t="str">
        <f t="shared" ca="1" si="107"/>
        <v/>
      </c>
      <c r="I1340" s="16" t="str">
        <f t="shared" ca="1" si="108"/>
        <v/>
      </c>
    </row>
    <row r="1341" spans="1:9" x14ac:dyDescent="0.3">
      <c r="A1341" s="3"/>
      <c r="B1341" s="9"/>
      <c r="C1341" s="9"/>
      <c r="E1341" s="14" t="str">
        <f t="shared" si="104"/>
        <v/>
      </c>
      <c r="F1341" s="15" t="str">
        <f t="shared" ca="1" si="105"/>
        <v/>
      </c>
      <c r="G1341" s="15" t="str">
        <f t="shared" ca="1" si="106"/>
        <v/>
      </c>
      <c r="H1341" s="15" t="str">
        <f t="shared" ca="1" si="107"/>
        <v/>
      </c>
      <c r="I1341" s="16" t="str">
        <f t="shared" ca="1" si="108"/>
        <v/>
      </c>
    </row>
    <row r="1342" spans="1:9" x14ac:dyDescent="0.3">
      <c r="A1342" s="3"/>
      <c r="B1342" s="9"/>
      <c r="C1342" s="9"/>
      <c r="E1342" s="14" t="str">
        <f t="shared" si="104"/>
        <v/>
      </c>
      <c r="F1342" s="15" t="str">
        <f t="shared" ca="1" si="105"/>
        <v/>
      </c>
      <c r="G1342" s="15" t="str">
        <f t="shared" ca="1" si="106"/>
        <v/>
      </c>
      <c r="H1342" s="15" t="str">
        <f t="shared" ca="1" si="107"/>
        <v/>
      </c>
      <c r="I1342" s="16" t="str">
        <f t="shared" ca="1" si="108"/>
        <v/>
      </c>
    </row>
    <row r="1343" spans="1:9" x14ac:dyDescent="0.3">
      <c r="A1343" s="3"/>
      <c r="B1343" s="9"/>
      <c r="C1343" s="9"/>
      <c r="E1343" s="14" t="str">
        <f t="shared" si="104"/>
        <v/>
      </c>
      <c r="F1343" s="15" t="str">
        <f t="shared" ca="1" si="105"/>
        <v/>
      </c>
      <c r="G1343" s="15" t="str">
        <f t="shared" ca="1" si="106"/>
        <v/>
      </c>
      <c r="H1343" s="15" t="str">
        <f t="shared" ca="1" si="107"/>
        <v/>
      </c>
      <c r="I1343" s="16" t="str">
        <f t="shared" ca="1" si="108"/>
        <v/>
      </c>
    </row>
    <row r="1344" spans="1:9" x14ac:dyDescent="0.3">
      <c r="A1344" s="3"/>
      <c r="B1344" s="9"/>
      <c r="C1344" s="9"/>
      <c r="E1344" s="14" t="str">
        <f t="shared" si="104"/>
        <v/>
      </c>
      <c r="F1344" s="15" t="str">
        <f t="shared" ca="1" si="105"/>
        <v/>
      </c>
      <c r="G1344" s="15" t="str">
        <f t="shared" ca="1" si="106"/>
        <v/>
      </c>
      <c r="H1344" s="15" t="str">
        <f t="shared" ca="1" si="107"/>
        <v/>
      </c>
      <c r="I1344" s="16" t="str">
        <f t="shared" ca="1" si="108"/>
        <v/>
      </c>
    </row>
    <row r="1345" spans="1:9" x14ac:dyDescent="0.3">
      <c r="A1345" s="3"/>
      <c r="B1345" s="9"/>
      <c r="C1345" s="9"/>
      <c r="E1345" s="14" t="str">
        <f t="shared" si="104"/>
        <v/>
      </c>
      <c r="F1345" s="15" t="str">
        <f t="shared" ca="1" si="105"/>
        <v/>
      </c>
      <c r="G1345" s="15" t="str">
        <f t="shared" ca="1" si="106"/>
        <v/>
      </c>
      <c r="H1345" s="15" t="str">
        <f t="shared" ca="1" si="107"/>
        <v/>
      </c>
      <c r="I1345" s="16" t="str">
        <f t="shared" ca="1" si="108"/>
        <v/>
      </c>
    </row>
    <row r="1346" spans="1:9" x14ac:dyDescent="0.3">
      <c r="A1346" s="3"/>
      <c r="B1346" s="9"/>
      <c r="C1346" s="9"/>
      <c r="E1346" s="14" t="str">
        <f t="shared" si="104"/>
        <v/>
      </c>
      <c r="F1346" s="15" t="str">
        <f t="shared" ca="1" si="105"/>
        <v/>
      </c>
      <c r="G1346" s="15" t="str">
        <f t="shared" ca="1" si="106"/>
        <v/>
      </c>
      <c r="H1346" s="15" t="str">
        <f t="shared" ca="1" si="107"/>
        <v/>
      </c>
      <c r="I1346" s="16" t="str">
        <f t="shared" ca="1" si="108"/>
        <v/>
      </c>
    </row>
    <row r="1347" spans="1:9" x14ac:dyDescent="0.3">
      <c r="A1347" s="3"/>
      <c r="B1347" s="9"/>
      <c r="C1347" s="9"/>
      <c r="E1347" s="14" t="str">
        <f t="shared" ref="E1347:E1410" si="109">IF(ISNUMBER(B1347),B1347/C1347,"")</f>
        <v/>
      </c>
      <c r="F1347" s="15" t="str">
        <f t="shared" ca="1" si="105"/>
        <v/>
      </c>
      <c r="G1347" s="15" t="str">
        <f t="shared" ca="1" si="106"/>
        <v/>
      </c>
      <c r="H1347" s="15" t="str">
        <f t="shared" ca="1" si="107"/>
        <v/>
      </c>
      <c r="I1347" s="16" t="str">
        <f t="shared" ca="1" si="108"/>
        <v/>
      </c>
    </row>
    <row r="1348" spans="1:9" x14ac:dyDescent="0.3">
      <c r="A1348" s="3"/>
      <c r="B1348" s="9"/>
      <c r="C1348" s="9"/>
      <c r="E1348" s="14" t="str">
        <f t="shared" si="109"/>
        <v/>
      </c>
      <c r="F1348" s="15" t="str">
        <f t="shared" ca="1" si="105"/>
        <v/>
      </c>
      <c r="G1348" s="15" t="str">
        <f t="shared" ca="1" si="106"/>
        <v/>
      </c>
      <c r="H1348" s="15" t="str">
        <f t="shared" ca="1" si="107"/>
        <v/>
      </c>
      <c r="I1348" s="16" t="str">
        <f t="shared" ca="1" si="108"/>
        <v/>
      </c>
    </row>
    <row r="1349" spans="1:9" x14ac:dyDescent="0.3">
      <c r="A1349" s="3"/>
      <c r="B1349" s="9"/>
      <c r="C1349" s="9"/>
      <c r="E1349" s="14" t="str">
        <f t="shared" si="109"/>
        <v/>
      </c>
      <c r="F1349" s="15" t="str">
        <f t="shared" ca="1" si="105"/>
        <v/>
      </c>
      <c r="G1349" s="15" t="str">
        <f t="shared" ca="1" si="106"/>
        <v/>
      </c>
      <c r="H1349" s="15" t="str">
        <f t="shared" ca="1" si="107"/>
        <v/>
      </c>
      <c r="I1349" s="16" t="str">
        <f t="shared" ca="1" si="108"/>
        <v/>
      </c>
    </row>
    <row r="1350" spans="1:9" x14ac:dyDescent="0.3">
      <c r="A1350" s="3"/>
      <c r="B1350" s="9"/>
      <c r="C1350" s="9"/>
      <c r="E1350" s="14" t="str">
        <f t="shared" si="109"/>
        <v/>
      </c>
      <c r="F1350" s="15" t="str">
        <f t="shared" ca="1" si="105"/>
        <v/>
      </c>
      <c r="G1350" s="15" t="str">
        <f t="shared" ca="1" si="106"/>
        <v/>
      </c>
      <c r="H1350" s="15" t="str">
        <f t="shared" ca="1" si="107"/>
        <v/>
      </c>
      <c r="I1350" s="16" t="str">
        <f t="shared" ca="1" si="108"/>
        <v/>
      </c>
    </row>
    <row r="1351" spans="1:9" x14ac:dyDescent="0.3">
      <c r="A1351" s="3"/>
      <c r="B1351" s="9"/>
      <c r="C1351" s="9"/>
      <c r="E1351" s="14" t="str">
        <f t="shared" si="109"/>
        <v/>
      </c>
      <c r="F1351" s="15" t="str">
        <f t="shared" ca="1" si="105"/>
        <v/>
      </c>
      <c r="G1351" s="15" t="str">
        <f t="shared" ca="1" si="106"/>
        <v/>
      </c>
      <c r="H1351" s="15" t="str">
        <f t="shared" ca="1" si="107"/>
        <v/>
      </c>
      <c r="I1351" s="16" t="str">
        <f t="shared" ca="1" si="108"/>
        <v/>
      </c>
    </row>
    <row r="1352" spans="1:9" x14ac:dyDescent="0.3">
      <c r="A1352" s="3"/>
      <c r="B1352" s="9"/>
      <c r="C1352" s="9"/>
      <c r="E1352" s="14" t="str">
        <f t="shared" si="109"/>
        <v/>
      </c>
      <c r="F1352" s="15" t="str">
        <f t="shared" ca="1" si="105"/>
        <v/>
      </c>
      <c r="G1352" s="15" t="str">
        <f t="shared" ca="1" si="106"/>
        <v/>
      </c>
      <c r="H1352" s="15" t="str">
        <f t="shared" ca="1" si="107"/>
        <v/>
      </c>
      <c r="I1352" s="16" t="str">
        <f t="shared" ca="1" si="108"/>
        <v/>
      </c>
    </row>
    <row r="1353" spans="1:9" x14ac:dyDescent="0.3">
      <c r="A1353" s="3"/>
      <c r="B1353" s="9"/>
      <c r="C1353" s="9"/>
      <c r="E1353" s="14" t="str">
        <f t="shared" si="109"/>
        <v/>
      </c>
      <c r="F1353" s="15" t="str">
        <f t="shared" ca="1" si="105"/>
        <v/>
      </c>
      <c r="G1353" s="15" t="str">
        <f t="shared" ca="1" si="106"/>
        <v/>
      </c>
      <c r="H1353" s="15" t="str">
        <f t="shared" ca="1" si="107"/>
        <v/>
      </c>
      <c r="I1353" s="16" t="str">
        <f t="shared" ca="1" si="108"/>
        <v/>
      </c>
    </row>
    <row r="1354" spans="1:9" x14ac:dyDescent="0.3">
      <c r="A1354" s="3"/>
      <c r="B1354" s="9"/>
      <c r="C1354" s="9"/>
      <c r="E1354" s="14" t="str">
        <f t="shared" si="109"/>
        <v/>
      </c>
      <c r="F1354" s="15" t="str">
        <f t="shared" ca="1" si="105"/>
        <v/>
      </c>
      <c r="G1354" s="15" t="str">
        <f t="shared" ca="1" si="106"/>
        <v/>
      </c>
      <c r="H1354" s="15" t="str">
        <f t="shared" ca="1" si="107"/>
        <v/>
      </c>
      <c r="I1354" s="16" t="str">
        <f t="shared" ca="1" si="108"/>
        <v/>
      </c>
    </row>
    <row r="1355" spans="1:9" x14ac:dyDescent="0.3">
      <c r="A1355" s="3"/>
      <c r="B1355" s="9"/>
      <c r="C1355" s="9"/>
      <c r="E1355" s="14" t="str">
        <f t="shared" si="109"/>
        <v/>
      </c>
      <c r="F1355" s="15" t="str">
        <f t="shared" ca="1" si="105"/>
        <v/>
      </c>
      <c r="G1355" s="15" t="str">
        <f t="shared" ca="1" si="106"/>
        <v/>
      </c>
      <c r="H1355" s="15" t="str">
        <f t="shared" ca="1" si="107"/>
        <v/>
      </c>
      <c r="I1355" s="16" t="str">
        <f t="shared" ca="1" si="108"/>
        <v/>
      </c>
    </row>
    <row r="1356" spans="1:9" x14ac:dyDescent="0.3">
      <c r="A1356" s="3"/>
      <c r="B1356" s="9"/>
      <c r="C1356" s="9"/>
      <c r="E1356" s="14" t="str">
        <f t="shared" si="109"/>
        <v/>
      </c>
      <c r="F1356" s="15" t="str">
        <f t="shared" ca="1" si="105"/>
        <v/>
      </c>
      <c r="G1356" s="15" t="str">
        <f t="shared" ca="1" si="106"/>
        <v/>
      </c>
      <c r="H1356" s="15" t="str">
        <f t="shared" ca="1" si="107"/>
        <v/>
      </c>
      <c r="I1356" s="16" t="str">
        <f t="shared" ca="1" si="108"/>
        <v/>
      </c>
    </row>
    <row r="1357" spans="1:9" x14ac:dyDescent="0.3">
      <c r="A1357" s="3"/>
      <c r="B1357" s="9"/>
      <c r="C1357" s="9"/>
      <c r="E1357" s="14" t="str">
        <f t="shared" si="109"/>
        <v/>
      </c>
      <c r="F1357" s="15" t="str">
        <f t="shared" ca="1" si="105"/>
        <v/>
      </c>
      <c r="G1357" s="15" t="str">
        <f t="shared" ca="1" si="106"/>
        <v/>
      </c>
      <c r="H1357" s="15" t="str">
        <f t="shared" ca="1" si="107"/>
        <v/>
      </c>
      <c r="I1357" s="16" t="str">
        <f t="shared" ca="1" si="108"/>
        <v/>
      </c>
    </row>
    <row r="1358" spans="1:9" x14ac:dyDescent="0.3">
      <c r="A1358" s="3"/>
      <c r="B1358" s="9"/>
      <c r="C1358" s="9"/>
      <c r="E1358" s="14" t="str">
        <f t="shared" si="109"/>
        <v/>
      </c>
      <c r="F1358" s="15" t="str">
        <f t="shared" ca="1" si="105"/>
        <v/>
      </c>
      <c r="G1358" s="15" t="str">
        <f t="shared" ca="1" si="106"/>
        <v/>
      </c>
      <c r="H1358" s="15" t="str">
        <f t="shared" ca="1" si="107"/>
        <v/>
      </c>
      <c r="I1358" s="16" t="str">
        <f t="shared" ca="1" si="108"/>
        <v/>
      </c>
    </row>
    <row r="1359" spans="1:9" x14ac:dyDescent="0.3">
      <c r="A1359" s="3"/>
      <c r="B1359" s="9"/>
      <c r="C1359" s="9"/>
      <c r="E1359" s="14" t="str">
        <f t="shared" si="109"/>
        <v/>
      </c>
      <c r="F1359" s="15" t="str">
        <f t="shared" ca="1" si="105"/>
        <v/>
      </c>
      <c r="G1359" s="15" t="str">
        <f t="shared" ca="1" si="106"/>
        <v/>
      </c>
      <c r="H1359" s="15" t="str">
        <f t="shared" ca="1" si="107"/>
        <v/>
      </c>
      <c r="I1359" s="16" t="str">
        <f t="shared" ca="1" si="108"/>
        <v/>
      </c>
    </row>
    <row r="1360" spans="1:9" x14ac:dyDescent="0.3">
      <c r="A1360" s="3"/>
      <c r="B1360" s="9"/>
      <c r="C1360" s="9"/>
      <c r="E1360" s="14" t="str">
        <f t="shared" si="109"/>
        <v/>
      </c>
      <c r="F1360" s="15" t="str">
        <f t="shared" ca="1" si="105"/>
        <v/>
      </c>
      <c r="G1360" s="15" t="str">
        <f t="shared" ca="1" si="106"/>
        <v/>
      </c>
      <c r="H1360" s="15" t="str">
        <f t="shared" ca="1" si="107"/>
        <v/>
      </c>
      <c r="I1360" s="16" t="str">
        <f t="shared" ca="1" si="108"/>
        <v/>
      </c>
    </row>
    <row r="1361" spans="1:9" x14ac:dyDescent="0.3">
      <c r="A1361" s="3"/>
      <c r="B1361" s="9"/>
      <c r="C1361" s="9"/>
      <c r="E1361" s="14" t="str">
        <f t="shared" si="109"/>
        <v/>
      </c>
      <c r="F1361" s="15" t="str">
        <f t="shared" ref="F1361:F1424" ca="1" si="110">IF(ISNUMBER(E1361),IF(ROW(E1361)&gt;$K$1,AVERAGE(OFFSET(E1361,0,0,-$K$1)),""),"")</f>
        <v/>
      </c>
      <c r="G1361" s="15" t="str">
        <f t="shared" ref="G1361:G1424" ca="1" si="111">IF(ISNUMBER(I1361),F1361+I1361*$M$1,"")</f>
        <v/>
      </c>
      <c r="H1361" s="15" t="str">
        <f t="shared" ref="H1361:H1424" ca="1" si="112">IF(ISNUMBER(I1361),F1361-I1361*$M$1,"")</f>
        <v/>
      </c>
      <c r="I1361" s="16" t="str">
        <f t="shared" ref="I1361:I1424" ca="1" si="113">IF(ISNUMBER(E1361),IF(ROW(E1361)&gt;$K$1,_xlfn.STDEV.P(OFFSET(E1361,0,0,-$K$1)),""),"")</f>
        <v/>
      </c>
    </row>
    <row r="1362" spans="1:9" x14ac:dyDescent="0.3">
      <c r="A1362" s="3"/>
      <c r="B1362" s="9"/>
      <c r="C1362" s="9"/>
      <c r="E1362" s="14" t="str">
        <f t="shared" si="109"/>
        <v/>
      </c>
      <c r="F1362" s="15" t="str">
        <f t="shared" ca="1" si="110"/>
        <v/>
      </c>
      <c r="G1362" s="15" t="str">
        <f t="shared" ca="1" si="111"/>
        <v/>
      </c>
      <c r="H1362" s="15" t="str">
        <f t="shared" ca="1" si="112"/>
        <v/>
      </c>
      <c r="I1362" s="16" t="str">
        <f t="shared" ca="1" si="113"/>
        <v/>
      </c>
    </row>
    <row r="1363" spans="1:9" x14ac:dyDescent="0.3">
      <c r="A1363" s="3"/>
      <c r="B1363" s="9"/>
      <c r="C1363" s="9"/>
      <c r="E1363" s="14" t="str">
        <f t="shared" si="109"/>
        <v/>
      </c>
      <c r="F1363" s="15" t="str">
        <f t="shared" ca="1" si="110"/>
        <v/>
      </c>
      <c r="G1363" s="15" t="str">
        <f t="shared" ca="1" si="111"/>
        <v/>
      </c>
      <c r="H1363" s="15" t="str">
        <f t="shared" ca="1" si="112"/>
        <v/>
      </c>
      <c r="I1363" s="16" t="str">
        <f t="shared" ca="1" si="113"/>
        <v/>
      </c>
    </row>
    <row r="1364" spans="1:9" x14ac:dyDescent="0.3">
      <c r="A1364" s="3"/>
      <c r="B1364" s="9"/>
      <c r="C1364" s="9"/>
      <c r="E1364" s="14" t="str">
        <f t="shared" si="109"/>
        <v/>
      </c>
      <c r="F1364" s="15" t="str">
        <f t="shared" ca="1" si="110"/>
        <v/>
      </c>
      <c r="G1364" s="15" t="str">
        <f t="shared" ca="1" si="111"/>
        <v/>
      </c>
      <c r="H1364" s="15" t="str">
        <f t="shared" ca="1" si="112"/>
        <v/>
      </c>
      <c r="I1364" s="16" t="str">
        <f t="shared" ca="1" si="113"/>
        <v/>
      </c>
    </row>
    <row r="1365" spans="1:9" x14ac:dyDescent="0.3">
      <c r="A1365" s="3"/>
      <c r="B1365" s="9"/>
      <c r="C1365" s="9"/>
      <c r="E1365" s="14" t="str">
        <f t="shared" si="109"/>
        <v/>
      </c>
      <c r="F1365" s="15" t="str">
        <f t="shared" ca="1" si="110"/>
        <v/>
      </c>
      <c r="G1365" s="15" t="str">
        <f t="shared" ca="1" si="111"/>
        <v/>
      </c>
      <c r="H1365" s="15" t="str">
        <f t="shared" ca="1" si="112"/>
        <v/>
      </c>
      <c r="I1365" s="16" t="str">
        <f t="shared" ca="1" si="113"/>
        <v/>
      </c>
    </row>
    <row r="1366" spans="1:9" x14ac:dyDescent="0.3">
      <c r="A1366" s="3"/>
      <c r="B1366" s="9"/>
      <c r="C1366" s="9"/>
      <c r="E1366" s="14" t="str">
        <f t="shared" si="109"/>
        <v/>
      </c>
      <c r="F1366" s="15" t="str">
        <f t="shared" ca="1" si="110"/>
        <v/>
      </c>
      <c r="G1366" s="15" t="str">
        <f t="shared" ca="1" si="111"/>
        <v/>
      </c>
      <c r="H1366" s="15" t="str">
        <f t="shared" ca="1" si="112"/>
        <v/>
      </c>
      <c r="I1366" s="16" t="str">
        <f t="shared" ca="1" si="113"/>
        <v/>
      </c>
    </row>
    <row r="1367" spans="1:9" x14ac:dyDescent="0.3">
      <c r="A1367" s="3"/>
      <c r="B1367" s="9"/>
      <c r="C1367" s="9"/>
      <c r="E1367" s="14" t="str">
        <f t="shared" si="109"/>
        <v/>
      </c>
      <c r="F1367" s="15" t="str">
        <f t="shared" ca="1" si="110"/>
        <v/>
      </c>
      <c r="G1367" s="15" t="str">
        <f t="shared" ca="1" si="111"/>
        <v/>
      </c>
      <c r="H1367" s="15" t="str">
        <f t="shared" ca="1" si="112"/>
        <v/>
      </c>
      <c r="I1367" s="16" t="str">
        <f t="shared" ca="1" si="113"/>
        <v/>
      </c>
    </row>
    <row r="1368" spans="1:9" x14ac:dyDescent="0.3">
      <c r="A1368" s="3"/>
      <c r="B1368" s="9"/>
      <c r="C1368" s="9"/>
      <c r="E1368" s="14" t="str">
        <f t="shared" si="109"/>
        <v/>
      </c>
      <c r="F1368" s="15" t="str">
        <f t="shared" ca="1" si="110"/>
        <v/>
      </c>
      <c r="G1368" s="15" t="str">
        <f t="shared" ca="1" si="111"/>
        <v/>
      </c>
      <c r="H1368" s="15" t="str">
        <f t="shared" ca="1" si="112"/>
        <v/>
      </c>
      <c r="I1368" s="16" t="str">
        <f t="shared" ca="1" si="113"/>
        <v/>
      </c>
    </row>
    <row r="1369" spans="1:9" x14ac:dyDescent="0.3">
      <c r="A1369" s="3"/>
      <c r="B1369" s="9"/>
      <c r="C1369" s="9"/>
      <c r="E1369" s="14" t="str">
        <f t="shared" si="109"/>
        <v/>
      </c>
      <c r="F1369" s="15" t="str">
        <f t="shared" ca="1" si="110"/>
        <v/>
      </c>
      <c r="G1369" s="15" t="str">
        <f t="shared" ca="1" si="111"/>
        <v/>
      </c>
      <c r="H1369" s="15" t="str">
        <f t="shared" ca="1" si="112"/>
        <v/>
      </c>
      <c r="I1369" s="16" t="str">
        <f t="shared" ca="1" si="113"/>
        <v/>
      </c>
    </row>
    <row r="1370" spans="1:9" x14ac:dyDescent="0.3">
      <c r="A1370" s="3"/>
      <c r="B1370" s="9"/>
      <c r="C1370" s="9"/>
      <c r="E1370" s="14" t="str">
        <f t="shared" si="109"/>
        <v/>
      </c>
      <c r="F1370" s="15" t="str">
        <f t="shared" ca="1" si="110"/>
        <v/>
      </c>
      <c r="G1370" s="15" t="str">
        <f t="shared" ca="1" si="111"/>
        <v/>
      </c>
      <c r="H1370" s="15" t="str">
        <f t="shared" ca="1" si="112"/>
        <v/>
      </c>
      <c r="I1370" s="16" t="str">
        <f t="shared" ca="1" si="113"/>
        <v/>
      </c>
    </row>
    <row r="1371" spans="1:9" x14ac:dyDescent="0.3">
      <c r="A1371" s="3"/>
      <c r="B1371" s="9"/>
      <c r="C1371" s="9"/>
      <c r="E1371" s="14" t="str">
        <f t="shared" si="109"/>
        <v/>
      </c>
      <c r="F1371" s="15" t="str">
        <f t="shared" ca="1" si="110"/>
        <v/>
      </c>
      <c r="G1371" s="15" t="str">
        <f t="shared" ca="1" si="111"/>
        <v/>
      </c>
      <c r="H1371" s="15" t="str">
        <f t="shared" ca="1" si="112"/>
        <v/>
      </c>
      <c r="I1371" s="16" t="str">
        <f t="shared" ca="1" si="113"/>
        <v/>
      </c>
    </row>
    <row r="1372" spans="1:9" x14ac:dyDescent="0.3">
      <c r="A1372" s="3"/>
      <c r="B1372" s="9"/>
      <c r="C1372" s="9"/>
      <c r="E1372" s="14" t="str">
        <f t="shared" si="109"/>
        <v/>
      </c>
      <c r="F1372" s="15" t="str">
        <f t="shared" ca="1" si="110"/>
        <v/>
      </c>
      <c r="G1372" s="15" t="str">
        <f t="shared" ca="1" si="111"/>
        <v/>
      </c>
      <c r="H1372" s="15" t="str">
        <f t="shared" ca="1" si="112"/>
        <v/>
      </c>
      <c r="I1372" s="16" t="str">
        <f t="shared" ca="1" si="113"/>
        <v/>
      </c>
    </row>
    <row r="1373" spans="1:9" x14ac:dyDescent="0.3">
      <c r="A1373" s="3"/>
      <c r="B1373" s="9"/>
      <c r="C1373" s="9"/>
      <c r="E1373" s="14" t="str">
        <f t="shared" si="109"/>
        <v/>
      </c>
      <c r="F1373" s="15" t="str">
        <f t="shared" ca="1" si="110"/>
        <v/>
      </c>
      <c r="G1373" s="15" t="str">
        <f t="shared" ca="1" si="111"/>
        <v/>
      </c>
      <c r="H1373" s="15" t="str">
        <f t="shared" ca="1" si="112"/>
        <v/>
      </c>
      <c r="I1373" s="16" t="str">
        <f t="shared" ca="1" si="113"/>
        <v/>
      </c>
    </row>
    <row r="1374" spans="1:9" x14ac:dyDescent="0.3">
      <c r="A1374" s="3"/>
      <c r="B1374" s="9"/>
      <c r="C1374" s="9"/>
      <c r="E1374" s="14" t="str">
        <f t="shared" si="109"/>
        <v/>
      </c>
      <c r="F1374" s="15" t="str">
        <f t="shared" ca="1" si="110"/>
        <v/>
      </c>
      <c r="G1374" s="15" t="str">
        <f t="shared" ca="1" si="111"/>
        <v/>
      </c>
      <c r="H1374" s="15" t="str">
        <f t="shared" ca="1" si="112"/>
        <v/>
      </c>
      <c r="I1374" s="16" t="str">
        <f t="shared" ca="1" si="113"/>
        <v/>
      </c>
    </row>
    <row r="1375" spans="1:9" x14ac:dyDescent="0.3">
      <c r="A1375" s="3"/>
      <c r="B1375" s="9"/>
      <c r="C1375" s="9"/>
      <c r="E1375" s="14" t="str">
        <f t="shared" si="109"/>
        <v/>
      </c>
      <c r="F1375" s="15" t="str">
        <f t="shared" ca="1" si="110"/>
        <v/>
      </c>
      <c r="G1375" s="15" t="str">
        <f t="shared" ca="1" si="111"/>
        <v/>
      </c>
      <c r="H1375" s="15" t="str">
        <f t="shared" ca="1" si="112"/>
        <v/>
      </c>
      <c r="I1375" s="16" t="str">
        <f t="shared" ca="1" si="113"/>
        <v/>
      </c>
    </row>
    <row r="1376" spans="1:9" x14ac:dyDescent="0.3">
      <c r="A1376" s="3"/>
      <c r="B1376" s="9"/>
      <c r="C1376" s="9"/>
      <c r="E1376" s="14" t="str">
        <f t="shared" si="109"/>
        <v/>
      </c>
      <c r="F1376" s="15" t="str">
        <f t="shared" ca="1" si="110"/>
        <v/>
      </c>
      <c r="G1376" s="15" t="str">
        <f t="shared" ca="1" si="111"/>
        <v/>
      </c>
      <c r="H1376" s="15" t="str">
        <f t="shared" ca="1" si="112"/>
        <v/>
      </c>
      <c r="I1376" s="16" t="str">
        <f t="shared" ca="1" si="113"/>
        <v/>
      </c>
    </row>
    <row r="1377" spans="1:9" x14ac:dyDescent="0.3">
      <c r="A1377" s="3"/>
      <c r="B1377" s="9"/>
      <c r="C1377" s="9"/>
      <c r="E1377" s="14" t="str">
        <f t="shared" si="109"/>
        <v/>
      </c>
      <c r="F1377" s="15" t="str">
        <f t="shared" ca="1" si="110"/>
        <v/>
      </c>
      <c r="G1377" s="15" t="str">
        <f t="shared" ca="1" si="111"/>
        <v/>
      </c>
      <c r="H1377" s="15" t="str">
        <f t="shared" ca="1" si="112"/>
        <v/>
      </c>
      <c r="I1377" s="16" t="str">
        <f t="shared" ca="1" si="113"/>
        <v/>
      </c>
    </row>
    <row r="1378" spans="1:9" x14ac:dyDescent="0.3">
      <c r="A1378" s="3"/>
      <c r="B1378" s="9"/>
      <c r="C1378" s="9"/>
      <c r="E1378" s="14" t="str">
        <f t="shared" si="109"/>
        <v/>
      </c>
      <c r="F1378" s="15" t="str">
        <f t="shared" ca="1" si="110"/>
        <v/>
      </c>
      <c r="G1378" s="15" t="str">
        <f t="shared" ca="1" si="111"/>
        <v/>
      </c>
      <c r="H1378" s="15" t="str">
        <f t="shared" ca="1" si="112"/>
        <v/>
      </c>
      <c r="I1378" s="16" t="str">
        <f t="shared" ca="1" si="113"/>
        <v/>
      </c>
    </row>
    <row r="1379" spans="1:9" x14ac:dyDescent="0.3">
      <c r="A1379" s="3"/>
      <c r="B1379" s="9"/>
      <c r="C1379" s="9"/>
      <c r="E1379" s="14" t="str">
        <f t="shared" si="109"/>
        <v/>
      </c>
      <c r="F1379" s="15" t="str">
        <f t="shared" ca="1" si="110"/>
        <v/>
      </c>
      <c r="G1379" s="15" t="str">
        <f t="shared" ca="1" si="111"/>
        <v/>
      </c>
      <c r="H1379" s="15" t="str">
        <f t="shared" ca="1" si="112"/>
        <v/>
      </c>
      <c r="I1379" s="16" t="str">
        <f t="shared" ca="1" si="113"/>
        <v/>
      </c>
    </row>
    <row r="1380" spans="1:9" x14ac:dyDescent="0.3">
      <c r="A1380" s="3"/>
      <c r="B1380" s="9"/>
      <c r="C1380" s="9"/>
      <c r="E1380" s="14" t="str">
        <f t="shared" si="109"/>
        <v/>
      </c>
      <c r="F1380" s="15" t="str">
        <f t="shared" ca="1" si="110"/>
        <v/>
      </c>
      <c r="G1380" s="15" t="str">
        <f t="shared" ca="1" si="111"/>
        <v/>
      </c>
      <c r="H1380" s="15" t="str">
        <f t="shared" ca="1" si="112"/>
        <v/>
      </c>
      <c r="I1380" s="16" t="str">
        <f t="shared" ca="1" si="113"/>
        <v/>
      </c>
    </row>
    <row r="1381" spans="1:9" x14ac:dyDescent="0.3">
      <c r="A1381" s="3"/>
      <c r="B1381" s="9"/>
      <c r="C1381" s="9"/>
      <c r="E1381" s="14" t="str">
        <f t="shared" si="109"/>
        <v/>
      </c>
      <c r="F1381" s="15" t="str">
        <f t="shared" ca="1" si="110"/>
        <v/>
      </c>
      <c r="G1381" s="15" t="str">
        <f t="shared" ca="1" si="111"/>
        <v/>
      </c>
      <c r="H1381" s="15" t="str">
        <f t="shared" ca="1" si="112"/>
        <v/>
      </c>
      <c r="I1381" s="16" t="str">
        <f t="shared" ca="1" si="113"/>
        <v/>
      </c>
    </row>
    <row r="1382" spans="1:9" x14ac:dyDescent="0.3">
      <c r="A1382" s="3"/>
      <c r="B1382" s="9"/>
      <c r="C1382" s="9"/>
      <c r="E1382" s="14" t="str">
        <f t="shared" si="109"/>
        <v/>
      </c>
      <c r="F1382" s="15" t="str">
        <f t="shared" ca="1" si="110"/>
        <v/>
      </c>
      <c r="G1382" s="15" t="str">
        <f t="shared" ca="1" si="111"/>
        <v/>
      </c>
      <c r="H1382" s="15" t="str">
        <f t="shared" ca="1" si="112"/>
        <v/>
      </c>
      <c r="I1382" s="16" t="str">
        <f t="shared" ca="1" si="113"/>
        <v/>
      </c>
    </row>
    <row r="1383" spans="1:9" x14ac:dyDescent="0.3">
      <c r="A1383" s="3"/>
      <c r="B1383" s="9"/>
      <c r="C1383" s="9"/>
      <c r="E1383" s="14" t="str">
        <f t="shared" si="109"/>
        <v/>
      </c>
      <c r="F1383" s="15" t="str">
        <f t="shared" ca="1" si="110"/>
        <v/>
      </c>
      <c r="G1383" s="15" t="str">
        <f t="shared" ca="1" si="111"/>
        <v/>
      </c>
      <c r="H1383" s="15" t="str">
        <f t="shared" ca="1" si="112"/>
        <v/>
      </c>
      <c r="I1383" s="16" t="str">
        <f t="shared" ca="1" si="113"/>
        <v/>
      </c>
    </row>
    <row r="1384" spans="1:9" x14ac:dyDescent="0.3">
      <c r="A1384" s="3"/>
      <c r="B1384" s="9"/>
      <c r="C1384" s="9"/>
      <c r="E1384" s="14" t="str">
        <f t="shared" si="109"/>
        <v/>
      </c>
      <c r="F1384" s="15" t="str">
        <f t="shared" ca="1" si="110"/>
        <v/>
      </c>
      <c r="G1384" s="15" t="str">
        <f t="shared" ca="1" si="111"/>
        <v/>
      </c>
      <c r="H1384" s="15" t="str">
        <f t="shared" ca="1" si="112"/>
        <v/>
      </c>
      <c r="I1384" s="16" t="str">
        <f t="shared" ca="1" si="113"/>
        <v/>
      </c>
    </row>
    <row r="1385" spans="1:9" x14ac:dyDescent="0.3">
      <c r="A1385" s="3"/>
      <c r="B1385" s="9"/>
      <c r="C1385" s="9"/>
      <c r="E1385" s="14" t="str">
        <f t="shared" si="109"/>
        <v/>
      </c>
      <c r="F1385" s="15" t="str">
        <f t="shared" ca="1" si="110"/>
        <v/>
      </c>
      <c r="G1385" s="15" t="str">
        <f t="shared" ca="1" si="111"/>
        <v/>
      </c>
      <c r="H1385" s="15" t="str">
        <f t="shared" ca="1" si="112"/>
        <v/>
      </c>
      <c r="I1385" s="16" t="str">
        <f t="shared" ca="1" si="113"/>
        <v/>
      </c>
    </row>
    <row r="1386" spans="1:9" x14ac:dyDescent="0.3">
      <c r="A1386" s="3"/>
      <c r="B1386" s="9"/>
      <c r="C1386" s="9"/>
      <c r="E1386" s="14" t="str">
        <f t="shared" si="109"/>
        <v/>
      </c>
      <c r="F1386" s="15" t="str">
        <f t="shared" ca="1" si="110"/>
        <v/>
      </c>
      <c r="G1386" s="15" t="str">
        <f t="shared" ca="1" si="111"/>
        <v/>
      </c>
      <c r="H1386" s="15" t="str">
        <f t="shared" ca="1" si="112"/>
        <v/>
      </c>
      <c r="I1386" s="16" t="str">
        <f t="shared" ca="1" si="113"/>
        <v/>
      </c>
    </row>
    <row r="1387" spans="1:9" x14ac:dyDescent="0.3">
      <c r="A1387" s="3"/>
      <c r="B1387" s="9"/>
      <c r="C1387" s="9"/>
      <c r="E1387" s="14" t="str">
        <f t="shared" si="109"/>
        <v/>
      </c>
      <c r="F1387" s="15" t="str">
        <f t="shared" ca="1" si="110"/>
        <v/>
      </c>
      <c r="G1387" s="15" t="str">
        <f t="shared" ca="1" si="111"/>
        <v/>
      </c>
      <c r="H1387" s="15" t="str">
        <f t="shared" ca="1" si="112"/>
        <v/>
      </c>
      <c r="I1387" s="16" t="str">
        <f t="shared" ca="1" si="113"/>
        <v/>
      </c>
    </row>
    <row r="1388" spans="1:9" x14ac:dyDescent="0.3">
      <c r="A1388" s="3"/>
      <c r="B1388" s="9"/>
      <c r="C1388" s="9"/>
      <c r="E1388" s="14" t="str">
        <f t="shared" si="109"/>
        <v/>
      </c>
      <c r="F1388" s="15" t="str">
        <f t="shared" ca="1" si="110"/>
        <v/>
      </c>
      <c r="G1388" s="15" t="str">
        <f t="shared" ca="1" si="111"/>
        <v/>
      </c>
      <c r="H1388" s="15" t="str">
        <f t="shared" ca="1" si="112"/>
        <v/>
      </c>
      <c r="I1388" s="16" t="str">
        <f t="shared" ca="1" si="113"/>
        <v/>
      </c>
    </row>
    <row r="1389" spans="1:9" x14ac:dyDescent="0.3">
      <c r="A1389" s="3"/>
      <c r="B1389" s="9"/>
      <c r="C1389" s="9"/>
      <c r="E1389" s="14" t="str">
        <f t="shared" si="109"/>
        <v/>
      </c>
      <c r="F1389" s="15" t="str">
        <f t="shared" ca="1" si="110"/>
        <v/>
      </c>
      <c r="G1389" s="15" t="str">
        <f t="shared" ca="1" si="111"/>
        <v/>
      </c>
      <c r="H1389" s="15" t="str">
        <f t="shared" ca="1" si="112"/>
        <v/>
      </c>
      <c r="I1389" s="16" t="str">
        <f t="shared" ca="1" si="113"/>
        <v/>
      </c>
    </row>
    <row r="1390" spans="1:9" x14ac:dyDescent="0.3">
      <c r="A1390" s="3"/>
      <c r="B1390" s="9"/>
      <c r="C1390" s="9"/>
      <c r="E1390" s="14" t="str">
        <f t="shared" si="109"/>
        <v/>
      </c>
      <c r="F1390" s="15" t="str">
        <f t="shared" ca="1" si="110"/>
        <v/>
      </c>
      <c r="G1390" s="15" t="str">
        <f t="shared" ca="1" si="111"/>
        <v/>
      </c>
      <c r="H1390" s="15" t="str">
        <f t="shared" ca="1" si="112"/>
        <v/>
      </c>
      <c r="I1390" s="16" t="str">
        <f t="shared" ca="1" si="113"/>
        <v/>
      </c>
    </row>
    <row r="1391" spans="1:9" x14ac:dyDescent="0.3">
      <c r="A1391" s="3"/>
      <c r="B1391" s="9"/>
      <c r="C1391" s="9"/>
      <c r="E1391" s="14" t="str">
        <f t="shared" si="109"/>
        <v/>
      </c>
      <c r="F1391" s="15" t="str">
        <f t="shared" ca="1" si="110"/>
        <v/>
      </c>
      <c r="G1391" s="15" t="str">
        <f t="shared" ca="1" si="111"/>
        <v/>
      </c>
      <c r="H1391" s="15" t="str">
        <f t="shared" ca="1" si="112"/>
        <v/>
      </c>
      <c r="I1391" s="16" t="str">
        <f t="shared" ca="1" si="113"/>
        <v/>
      </c>
    </row>
    <row r="1392" spans="1:9" x14ac:dyDescent="0.3">
      <c r="A1392" s="3"/>
      <c r="B1392" s="9"/>
      <c r="C1392" s="9"/>
      <c r="E1392" s="14" t="str">
        <f t="shared" si="109"/>
        <v/>
      </c>
      <c r="F1392" s="15" t="str">
        <f t="shared" ca="1" si="110"/>
        <v/>
      </c>
      <c r="G1392" s="15" t="str">
        <f t="shared" ca="1" si="111"/>
        <v/>
      </c>
      <c r="H1392" s="15" t="str">
        <f t="shared" ca="1" si="112"/>
        <v/>
      </c>
      <c r="I1392" s="16" t="str">
        <f t="shared" ca="1" si="113"/>
        <v/>
      </c>
    </row>
    <row r="1393" spans="1:9" x14ac:dyDescent="0.3">
      <c r="A1393" s="3"/>
      <c r="B1393" s="9"/>
      <c r="C1393" s="9"/>
      <c r="E1393" s="14" t="str">
        <f t="shared" si="109"/>
        <v/>
      </c>
      <c r="F1393" s="15" t="str">
        <f t="shared" ca="1" si="110"/>
        <v/>
      </c>
      <c r="G1393" s="15" t="str">
        <f t="shared" ca="1" si="111"/>
        <v/>
      </c>
      <c r="H1393" s="15" t="str">
        <f t="shared" ca="1" si="112"/>
        <v/>
      </c>
      <c r="I1393" s="16" t="str">
        <f t="shared" ca="1" si="113"/>
        <v/>
      </c>
    </row>
    <row r="1394" spans="1:9" x14ac:dyDescent="0.3">
      <c r="A1394" s="3"/>
      <c r="B1394" s="9"/>
      <c r="C1394" s="9"/>
      <c r="E1394" s="14" t="str">
        <f t="shared" si="109"/>
        <v/>
      </c>
      <c r="F1394" s="15" t="str">
        <f t="shared" ca="1" si="110"/>
        <v/>
      </c>
      <c r="G1394" s="15" t="str">
        <f t="shared" ca="1" si="111"/>
        <v/>
      </c>
      <c r="H1394" s="15" t="str">
        <f t="shared" ca="1" si="112"/>
        <v/>
      </c>
      <c r="I1394" s="16" t="str">
        <f t="shared" ca="1" si="113"/>
        <v/>
      </c>
    </row>
    <row r="1395" spans="1:9" x14ac:dyDescent="0.3">
      <c r="A1395" s="3"/>
      <c r="B1395" s="9"/>
      <c r="C1395" s="9"/>
      <c r="E1395" s="14" t="str">
        <f t="shared" si="109"/>
        <v/>
      </c>
      <c r="F1395" s="15" t="str">
        <f t="shared" ca="1" si="110"/>
        <v/>
      </c>
      <c r="G1395" s="15" t="str">
        <f t="shared" ca="1" si="111"/>
        <v/>
      </c>
      <c r="H1395" s="15" t="str">
        <f t="shared" ca="1" si="112"/>
        <v/>
      </c>
      <c r="I1395" s="16" t="str">
        <f t="shared" ca="1" si="113"/>
        <v/>
      </c>
    </row>
    <row r="1396" spans="1:9" x14ac:dyDescent="0.3">
      <c r="A1396" s="3"/>
      <c r="B1396" s="9"/>
      <c r="C1396" s="9"/>
      <c r="E1396" s="14" t="str">
        <f t="shared" si="109"/>
        <v/>
      </c>
      <c r="F1396" s="15" t="str">
        <f t="shared" ca="1" si="110"/>
        <v/>
      </c>
      <c r="G1396" s="15" t="str">
        <f t="shared" ca="1" si="111"/>
        <v/>
      </c>
      <c r="H1396" s="15" t="str">
        <f t="shared" ca="1" si="112"/>
        <v/>
      </c>
      <c r="I1396" s="16" t="str">
        <f t="shared" ca="1" si="113"/>
        <v/>
      </c>
    </row>
    <row r="1397" spans="1:9" x14ac:dyDescent="0.3">
      <c r="A1397" s="3"/>
      <c r="B1397" s="9"/>
      <c r="C1397" s="9"/>
      <c r="E1397" s="14" t="str">
        <f t="shared" si="109"/>
        <v/>
      </c>
      <c r="F1397" s="15" t="str">
        <f t="shared" ca="1" si="110"/>
        <v/>
      </c>
      <c r="G1397" s="15" t="str">
        <f t="shared" ca="1" si="111"/>
        <v/>
      </c>
      <c r="H1397" s="15" t="str">
        <f t="shared" ca="1" si="112"/>
        <v/>
      </c>
      <c r="I1397" s="16" t="str">
        <f t="shared" ca="1" si="113"/>
        <v/>
      </c>
    </row>
    <row r="1398" spans="1:9" x14ac:dyDescent="0.3">
      <c r="A1398" s="3"/>
      <c r="B1398" s="9"/>
      <c r="C1398" s="9"/>
      <c r="E1398" s="14" t="str">
        <f t="shared" si="109"/>
        <v/>
      </c>
      <c r="F1398" s="15" t="str">
        <f t="shared" ca="1" si="110"/>
        <v/>
      </c>
      <c r="G1398" s="15" t="str">
        <f t="shared" ca="1" si="111"/>
        <v/>
      </c>
      <c r="H1398" s="15" t="str">
        <f t="shared" ca="1" si="112"/>
        <v/>
      </c>
      <c r="I1398" s="16" t="str">
        <f t="shared" ca="1" si="113"/>
        <v/>
      </c>
    </row>
    <row r="1399" spans="1:9" x14ac:dyDescent="0.3">
      <c r="A1399" s="3"/>
      <c r="B1399" s="9"/>
      <c r="C1399" s="9"/>
      <c r="E1399" s="14" t="str">
        <f t="shared" si="109"/>
        <v/>
      </c>
      <c r="F1399" s="15" t="str">
        <f t="shared" ca="1" si="110"/>
        <v/>
      </c>
      <c r="G1399" s="15" t="str">
        <f t="shared" ca="1" si="111"/>
        <v/>
      </c>
      <c r="H1399" s="15" t="str">
        <f t="shared" ca="1" si="112"/>
        <v/>
      </c>
      <c r="I1399" s="16" t="str">
        <f t="shared" ca="1" si="113"/>
        <v/>
      </c>
    </row>
    <row r="1400" spans="1:9" x14ac:dyDescent="0.3">
      <c r="A1400" s="3"/>
      <c r="B1400" s="9"/>
      <c r="C1400" s="9"/>
      <c r="E1400" s="14" t="str">
        <f t="shared" si="109"/>
        <v/>
      </c>
      <c r="F1400" s="15" t="str">
        <f t="shared" ca="1" si="110"/>
        <v/>
      </c>
      <c r="G1400" s="15" t="str">
        <f t="shared" ca="1" si="111"/>
        <v/>
      </c>
      <c r="H1400" s="15" t="str">
        <f t="shared" ca="1" si="112"/>
        <v/>
      </c>
      <c r="I1400" s="16" t="str">
        <f t="shared" ca="1" si="113"/>
        <v/>
      </c>
    </row>
    <row r="1401" spans="1:9" x14ac:dyDescent="0.3">
      <c r="A1401" s="3"/>
      <c r="B1401" s="9"/>
      <c r="C1401" s="9"/>
      <c r="E1401" s="14" t="str">
        <f t="shared" si="109"/>
        <v/>
      </c>
      <c r="F1401" s="15" t="str">
        <f t="shared" ca="1" si="110"/>
        <v/>
      </c>
      <c r="G1401" s="15" t="str">
        <f t="shared" ca="1" si="111"/>
        <v/>
      </c>
      <c r="H1401" s="15" t="str">
        <f t="shared" ca="1" si="112"/>
        <v/>
      </c>
      <c r="I1401" s="16" t="str">
        <f t="shared" ca="1" si="113"/>
        <v/>
      </c>
    </row>
    <row r="1402" spans="1:9" x14ac:dyDescent="0.3">
      <c r="A1402" s="3"/>
      <c r="B1402" s="9"/>
      <c r="C1402" s="9"/>
      <c r="E1402" s="14" t="str">
        <f t="shared" si="109"/>
        <v/>
      </c>
      <c r="F1402" s="15" t="str">
        <f t="shared" ca="1" si="110"/>
        <v/>
      </c>
      <c r="G1402" s="15" t="str">
        <f t="shared" ca="1" si="111"/>
        <v/>
      </c>
      <c r="H1402" s="15" t="str">
        <f t="shared" ca="1" si="112"/>
        <v/>
      </c>
      <c r="I1402" s="16" t="str">
        <f t="shared" ca="1" si="113"/>
        <v/>
      </c>
    </row>
    <row r="1403" spans="1:9" x14ac:dyDescent="0.3">
      <c r="A1403" s="3"/>
      <c r="B1403" s="9"/>
      <c r="C1403" s="9"/>
      <c r="E1403" s="14" t="str">
        <f t="shared" si="109"/>
        <v/>
      </c>
      <c r="F1403" s="15" t="str">
        <f t="shared" ca="1" si="110"/>
        <v/>
      </c>
      <c r="G1403" s="15" t="str">
        <f t="shared" ca="1" si="111"/>
        <v/>
      </c>
      <c r="H1403" s="15" t="str">
        <f t="shared" ca="1" si="112"/>
        <v/>
      </c>
      <c r="I1403" s="16" t="str">
        <f t="shared" ca="1" si="113"/>
        <v/>
      </c>
    </row>
    <row r="1404" spans="1:9" x14ac:dyDescent="0.3">
      <c r="A1404" s="3"/>
      <c r="B1404" s="9"/>
      <c r="C1404" s="9"/>
      <c r="E1404" s="14" t="str">
        <f t="shared" si="109"/>
        <v/>
      </c>
      <c r="F1404" s="15" t="str">
        <f t="shared" ca="1" si="110"/>
        <v/>
      </c>
      <c r="G1404" s="15" t="str">
        <f t="shared" ca="1" si="111"/>
        <v/>
      </c>
      <c r="H1404" s="15" t="str">
        <f t="shared" ca="1" si="112"/>
        <v/>
      </c>
      <c r="I1404" s="16" t="str">
        <f t="shared" ca="1" si="113"/>
        <v/>
      </c>
    </row>
    <row r="1405" spans="1:9" x14ac:dyDescent="0.3">
      <c r="A1405" s="3"/>
      <c r="B1405" s="9"/>
      <c r="C1405" s="9"/>
      <c r="E1405" s="14" t="str">
        <f t="shared" si="109"/>
        <v/>
      </c>
      <c r="F1405" s="15" t="str">
        <f t="shared" ca="1" si="110"/>
        <v/>
      </c>
      <c r="G1405" s="15" t="str">
        <f t="shared" ca="1" si="111"/>
        <v/>
      </c>
      <c r="H1405" s="15" t="str">
        <f t="shared" ca="1" si="112"/>
        <v/>
      </c>
      <c r="I1405" s="16" t="str">
        <f t="shared" ca="1" si="113"/>
        <v/>
      </c>
    </row>
    <row r="1406" spans="1:9" x14ac:dyDescent="0.3">
      <c r="A1406" s="3"/>
      <c r="B1406" s="9"/>
      <c r="C1406" s="9"/>
      <c r="E1406" s="14" t="str">
        <f t="shared" si="109"/>
        <v/>
      </c>
      <c r="F1406" s="15" t="str">
        <f t="shared" ca="1" si="110"/>
        <v/>
      </c>
      <c r="G1406" s="15" t="str">
        <f t="shared" ca="1" si="111"/>
        <v/>
      </c>
      <c r="H1406" s="15" t="str">
        <f t="shared" ca="1" si="112"/>
        <v/>
      </c>
      <c r="I1406" s="16" t="str">
        <f t="shared" ca="1" si="113"/>
        <v/>
      </c>
    </row>
    <row r="1407" spans="1:9" x14ac:dyDescent="0.3">
      <c r="A1407" s="3"/>
      <c r="B1407" s="9"/>
      <c r="C1407" s="9"/>
      <c r="E1407" s="14" t="str">
        <f t="shared" si="109"/>
        <v/>
      </c>
      <c r="F1407" s="15" t="str">
        <f t="shared" ca="1" si="110"/>
        <v/>
      </c>
      <c r="G1407" s="15" t="str">
        <f t="shared" ca="1" si="111"/>
        <v/>
      </c>
      <c r="H1407" s="15" t="str">
        <f t="shared" ca="1" si="112"/>
        <v/>
      </c>
      <c r="I1407" s="16" t="str">
        <f t="shared" ca="1" si="113"/>
        <v/>
      </c>
    </row>
    <row r="1408" spans="1:9" x14ac:dyDescent="0.3">
      <c r="A1408" s="3"/>
      <c r="B1408" s="9"/>
      <c r="C1408" s="9"/>
      <c r="E1408" s="14" t="str">
        <f t="shared" si="109"/>
        <v/>
      </c>
      <c r="F1408" s="15" t="str">
        <f t="shared" ca="1" si="110"/>
        <v/>
      </c>
      <c r="G1408" s="15" t="str">
        <f t="shared" ca="1" si="111"/>
        <v/>
      </c>
      <c r="H1408" s="15" t="str">
        <f t="shared" ca="1" si="112"/>
        <v/>
      </c>
      <c r="I1408" s="16" t="str">
        <f t="shared" ca="1" si="113"/>
        <v/>
      </c>
    </row>
    <row r="1409" spans="1:9" x14ac:dyDescent="0.3">
      <c r="A1409" s="3"/>
      <c r="B1409" s="9"/>
      <c r="C1409" s="9"/>
      <c r="E1409" s="14" t="str">
        <f t="shared" si="109"/>
        <v/>
      </c>
      <c r="F1409" s="15" t="str">
        <f t="shared" ca="1" si="110"/>
        <v/>
      </c>
      <c r="G1409" s="15" t="str">
        <f t="shared" ca="1" si="111"/>
        <v/>
      </c>
      <c r="H1409" s="15" t="str">
        <f t="shared" ca="1" si="112"/>
        <v/>
      </c>
      <c r="I1409" s="16" t="str">
        <f t="shared" ca="1" si="113"/>
        <v/>
      </c>
    </row>
    <row r="1410" spans="1:9" x14ac:dyDescent="0.3">
      <c r="A1410" s="3"/>
      <c r="B1410" s="9"/>
      <c r="C1410" s="9"/>
      <c r="E1410" s="14" t="str">
        <f t="shared" si="109"/>
        <v/>
      </c>
      <c r="F1410" s="15" t="str">
        <f t="shared" ca="1" si="110"/>
        <v/>
      </c>
      <c r="G1410" s="15" t="str">
        <f t="shared" ca="1" si="111"/>
        <v/>
      </c>
      <c r="H1410" s="15" t="str">
        <f t="shared" ca="1" si="112"/>
        <v/>
      </c>
      <c r="I1410" s="16" t="str">
        <f t="shared" ca="1" si="113"/>
        <v/>
      </c>
    </row>
    <row r="1411" spans="1:9" x14ac:dyDescent="0.3">
      <c r="A1411" s="3"/>
      <c r="B1411" s="9"/>
      <c r="C1411" s="9"/>
      <c r="E1411" s="14" t="str">
        <f t="shared" ref="E1411:E1474" si="114">IF(ISNUMBER(B1411),B1411/C1411,"")</f>
        <v/>
      </c>
      <c r="F1411" s="15" t="str">
        <f t="shared" ca="1" si="110"/>
        <v/>
      </c>
      <c r="G1411" s="15" t="str">
        <f t="shared" ca="1" si="111"/>
        <v/>
      </c>
      <c r="H1411" s="15" t="str">
        <f t="shared" ca="1" si="112"/>
        <v/>
      </c>
      <c r="I1411" s="16" t="str">
        <f t="shared" ca="1" si="113"/>
        <v/>
      </c>
    </row>
    <row r="1412" spans="1:9" x14ac:dyDescent="0.3">
      <c r="A1412" s="3"/>
      <c r="B1412" s="9"/>
      <c r="C1412" s="9"/>
      <c r="E1412" s="14" t="str">
        <f t="shared" si="114"/>
        <v/>
      </c>
      <c r="F1412" s="15" t="str">
        <f t="shared" ca="1" si="110"/>
        <v/>
      </c>
      <c r="G1412" s="15" t="str">
        <f t="shared" ca="1" si="111"/>
        <v/>
      </c>
      <c r="H1412" s="15" t="str">
        <f t="shared" ca="1" si="112"/>
        <v/>
      </c>
      <c r="I1412" s="16" t="str">
        <f t="shared" ca="1" si="113"/>
        <v/>
      </c>
    </row>
    <row r="1413" spans="1:9" x14ac:dyDescent="0.3">
      <c r="A1413" s="3"/>
      <c r="B1413" s="9"/>
      <c r="C1413" s="9"/>
      <c r="E1413" s="14" t="str">
        <f t="shared" si="114"/>
        <v/>
      </c>
      <c r="F1413" s="15" t="str">
        <f t="shared" ca="1" si="110"/>
        <v/>
      </c>
      <c r="G1413" s="15" t="str">
        <f t="shared" ca="1" si="111"/>
        <v/>
      </c>
      <c r="H1413" s="15" t="str">
        <f t="shared" ca="1" si="112"/>
        <v/>
      </c>
      <c r="I1413" s="16" t="str">
        <f t="shared" ca="1" si="113"/>
        <v/>
      </c>
    </row>
    <row r="1414" spans="1:9" x14ac:dyDescent="0.3">
      <c r="A1414" s="3"/>
      <c r="B1414" s="9"/>
      <c r="C1414" s="9"/>
      <c r="E1414" s="14" t="str">
        <f t="shared" si="114"/>
        <v/>
      </c>
      <c r="F1414" s="15" t="str">
        <f t="shared" ca="1" si="110"/>
        <v/>
      </c>
      <c r="G1414" s="15" t="str">
        <f t="shared" ca="1" si="111"/>
        <v/>
      </c>
      <c r="H1414" s="15" t="str">
        <f t="shared" ca="1" si="112"/>
        <v/>
      </c>
      <c r="I1414" s="16" t="str">
        <f t="shared" ca="1" si="113"/>
        <v/>
      </c>
    </row>
    <row r="1415" spans="1:9" x14ac:dyDescent="0.3">
      <c r="A1415" s="3"/>
      <c r="B1415" s="9"/>
      <c r="C1415" s="9"/>
      <c r="E1415" s="14" t="str">
        <f t="shared" si="114"/>
        <v/>
      </c>
      <c r="F1415" s="15" t="str">
        <f t="shared" ca="1" si="110"/>
        <v/>
      </c>
      <c r="G1415" s="15" t="str">
        <f t="shared" ca="1" si="111"/>
        <v/>
      </c>
      <c r="H1415" s="15" t="str">
        <f t="shared" ca="1" si="112"/>
        <v/>
      </c>
      <c r="I1415" s="16" t="str">
        <f t="shared" ca="1" si="113"/>
        <v/>
      </c>
    </row>
    <row r="1416" spans="1:9" x14ac:dyDescent="0.3">
      <c r="A1416" s="3"/>
      <c r="B1416" s="9"/>
      <c r="C1416" s="9"/>
      <c r="E1416" s="14" t="str">
        <f t="shared" si="114"/>
        <v/>
      </c>
      <c r="F1416" s="15" t="str">
        <f t="shared" ca="1" si="110"/>
        <v/>
      </c>
      <c r="G1416" s="15" t="str">
        <f t="shared" ca="1" si="111"/>
        <v/>
      </c>
      <c r="H1416" s="15" t="str">
        <f t="shared" ca="1" si="112"/>
        <v/>
      </c>
      <c r="I1416" s="16" t="str">
        <f t="shared" ca="1" si="113"/>
        <v/>
      </c>
    </row>
    <row r="1417" spans="1:9" x14ac:dyDescent="0.3">
      <c r="A1417" s="3"/>
      <c r="B1417" s="9"/>
      <c r="C1417" s="9"/>
      <c r="E1417" s="14" t="str">
        <f t="shared" si="114"/>
        <v/>
      </c>
      <c r="F1417" s="15" t="str">
        <f t="shared" ca="1" si="110"/>
        <v/>
      </c>
      <c r="G1417" s="15" t="str">
        <f t="shared" ca="1" si="111"/>
        <v/>
      </c>
      <c r="H1417" s="15" t="str">
        <f t="shared" ca="1" si="112"/>
        <v/>
      </c>
      <c r="I1417" s="16" t="str">
        <f t="shared" ca="1" si="113"/>
        <v/>
      </c>
    </row>
    <row r="1418" spans="1:9" x14ac:dyDescent="0.3">
      <c r="A1418" s="3"/>
      <c r="B1418" s="9"/>
      <c r="C1418" s="9"/>
      <c r="E1418" s="14" t="str">
        <f t="shared" si="114"/>
        <v/>
      </c>
      <c r="F1418" s="15" t="str">
        <f t="shared" ca="1" si="110"/>
        <v/>
      </c>
      <c r="G1418" s="15" t="str">
        <f t="shared" ca="1" si="111"/>
        <v/>
      </c>
      <c r="H1418" s="15" t="str">
        <f t="shared" ca="1" si="112"/>
        <v/>
      </c>
      <c r="I1418" s="16" t="str">
        <f t="shared" ca="1" si="113"/>
        <v/>
      </c>
    </row>
    <row r="1419" spans="1:9" x14ac:dyDescent="0.3">
      <c r="A1419" s="3"/>
      <c r="B1419" s="9"/>
      <c r="C1419" s="9"/>
      <c r="E1419" s="14" t="str">
        <f t="shared" si="114"/>
        <v/>
      </c>
      <c r="F1419" s="15" t="str">
        <f t="shared" ca="1" si="110"/>
        <v/>
      </c>
      <c r="G1419" s="15" t="str">
        <f t="shared" ca="1" si="111"/>
        <v/>
      </c>
      <c r="H1419" s="15" t="str">
        <f t="shared" ca="1" si="112"/>
        <v/>
      </c>
      <c r="I1419" s="16" t="str">
        <f t="shared" ca="1" si="113"/>
        <v/>
      </c>
    </row>
    <row r="1420" spans="1:9" x14ac:dyDescent="0.3">
      <c r="A1420" s="3"/>
      <c r="B1420" s="9"/>
      <c r="C1420" s="9"/>
      <c r="E1420" s="14" t="str">
        <f t="shared" si="114"/>
        <v/>
      </c>
      <c r="F1420" s="15" t="str">
        <f t="shared" ca="1" si="110"/>
        <v/>
      </c>
      <c r="G1420" s="15" t="str">
        <f t="shared" ca="1" si="111"/>
        <v/>
      </c>
      <c r="H1420" s="15" t="str">
        <f t="shared" ca="1" si="112"/>
        <v/>
      </c>
      <c r="I1420" s="16" t="str">
        <f t="shared" ca="1" si="113"/>
        <v/>
      </c>
    </row>
    <row r="1421" spans="1:9" x14ac:dyDescent="0.3">
      <c r="A1421" s="3"/>
      <c r="B1421" s="9"/>
      <c r="C1421" s="9"/>
      <c r="E1421" s="14" t="str">
        <f t="shared" si="114"/>
        <v/>
      </c>
      <c r="F1421" s="15" t="str">
        <f t="shared" ca="1" si="110"/>
        <v/>
      </c>
      <c r="G1421" s="15" t="str">
        <f t="shared" ca="1" si="111"/>
        <v/>
      </c>
      <c r="H1421" s="15" t="str">
        <f t="shared" ca="1" si="112"/>
        <v/>
      </c>
      <c r="I1421" s="16" t="str">
        <f t="shared" ca="1" si="113"/>
        <v/>
      </c>
    </row>
    <row r="1422" spans="1:9" x14ac:dyDescent="0.3">
      <c r="A1422" s="3"/>
      <c r="B1422" s="9"/>
      <c r="C1422" s="9"/>
      <c r="E1422" s="14" t="str">
        <f t="shared" si="114"/>
        <v/>
      </c>
      <c r="F1422" s="15" t="str">
        <f t="shared" ca="1" si="110"/>
        <v/>
      </c>
      <c r="G1422" s="15" t="str">
        <f t="shared" ca="1" si="111"/>
        <v/>
      </c>
      <c r="H1422" s="15" t="str">
        <f t="shared" ca="1" si="112"/>
        <v/>
      </c>
      <c r="I1422" s="16" t="str">
        <f t="shared" ca="1" si="113"/>
        <v/>
      </c>
    </row>
    <row r="1423" spans="1:9" x14ac:dyDescent="0.3">
      <c r="A1423" s="3"/>
      <c r="B1423" s="9"/>
      <c r="C1423" s="9"/>
      <c r="E1423" s="14" t="str">
        <f t="shared" si="114"/>
        <v/>
      </c>
      <c r="F1423" s="15" t="str">
        <f t="shared" ca="1" si="110"/>
        <v/>
      </c>
      <c r="G1423" s="15" t="str">
        <f t="shared" ca="1" si="111"/>
        <v/>
      </c>
      <c r="H1423" s="15" t="str">
        <f t="shared" ca="1" si="112"/>
        <v/>
      </c>
      <c r="I1423" s="16" t="str">
        <f t="shared" ca="1" si="113"/>
        <v/>
      </c>
    </row>
    <row r="1424" spans="1:9" x14ac:dyDescent="0.3">
      <c r="A1424" s="3"/>
      <c r="B1424" s="9"/>
      <c r="C1424" s="9"/>
      <c r="E1424" s="14" t="str">
        <f t="shared" si="114"/>
        <v/>
      </c>
      <c r="F1424" s="15" t="str">
        <f t="shared" ca="1" si="110"/>
        <v/>
      </c>
      <c r="G1424" s="15" t="str">
        <f t="shared" ca="1" si="111"/>
        <v/>
      </c>
      <c r="H1424" s="15" t="str">
        <f t="shared" ca="1" si="112"/>
        <v/>
      </c>
      <c r="I1424" s="16" t="str">
        <f t="shared" ca="1" si="113"/>
        <v/>
      </c>
    </row>
    <row r="1425" spans="1:9" x14ac:dyDescent="0.3">
      <c r="A1425" s="3"/>
      <c r="B1425" s="9"/>
      <c r="C1425" s="9"/>
      <c r="E1425" s="14" t="str">
        <f t="shared" si="114"/>
        <v/>
      </c>
      <c r="F1425" s="15" t="str">
        <f t="shared" ref="F1425:F1488" ca="1" si="115">IF(ISNUMBER(E1425),IF(ROW(E1425)&gt;$K$1,AVERAGE(OFFSET(E1425,0,0,-$K$1)),""),"")</f>
        <v/>
      </c>
      <c r="G1425" s="15" t="str">
        <f t="shared" ref="G1425:G1488" ca="1" si="116">IF(ISNUMBER(I1425),F1425+I1425*$M$1,"")</f>
        <v/>
      </c>
      <c r="H1425" s="15" t="str">
        <f t="shared" ref="H1425:H1488" ca="1" si="117">IF(ISNUMBER(I1425),F1425-I1425*$M$1,"")</f>
        <v/>
      </c>
      <c r="I1425" s="16" t="str">
        <f t="shared" ref="I1425:I1488" ca="1" si="118">IF(ISNUMBER(E1425),IF(ROW(E1425)&gt;$K$1,_xlfn.STDEV.P(OFFSET(E1425,0,0,-$K$1)),""),"")</f>
        <v/>
      </c>
    </row>
    <row r="1426" spans="1:9" x14ac:dyDescent="0.3">
      <c r="A1426" s="3"/>
      <c r="B1426" s="9"/>
      <c r="C1426" s="9"/>
      <c r="E1426" s="14" t="str">
        <f t="shared" si="114"/>
        <v/>
      </c>
      <c r="F1426" s="15" t="str">
        <f t="shared" ca="1" si="115"/>
        <v/>
      </c>
      <c r="G1426" s="15" t="str">
        <f t="shared" ca="1" si="116"/>
        <v/>
      </c>
      <c r="H1426" s="15" t="str">
        <f t="shared" ca="1" si="117"/>
        <v/>
      </c>
      <c r="I1426" s="16" t="str">
        <f t="shared" ca="1" si="118"/>
        <v/>
      </c>
    </row>
    <row r="1427" spans="1:9" x14ac:dyDescent="0.3">
      <c r="A1427" s="3"/>
      <c r="B1427" s="9"/>
      <c r="C1427" s="9"/>
      <c r="E1427" s="14" t="str">
        <f t="shared" si="114"/>
        <v/>
      </c>
      <c r="F1427" s="15" t="str">
        <f t="shared" ca="1" si="115"/>
        <v/>
      </c>
      <c r="G1427" s="15" t="str">
        <f t="shared" ca="1" si="116"/>
        <v/>
      </c>
      <c r="H1427" s="15" t="str">
        <f t="shared" ca="1" si="117"/>
        <v/>
      </c>
      <c r="I1427" s="16" t="str">
        <f t="shared" ca="1" si="118"/>
        <v/>
      </c>
    </row>
    <row r="1428" spans="1:9" x14ac:dyDescent="0.3">
      <c r="A1428" s="3"/>
      <c r="B1428" s="9"/>
      <c r="C1428" s="9"/>
      <c r="E1428" s="14" t="str">
        <f t="shared" si="114"/>
        <v/>
      </c>
      <c r="F1428" s="15" t="str">
        <f t="shared" ca="1" si="115"/>
        <v/>
      </c>
      <c r="G1428" s="15" t="str">
        <f t="shared" ca="1" si="116"/>
        <v/>
      </c>
      <c r="H1428" s="15" t="str">
        <f t="shared" ca="1" si="117"/>
        <v/>
      </c>
      <c r="I1428" s="16" t="str">
        <f t="shared" ca="1" si="118"/>
        <v/>
      </c>
    </row>
    <row r="1429" spans="1:9" x14ac:dyDescent="0.3">
      <c r="A1429" s="3"/>
      <c r="B1429" s="9"/>
      <c r="C1429" s="9"/>
      <c r="E1429" s="14" t="str">
        <f t="shared" si="114"/>
        <v/>
      </c>
      <c r="F1429" s="15" t="str">
        <f t="shared" ca="1" si="115"/>
        <v/>
      </c>
      <c r="G1429" s="15" t="str">
        <f t="shared" ca="1" si="116"/>
        <v/>
      </c>
      <c r="H1429" s="15" t="str">
        <f t="shared" ca="1" si="117"/>
        <v/>
      </c>
      <c r="I1429" s="16" t="str">
        <f t="shared" ca="1" si="118"/>
        <v/>
      </c>
    </row>
    <row r="1430" spans="1:9" x14ac:dyDescent="0.3">
      <c r="A1430" s="3"/>
      <c r="B1430" s="9"/>
      <c r="C1430" s="9"/>
      <c r="E1430" s="14" t="str">
        <f t="shared" si="114"/>
        <v/>
      </c>
      <c r="F1430" s="15" t="str">
        <f t="shared" ca="1" si="115"/>
        <v/>
      </c>
      <c r="G1430" s="15" t="str">
        <f t="shared" ca="1" si="116"/>
        <v/>
      </c>
      <c r="H1430" s="15" t="str">
        <f t="shared" ca="1" si="117"/>
        <v/>
      </c>
      <c r="I1430" s="16" t="str">
        <f t="shared" ca="1" si="118"/>
        <v/>
      </c>
    </row>
    <row r="1431" spans="1:9" x14ac:dyDescent="0.3">
      <c r="A1431" s="3"/>
      <c r="B1431" s="9"/>
      <c r="C1431" s="9"/>
      <c r="E1431" s="14" t="str">
        <f t="shared" si="114"/>
        <v/>
      </c>
      <c r="F1431" s="15" t="str">
        <f t="shared" ca="1" si="115"/>
        <v/>
      </c>
      <c r="G1431" s="15" t="str">
        <f t="shared" ca="1" si="116"/>
        <v/>
      </c>
      <c r="H1431" s="15" t="str">
        <f t="shared" ca="1" si="117"/>
        <v/>
      </c>
      <c r="I1431" s="16" t="str">
        <f t="shared" ca="1" si="118"/>
        <v/>
      </c>
    </row>
    <row r="1432" spans="1:9" x14ac:dyDescent="0.3">
      <c r="A1432" s="3"/>
      <c r="B1432" s="9"/>
      <c r="C1432" s="9"/>
      <c r="E1432" s="14" t="str">
        <f t="shared" si="114"/>
        <v/>
      </c>
      <c r="F1432" s="15" t="str">
        <f t="shared" ca="1" si="115"/>
        <v/>
      </c>
      <c r="G1432" s="15" t="str">
        <f t="shared" ca="1" si="116"/>
        <v/>
      </c>
      <c r="H1432" s="15" t="str">
        <f t="shared" ca="1" si="117"/>
        <v/>
      </c>
      <c r="I1432" s="16" t="str">
        <f t="shared" ca="1" si="118"/>
        <v/>
      </c>
    </row>
    <row r="1433" spans="1:9" x14ac:dyDescent="0.3">
      <c r="A1433" s="3"/>
      <c r="B1433" s="9"/>
      <c r="C1433" s="9"/>
      <c r="E1433" s="14" t="str">
        <f t="shared" si="114"/>
        <v/>
      </c>
      <c r="F1433" s="15" t="str">
        <f t="shared" ca="1" si="115"/>
        <v/>
      </c>
      <c r="G1433" s="15" t="str">
        <f t="shared" ca="1" si="116"/>
        <v/>
      </c>
      <c r="H1433" s="15" t="str">
        <f t="shared" ca="1" si="117"/>
        <v/>
      </c>
      <c r="I1433" s="16" t="str">
        <f t="shared" ca="1" si="118"/>
        <v/>
      </c>
    </row>
    <row r="1434" spans="1:9" x14ac:dyDescent="0.3">
      <c r="A1434" s="3"/>
      <c r="B1434" s="9"/>
      <c r="C1434" s="9"/>
      <c r="E1434" s="14" t="str">
        <f t="shared" si="114"/>
        <v/>
      </c>
      <c r="F1434" s="15" t="str">
        <f t="shared" ca="1" si="115"/>
        <v/>
      </c>
      <c r="G1434" s="15" t="str">
        <f t="shared" ca="1" si="116"/>
        <v/>
      </c>
      <c r="H1434" s="15" t="str">
        <f t="shared" ca="1" si="117"/>
        <v/>
      </c>
      <c r="I1434" s="16" t="str">
        <f t="shared" ca="1" si="118"/>
        <v/>
      </c>
    </row>
    <row r="1435" spans="1:9" x14ac:dyDescent="0.3">
      <c r="A1435" s="3"/>
      <c r="B1435" s="9"/>
      <c r="C1435" s="9"/>
      <c r="E1435" s="14" t="str">
        <f t="shared" si="114"/>
        <v/>
      </c>
      <c r="F1435" s="15" t="str">
        <f t="shared" ca="1" si="115"/>
        <v/>
      </c>
      <c r="G1435" s="15" t="str">
        <f t="shared" ca="1" si="116"/>
        <v/>
      </c>
      <c r="H1435" s="15" t="str">
        <f t="shared" ca="1" si="117"/>
        <v/>
      </c>
      <c r="I1435" s="16" t="str">
        <f t="shared" ca="1" si="118"/>
        <v/>
      </c>
    </row>
    <row r="1436" spans="1:9" x14ac:dyDescent="0.3">
      <c r="A1436" s="3"/>
      <c r="B1436" s="9"/>
      <c r="C1436" s="9"/>
      <c r="E1436" s="14" t="str">
        <f t="shared" si="114"/>
        <v/>
      </c>
      <c r="F1436" s="15" t="str">
        <f t="shared" ca="1" si="115"/>
        <v/>
      </c>
      <c r="G1436" s="15" t="str">
        <f t="shared" ca="1" si="116"/>
        <v/>
      </c>
      <c r="H1436" s="15" t="str">
        <f t="shared" ca="1" si="117"/>
        <v/>
      </c>
      <c r="I1436" s="16" t="str">
        <f t="shared" ca="1" si="118"/>
        <v/>
      </c>
    </row>
    <row r="1437" spans="1:9" x14ac:dyDescent="0.3">
      <c r="A1437" s="3"/>
      <c r="B1437" s="9"/>
      <c r="C1437" s="9"/>
      <c r="E1437" s="14" t="str">
        <f t="shared" si="114"/>
        <v/>
      </c>
      <c r="F1437" s="15" t="str">
        <f t="shared" ca="1" si="115"/>
        <v/>
      </c>
      <c r="G1437" s="15" t="str">
        <f t="shared" ca="1" si="116"/>
        <v/>
      </c>
      <c r="H1437" s="15" t="str">
        <f t="shared" ca="1" si="117"/>
        <v/>
      </c>
      <c r="I1437" s="16" t="str">
        <f t="shared" ca="1" si="118"/>
        <v/>
      </c>
    </row>
    <row r="1438" spans="1:9" x14ac:dyDescent="0.3">
      <c r="A1438" s="3"/>
      <c r="B1438" s="9"/>
      <c r="C1438" s="9"/>
      <c r="E1438" s="14" t="str">
        <f t="shared" si="114"/>
        <v/>
      </c>
      <c r="F1438" s="15" t="str">
        <f t="shared" ca="1" si="115"/>
        <v/>
      </c>
      <c r="G1438" s="15" t="str">
        <f t="shared" ca="1" si="116"/>
        <v/>
      </c>
      <c r="H1438" s="15" t="str">
        <f t="shared" ca="1" si="117"/>
        <v/>
      </c>
      <c r="I1438" s="16" t="str">
        <f t="shared" ca="1" si="118"/>
        <v/>
      </c>
    </row>
    <row r="1439" spans="1:9" x14ac:dyDescent="0.3">
      <c r="A1439" s="3"/>
      <c r="B1439" s="9"/>
      <c r="C1439" s="9"/>
      <c r="E1439" s="14" t="str">
        <f t="shared" si="114"/>
        <v/>
      </c>
      <c r="F1439" s="15" t="str">
        <f t="shared" ca="1" si="115"/>
        <v/>
      </c>
      <c r="G1439" s="15" t="str">
        <f t="shared" ca="1" si="116"/>
        <v/>
      </c>
      <c r="H1439" s="15" t="str">
        <f t="shared" ca="1" si="117"/>
        <v/>
      </c>
      <c r="I1439" s="16" t="str">
        <f t="shared" ca="1" si="118"/>
        <v/>
      </c>
    </row>
    <row r="1440" spans="1:9" x14ac:dyDescent="0.3">
      <c r="A1440" s="3"/>
      <c r="B1440" s="9"/>
      <c r="C1440" s="9"/>
      <c r="E1440" s="14" t="str">
        <f t="shared" si="114"/>
        <v/>
      </c>
      <c r="F1440" s="15" t="str">
        <f t="shared" ca="1" si="115"/>
        <v/>
      </c>
      <c r="G1440" s="15" t="str">
        <f t="shared" ca="1" si="116"/>
        <v/>
      </c>
      <c r="H1440" s="15" t="str">
        <f t="shared" ca="1" si="117"/>
        <v/>
      </c>
      <c r="I1440" s="16" t="str">
        <f t="shared" ca="1" si="118"/>
        <v/>
      </c>
    </row>
    <row r="1441" spans="1:9" x14ac:dyDescent="0.3">
      <c r="A1441" s="3"/>
      <c r="B1441" s="9"/>
      <c r="C1441" s="9"/>
      <c r="E1441" s="14" t="str">
        <f t="shared" si="114"/>
        <v/>
      </c>
      <c r="F1441" s="15" t="str">
        <f t="shared" ca="1" si="115"/>
        <v/>
      </c>
      <c r="G1441" s="15" t="str">
        <f t="shared" ca="1" si="116"/>
        <v/>
      </c>
      <c r="H1441" s="15" t="str">
        <f t="shared" ca="1" si="117"/>
        <v/>
      </c>
      <c r="I1441" s="16" t="str">
        <f t="shared" ca="1" si="118"/>
        <v/>
      </c>
    </row>
    <row r="1442" spans="1:9" x14ac:dyDescent="0.3">
      <c r="A1442" s="3"/>
      <c r="B1442" s="9"/>
      <c r="C1442" s="9"/>
      <c r="E1442" s="14" t="str">
        <f t="shared" si="114"/>
        <v/>
      </c>
      <c r="F1442" s="15" t="str">
        <f t="shared" ca="1" si="115"/>
        <v/>
      </c>
      <c r="G1442" s="15" t="str">
        <f t="shared" ca="1" si="116"/>
        <v/>
      </c>
      <c r="H1442" s="15" t="str">
        <f t="shared" ca="1" si="117"/>
        <v/>
      </c>
      <c r="I1442" s="16" t="str">
        <f t="shared" ca="1" si="118"/>
        <v/>
      </c>
    </row>
    <row r="1443" spans="1:9" x14ac:dyDescent="0.3">
      <c r="A1443" s="3"/>
      <c r="B1443" s="9"/>
      <c r="C1443" s="9"/>
      <c r="E1443" s="14" t="str">
        <f t="shared" si="114"/>
        <v/>
      </c>
      <c r="F1443" s="15" t="str">
        <f t="shared" ca="1" si="115"/>
        <v/>
      </c>
      <c r="G1443" s="15" t="str">
        <f t="shared" ca="1" si="116"/>
        <v/>
      </c>
      <c r="H1443" s="15" t="str">
        <f t="shared" ca="1" si="117"/>
        <v/>
      </c>
      <c r="I1443" s="16" t="str">
        <f t="shared" ca="1" si="118"/>
        <v/>
      </c>
    </row>
    <row r="1444" spans="1:9" x14ac:dyDescent="0.3">
      <c r="A1444" s="3"/>
      <c r="B1444" s="9"/>
      <c r="C1444" s="9"/>
      <c r="E1444" s="14" t="str">
        <f t="shared" si="114"/>
        <v/>
      </c>
      <c r="F1444" s="15" t="str">
        <f t="shared" ca="1" si="115"/>
        <v/>
      </c>
      <c r="G1444" s="15" t="str">
        <f t="shared" ca="1" si="116"/>
        <v/>
      </c>
      <c r="H1444" s="15" t="str">
        <f t="shared" ca="1" si="117"/>
        <v/>
      </c>
      <c r="I1444" s="16" t="str">
        <f t="shared" ca="1" si="118"/>
        <v/>
      </c>
    </row>
    <row r="1445" spans="1:9" x14ac:dyDescent="0.3">
      <c r="A1445" s="3"/>
      <c r="B1445" s="9"/>
      <c r="C1445" s="9"/>
      <c r="E1445" s="14" t="str">
        <f t="shared" si="114"/>
        <v/>
      </c>
      <c r="F1445" s="15" t="str">
        <f t="shared" ca="1" si="115"/>
        <v/>
      </c>
      <c r="G1445" s="15" t="str">
        <f t="shared" ca="1" si="116"/>
        <v/>
      </c>
      <c r="H1445" s="15" t="str">
        <f t="shared" ca="1" si="117"/>
        <v/>
      </c>
      <c r="I1445" s="16" t="str">
        <f t="shared" ca="1" si="118"/>
        <v/>
      </c>
    </row>
    <row r="1446" spans="1:9" x14ac:dyDescent="0.3">
      <c r="A1446" s="3"/>
      <c r="B1446" s="9"/>
      <c r="C1446" s="9"/>
      <c r="E1446" s="14" t="str">
        <f t="shared" si="114"/>
        <v/>
      </c>
      <c r="F1446" s="15" t="str">
        <f t="shared" ca="1" si="115"/>
        <v/>
      </c>
      <c r="G1446" s="15" t="str">
        <f t="shared" ca="1" si="116"/>
        <v/>
      </c>
      <c r="H1446" s="15" t="str">
        <f t="shared" ca="1" si="117"/>
        <v/>
      </c>
      <c r="I1446" s="16" t="str">
        <f t="shared" ca="1" si="118"/>
        <v/>
      </c>
    </row>
    <row r="1447" spans="1:9" x14ac:dyDescent="0.3">
      <c r="A1447" s="3"/>
      <c r="B1447" s="9"/>
      <c r="C1447" s="9"/>
      <c r="E1447" s="14" t="str">
        <f t="shared" si="114"/>
        <v/>
      </c>
      <c r="F1447" s="15" t="str">
        <f t="shared" ca="1" si="115"/>
        <v/>
      </c>
      <c r="G1447" s="15" t="str">
        <f t="shared" ca="1" si="116"/>
        <v/>
      </c>
      <c r="H1447" s="15" t="str">
        <f t="shared" ca="1" si="117"/>
        <v/>
      </c>
      <c r="I1447" s="16" t="str">
        <f t="shared" ca="1" si="118"/>
        <v/>
      </c>
    </row>
    <row r="1448" spans="1:9" x14ac:dyDescent="0.3">
      <c r="A1448" s="3"/>
      <c r="B1448" s="9"/>
      <c r="C1448" s="9"/>
      <c r="E1448" s="14" t="str">
        <f t="shared" si="114"/>
        <v/>
      </c>
      <c r="F1448" s="15" t="str">
        <f t="shared" ca="1" si="115"/>
        <v/>
      </c>
      <c r="G1448" s="15" t="str">
        <f t="shared" ca="1" si="116"/>
        <v/>
      </c>
      <c r="H1448" s="15" t="str">
        <f t="shared" ca="1" si="117"/>
        <v/>
      </c>
      <c r="I1448" s="16" t="str">
        <f t="shared" ca="1" si="118"/>
        <v/>
      </c>
    </row>
    <row r="1449" spans="1:9" x14ac:dyDescent="0.3">
      <c r="A1449" s="3"/>
      <c r="B1449" s="9"/>
      <c r="C1449" s="9"/>
      <c r="E1449" s="14" t="str">
        <f t="shared" si="114"/>
        <v/>
      </c>
      <c r="F1449" s="15" t="str">
        <f t="shared" ca="1" si="115"/>
        <v/>
      </c>
      <c r="G1449" s="15" t="str">
        <f t="shared" ca="1" si="116"/>
        <v/>
      </c>
      <c r="H1449" s="15" t="str">
        <f t="shared" ca="1" si="117"/>
        <v/>
      </c>
      <c r="I1449" s="16" t="str">
        <f t="shared" ca="1" si="118"/>
        <v/>
      </c>
    </row>
    <row r="1450" spans="1:9" x14ac:dyDescent="0.3">
      <c r="A1450" s="3"/>
      <c r="B1450" s="9"/>
      <c r="C1450" s="9"/>
      <c r="E1450" s="14" t="str">
        <f t="shared" si="114"/>
        <v/>
      </c>
      <c r="F1450" s="15" t="str">
        <f t="shared" ca="1" si="115"/>
        <v/>
      </c>
      <c r="G1450" s="15" t="str">
        <f t="shared" ca="1" si="116"/>
        <v/>
      </c>
      <c r="H1450" s="15" t="str">
        <f t="shared" ca="1" si="117"/>
        <v/>
      </c>
      <c r="I1450" s="16" t="str">
        <f t="shared" ca="1" si="118"/>
        <v/>
      </c>
    </row>
    <row r="1451" spans="1:9" x14ac:dyDescent="0.3">
      <c r="A1451" s="3"/>
      <c r="B1451" s="9"/>
      <c r="C1451" s="9"/>
      <c r="E1451" s="14" t="str">
        <f t="shared" si="114"/>
        <v/>
      </c>
      <c r="F1451" s="15" t="str">
        <f t="shared" ca="1" si="115"/>
        <v/>
      </c>
      <c r="G1451" s="15" t="str">
        <f t="shared" ca="1" si="116"/>
        <v/>
      </c>
      <c r="H1451" s="15" t="str">
        <f t="shared" ca="1" si="117"/>
        <v/>
      </c>
      <c r="I1451" s="16" t="str">
        <f t="shared" ca="1" si="118"/>
        <v/>
      </c>
    </row>
    <row r="1452" spans="1:9" x14ac:dyDescent="0.3">
      <c r="A1452" s="3"/>
      <c r="B1452" s="9"/>
      <c r="C1452" s="9"/>
      <c r="E1452" s="14" t="str">
        <f t="shared" si="114"/>
        <v/>
      </c>
      <c r="F1452" s="15" t="str">
        <f t="shared" ca="1" si="115"/>
        <v/>
      </c>
      <c r="G1452" s="15" t="str">
        <f t="shared" ca="1" si="116"/>
        <v/>
      </c>
      <c r="H1452" s="15" t="str">
        <f t="shared" ca="1" si="117"/>
        <v/>
      </c>
      <c r="I1452" s="16" t="str">
        <f t="shared" ca="1" si="118"/>
        <v/>
      </c>
    </row>
    <row r="1453" spans="1:9" x14ac:dyDescent="0.3">
      <c r="A1453" s="3"/>
      <c r="B1453" s="9"/>
      <c r="C1453" s="9"/>
      <c r="E1453" s="14" t="str">
        <f t="shared" si="114"/>
        <v/>
      </c>
      <c r="F1453" s="15" t="str">
        <f t="shared" ca="1" si="115"/>
        <v/>
      </c>
      <c r="G1453" s="15" t="str">
        <f t="shared" ca="1" si="116"/>
        <v/>
      </c>
      <c r="H1453" s="15" t="str">
        <f t="shared" ca="1" si="117"/>
        <v/>
      </c>
      <c r="I1453" s="16" t="str">
        <f t="shared" ca="1" si="118"/>
        <v/>
      </c>
    </row>
    <row r="1454" spans="1:9" x14ac:dyDescent="0.3">
      <c r="A1454" s="3"/>
      <c r="B1454" s="9"/>
      <c r="C1454" s="9"/>
      <c r="E1454" s="14" t="str">
        <f t="shared" si="114"/>
        <v/>
      </c>
      <c r="F1454" s="15" t="str">
        <f t="shared" ca="1" si="115"/>
        <v/>
      </c>
      <c r="G1454" s="15" t="str">
        <f t="shared" ca="1" si="116"/>
        <v/>
      </c>
      <c r="H1454" s="15" t="str">
        <f t="shared" ca="1" si="117"/>
        <v/>
      </c>
      <c r="I1454" s="16" t="str">
        <f t="shared" ca="1" si="118"/>
        <v/>
      </c>
    </row>
    <row r="1455" spans="1:9" x14ac:dyDescent="0.3">
      <c r="A1455" s="3"/>
      <c r="B1455" s="9"/>
      <c r="C1455" s="9"/>
      <c r="E1455" s="14" t="str">
        <f t="shared" si="114"/>
        <v/>
      </c>
      <c r="F1455" s="15" t="str">
        <f t="shared" ca="1" si="115"/>
        <v/>
      </c>
      <c r="G1455" s="15" t="str">
        <f t="shared" ca="1" si="116"/>
        <v/>
      </c>
      <c r="H1455" s="15" t="str">
        <f t="shared" ca="1" si="117"/>
        <v/>
      </c>
      <c r="I1455" s="16" t="str">
        <f t="shared" ca="1" si="118"/>
        <v/>
      </c>
    </row>
    <row r="1456" spans="1:9" x14ac:dyDescent="0.3">
      <c r="A1456" s="3"/>
      <c r="B1456" s="9"/>
      <c r="C1456" s="9"/>
      <c r="E1456" s="14" t="str">
        <f t="shared" si="114"/>
        <v/>
      </c>
      <c r="F1456" s="15" t="str">
        <f t="shared" ca="1" si="115"/>
        <v/>
      </c>
      <c r="G1456" s="15" t="str">
        <f t="shared" ca="1" si="116"/>
        <v/>
      </c>
      <c r="H1456" s="15" t="str">
        <f t="shared" ca="1" si="117"/>
        <v/>
      </c>
      <c r="I1456" s="16" t="str">
        <f t="shared" ca="1" si="118"/>
        <v/>
      </c>
    </row>
    <row r="1457" spans="1:9" x14ac:dyDescent="0.3">
      <c r="A1457" s="3"/>
      <c r="B1457" s="9"/>
      <c r="C1457" s="9"/>
      <c r="E1457" s="14" t="str">
        <f t="shared" si="114"/>
        <v/>
      </c>
      <c r="F1457" s="15" t="str">
        <f t="shared" ca="1" si="115"/>
        <v/>
      </c>
      <c r="G1457" s="15" t="str">
        <f t="shared" ca="1" si="116"/>
        <v/>
      </c>
      <c r="H1457" s="15" t="str">
        <f t="shared" ca="1" si="117"/>
        <v/>
      </c>
      <c r="I1457" s="16" t="str">
        <f t="shared" ca="1" si="118"/>
        <v/>
      </c>
    </row>
    <row r="1458" spans="1:9" x14ac:dyDescent="0.3">
      <c r="A1458" s="3"/>
      <c r="B1458" s="9"/>
      <c r="C1458" s="9"/>
      <c r="E1458" s="14" t="str">
        <f t="shared" si="114"/>
        <v/>
      </c>
      <c r="F1458" s="15" t="str">
        <f t="shared" ca="1" si="115"/>
        <v/>
      </c>
      <c r="G1458" s="15" t="str">
        <f t="shared" ca="1" si="116"/>
        <v/>
      </c>
      <c r="H1458" s="15" t="str">
        <f t="shared" ca="1" si="117"/>
        <v/>
      </c>
      <c r="I1458" s="16" t="str">
        <f t="shared" ca="1" si="118"/>
        <v/>
      </c>
    </row>
    <row r="1459" spans="1:9" x14ac:dyDescent="0.3">
      <c r="A1459" s="3"/>
      <c r="B1459" s="9"/>
      <c r="C1459" s="9"/>
      <c r="E1459" s="14" t="str">
        <f t="shared" si="114"/>
        <v/>
      </c>
      <c r="F1459" s="15" t="str">
        <f t="shared" ca="1" si="115"/>
        <v/>
      </c>
      <c r="G1459" s="15" t="str">
        <f t="shared" ca="1" si="116"/>
        <v/>
      </c>
      <c r="H1459" s="15" t="str">
        <f t="shared" ca="1" si="117"/>
        <v/>
      </c>
      <c r="I1459" s="16" t="str">
        <f t="shared" ca="1" si="118"/>
        <v/>
      </c>
    </row>
    <row r="1460" spans="1:9" x14ac:dyDescent="0.3">
      <c r="A1460" s="3"/>
      <c r="B1460" s="9"/>
      <c r="C1460" s="9"/>
      <c r="E1460" s="14" t="str">
        <f t="shared" si="114"/>
        <v/>
      </c>
      <c r="F1460" s="15" t="str">
        <f t="shared" ca="1" si="115"/>
        <v/>
      </c>
      <c r="G1460" s="15" t="str">
        <f t="shared" ca="1" si="116"/>
        <v/>
      </c>
      <c r="H1460" s="15" t="str">
        <f t="shared" ca="1" si="117"/>
        <v/>
      </c>
      <c r="I1460" s="16" t="str">
        <f t="shared" ca="1" si="118"/>
        <v/>
      </c>
    </row>
    <row r="1461" spans="1:9" x14ac:dyDescent="0.3">
      <c r="A1461" s="3"/>
      <c r="B1461" s="9"/>
      <c r="C1461" s="9"/>
      <c r="E1461" s="14" t="str">
        <f t="shared" si="114"/>
        <v/>
      </c>
      <c r="F1461" s="15" t="str">
        <f t="shared" ca="1" si="115"/>
        <v/>
      </c>
      <c r="G1461" s="15" t="str">
        <f t="shared" ca="1" si="116"/>
        <v/>
      </c>
      <c r="H1461" s="15" t="str">
        <f t="shared" ca="1" si="117"/>
        <v/>
      </c>
      <c r="I1461" s="16" t="str">
        <f t="shared" ca="1" si="118"/>
        <v/>
      </c>
    </row>
    <row r="1462" spans="1:9" x14ac:dyDescent="0.3">
      <c r="A1462" s="3"/>
      <c r="B1462" s="9"/>
      <c r="C1462" s="9"/>
      <c r="E1462" s="14" t="str">
        <f t="shared" si="114"/>
        <v/>
      </c>
      <c r="F1462" s="15" t="str">
        <f t="shared" ca="1" si="115"/>
        <v/>
      </c>
      <c r="G1462" s="15" t="str">
        <f t="shared" ca="1" si="116"/>
        <v/>
      </c>
      <c r="H1462" s="15" t="str">
        <f t="shared" ca="1" si="117"/>
        <v/>
      </c>
      <c r="I1462" s="16" t="str">
        <f t="shared" ca="1" si="118"/>
        <v/>
      </c>
    </row>
    <row r="1463" spans="1:9" x14ac:dyDescent="0.3">
      <c r="A1463" s="3"/>
      <c r="B1463" s="9"/>
      <c r="C1463" s="9"/>
      <c r="E1463" s="14" t="str">
        <f t="shared" si="114"/>
        <v/>
      </c>
      <c r="F1463" s="15" t="str">
        <f t="shared" ca="1" si="115"/>
        <v/>
      </c>
      <c r="G1463" s="15" t="str">
        <f t="shared" ca="1" si="116"/>
        <v/>
      </c>
      <c r="H1463" s="15" t="str">
        <f t="shared" ca="1" si="117"/>
        <v/>
      </c>
      <c r="I1463" s="16" t="str">
        <f t="shared" ca="1" si="118"/>
        <v/>
      </c>
    </row>
    <row r="1464" spans="1:9" x14ac:dyDescent="0.3">
      <c r="A1464" s="3"/>
      <c r="B1464" s="9"/>
      <c r="C1464" s="9"/>
      <c r="E1464" s="14" t="str">
        <f t="shared" si="114"/>
        <v/>
      </c>
      <c r="F1464" s="15" t="str">
        <f t="shared" ca="1" si="115"/>
        <v/>
      </c>
      <c r="G1464" s="15" t="str">
        <f t="shared" ca="1" si="116"/>
        <v/>
      </c>
      <c r="H1464" s="15" t="str">
        <f t="shared" ca="1" si="117"/>
        <v/>
      </c>
      <c r="I1464" s="16" t="str">
        <f t="shared" ca="1" si="118"/>
        <v/>
      </c>
    </row>
    <row r="1465" spans="1:9" x14ac:dyDescent="0.3">
      <c r="A1465" s="3"/>
      <c r="B1465" s="9"/>
      <c r="C1465" s="9"/>
      <c r="E1465" s="14" t="str">
        <f t="shared" si="114"/>
        <v/>
      </c>
      <c r="F1465" s="15" t="str">
        <f t="shared" ca="1" si="115"/>
        <v/>
      </c>
      <c r="G1465" s="15" t="str">
        <f t="shared" ca="1" si="116"/>
        <v/>
      </c>
      <c r="H1465" s="15" t="str">
        <f t="shared" ca="1" si="117"/>
        <v/>
      </c>
      <c r="I1465" s="16" t="str">
        <f t="shared" ca="1" si="118"/>
        <v/>
      </c>
    </row>
    <row r="1466" spans="1:9" x14ac:dyDescent="0.3">
      <c r="A1466" s="3"/>
      <c r="B1466" s="9"/>
      <c r="C1466" s="9"/>
      <c r="E1466" s="14" t="str">
        <f t="shared" si="114"/>
        <v/>
      </c>
      <c r="F1466" s="15" t="str">
        <f t="shared" ca="1" si="115"/>
        <v/>
      </c>
      <c r="G1466" s="15" t="str">
        <f t="shared" ca="1" si="116"/>
        <v/>
      </c>
      <c r="H1466" s="15" t="str">
        <f t="shared" ca="1" si="117"/>
        <v/>
      </c>
      <c r="I1466" s="16" t="str">
        <f t="shared" ca="1" si="118"/>
        <v/>
      </c>
    </row>
    <row r="1467" spans="1:9" x14ac:dyDescent="0.3">
      <c r="A1467" s="3"/>
      <c r="B1467" s="9"/>
      <c r="C1467" s="9"/>
      <c r="E1467" s="14" t="str">
        <f t="shared" si="114"/>
        <v/>
      </c>
      <c r="F1467" s="15" t="str">
        <f t="shared" ca="1" si="115"/>
        <v/>
      </c>
      <c r="G1467" s="15" t="str">
        <f t="shared" ca="1" si="116"/>
        <v/>
      </c>
      <c r="H1467" s="15" t="str">
        <f t="shared" ca="1" si="117"/>
        <v/>
      </c>
      <c r="I1467" s="16" t="str">
        <f t="shared" ca="1" si="118"/>
        <v/>
      </c>
    </row>
    <row r="1468" spans="1:9" x14ac:dyDescent="0.3">
      <c r="A1468" s="3"/>
      <c r="B1468" s="9"/>
      <c r="C1468" s="9"/>
      <c r="E1468" s="14" t="str">
        <f t="shared" si="114"/>
        <v/>
      </c>
      <c r="F1468" s="15" t="str">
        <f t="shared" ca="1" si="115"/>
        <v/>
      </c>
      <c r="G1468" s="15" t="str">
        <f t="shared" ca="1" si="116"/>
        <v/>
      </c>
      <c r="H1468" s="15" t="str">
        <f t="shared" ca="1" si="117"/>
        <v/>
      </c>
      <c r="I1468" s="16" t="str">
        <f t="shared" ca="1" si="118"/>
        <v/>
      </c>
    </row>
    <row r="1469" spans="1:9" x14ac:dyDescent="0.3">
      <c r="A1469" s="3"/>
      <c r="B1469" s="9"/>
      <c r="C1469" s="9"/>
      <c r="E1469" s="14" t="str">
        <f t="shared" si="114"/>
        <v/>
      </c>
      <c r="F1469" s="15" t="str">
        <f t="shared" ca="1" si="115"/>
        <v/>
      </c>
      <c r="G1469" s="15" t="str">
        <f t="shared" ca="1" si="116"/>
        <v/>
      </c>
      <c r="H1469" s="15" t="str">
        <f t="shared" ca="1" si="117"/>
        <v/>
      </c>
      <c r="I1469" s="16" t="str">
        <f t="shared" ca="1" si="118"/>
        <v/>
      </c>
    </row>
    <row r="1470" spans="1:9" x14ac:dyDescent="0.3">
      <c r="A1470" s="3"/>
      <c r="B1470" s="9"/>
      <c r="C1470" s="9"/>
      <c r="E1470" s="14" t="str">
        <f t="shared" si="114"/>
        <v/>
      </c>
      <c r="F1470" s="15" t="str">
        <f t="shared" ca="1" si="115"/>
        <v/>
      </c>
      <c r="G1470" s="15" t="str">
        <f t="shared" ca="1" si="116"/>
        <v/>
      </c>
      <c r="H1470" s="15" t="str">
        <f t="shared" ca="1" si="117"/>
        <v/>
      </c>
      <c r="I1470" s="16" t="str">
        <f t="shared" ca="1" si="118"/>
        <v/>
      </c>
    </row>
    <row r="1471" spans="1:9" x14ac:dyDescent="0.3">
      <c r="A1471" s="3"/>
      <c r="B1471" s="9"/>
      <c r="C1471" s="9"/>
      <c r="E1471" s="14" t="str">
        <f t="shared" si="114"/>
        <v/>
      </c>
      <c r="F1471" s="15" t="str">
        <f t="shared" ca="1" si="115"/>
        <v/>
      </c>
      <c r="G1471" s="15" t="str">
        <f t="shared" ca="1" si="116"/>
        <v/>
      </c>
      <c r="H1471" s="15" t="str">
        <f t="shared" ca="1" si="117"/>
        <v/>
      </c>
      <c r="I1471" s="16" t="str">
        <f t="shared" ca="1" si="118"/>
        <v/>
      </c>
    </row>
    <row r="1472" spans="1:9" x14ac:dyDescent="0.3">
      <c r="A1472" s="3"/>
      <c r="B1472" s="9"/>
      <c r="C1472" s="9"/>
      <c r="E1472" s="14" t="str">
        <f t="shared" si="114"/>
        <v/>
      </c>
      <c r="F1472" s="15" t="str">
        <f t="shared" ca="1" si="115"/>
        <v/>
      </c>
      <c r="G1472" s="15" t="str">
        <f t="shared" ca="1" si="116"/>
        <v/>
      </c>
      <c r="H1472" s="15" t="str">
        <f t="shared" ca="1" si="117"/>
        <v/>
      </c>
      <c r="I1472" s="16" t="str">
        <f t="shared" ca="1" si="118"/>
        <v/>
      </c>
    </row>
    <row r="1473" spans="1:9" x14ac:dyDescent="0.3">
      <c r="A1473" s="3"/>
      <c r="B1473" s="9"/>
      <c r="C1473" s="9"/>
      <c r="E1473" s="14" t="str">
        <f t="shared" si="114"/>
        <v/>
      </c>
      <c r="F1473" s="15" t="str">
        <f t="shared" ca="1" si="115"/>
        <v/>
      </c>
      <c r="G1473" s="15" t="str">
        <f t="shared" ca="1" si="116"/>
        <v/>
      </c>
      <c r="H1473" s="15" t="str">
        <f t="shared" ca="1" si="117"/>
        <v/>
      </c>
      <c r="I1473" s="16" t="str">
        <f t="shared" ca="1" si="118"/>
        <v/>
      </c>
    </row>
    <row r="1474" spans="1:9" x14ac:dyDescent="0.3">
      <c r="A1474" s="3"/>
      <c r="B1474" s="9"/>
      <c r="C1474" s="9"/>
      <c r="E1474" s="14" t="str">
        <f t="shared" si="114"/>
        <v/>
      </c>
      <c r="F1474" s="15" t="str">
        <f t="shared" ca="1" si="115"/>
        <v/>
      </c>
      <c r="G1474" s="15" t="str">
        <f t="shared" ca="1" si="116"/>
        <v/>
      </c>
      <c r="H1474" s="15" t="str">
        <f t="shared" ca="1" si="117"/>
        <v/>
      </c>
      <c r="I1474" s="16" t="str">
        <f t="shared" ca="1" si="118"/>
        <v/>
      </c>
    </row>
    <row r="1475" spans="1:9" x14ac:dyDescent="0.3">
      <c r="A1475" s="3"/>
      <c r="B1475" s="9"/>
      <c r="C1475" s="9"/>
      <c r="E1475" s="14" t="str">
        <f t="shared" ref="E1475:E1538" si="119">IF(ISNUMBER(B1475),B1475/C1475,"")</f>
        <v/>
      </c>
      <c r="F1475" s="15" t="str">
        <f t="shared" ca="1" si="115"/>
        <v/>
      </c>
      <c r="G1475" s="15" t="str">
        <f t="shared" ca="1" si="116"/>
        <v/>
      </c>
      <c r="H1475" s="15" t="str">
        <f t="shared" ca="1" si="117"/>
        <v/>
      </c>
      <c r="I1475" s="16" t="str">
        <f t="shared" ca="1" si="118"/>
        <v/>
      </c>
    </row>
    <row r="1476" spans="1:9" x14ac:dyDescent="0.3">
      <c r="A1476" s="3"/>
      <c r="B1476" s="9"/>
      <c r="C1476" s="9"/>
      <c r="E1476" s="14" t="str">
        <f t="shared" si="119"/>
        <v/>
      </c>
      <c r="F1476" s="15" t="str">
        <f t="shared" ca="1" si="115"/>
        <v/>
      </c>
      <c r="G1476" s="15" t="str">
        <f t="shared" ca="1" si="116"/>
        <v/>
      </c>
      <c r="H1476" s="15" t="str">
        <f t="shared" ca="1" si="117"/>
        <v/>
      </c>
      <c r="I1476" s="16" t="str">
        <f t="shared" ca="1" si="118"/>
        <v/>
      </c>
    </row>
    <row r="1477" spans="1:9" x14ac:dyDescent="0.3">
      <c r="A1477" s="3"/>
      <c r="B1477" s="9"/>
      <c r="C1477" s="9"/>
      <c r="E1477" s="14" t="str">
        <f t="shared" si="119"/>
        <v/>
      </c>
      <c r="F1477" s="15" t="str">
        <f t="shared" ca="1" si="115"/>
        <v/>
      </c>
      <c r="G1477" s="15" t="str">
        <f t="shared" ca="1" si="116"/>
        <v/>
      </c>
      <c r="H1477" s="15" t="str">
        <f t="shared" ca="1" si="117"/>
        <v/>
      </c>
      <c r="I1477" s="16" t="str">
        <f t="shared" ca="1" si="118"/>
        <v/>
      </c>
    </row>
    <row r="1478" spans="1:9" x14ac:dyDescent="0.3">
      <c r="A1478" s="3"/>
      <c r="B1478" s="9"/>
      <c r="C1478" s="9"/>
      <c r="E1478" s="14" t="str">
        <f t="shared" si="119"/>
        <v/>
      </c>
      <c r="F1478" s="15" t="str">
        <f t="shared" ca="1" si="115"/>
        <v/>
      </c>
      <c r="G1478" s="15" t="str">
        <f t="shared" ca="1" si="116"/>
        <v/>
      </c>
      <c r="H1478" s="15" t="str">
        <f t="shared" ca="1" si="117"/>
        <v/>
      </c>
      <c r="I1478" s="16" t="str">
        <f t="shared" ca="1" si="118"/>
        <v/>
      </c>
    </row>
    <row r="1479" spans="1:9" x14ac:dyDescent="0.3">
      <c r="A1479" s="3"/>
      <c r="B1479" s="9"/>
      <c r="C1479" s="9"/>
      <c r="E1479" s="14" t="str">
        <f t="shared" si="119"/>
        <v/>
      </c>
      <c r="F1479" s="15" t="str">
        <f t="shared" ca="1" si="115"/>
        <v/>
      </c>
      <c r="G1479" s="15" t="str">
        <f t="shared" ca="1" si="116"/>
        <v/>
      </c>
      <c r="H1479" s="15" t="str">
        <f t="shared" ca="1" si="117"/>
        <v/>
      </c>
      <c r="I1479" s="16" t="str">
        <f t="shared" ca="1" si="118"/>
        <v/>
      </c>
    </row>
    <row r="1480" spans="1:9" x14ac:dyDescent="0.3">
      <c r="A1480" s="3"/>
      <c r="B1480" s="9"/>
      <c r="C1480" s="9"/>
      <c r="E1480" s="14" t="str">
        <f t="shared" si="119"/>
        <v/>
      </c>
      <c r="F1480" s="15" t="str">
        <f t="shared" ca="1" si="115"/>
        <v/>
      </c>
      <c r="G1480" s="15" t="str">
        <f t="shared" ca="1" si="116"/>
        <v/>
      </c>
      <c r="H1480" s="15" t="str">
        <f t="shared" ca="1" si="117"/>
        <v/>
      </c>
      <c r="I1480" s="16" t="str">
        <f t="shared" ca="1" si="118"/>
        <v/>
      </c>
    </row>
    <row r="1481" spans="1:9" x14ac:dyDescent="0.3">
      <c r="A1481" s="3"/>
      <c r="B1481" s="9"/>
      <c r="C1481" s="9"/>
      <c r="E1481" s="14" t="str">
        <f t="shared" si="119"/>
        <v/>
      </c>
      <c r="F1481" s="15" t="str">
        <f t="shared" ca="1" si="115"/>
        <v/>
      </c>
      <c r="G1481" s="15" t="str">
        <f t="shared" ca="1" si="116"/>
        <v/>
      </c>
      <c r="H1481" s="15" t="str">
        <f t="shared" ca="1" si="117"/>
        <v/>
      </c>
      <c r="I1481" s="16" t="str">
        <f t="shared" ca="1" si="118"/>
        <v/>
      </c>
    </row>
    <row r="1482" spans="1:9" x14ac:dyDescent="0.3">
      <c r="A1482" s="3"/>
      <c r="B1482" s="9"/>
      <c r="C1482" s="9"/>
      <c r="E1482" s="14" t="str">
        <f t="shared" si="119"/>
        <v/>
      </c>
      <c r="F1482" s="15" t="str">
        <f t="shared" ca="1" si="115"/>
        <v/>
      </c>
      <c r="G1482" s="15" t="str">
        <f t="shared" ca="1" si="116"/>
        <v/>
      </c>
      <c r="H1482" s="15" t="str">
        <f t="shared" ca="1" si="117"/>
        <v/>
      </c>
      <c r="I1482" s="16" t="str">
        <f t="shared" ca="1" si="118"/>
        <v/>
      </c>
    </row>
    <row r="1483" spans="1:9" x14ac:dyDescent="0.3">
      <c r="A1483" s="3"/>
      <c r="B1483" s="9"/>
      <c r="C1483" s="9"/>
      <c r="E1483" s="14" t="str">
        <f t="shared" si="119"/>
        <v/>
      </c>
      <c r="F1483" s="15" t="str">
        <f t="shared" ca="1" si="115"/>
        <v/>
      </c>
      <c r="G1483" s="15" t="str">
        <f t="shared" ca="1" si="116"/>
        <v/>
      </c>
      <c r="H1483" s="15" t="str">
        <f t="shared" ca="1" si="117"/>
        <v/>
      </c>
      <c r="I1483" s="16" t="str">
        <f t="shared" ca="1" si="118"/>
        <v/>
      </c>
    </row>
    <row r="1484" spans="1:9" x14ac:dyDescent="0.3">
      <c r="A1484" s="3"/>
      <c r="B1484" s="9"/>
      <c r="C1484" s="9"/>
      <c r="E1484" s="14" t="str">
        <f t="shared" si="119"/>
        <v/>
      </c>
      <c r="F1484" s="15" t="str">
        <f t="shared" ca="1" si="115"/>
        <v/>
      </c>
      <c r="G1484" s="15" t="str">
        <f t="shared" ca="1" si="116"/>
        <v/>
      </c>
      <c r="H1484" s="15" t="str">
        <f t="shared" ca="1" si="117"/>
        <v/>
      </c>
      <c r="I1484" s="16" t="str">
        <f t="shared" ca="1" si="118"/>
        <v/>
      </c>
    </row>
    <row r="1485" spans="1:9" x14ac:dyDescent="0.3">
      <c r="A1485" s="3"/>
      <c r="B1485" s="9"/>
      <c r="C1485" s="9"/>
      <c r="E1485" s="14" t="str">
        <f t="shared" si="119"/>
        <v/>
      </c>
      <c r="F1485" s="15" t="str">
        <f t="shared" ca="1" si="115"/>
        <v/>
      </c>
      <c r="G1485" s="15" t="str">
        <f t="shared" ca="1" si="116"/>
        <v/>
      </c>
      <c r="H1485" s="15" t="str">
        <f t="shared" ca="1" si="117"/>
        <v/>
      </c>
      <c r="I1485" s="16" t="str">
        <f t="shared" ca="1" si="118"/>
        <v/>
      </c>
    </row>
    <row r="1486" spans="1:9" x14ac:dyDescent="0.3">
      <c r="A1486" s="3"/>
      <c r="B1486" s="9"/>
      <c r="C1486" s="9"/>
      <c r="E1486" s="14" t="str">
        <f t="shared" si="119"/>
        <v/>
      </c>
      <c r="F1486" s="15" t="str">
        <f t="shared" ca="1" si="115"/>
        <v/>
      </c>
      <c r="G1486" s="15" t="str">
        <f t="shared" ca="1" si="116"/>
        <v/>
      </c>
      <c r="H1486" s="15" t="str">
        <f t="shared" ca="1" si="117"/>
        <v/>
      </c>
      <c r="I1486" s="16" t="str">
        <f t="shared" ca="1" si="118"/>
        <v/>
      </c>
    </row>
    <row r="1487" spans="1:9" x14ac:dyDescent="0.3">
      <c r="A1487" s="3"/>
      <c r="B1487" s="9"/>
      <c r="C1487" s="9"/>
      <c r="E1487" s="14" t="str">
        <f t="shared" si="119"/>
        <v/>
      </c>
      <c r="F1487" s="15" t="str">
        <f t="shared" ca="1" si="115"/>
        <v/>
      </c>
      <c r="G1487" s="15" t="str">
        <f t="shared" ca="1" si="116"/>
        <v/>
      </c>
      <c r="H1487" s="15" t="str">
        <f t="shared" ca="1" si="117"/>
        <v/>
      </c>
      <c r="I1487" s="16" t="str">
        <f t="shared" ca="1" si="118"/>
        <v/>
      </c>
    </row>
    <row r="1488" spans="1:9" x14ac:dyDescent="0.3">
      <c r="A1488" s="3"/>
      <c r="B1488" s="9"/>
      <c r="C1488" s="9"/>
      <c r="E1488" s="14" t="str">
        <f t="shared" si="119"/>
        <v/>
      </c>
      <c r="F1488" s="15" t="str">
        <f t="shared" ca="1" si="115"/>
        <v/>
      </c>
      <c r="G1488" s="15" t="str">
        <f t="shared" ca="1" si="116"/>
        <v/>
      </c>
      <c r="H1488" s="15" t="str">
        <f t="shared" ca="1" si="117"/>
        <v/>
      </c>
      <c r="I1488" s="16" t="str">
        <f t="shared" ca="1" si="118"/>
        <v/>
      </c>
    </row>
    <row r="1489" spans="1:9" x14ac:dyDescent="0.3">
      <c r="A1489" s="3"/>
      <c r="B1489" s="9"/>
      <c r="C1489" s="9"/>
      <c r="E1489" s="14" t="str">
        <f t="shared" si="119"/>
        <v/>
      </c>
      <c r="F1489" s="15" t="str">
        <f t="shared" ref="F1489:F1552" ca="1" si="120">IF(ISNUMBER(E1489),IF(ROW(E1489)&gt;$K$1,AVERAGE(OFFSET(E1489,0,0,-$K$1)),""),"")</f>
        <v/>
      </c>
      <c r="G1489" s="15" t="str">
        <f t="shared" ref="G1489:G1552" ca="1" si="121">IF(ISNUMBER(I1489),F1489+I1489*$M$1,"")</f>
        <v/>
      </c>
      <c r="H1489" s="15" t="str">
        <f t="shared" ref="H1489:H1552" ca="1" si="122">IF(ISNUMBER(I1489),F1489-I1489*$M$1,"")</f>
        <v/>
      </c>
      <c r="I1489" s="16" t="str">
        <f t="shared" ref="I1489:I1552" ca="1" si="123">IF(ISNUMBER(E1489),IF(ROW(E1489)&gt;$K$1,_xlfn.STDEV.P(OFFSET(E1489,0,0,-$K$1)),""),"")</f>
        <v/>
      </c>
    </row>
    <row r="1490" spans="1:9" x14ac:dyDescent="0.3">
      <c r="A1490" s="3"/>
      <c r="B1490" s="9"/>
      <c r="C1490" s="9"/>
      <c r="E1490" s="14" t="str">
        <f t="shared" si="119"/>
        <v/>
      </c>
      <c r="F1490" s="15" t="str">
        <f t="shared" ca="1" si="120"/>
        <v/>
      </c>
      <c r="G1490" s="15" t="str">
        <f t="shared" ca="1" si="121"/>
        <v/>
      </c>
      <c r="H1490" s="15" t="str">
        <f t="shared" ca="1" si="122"/>
        <v/>
      </c>
      <c r="I1490" s="16" t="str">
        <f t="shared" ca="1" si="123"/>
        <v/>
      </c>
    </row>
    <row r="1491" spans="1:9" x14ac:dyDescent="0.3">
      <c r="A1491" s="3"/>
      <c r="B1491" s="9"/>
      <c r="C1491" s="9"/>
      <c r="E1491" s="14" t="str">
        <f t="shared" si="119"/>
        <v/>
      </c>
      <c r="F1491" s="15" t="str">
        <f t="shared" ca="1" si="120"/>
        <v/>
      </c>
      <c r="G1491" s="15" t="str">
        <f t="shared" ca="1" si="121"/>
        <v/>
      </c>
      <c r="H1491" s="15" t="str">
        <f t="shared" ca="1" si="122"/>
        <v/>
      </c>
      <c r="I1491" s="16" t="str">
        <f t="shared" ca="1" si="123"/>
        <v/>
      </c>
    </row>
    <row r="1492" spans="1:9" x14ac:dyDescent="0.3">
      <c r="A1492" s="3"/>
      <c r="B1492" s="9"/>
      <c r="C1492" s="9"/>
      <c r="E1492" s="14" t="str">
        <f t="shared" si="119"/>
        <v/>
      </c>
      <c r="F1492" s="15" t="str">
        <f t="shared" ca="1" si="120"/>
        <v/>
      </c>
      <c r="G1492" s="15" t="str">
        <f t="shared" ca="1" si="121"/>
        <v/>
      </c>
      <c r="H1492" s="15" t="str">
        <f t="shared" ca="1" si="122"/>
        <v/>
      </c>
      <c r="I1492" s="16" t="str">
        <f t="shared" ca="1" si="123"/>
        <v/>
      </c>
    </row>
    <row r="1493" spans="1:9" x14ac:dyDescent="0.3">
      <c r="A1493" s="3"/>
      <c r="B1493" s="9"/>
      <c r="C1493" s="9"/>
      <c r="E1493" s="14" t="str">
        <f t="shared" si="119"/>
        <v/>
      </c>
      <c r="F1493" s="15" t="str">
        <f t="shared" ca="1" si="120"/>
        <v/>
      </c>
      <c r="G1493" s="15" t="str">
        <f t="shared" ca="1" si="121"/>
        <v/>
      </c>
      <c r="H1493" s="15" t="str">
        <f t="shared" ca="1" si="122"/>
        <v/>
      </c>
      <c r="I1493" s="16" t="str">
        <f t="shared" ca="1" si="123"/>
        <v/>
      </c>
    </row>
    <row r="1494" spans="1:9" x14ac:dyDescent="0.3">
      <c r="A1494" s="3"/>
      <c r="B1494" s="9"/>
      <c r="C1494" s="9"/>
      <c r="E1494" s="14" t="str">
        <f t="shared" si="119"/>
        <v/>
      </c>
      <c r="F1494" s="15" t="str">
        <f t="shared" ca="1" si="120"/>
        <v/>
      </c>
      <c r="G1494" s="15" t="str">
        <f t="shared" ca="1" si="121"/>
        <v/>
      </c>
      <c r="H1494" s="15" t="str">
        <f t="shared" ca="1" si="122"/>
        <v/>
      </c>
      <c r="I1494" s="16" t="str">
        <f t="shared" ca="1" si="123"/>
        <v/>
      </c>
    </row>
    <row r="1495" spans="1:9" x14ac:dyDescent="0.3">
      <c r="A1495" s="3"/>
      <c r="B1495" s="9"/>
      <c r="C1495" s="9"/>
      <c r="E1495" s="14" t="str">
        <f t="shared" si="119"/>
        <v/>
      </c>
      <c r="F1495" s="15" t="str">
        <f t="shared" ca="1" si="120"/>
        <v/>
      </c>
      <c r="G1495" s="15" t="str">
        <f t="shared" ca="1" si="121"/>
        <v/>
      </c>
      <c r="H1495" s="15" t="str">
        <f t="shared" ca="1" si="122"/>
        <v/>
      </c>
      <c r="I1495" s="16" t="str">
        <f t="shared" ca="1" si="123"/>
        <v/>
      </c>
    </row>
    <row r="1496" spans="1:9" x14ac:dyDescent="0.3">
      <c r="A1496" s="3"/>
      <c r="B1496" s="9"/>
      <c r="C1496" s="9"/>
      <c r="E1496" s="14" t="str">
        <f t="shared" si="119"/>
        <v/>
      </c>
      <c r="F1496" s="15" t="str">
        <f t="shared" ca="1" si="120"/>
        <v/>
      </c>
      <c r="G1496" s="15" t="str">
        <f t="shared" ca="1" si="121"/>
        <v/>
      </c>
      <c r="H1496" s="15" t="str">
        <f t="shared" ca="1" si="122"/>
        <v/>
      </c>
      <c r="I1496" s="16" t="str">
        <f t="shared" ca="1" si="123"/>
        <v/>
      </c>
    </row>
    <row r="1497" spans="1:9" x14ac:dyDescent="0.3">
      <c r="A1497" s="3"/>
      <c r="B1497" s="9"/>
      <c r="C1497" s="9"/>
      <c r="E1497" s="14" t="str">
        <f t="shared" si="119"/>
        <v/>
      </c>
      <c r="F1497" s="15" t="str">
        <f t="shared" ca="1" si="120"/>
        <v/>
      </c>
      <c r="G1497" s="15" t="str">
        <f t="shared" ca="1" si="121"/>
        <v/>
      </c>
      <c r="H1497" s="15" t="str">
        <f t="shared" ca="1" si="122"/>
        <v/>
      </c>
      <c r="I1497" s="16" t="str">
        <f t="shared" ca="1" si="123"/>
        <v/>
      </c>
    </row>
    <row r="1498" spans="1:9" x14ac:dyDescent="0.3">
      <c r="A1498" s="3"/>
      <c r="B1498" s="9"/>
      <c r="C1498" s="9"/>
      <c r="E1498" s="14" t="str">
        <f t="shared" si="119"/>
        <v/>
      </c>
      <c r="F1498" s="15" t="str">
        <f t="shared" ca="1" si="120"/>
        <v/>
      </c>
      <c r="G1498" s="15" t="str">
        <f t="shared" ca="1" si="121"/>
        <v/>
      </c>
      <c r="H1498" s="15" t="str">
        <f t="shared" ca="1" si="122"/>
        <v/>
      </c>
      <c r="I1498" s="16" t="str">
        <f t="shared" ca="1" si="123"/>
        <v/>
      </c>
    </row>
    <row r="1499" spans="1:9" x14ac:dyDescent="0.3">
      <c r="A1499" s="3"/>
      <c r="B1499" s="9"/>
      <c r="C1499" s="9"/>
      <c r="E1499" s="14" t="str">
        <f t="shared" si="119"/>
        <v/>
      </c>
      <c r="F1499" s="15" t="str">
        <f t="shared" ca="1" si="120"/>
        <v/>
      </c>
      <c r="G1499" s="15" t="str">
        <f t="shared" ca="1" si="121"/>
        <v/>
      </c>
      <c r="H1499" s="15" t="str">
        <f t="shared" ca="1" si="122"/>
        <v/>
      </c>
      <c r="I1499" s="16" t="str">
        <f t="shared" ca="1" si="123"/>
        <v/>
      </c>
    </row>
    <row r="1500" spans="1:9" x14ac:dyDescent="0.3">
      <c r="A1500" s="3"/>
      <c r="B1500" s="9"/>
      <c r="C1500" s="9"/>
      <c r="E1500" s="14" t="str">
        <f t="shared" si="119"/>
        <v/>
      </c>
      <c r="F1500" s="15" t="str">
        <f t="shared" ca="1" si="120"/>
        <v/>
      </c>
      <c r="G1500" s="15" t="str">
        <f t="shared" ca="1" si="121"/>
        <v/>
      </c>
      <c r="H1500" s="15" t="str">
        <f t="shared" ca="1" si="122"/>
        <v/>
      </c>
      <c r="I1500" s="16" t="str">
        <f t="shared" ca="1" si="123"/>
        <v/>
      </c>
    </row>
    <row r="1501" spans="1:9" x14ac:dyDescent="0.3">
      <c r="A1501" s="3"/>
      <c r="B1501" s="9"/>
      <c r="C1501" s="9"/>
      <c r="E1501" s="14" t="str">
        <f t="shared" si="119"/>
        <v/>
      </c>
      <c r="F1501" s="15" t="str">
        <f t="shared" ca="1" si="120"/>
        <v/>
      </c>
      <c r="G1501" s="15" t="str">
        <f t="shared" ca="1" si="121"/>
        <v/>
      </c>
      <c r="H1501" s="15" t="str">
        <f t="shared" ca="1" si="122"/>
        <v/>
      </c>
      <c r="I1501" s="16" t="str">
        <f t="shared" ca="1" si="123"/>
        <v/>
      </c>
    </row>
    <row r="1502" spans="1:9" x14ac:dyDescent="0.3">
      <c r="A1502" s="3"/>
      <c r="B1502" s="9"/>
      <c r="C1502" s="9"/>
      <c r="E1502" s="14" t="str">
        <f t="shared" si="119"/>
        <v/>
      </c>
      <c r="F1502" s="15" t="str">
        <f t="shared" ca="1" si="120"/>
        <v/>
      </c>
      <c r="G1502" s="15" t="str">
        <f t="shared" ca="1" si="121"/>
        <v/>
      </c>
      <c r="H1502" s="15" t="str">
        <f t="shared" ca="1" si="122"/>
        <v/>
      </c>
      <c r="I1502" s="16" t="str">
        <f t="shared" ca="1" si="123"/>
        <v/>
      </c>
    </row>
    <row r="1503" spans="1:9" x14ac:dyDescent="0.3">
      <c r="A1503" s="3"/>
      <c r="B1503" s="9"/>
      <c r="C1503" s="9"/>
      <c r="E1503" s="14" t="str">
        <f t="shared" si="119"/>
        <v/>
      </c>
      <c r="F1503" s="15" t="str">
        <f t="shared" ca="1" si="120"/>
        <v/>
      </c>
      <c r="G1503" s="15" t="str">
        <f t="shared" ca="1" si="121"/>
        <v/>
      </c>
      <c r="H1503" s="15" t="str">
        <f t="shared" ca="1" si="122"/>
        <v/>
      </c>
      <c r="I1503" s="16" t="str">
        <f t="shared" ca="1" si="123"/>
        <v/>
      </c>
    </row>
    <row r="1504" spans="1:9" x14ac:dyDescent="0.3">
      <c r="A1504" s="3"/>
      <c r="B1504" s="9"/>
      <c r="C1504" s="9"/>
      <c r="E1504" s="14" t="str">
        <f t="shared" si="119"/>
        <v/>
      </c>
      <c r="F1504" s="15" t="str">
        <f t="shared" ca="1" si="120"/>
        <v/>
      </c>
      <c r="G1504" s="15" t="str">
        <f t="shared" ca="1" si="121"/>
        <v/>
      </c>
      <c r="H1504" s="15" t="str">
        <f t="shared" ca="1" si="122"/>
        <v/>
      </c>
      <c r="I1504" s="16" t="str">
        <f t="shared" ca="1" si="123"/>
        <v/>
      </c>
    </row>
    <row r="1505" spans="1:9" x14ac:dyDescent="0.3">
      <c r="A1505" s="3"/>
      <c r="B1505" s="9"/>
      <c r="C1505" s="9"/>
      <c r="E1505" s="14" t="str">
        <f t="shared" si="119"/>
        <v/>
      </c>
      <c r="F1505" s="15" t="str">
        <f t="shared" ca="1" si="120"/>
        <v/>
      </c>
      <c r="G1505" s="15" t="str">
        <f t="shared" ca="1" si="121"/>
        <v/>
      </c>
      <c r="H1505" s="15" t="str">
        <f t="shared" ca="1" si="122"/>
        <v/>
      </c>
      <c r="I1505" s="16" t="str">
        <f t="shared" ca="1" si="123"/>
        <v/>
      </c>
    </row>
    <row r="1506" spans="1:9" x14ac:dyDescent="0.3">
      <c r="A1506" s="3"/>
      <c r="B1506" s="9"/>
      <c r="C1506" s="9"/>
      <c r="E1506" s="14" t="str">
        <f t="shared" si="119"/>
        <v/>
      </c>
      <c r="F1506" s="15" t="str">
        <f t="shared" ca="1" si="120"/>
        <v/>
      </c>
      <c r="G1506" s="15" t="str">
        <f t="shared" ca="1" si="121"/>
        <v/>
      </c>
      <c r="H1506" s="15" t="str">
        <f t="shared" ca="1" si="122"/>
        <v/>
      </c>
      <c r="I1506" s="16" t="str">
        <f t="shared" ca="1" si="123"/>
        <v/>
      </c>
    </row>
    <row r="1507" spans="1:9" x14ac:dyDescent="0.3">
      <c r="A1507" s="3"/>
      <c r="B1507" s="9"/>
      <c r="C1507" s="9"/>
      <c r="E1507" s="14" t="str">
        <f t="shared" si="119"/>
        <v/>
      </c>
      <c r="F1507" s="15" t="str">
        <f t="shared" ca="1" si="120"/>
        <v/>
      </c>
      <c r="G1507" s="15" t="str">
        <f t="shared" ca="1" si="121"/>
        <v/>
      </c>
      <c r="H1507" s="15" t="str">
        <f t="shared" ca="1" si="122"/>
        <v/>
      </c>
      <c r="I1507" s="16" t="str">
        <f t="shared" ca="1" si="123"/>
        <v/>
      </c>
    </row>
    <row r="1508" spans="1:9" x14ac:dyDescent="0.3">
      <c r="A1508" s="3"/>
      <c r="B1508" s="9"/>
      <c r="C1508" s="9"/>
      <c r="E1508" s="14" t="str">
        <f t="shared" si="119"/>
        <v/>
      </c>
      <c r="F1508" s="15" t="str">
        <f t="shared" ca="1" si="120"/>
        <v/>
      </c>
      <c r="G1508" s="15" t="str">
        <f t="shared" ca="1" si="121"/>
        <v/>
      </c>
      <c r="H1508" s="15" t="str">
        <f t="shared" ca="1" si="122"/>
        <v/>
      </c>
      <c r="I1508" s="16" t="str">
        <f t="shared" ca="1" si="123"/>
        <v/>
      </c>
    </row>
    <row r="1509" spans="1:9" x14ac:dyDescent="0.3">
      <c r="A1509" s="3"/>
      <c r="B1509" s="9"/>
      <c r="C1509" s="9"/>
      <c r="E1509" s="14" t="str">
        <f t="shared" si="119"/>
        <v/>
      </c>
      <c r="F1509" s="15" t="str">
        <f t="shared" ca="1" si="120"/>
        <v/>
      </c>
      <c r="G1509" s="15" t="str">
        <f t="shared" ca="1" si="121"/>
        <v/>
      </c>
      <c r="H1509" s="15" t="str">
        <f t="shared" ca="1" si="122"/>
        <v/>
      </c>
      <c r="I1509" s="16" t="str">
        <f t="shared" ca="1" si="123"/>
        <v/>
      </c>
    </row>
    <row r="1510" spans="1:9" x14ac:dyDescent="0.3">
      <c r="A1510" s="3"/>
      <c r="B1510" s="9"/>
      <c r="C1510" s="9"/>
      <c r="E1510" s="14" t="str">
        <f t="shared" si="119"/>
        <v/>
      </c>
      <c r="F1510" s="15" t="str">
        <f t="shared" ca="1" si="120"/>
        <v/>
      </c>
      <c r="G1510" s="15" t="str">
        <f t="shared" ca="1" si="121"/>
        <v/>
      </c>
      <c r="H1510" s="15" t="str">
        <f t="shared" ca="1" si="122"/>
        <v/>
      </c>
      <c r="I1510" s="16" t="str">
        <f t="shared" ca="1" si="123"/>
        <v/>
      </c>
    </row>
    <row r="1511" spans="1:9" x14ac:dyDescent="0.3">
      <c r="A1511" s="3"/>
      <c r="B1511" s="9"/>
      <c r="C1511" s="9"/>
      <c r="E1511" s="14" t="str">
        <f t="shared" si="119"/>
        <v/>
      </c>
      <c r="F1511" s="15" t="str">
        <f t="shared" ca="1" si="120"/>
        <v/>
      </c>
      <c r="G1511" s="15" t="str">
        <f t="shared" ca="1" si="121"/>
        <v/>
      </c>
      <c r="H1511" s="15" t="str">
        <f t="shared" ca="1" si="122"/>
        <v/>
      </c>
      <c r="I1511" s="16" t="str">
        <f t="shared" ca="1" si="123"/>
        <v/>
      </c>
    </row>
    <row r="1512" spans="1:9" x14ac:dyDescent="0.3">
      <c r="A1512" s="3"/>
      <c r="B1512" s="9"/>
      <c r="C1512" s="9"/>
      <c r="E1512" s="14" t="str">
        <f t="shared" si="119"/>
        <v/>
      </c>
      <c r="F1512" s="15" t="str">
        <f t="shared" ca="1" si="120"/>
        <v/>
      </c>
      <c r="G1512" s="15" t="str">
        <f t="shared" ca="1" si="121"/>
        <v/>
      </c>
      <c r="H1512" s="15" t="str">
        <f t="shared" ca="1" si="122"/>
        <v/>
      </c>
      <c r="I1512" s="16" t="str">
        <f t="shared" ca="1" si="123"/>
        <v/>
      </c>
    </row>
    <row r="1513" spans="1:9" x14ac:dyDescent="0.3">
      <c r="A1513" s="3"/>
      <c r="B1513" s="9"/>
      <c r="C1513" s="9"/>
      <c r="E1513" s="14" t="str">
        <f t="shared" si="119"/>
        <v/>
      </c>
      <c r="F1513" s="15" t="str">
        <f t="shared" ca="1" si="120"/>
        <v/>
      </c>
      <c r="G1513" s="15" t="str">
        <f t="shared" ca="1" si="121"/>
        <v/>
      </c>
      <c r="H1513" s="15" t="str">
        <f t="shared" ca="1" si="122"/>
        <v/>
      </c>
      <c r="I1513" s="16" t="str">
        <f t="shared" ca="1" si="123"/>
        <v/>
      </c>
    </row>
    <row r="1514" spans="1:9" x14ac:dyDescent="0.3">
      <c r="A1514" s="3"/>
      <c r="B1514" s="9"/>
      <c r="C1514" s="9"/>
      <c r="E1514" s="14" t="str">
        <f t="shared" si="119"/>
        <v/>
      </c>
      <c r="F1514" s="15" t="str">
        <f t="shared" ca="1" si="120"/>
        <v/>
      </c>
      <c r="G1514" s="15" t="str">
        <f t="shared" ca="1" si="121"/>
        <v/>
      </c>
      <c r="H1514" s="15" t="str">
        <f t="shared" ca="1" si="122"/>
        <v/>
      </c>
      <c r="I1514" s="16" t="str">
        <f t="shared" ca="1" si="123"/>
        <v/>
      </c>
    </row>
    <row r="1515" spans="1:9" x14ac:dyDescent="0.3">
      <c r="A1515" s="3"/>
      <c r="B1515" s="9"/>
      <c r="C1515" s="9"/>
      <c r="E1515" s="14" t="str">
        <f t="shared" si="119"/>
        <v/>
      </c>
      <c r="F1515" s="15" t="str">
        <f t="shared" ca="1" si="120"/>
        <v/>
      </c>
      <c r="G1515" s="15" t="str">
        <f t="shared" ca="1" si="121"/>
        <v/>
      </c>
      <c r="H1515" s="15" t="str">
        <f t="shared" ca="1" si="122"/>
        <v/>
      </c>
      <c r="I1515" s="16" t="str">
        <f t="shared" ca="1" si="123"/>
        <v/>
      </c>
    </row>
    <row r="1516" spans="1:9" x14ac:dyDescent="0.3">
      <c r="A1516" s="3"/>
      <c r="B1516" s="9"/>
      <c r="C1516" s="9"/>
      <c r="E1516" s="14" t="str">
        <f t="shared" si="119"/>
        <v/>
      </c>
      <c r="F1516" s="15" t="str">
        <f t="shared" ca="1" si="120"/>
        <v/>
      </c>
      <c r="G1516" s="15" t="str">
        <f t="shared" ca="1" si="121"/>
        <v/>
      </c>
      <c r="H1516" s="15" t="str">
        <f t="shared" ca="1" si="122"/>
        <v/>
      </c>
      <c r="I1516" s="16" t="str">
        <f t="shared" ca="1" si="123"/>
        <v/>
      </c>
    </row>
    <row r="1517" spans="1:9" x14ac:dyDescent="0.3">
      <c r="A1517" s="3"/>
      <c r="B1517" s="9"/>
      <c r="C1517" s="9"/>
      <c r="E1517" s="14" t="str">
        <f t="shared" si="119"/>
        <v/>
      </c>
      <c r="F1517" s="15" t="str">
        <f t="shared" ca="1" si="120"/>
        <v/>
      </c>
      <c r="G1517" s="15" t="str">
        <f t="shared" ca="1" si="121"/>
        <v/>
      </c>
      <c r="H1517" s="15" t="str">
        <f t="shared" ca="1" si="122"/>
        <v/>
      </c>
      <c r="I1517" s="16" t="str">
        <f t="shared" ca="1" si="123"/>
        <v/>
      </c>
    </row>
    <row r="1518" spans="1:9" x14ac:dyDescent="0.3">
      <c r="A1518" s="3"/>
      <c r="B1518" s="9"/>
      <c r="C1518" s="9"/>
      <c r="E1518" s="14" t="str">
        <f t="shared" si="119"/>
        <v/>
      </c>
      <c r="F1518" s="15" t="str">
        <f t="shared" ca="1" si="120"/>
        <v/>
      </c>
      <c r="G1518" s="15" t="str">
        <f t="shared" ca="1" si="121"/>
        <v/>
      </c>
      <c r="H1518" s="15" t="str">
        <f t="shared" ca="1" si="122"/>
        <v/>
      </c>
      <c r="I1518" s="16" t="str">
        <f t="shared" ca="1" si="123"/>
        <v/>
      </c>
    </row>
    <row r="1519" spans="1:9" x14ac:dyDescent="0.3">
      <c r="A1519" s="3"/>
      <c r="B1519" s="9"/>
      <c r="C1519" s="9"/>
      <c r="E1519" s="14" t="str">
        <f t="shared" si="119"/>
        <v/>
      </c>
      <c r="F1519" s="15" t="str">
        <f t="shared" ca="1" si="120"/>
        <v/>
      </c>
      <c r="G1519" s="15" t="str">
        <f t="shared" ca="1" si="121"/>
        <v/>
      </c>
      <c r="H1519" s="15" t="str">
        <f t="shared" ca="1" si="122"/>
        <v/>
      </c>
      <c r="I1519" s="16" t="str">
        <f t="shared" ca="1" si="123"/>
        <v/>
      </c>
    </row>
    <row r="1520" spans="1:9" x14ac:dyDescent="0.3">
      <c r="A1520" s="3"/>
      <c r="B1520" s="9"/>
      <c r="C1520" s="9"/>
      <c r="E1520" s="14" t="str">
        <f t="shared" si="119"/>
        <v/>
      </c>
      <c r="F1520" s="15" t="str">
        <f t="shared" ca="1" si="120"/>
        <v/>
      </c>
      <c r="G1520" s="15" t="str">
        <f t="shared" ca="1" si="121"/>
        <v/>
      </c>
      <c r="H1520" s="15" t="str">
        <f t="shared" ca="1" si="122"/>
        <v/>
      </c>
      <c r="I1520" s="16" t="str">
        <f t="shared" ca="1" si="123"/>
        <v/>
      </c>
    </row>
    <row r="1521" spans="1:9" x14ac:dyDescent="0.3">
      <c r="A1521" s="3"/>
      <c r="B1521" s="9"/>
      <c r="C1521" s="9"/>
      <c r="E1521" s="14" t="str">
        <f t="shared" si="119"/>
        <v/>
      </c>
      <c r="F1521" s="15" t="str">
        <f t="shared" ca="1" si="120"/>
        <v/>
      </c>
      <c r="G1521" s="15" t="str">
        <f t="shared" ca="1" si="121"/>
        <v/>
      </c>
      <c r="H1521" s="15" t="str">
        <f t="shared" ca="1" si="122"/>
        <v/>
      </c>
      <c r="I1521" s="16" t="str">
        <f t="shared" ca="1" si="123"/>
        <v/>
      </c>
    </row>
    <row r="1522" spans="1:9" x14ac:dyDescent="0.3">
      <c r="A1522" s="3"/>
      <c r="B1522" s="9"/>
      <c r="C1522" s="9"/>
      <c r="E1522" s="14" t="str">
        <f t="shared" si="119"/>
        <v/>
      </c>
      <c r="F1522" s="15" t="str">
        <f t="shared" ca="1" si="120"/>
        <v/>
      </c>
      <c r="G1522" s="15" t="str">
        <f t="shared" ca="1" si="121"/>
        <v/>
      </c>
      <c r="H1522" s="15" t="str">
        <f t="shared" ca="1" si="122"/>
        <v/>
      </c>
      <c r="I1522" s="16" t="str">
        <f t="shared" ca="1" si="123"/>
        <v/>
      </c>
    </row>
    <row r="1523" spans="1:9" x14ac:dyDescent="0.3">
      <c r="A1523" s="3"/>
      <c r="B1523" s="9"/>
      <c r="C1523" s="9"/>
      <c r="E1523" s="14" t="str">
        <f t="shared" si="119"/>
        <v/>
      </c>
      <c r="F1523" s="15" t="str">
        <f t="shared" ca="1" si="120"/>
        <v/>
      </c>
      <c r="G1523" s="15" t="str">
        <f t="shared" ca="1" si="121"/>
        <v/>
      </c>
      <c r="H1523" s="15" t="str">
        <f t="shared" ca="1" si="122"/>
        <v/>
      </c>
      <c r="I1523" s="16" t="str">
        <f t="shared" ca="1" si="123"/>
        <v/>
      </c>
    </row>
    <row r="1524" spans="1:9" x14ac:dyDescent="0.3">
      <c r="A1524" s="3"/>
      <c r="B1524" s="9"/>
      <c r="C1524" s="9"/>
      <c r="E1524" s="14" t="str">
        <f t="shared" si="119"/>
        <v/>
      </c>
      <c r="F1524" s="15" t="str">
        <f t="shared" ca="1" si="120"/>
        <v/>
      </c>
      <c r="G1524" s="15" t="str">
        <f t="shared" ca="1" si="121"/>
        <v/>
      </c>
      <c r="H1524" s="15" t="str">
        <f t="shared" ca="1" si="122"/>
        <v/>
      </c>
      <c r="I1524" s="16" t="str">
        <f t="shared" ca="1" si="123"/>
        <v/>
      </c>
    </row>
    <row r="1525" spans="1:9" x14ac:dyDescent="0.3">
      <c r="A1525" s="3"/>
      <c r="B1525" s="9"/>
      <c r="C1525" s="9"/>
      <c r="E1525" s="14" t="str">
        <f t="shared" si="119"/>
        <v/>
      </c>
      <c r="F1525" s="15" t="str">
        <f t="shared" ca="1" si="120"/>
        <v/>
      </c>
      <c r="G1525" s="15" t="str">
        <f t="shared" ca="1" si="121"/>
        <v/>
      </c>
      <c r="H1525" s="15" t="str">
        <f t="shared" ca="1" si="122"/>
        <v/>
      </c>
      <c r="I1525" s="16" t="str">
        <f t="shared" ca="1" si="123"/>
        <v/>
      </c>
    </row>
    <row r="1526" spans="1:9" x14ac:dyDescent="0.3">
      <c r="A1526" s="3"/>
      <c r="B1526" s="9"/>
      <c r="C1526" s="9"/>
      <c r="E1526" s="14" t="str">
        <f t="shared" si="119"/>
        <v/>
      </c>
      <c r="F1526" s="15" t="str">
        <f t="shared" ca="1" si="120"/>
        <v/>
      </c>
      <c r="G1526" s="15" t="str">
        <f t="shared" ca="1" si="121"/>
        <v/>
      </c>
      <c r="H1526" s="15" t="str">
        <f t="shared" ca="1" si="122"/>
        <v/>
      </c>
      <c r="I1526" s="16" t="str">
        <f t="shared" ca="1" si="123"/>
        <v/>
      </c>
    </row>
    <row r="1527" spans="1:9" x14ac:dyDescent="0.3">
      <c r="A1527" s="3"/>
      <c r="B1527" s="9"/>
      <c r="C1527" s="9"/>
      <c r="E1527" s="14" t="str">
        <f t="shared" si="119"/>
        <v/>
      </c>
      <c r="F1527" s="15" t="str">
        <f t="shared" ca="1" si="120"/>
        <v/>
      </c>
      <c r="G1527" s="15" t="str">
        <f t="shared" ca="1" si="121"/>
        <v/>
      </c>
      <c r="H1527" s="15" t="str">
        <f t="shared" ca="1" si="122"/>
        <v/>
      </c>
      <c r="I1527" s="16" t="str">
        <f t="shared" ca="1" si="123"/>
        <v/>
      </c>
    </row>
    <row r="1528" spans="1:9" x14ac:dyDescent="0.3">
      <c r="A1528" s="3"/>
      <c r="B1528" s="9"/>
      <c r="C1528" s="9"/>
      <c r="E1528" s="14" t="str">
        <f t="shared" si="119"/>
        <v/>
      </c>
      <c r="F1528" s="15" t="str">
        <f t="shared" ca="1" si="120"/>
        <v/>
      </c>
      <c r="G1528" s="15" t="str">
        <f t="shared" ca="1" si="121"/>
        <v/>
      </c>
      <c r="H1528" s="15" t="str">
        <f t="shared" ca="1" si="122"/>
        <v/>
      </c>
      <c r="I1528" s="16" t="str">
        <f t="shared" ca="1" si="123"/>
        <v/>
      </c>
    </row>
    <row r="1529" spans="1:9" x14ac:dyDescent="0.3">
      <c r="A1529" s="3"/>
      <c r="B1529" s="9"/>
      <c r="C1529" s="9"/>
      <c r="E1529" s="14" t="str">
        <f t="shared" si="119"/>
        <v/>
      </c>
      <c r="F1529" s="15" t="str">
        <f t="shared" ca="1" si="120"/>
        <v/>
      </c>
      <c r="G1529" s="15" t="str">
        <f t="shared" ca="1" si="121"/>
        <v/>
      </c>
      <c r="H1529" s="15" t="str">
        <f t="shared" ca="1" si="122"/>
        <v/>
      </c>
      <c r="I1529" s="16" t="str">
        <f t="shared" ca="1" si="123"/>
        <v/>
      </c>
    </row>
    <row r="1530" spans="1:9" x14ac:dyDescent="0.3">
      <c r="A1530" s="3"/>
      <c r="B1530" s="9"/>
      <c r="C1530" s="9"/>
      <c r="E1530" s="14" t="str">
        <f t="shared" si="119"/>
        <v/>
      </c>
      <c r="F1530" s="15" t="str">
        <f t="shared" ca="1" si="120"/>
        <v/>
      </c>
      <c r="G1530" s="15" t="str">
        <f t="shared" ca="1" si="121"/>
        <v/>
      </c>
      <c r="H1530" s="15" t="str">
        <f t="shared" ca="1" si="122"/>
        <v/>
      </c>
      <c r="I1530" s="16" t="str">
        <f t="shared" ca="1" si="123"/>
        <v/>
      </c>
    </row>
    <row r="1531" spans="1:9" x14ac:dyDescent="0.3">
      <c r="A1531" s="3"/>
      <c r="B1531" s="9"/>
      <c r="C1531" s="9"/>
      <c r="E1531" s="14" t="str">
        <f t="shared" si="119"/>
        <v/>
      </c>
      <c r="F1531" s="15" t="str">
        <f t="shared" ca="1" si="120"/>
        <v/>
      </c>
      <c r="G1531" s="15" t="str">
        <f t="shared" ca="1" si="121"/>
        <v/>
      </c>
      <c r="H1531" s="15" t="str">
        <f t="shared" ca="1" si="122"/>
        <v/>
      </c>
      <c r="I1531" s="16" t="str">
        <f t="shared" ca="1" si="123"/>
        <v/>
      </c>
    </row>
    <row r="1532" spans="1:9" x14ac:dyDescent="0.3">
      <c r="A1532" s="3"/>
      <c r="B1532" s="9"/>
      <c r="C1532" s="9"/>
      <c r="E1532" s="14" t="str">
        <f t="shared" si="119"/>
        <v/>
      </c>
      <c r="F1532" s="15" t="str">
        <f t="shared" ca="1" si="120"/>
        <v/>
      </c>
      <c r="G1532" s="15" t="str">
        <f t="shared" ca="1" si="121"/>
        <v/>
      </c>
      <c r="H1532" s="15" t="str">
        <f t="shared" ca="1" si="122"/>
        <v/>
      </c>
      <c r="I1532" s="16" t="str">
        <f t="shared" ca="1" si="123"/>
        <v/>
      </c>
    </row>
    <row r="1533" spans="1:9" x14ac:dyDescent="0.3">
      <c r="A1533" s="3"/>
      <c r="B1533" s="9"/>
      <c r="C1533" s="9"/>
      <c r="E1533" s="14" t="str">
        <f t="shared" si="119"/>
        <v/>
      </c>
      <c r="F1533" s="15" t="str">
        <f t="shared" ca="1" si="120"/>
        <v/>
      </c>
      <c r="G1533" s="15" t="str">
        <f t="shared" ca="1" si="121"/>
        <v/>
      </c>
      <c r="H1533" s="15" t="str">
        <f t="shared" ca="1" si="122"/>
        <v/>
      </c>
      <c r="I1533" s="16" t="str">
        <f t="shared" ca="1" si="123"/>
        <v/>
      </c>
    </row>
    <row r="1534" spans="1:9" x14ac:dyDescent="0.3">
      <c r="A1534" s="3"/>
      <c r="B1534" s="9"/>
      <c r="C1534" s="9"/>
      <c r="E1534" s="14" t="str">
        <f t="shared" si="119"/>
        <v/>
      </c>
      <c r="F1534" s="15" t="str">
        <f t="shared" ca="1" si="120"/>
        <v/>
      </c>
      <c r="G1534" s="15" t="str">
        <f t="shared" ca="1" si="121"/>
        <v/>
      </c>
      <c r="H1534" s="15" t="str">
        <f t="shared" ca="1" si="122"/>
        <v/>
      </c>
      <c r="I1534" s="16" t="str">
        <f t="shared" ca="1" si="123"/>
        <v/>
      </c>
    </row>
    <row r="1535" spans="1:9" x14ac:dyDescent="0.3">
      <c r="A1535" s="3"/>
      <c r="B1535" s="9"/>
      <c r="C1535" s="9"/>
      <c r="E1535" s="14" t="str">
        <f t="shared" si="119"/>
        <v/>
      </c>
      <c r="F1535" s="15" t="str">
        <f t="shared" ca="1" si="120"/>
        <v/>
      </c>
      <c r="G1535" s="15" t="str">
        <f t="shared" ca="1" si="121"/>
        <v/>
      </c>
      <c r="H1535" s="15" t="str">
        <f t="shared" ca="1" si="122"/>
        <v/>
      </c>
      <c r="I1535" s="16" t="str">
        <f t="shared" ca="1" si="123"/>
        <v/>
      </c>
    </row>
    <row r="1536" spans="1:9" x14ac:dyDescent="0.3">
      <c r="A1536" s="3"/>
      <c r="B1536" s="9"/>
      <c r="C1536" s="9"/>
      <c r="E1536" s="14" t="str">
        <f t="shared" si="119"/>
        <v/>
      </c>
      <c r="F1536" s="15" t="str">
        <f t="shared" ca="1" si="120"/>
        <v/>
      </c>
      <c r="G1536" s="15" t="str">
        <f t="shared" ca="1" si="121"/>
        <v/>
      </c>
      <c r="H1536" s="15" t="str">
        <f t="shared" ca="1" si="122"/>
        <v/>
      </c>
      <c r="I1536" s="16" t="str">
        <f t="shared" ca="1" si="123"/>
        <v/>
      </c>
    </row>
    <row r="1537" spans="1:9" x14ac:dyDescent="0.3">
      <c r="A1537" s="3"/>
      <c r="B1537" s="9"/>
      <c r="C1537" s="9"/>
      <c r="E1537" s="14" t="str">
        <f t="shared" si="119"/>
        <v/>
      </c>
      <c r="F1537" s="15" t="str">
        <f t="shared" ca="1" si="120"/>
        <v/>
      </c>
      <c r="G1537" s="15" t="str">
        <f t="shared" ca="1" si="121"/>
        <v/>
      </c>
      <c r="H1537" s="15" t="str">
        <f t="shared" ca="1" si="122"/>
        <v/>
      </c>
      <c r="I1537" s="16" t="str">
        <f t="shared" ca="1" si="123"/>
        <v/>
      </c>
    </row>
    <row r="1538" spans="1:9" x14ac:dyDescent="0.3">
      <c r="A1538" s="3"/>
      <c r="B1538" s="9"/>
      <c r="C1538" s="9"/>
      <c r="E1538" s="14" t="str">
        <f t="shared" si="119"/>
        <v/>
      </c>
      <c r="F1538" s="15" t="str">
        <f t="shared" ca="1" si="120"/>
        <v/>
      </c>
      <c r="G1538" s="15" t="str">
        <f t="shared" ca="1" si="121"/>
        <v/>
      </c>
      <c r="H1538" s="15" t="str">
        <f t="shared" ca="1" si="122"/>
        <v/>
      </c>
      <c r="I1538" s="16" t="str">
        <f t="shared" ca="1" si="123"/>
        <v/>
      </c>
    </row>
    <row r="1539" spans="1:9" x14ac:dyDescent="0.3">
      <c r="A1539" s="3"/>
      <c r="B1539" s="9"/>
      <c r="C1539" s="9"/>
      <c r="E1539" s="14" t="str">
        <f t="shared" ref="E1539:E1602" si="124">IF(ISNUMBER(B1539),B1539/C1539,"")</f>
        <v/>
      </c>
      <c r="F1539" s="15" t="str">
        <f t="shared" ca="1" si="120"/>
        <v/>
      </c>
      <c r="G1539" s="15" t="str">
        <f t="shared" ca="1" si="121"/>
        <v/>
      </c>
      <c r="H1539" s="15" t="str">
        <f t="shared" ca="1" si="122"/>
        <v/>
      </c>
      <c r="I1539" s="16" t="str">
        <f t="shared" ca="1" si="123"/>
        <v/>
      </c>
    </row>
    <row r="1540" spans="1:9" x14ac:dyDescent="0.3">
      <c r="A1540" s="3"/>
      <c r="B1540" s="9"/>
      <c r="C1540" s="9"/>
      <c r="E1540" s="14" t="str">
        <f t="shared" si="124"/>
        <v/>
      </c>
      <c r="F1540" s="15" t="str">
        <f t="shared" ca="1" si="120"/>
        <v/>
      </c>
      <c r="G1540" s="15" t="str">
        <f t="shared" ca="1" si="121"/>
        <v/>
      </c>
      <c r="H1540" s="15" t="str">
        <f t="shared" ca="1" si="122"/>
        <v/>
      </c>
      <c r="I1540" s="16" t="str">
        <f t="shared" ca="1" si="123"/>
        <v/>
      </c>
    </row>
    <row r="1541" spans="1:9" x14ac:dyDescent="0.3">
      <c r="A1541" s="3"/>
      <c r="B1541" s="9"/>
      <c r="C1541" s="9"/>
      <c r="E1541" s="14" t="str">
        <f t="shared" si="124"/>
        <v/>
      </c>
      <c r="F1541" s="15" t="str">
        <f t="shared" ca="1" si="120"/>
        <v/>
      </c>
      <c r="G1541" s="15" t="str">
        <f t="shared" ca="1" si="121"/>
        <v/>
      </c>
      <c r="H1541" s="15" t="str">
        <f t="shared" ca="1" si="122"/>
        <v/>
      </c>
      <c r="I1541" s="16" t="str">
        <f t="shared" ca="1" si="123"/>
        <v/>
      </c>
    </row>
    <row r="1542" spans="1:9" x14ac:dyDescent="0.3">
      <c r="A1542" s="3"/>
      <c r="B1542" s="9"/>
      <c r="C1542" s="9"/>
      <c r="E1542" s="14" t="str">
        <f t="shared" si="124"/>
        <v/>
      </c>
      <c r="F1542" s="15" t="str">
        <f t="shared" ca="1" si="120"/>
        <v/>
      </c>
      <c r="G1542" s="15" t="str">
        <f t="shared" ca="1" si="121"/>
        <v/>
      </c>
      <c r="H1542" s="15" t="str">
        <f t="shared" ca="1" si="122"/>
        <v/>
      </c>
      <c r="I1542" s="16" t="str">
        <f t="shared" ca="1" si="123"/>
        <v/>
      </c>
    </row>
    <row r="1543" spans="1:9" x14ac:dyDescent="0.3">
      <c r="A1543" s="3"/>
      <c r="B1543" s="9"/>
      <c r="C1543" s="9"/>
      <c r="E1543" s="14" t="str">
        <f t="shared" si="124"/>
        <v/>
      </c>
      <c r="F1543" s="15" t="str">
        <f t="shared" ca="1" si="120"/>
        <v/>
      </c>
      <c r="G1543" s="15" t="str">
        <f t="shared" ca="1" si="121"/>
        <v/>
      </c>
      <c r="H1543" s="15" t="str">
        <f t="shared" ca="1" si="122"/>
        <v/>
      </c>
      <c r="I1543" s="16" t="str">
        <f t="shared" ca="1" si="123"/>
        <v/>
      </c>
    </row>
    <row r="1544" spans="1:9" x14ac:dyDescent="0.3">
      <c r="A1544" s="3"/>
      <c r="B1544" s="9"/>
      <c r="C1544" s="9"/>
      <c r="E1544" s="14" t="str">
        <f t="shared" si="124"/>
        <v/>
      </c>
      <c r="F1544" s="15" t="str">
        <f t="shared" ca="1" si="120"/>
        <v/>
      </c>
      <c r="G1544" s="15" t="str">
        <f t="shared" ca="1" si="121"/>
        <v/>
      </c>
      <c r="H1544" s="15" t="str">
        <f t="shared" ca="1" si="122"/>
        <v/>
      </c>
      <c r="I1544" s="16" t="str">
        <f t="shared" ca="1" si="123"/>
        <v/>
      </c>
    </row>
    <row r="1545" spans="1:9" x14ac:dyDescent="0.3">
      <c r="A1545" s="3"/>
      <c r="B1545" s="9"/>
      <c r="C1545" s="9"/>
      <c r="E1545" s="14" t="str">
        <f t="shared" si="124"/>
        <v/>
      </c>
      <c r="F1545" s="15" t="str">
        <f t="shared" ca="1" si="120"/>
        <v/>
      </c>
      <c r="G1545" s="15" t="str">
        <f t="shared" ca="1" si="121"/>
        <v/>
      </c>
      <c r="H1545" s="15" t="str">
        <f t="shared" ca="1" si="122"/>
        <v/>
      </c>
      <c r="I1545" s="16" t="str">
        <f t="shared" ca="1" si="123"/>
        <v/>
      </c>
    </row>
    <row r="1546" spans="1:9" x14ac:dyDescent="0.3">
      <c r="A1546" s="3"/>
      <c r="B1546" s="9"/>
      <c r="C1546" s="9"/>
      <c r="E1546" s="14" t="str">
        <f t="shared" si="124"/>
        <v/>
      </c>
      <c r="F1546" s="15" t="str">
        <f t="shared" ca="1" si="120"/>
        <v/>
      </c>
      <c r="G1546" s="15" t="str">
        <f t="shared" ca="1" si="121"/>
        <v/>
      </c>
      <c r="H1546" s="15" t="str">
        <f t="shared" ca="1" si="122"/>
        <v/>
      </c>
      <c r="I1546" s="16" t="str">
        <f t="shared" ca="1" si="123"/>
        <v/>
      </c>
    </row>
    <row r="1547" spans="1:9" x14ac:dyDescent="0.3">
      <c r="A1547" s="3"/>
      <c r="B1547" s="9"/>
      <c r="C1547" s="9"/>
      <c r="E1547" s="14" t="str">
        <f t="shared" si="124"/>
        <v/>
      </c>
      <c r="F1547" s="15" t="str">
        <f t="shared" ca="1" si="120"/>
        <v/>
      </c>
      <c r="G1547" s="15" t="str">
        <f t="shared" ca="1" si="121"/>
        <v/>
      </c>
      <c r="H1547" s="15" t="str">
        <f t="shared" ca="1" si="122"/>
        <v/>
      </c>
      <c r="I1547" s="16" t="str">
        <f t="shared" ca="1" si="123"/>
        <v/>
      </c>
    </row>
    <row r="1548" spans="1:9" x14ac:dyDescent="0.3">
      <c r="A1548" s="3"/>
      <c r="B1548" s="9"/>
      <c r="C1548" s="9"/>
      <c r="E1548" s="14" t="str">
        <f t="shared" si="124"/>
        <v/>
      </c>
      <c r="F1548" s="15" t="str">
        <f t="shared" ca="1" si="120"/>
        <v/>
      </c>
      <c r="G1548" s="15" t="str">
        <f t="shared" ca="1" si="121"/>
        <v/>
      </c>
      <c r="H1548" s="15" t="str">
        <f t="shared" ca="1" si="122"/>
        <v/>
      </c>
      <c r="I1548" s="16" t="str">
        <f t="shared" ca="1" si="123"/>
        <v/>
      </c>
    </row>
    <row r="1549" spans="1:9" x14ac:dyDescent="0.3">
      <c r="A1549" s="3"/>
      <c r="B1549" s="9"/>
      <c r="C1549" s="9"/>
      <c r="E1549" s="14" t="str">
        <f t="shared" si="124"/>
        <v/>
      </c>
      <c r="F1549" s="15" t="str">
        <f t="shared" ca="1" si="120"/>
        <v/>
      </c>
      <c r="G1549" s="15" t="str">
        <f t="shared" ca="1" si="121"/>
        <v/>
      </c>
      <c r="H1549" s="15" t="str">
        <f t="shared" ca="1" si="122"/>
        <v/>
      </c>
      <c r="I1549" s="16" t="str">
        <f t="shared" ca="1" si="123"/>
        <v/>
      </c>
    </row>
    <row r="1550" spans="1:9" x14ac:dyDescent="0.3">
      <c r="A1550" s="3"/>
      <c r="B1550" s="9"/>
      <c r="C1550" s="9"/>
      <c r="E1550" s="14" t="str">
        <f t="shared" si="124"/>
        <v/>
      </c>
      <c r="F1550" s="15" t="str">
        <f t="shared" ca="1" si="120"/>
        <v/>
      </c>
      <c r="G1550" s="15" t="str">
        <f t="shared" ca="1" si="121"/>
        <v/>
      </c>
      <c r="H1550" s="15" t="str">
        <f t="shared" ca="1" si="122"/>
        <v/>
      </c>
      <c r="I1550" s="16" t="str">
        <f t="shared" ca="1" si="123"/>
        <v/>
      </c>
    </row>
    <row r="1551" spans="1:9" x14ac:dyDescent="0.3">
      <c r="A1551" s="3"/>
      <c r="B1551" s="9"/>
      <c r="C1551" s="9"/>
      <c r="E1551" s="14" t="str">
        <f t="shared" si="124"/>
        <v/>
      </c>
      <c r="F1551" s="15" t="str">
        <f t="shared" ca="1" si="120"/>
        <v/>
      </c>
      <c r="G1551" s="15" t="str">
        <f t="shared" ca="1" si="121"/>
        <v/>
      </c>
      <c r="H1551" s="15" t="str">
        <f t="shared" ca="1" si="122"/>
        <v/>
      </c>
      <c r="I1551" s="16" t="str">
        <f t="shared" ca="1" si="123"/>
        <v/>
      </c>
    </row>
    <row r="1552" spans="1:9" x14ac:dyDescent="0.3">
      <c r="A1552" s="3"/>
      <c r="B1552" s="9"/>
      <c r="C1552" s="9"/>
      <c r="E1552" s="14" t="str">
        <f t="shared" si="124"/>
        <v/>
      </c>
      <c r="F1552" s="15" t="str">
        <f t="shared" ca="1" si="120"/>
        <v/>
      </c>
      <c r="G1552" s="15" t="str">
        <f t="shared" ca="1" si="121"/>
        <v/>
      </c>
      <c r="H1552" s="15" t="str">
        <f t="shared" ca="1" si="122"/>
        <v/>
      </c>
      <c r="I1552" s="16" t="str">
        <f t="shared" ca="1" si="123"/>
        <v/>
      </c>
    </row>
    <row r="1553" spans="1:9" x14ac:dyDescent="0.3">
      <c r="A1553" s="3"/>
      <c r="B1553" s="9"/>
      <c r="C1553" s="9"/>
      <c r="E1553" s="14" t="str">
        <f t="shared" si="124"/>
        <v/>
      </c>
      <c r="F1553" s="15" t="str">
        <f t="shared" ref="F1553:F1616" ca="1" si="125">IF(ISNUMBER(E1553),IF(ROW(E1553)&gt;$K$1,AVERAGE(OFFSET(E1553,0,0,-$K$1)),""),"")</f>
        <v/>
      </c>
      <c r="G1553" s="15" t="str">
        <f t="shared" ref="G1553:G1616" ca="1" si="126">IF(ISNUMBER(I1553),F1553+I1553*$M$1,"")</f>
        <v/>
      </c>
      <c r="H1553" s="15" t="str">
        <f t="shared" ref="H1553:H1616" ca="1" si="127">IF(ISNUMBER(I1553),F1553-I1553*$M$1,"")</f>
        <v/>
      </c>
      <c r="I1553" s="16" t="str">
        <f t="shared" ref="I1553:I1616" ca="1" si="128">IF(ISNUMBER(E1553),IF(ROW(E1553)&gt;$K$1,_xlfn.STDEV.P(OFFSET(E1553,0,0,-$K$1)),""),"")</f>
        <v/>
      </c>
    </row>
    <row r="1554" spans="1:9" x14ac:dyDescent="0.3">
      <c r="A1554" s="3"/>
      <c r="B1554" s="9"/>
      <c r="C1554" s="9"/>
      <c r="E1554" s="14" t="str">
        <f t="shared" si="124"/>
        <v/>
      </c>
      <c r="F1554" s="15" t="str">
        <f t="shared" ca="1" si="125"/>
        <v/>
      </c>
      <c r="G1554" s="15" t="str">
        <f t="shared" ca="1" si="126"/>
        <v/>
      </c>
      <c r="H1554" s="15" t="str">
        <f t="shared" ca="1" si="127"/>
        <v/>
      </c>
      <c r="I1554" s="16" t="str">
        <f t="shared" ca="1" si="128"/>
        <v/>
      </c>
    </row>
    <row r="1555" spans="1:9" x14ac:dyDescent="0.3">
      <c r="A1555" s="3"/>
      <c r="B1555" s="9"/>
      <c r="C1555" s="9"/>
      <c r="E1555" s="14" t="str">
        <f t="shared" si="124"/>
        <v/>
      </c>
      <c r="F1555" s="15" t="str">
        <f t="shared" ca="1" si="125"/>
        <v/>
      </c>
      <c r="G1555" s="15" t="str">
        <f t="shared" ca="1" si="126"/>
        <v/>
      </c>
      <c r="H1555" s="15" t="str">
        <f t="shared" ca="1" si="127"/>
        <v/>
      </c>
      <c r="I1555" s="16" t="str">
        <f t="shared" ca="1" si="128"/>
        <v/>
      </c>
    </row>
    <row r="1556" spans="1:9" x14ac:dyDescent="0.3">
      <c r="A1556" s="3"/>
      <c r="B1556" s="9"/>
      <c r="C1556" s="9"/>
      <c r="E1556" s="14" t="str">
        <f t="shared" si="124"/>
        <v/>
      </c>
      <c r="F1556" s="15" t="str">
        <f t="shared" ca="1" si="125"/>
        <v/>
      </c>
      <c r="G1556" s="15" t="str">
        <f t="shared" ca="1" si="126"/>
        <v/>
      </c>
      <c r="H1556" s="15" t="str">
        <f t="shared" ca="1" si="127"/>
        <v/>
      </c>
      <c r="I1556" s="16" t="str">
        <f t="shared" ca="1" si="128"/>
        <v/>
      </c>
    </row>
    <row r="1557" spans="1:9" x14ac:dyDescent="0.3">
      <c r="A1557" s="3"/>
      <c r="B1557" s="9"/>
      <c r="C1557" s="9"/>
      <c r="E1557" s="14" t="str">
        <f t="shared" si="124"/>
        <v/>
      </c>
      <c r="F1557" s="15" t="str">
        <f t="shared" ca="1" si="125"/>
        <v/>
      </c>
      <c r="G1557" s="15" t="str">
        <f t="shared" ca="1" si="126"/>
        <v/>
      </c>
      <c r="H1557" s="15" t="str">
        <f t="shared" ca="1" si="127"/>
        <v/>
      </c>
      <c r="I1557" s="16" t="str">
        <f t="shared" ca="1" si="128"/>
        <v/>
      </c>
    </row>
    <row r="1558" spans="1:9" x14ac:dyDescent="0.3">
      <c r="A1558" s="3"/>
      <c r="B1558" s="9"/>
      <c r="C1558" s="9"/>
      <c r="E1558" s="14" t="str">
        <f t="shared" si="124"/>
        <v/>
      </c>
      <c r="F1558" s="15" t="str">
        <f t="shared" ca="1" si="125"/>
        <v/>
      </c>
      <c r="G1558" s="15" t="str">
        <f t="shared" ca="1" si="126"/>
        <v/>
      </c>
      <c r="H1558" s="15" t="str">
        <f t="shared" ca="1" si="127"/>
        <v/>
      </c>
      <c r="I1558" s="16" t="str">
        <f t="shared" ca="1" si="128"/>
        <v/>
      </c>
    </row>
    <row r="1559" spans="1:9" x14ac:dyDescent="0.3">
      <c r="A1559" s="3"/>
      <c r="B1559" s="9"/>
      <c r="C1559" s="9"/>
      <c r="E1559" s="14" t="str">
        <f t="shared" si="124"/>
        <v/>
      </c>
      <c r="F1559" s="15" t="str">
        <f t="shared" ca="1" si="125"/>
        <v/>
      </c>
      <c r="G1559" s="15" t="str">
        <f t="shared" ca="1" si="126"/>
        <v/>
      </c>
      <c r="H1559" s="15" t="str">
        <f t="shared" ca="1" si="127"/>
        <v/>
      </c>
      <c r="I1559" s="16" t="str">
        <f t="shared" ca="1" si="128"/>
        <v/>
      </c>
    </row>
    <row r="1560" spans="1:9" x14ac:dyDescent="0.3">
      <c r="A1560" s="3"/>
      <c r="B1560" s="9"/>
      <c r="C1560" s="9"/>
      <c r="E1560" s="14" t="str">
        <f t="shared" si="124"/>
        <v/>
      </c>
      <c r="F1560" s="15" t="str">
        <f t="shared" ca="1" si="125"/>
        <v/>
      </c>
      <c r="G1560" s="15" t="str">
        <f t="shared" ca="1" si="126"/>
        <v/>
      </c>
      <c r="H1560" s="15" t="str">
        <f t="shared" ca="1" si="127"/>
        <v/>
      </c>
      <c r="I1560" s="16" t="str">
        <f t="shared" ca="1" si="128"/>
        <v/>
      </c>
    </row>
    <row r="1561" spans="1:9" x14ac:dyDescent="0.3">
      <c r="A1561" s="3"/>
      <c r="B1561" s="9"/>
      <c r="C1561" s="9"/>
      <c r="E1561" s="14" t="str">
        <f t="shared" si="124"/>
        <v/>
      </c>
      <c r="F1561" s="15" t="str">
        <f t="shared" ca="1" si="125"/>
        <v/>
      </c>
      <c r="G1561" s="15" t="str">
        <f t="shared" ca="1" si="126"/>
        <v/>
      </c>
      <c r="H1561" s="15" t="str">
        <f t="shared" ca="1" si="127"/>
        <v/>
      </c>
      <c r="I1561" s="16" t="str">
        <f t="shared" ca="1" si="128"/>
        <v/>
      </c>
    </row>
    <row r="1562" spans="1:9" x14ac:dyDescent="0.3">
      <c r="A1562" s="3"/>
      <c r="B1562" s="9"/>
      <c r="C1562" s="9"/>
      <c r="E1562" s="14" t="str">
        <f t="shared" si="124"/>
        <v/>
      </c>
      <c r="F1562" s="15" t="str">
        <f t="shared" ca="1" si="125"/>
        <v/>
      </c>
      <c r="G1562" s="15" t="str">
        <f t="shared" ca="1" si="126"/>
        <v/>
      </c>
      <c r="H1562" s="15" t="str">
        <f t="shared" ca="1" si="127"/>
        <v/>
      </c>
      <c r="I1562" s="16" t="str">
        <f t="shared" ca="1" si="128"/>
        <v/>
      </c>
    </row>
    <row r="1563" spans="1:9" x14ac:dyDescent="0.3">
      <c r="A1563" s="3"/>
      <c r="B1563" s="9"/>
      <c r="C1563" s="9"/>
      <c r="E1563" s="14" t="str">
        <f t="shared" si="124"/>
        <v/>
      </c>
      <c r="F1563" s="15" t="str">
        <f t="shared" ca="1" si="125"/>
        <v/>
      </c>
      <c r="G1563" s="15" t="str">
        <f t="shared" ca="1" si="126"/>
        <v/>
      </c>
      <c r="H1563" s="15" t="str">
        <f t="shared" ca="1" si="127"/>
        <v/>
      </c>
      <c r="I1563" s="16" t="str">
        <f t="shared" ca="1" si="128"/>
        <v/>
      </c>
    </row>
    <row r="1564" spans="1:9" x14ac:dyDescent="0.3">
      <c r="A1564" s="3"/>
      <c r="B1564" s="9"/>
      <c r="C1564" s="9"/>
      <c r="E1564" s="14" t="str">
        <f t="shared" si="124"/>
        <v/>
      </c>
      <c r="F1564" s="15" t="str">
        <f t="shared" ca="1" si="125"/>
        <v/>
      </c>
      <c r="G1564" s="15" t="str">
        <f t="shared" ca="1" si="126"/>
        <v/>
      </c>
      <c r="H1564" s="15" t="str">
        <f t="shared" ca="1" si="127"/>
        <v/>
      </c>
      <c r="I1564" s="16" t="str">
        <f t="shared" ca="1" si="128"/>
        <v/>
      </c>
    </row>
    <row r="1565" spans="1:9" x14ac:dyDescent="0.3">
      <c r="A1565" s="3"/>
      <c r="B1565" s="9"/>
      <c r="C1565" s="9"/>
      <c r="E1565" s="14" t="str">
        <f t="shared" si="124"/>
        <v/>
      </c>
      <c r="F1565" s="15" t="str">
        <f t="shared" ca="1" si="125"/>
        <v/>
      </c>
      <c r="G1565" s="15" t="str">
        <f t="shared" ca="1" si="126"/>
        <v/>
      </c>
      <c r="H1565" s="15" t="str">
        <f t="shared" ca="1" si="127"/>
        <v/>
      </c>
      <c r="I1565" s="16" t="str">
        <f t="shared" ca="1" si="128"/>
        <v/>
      </c>
    </row>
    <row r="1566" spans="1:9" x14ac:dyDescent="0.3">
      <c r="A1566" s="3"/>
      <c r="B1566" s="9"/>
      <c r="C1566" s="9"/>
      <c r="E1566" s="14" t="str">
        <f t="shared" si="124"/>
        <v/>
      </c>
      <c r="F1566" s="15" t="str">
        <f t="shared" ca="1" si="125"/>
        <v/>
      </c>
      <c r="G1566" s="15" t="str">
        <f t="shared" ca="1" si="126"/>
        <v/>
      </c>
      <c r="H1566" s="15" t="str">
        <f t="shared" ca="1" si="127"/>
        <v/>
      </c>
      <c r="I1566" s="16" t="str">
        <f t="shared" ca="1" si="128"/>
        <v/>
      </c>
    </row>
    <row r="1567" spans="1:9" x14ac:dyDescent="0.3">
      <c r="A1567" s="3"/>
      <c r="B1567" s="9"/>
      <c r="C1567" s="9"/>
      <c r="E1567" s="14" t="str">
        <f t="shared" si="124"/>
        <v/>
      </c>
      <c r="F1567" s="15" t="str">
        <f t="shared" ca="1" si="125"/>
        <v/>
      </c>
      <c r="G1567" s="15" t="str">
        <f t="shared" ca="1" si="126"/>
        <v/>
      </c>
      <c r="H1567" s="15" t="str">
        <f t="shared" ca="1" si="127"/>
        <v/>
      </c>
      <c r="I1567" s="16" t="str">
        <f t="shared" ca="1" si="128"/>
        <v/>
      </c>
    </row>
    <row r="1568" spans="1:9" x14ac:dyDescent="0.3">
      <c r="A1568" s="3"/>
      <c r="B1568" s="9"/>
      <c r="C1568" s="9"/>
      <c r="E1568" s="14" t="str">
        <f t="shared" si="124"/>
        <v/>
      </c>
      <c r="F1568" s="15" t="str">
        <f t="shared" ca="1" si="125"/>
        <v/>
      </c>
      <c r="G1568" s="15" t="str">
        <f t="shared" ca="1" si="126"/>
        <v/>
      </c>
      <c r="H1568" s="15" t="str">
        <f t="shared" ca="1" si="127"/>
        <v/>
      </c>
      <c r="I1568" s="16" t="str">
        <f t="shared" ca="1" si="128"/>
        <v/>
      </c>
    </row>
    <row r="1569" spans="1:9" x14ac:dyDescent="0.3">
      <c r="A1569" s="3"/>
      <c r="B1569" s="9"/>
      <c r="C1569" s="9"/>
      <c r="E1569" s="14" t="str">
        <f t="shared" si="124"/>
        <v/>
      </c>
      <c r="F1569" s="15" t="str">
        <f t="shared" ca="1" si="125"/>
        <v/>
      </c>
      <c r="G1569" s="15" t="str">
        <f t="shared" ca="1" si="126"/>
        <v/>
      </c>
      <c r="H1569" s="15" t="str">
        <f t="shared" ca="1" si="127"/>
        <v/>
      </c>
      <c r="I1569" s="16" t="str">
        <f t="shared" ca="1" si="128"/>
        <v/>
      </c>
    </row>
    <row r="1570" spans="1:9" x14ac:dyDescent="0.3">
      <c r="A1570" s="3"/>
      <c r="B1570" s="9"/>
      <c r="C1570" s="9"/>
      <c r="E1570" s="14" t="str">
        <f t="shared" si="124"/>
        <v/>
      </c>
      <c r="F1570" s="15" t="str">
        <f t="shared" ca="1" si="125"/>
        <v/>
      </c>
      <c r="G1570" s="15" t="str">
        <f t="shared" ca="1" si="126"/>
        <v/>
      </c>
      <c r="H1570" s="15" t="str">
        <f t="shared" ca="1" si="127"/>
        <v/>
      </c>
      <c r="I1570" s="16" t="str">
        <f t="shared" ca="1" si="128"/>
        <v/>
      </c>
    </row>
    <row r="1571" spans="1:9" x14ac:dyDescent="0.3">
      <c r="A1571" s="3"/>
      <c r="B1571" s="9"/>
      <c r="C1571" s="9"/>
      <c r="E1571" s="14" t="str">
        <f t="shared" si="124"/>
        <v/>
      </c>
      <c r="F1571" s="15" t="str">
        <f t="shared" ca="1" si="125"/>
        <v/>
      </c>
      <c r="G1571" s="15" t="str">
        <f t="shared" ca="1" si="126"/>
        <v/>
      </c>
      <c r="H1571" s="15" t="str">
        <f t="shared" ca="1" si="127"/>
        <v/>
      </c>
      <c r="I1571" s="16" t="str">
        <f t="shared" ca="1" si="128"/>
        <v/>
      </c>
    </row>
    <row r="1572" spans="1:9" x14ac:dyDescent="0.3">
      <c r="A1572" s="3"/>
      <c r="B1572" s="9"/>
      <c r="C1572" s="9"/>
      <c r="E1572" s="14" t="str">
        <f t="shared" si="124"/>
        <v/>
      </c>
      <c r="F1572" s="15" t="str">
        <f t="shared" ca="1" si="125"/>
        <v/>
      </c>
      <c r="G1572" s="15" t="str">
        <f t="shared" ca="1" si="126"/>
        <v/>
      </c>
      <c r="H1572" s="15" t="str">
        <f t="shared" ca="1" si="127"/>
        <v/>
      </c>
      <c r="I1572" s="16" t="str">
        <f t="shared" ca="1" si="128"/>
        <v/>
      </c>
    </row>
    <row r="1573" spans="1:9" x14ac:dyDescent="0.3">
      <c r="A1573" s="3"/>
      <c r="B1573" s="9"/>
      <c r="C1573" s="9"/>
      <c r="E1573" s="14" t="str">
        <f t="shared" si="124"/>
        <v/>
      </c>
      <c r="F1573" s="15" t="str">
        <f t="shared" ca="1" si="125"/>
        <v/>
      </c>
      <c r="G1573" s="15" t="str">
        <f t="shared" ca="1" si="126"/>
        <v/>
      </c>
      <c r="H1573" s="15" t="str">
        <f t="shared" ca="1" si="127"/>
        <v/>
      </c>
      <c r="I1573" s="16" t="str">
        <f t="shared" ca="1" si="128"/>
        <v/>
      </c>
    </row>
    <row r="1574" spans="1:9" x14ac:dyDescent="0.3">
      <c r="A1574" s="3"/>
      <c r="B1574" s="9"/>
      <c r="C1574" s="9"/>
      <c r="E1574" s="14" t="str">
        <f t="shared" si="124"/>
        <v/>
      </c>
      <c r="F1574" s="15" t="str">
        <f t="shared" ca="1" si="125"/>
        <v/>
      </c>
      <c r="G1574" s="15" t="str">
        <f t="shared" ca="1" si="126"/>
        <v/>
      </c>
      <c r="H1574" s="15" t="str">
        <f t="shared" ca="1" si="127"/>
        <v/>
      </c>
      <c r="I1574" s="16" t="str">
        <f t="shared" ca="1" si="128"/>
        <v/>
      </c>
    </row>
    <row r="1575" spans="1:9" x14ac:dyDescent="0.3">
      <c r="A1575" s="3"/>
      <c r="B1575" s="9"/>
      <c r="C1575" s="9"/>
      <c r="E1575" s="14" t="str">
        <f t="shared" si="124"/>
        <v/>
      </c>
      <c r="F1575" s="15" t="str">
        <f t="shared" ca="1" si="125"/>
        <v/>
      </c>
      <c r="G1575" s="15" t="str">
        <f t="shared" ca="1" si="126"/>
        <v/>
      </c>
      <c r="H1575" s="15" t="str">
        <f t="shared" ca="1" si="127"/>
        <v/>
      </c>
      <c r="I1575" s="16" t="str">
        <f t="shared" ca="1" si="128"/>
        <v/>
      </c>
    </row>
    <row r="1576" spans="1:9" x14ac:dyDescent="0.3">
      <c r="A1576" s="3"/>
      <c r="B1576" s="9"/>
      <c r="C1576" s="9"/>
      <c r="E1576" s="14" t="str">
        <f t="shared" si="124"/>
        <v/>
      </c>
      <c r="F1576" s="15" t="str">
        <f t="shared" ca="1" si="125"/>
        <v/>
      </c>
      <c r="G1576" s="15" t="str">
        <f t="shared" ca="1" si="126"/>
        <v/>
      </c>
      <c r="H1576" s="15" t="str">
        <f t="shared" ca="1" si="127"/>
        <v/>
      </c>
      <c r="I1576" s="16" t="str">
        <f t="shared" ca="1" si="128"/>
        <v/>
      </c>
    </row>
    <row r="1577" spans="1:9" x14ac:dyDescent="0.3">
      <c r="A1577" s="3"/>
      <c r="B1577" s="9"/>
      <c r="C1577" s="9"/>
      <c r="E1577" s="14" t="str">
        <f t="shared" si="124"/>
        <v/>
      </c>
      <c r="F1577" s="15" t="str">
        <f t="shared" ca="1" si="125"/>
        <v/>
      </c>
      <c r="G1577" s="15" t="str">
        <f t="shared" ca="1" si="126"/>
        <v/>
      </c>
      <c r="H1577" s="15" t="str">
        <f t="shared" ca="1" si="127"/>
        <v/>
      </c>
      <c r="I1577" s="16" t="str">
        <f t="shared" ca="1" si="128"/>
        <v/>
      </c>
    </row>
    <row r="1578" spans="1:9" x14ac:dyDescent="0.3">
      <c r="A1578" s="3"/>
      <c r="B1578" s="9"/>
      <c r="C1578" s="9"/>
      <c r="E1578" s="14" t="str">
        <f t="shared" si="124"/>
        <v/>
      </c>
      <c r="F1578" s="15" t="str">
        <f t="shared" ca="1" si="125"/>
        <v/>
      </c>
      <c r="G1578" s="15" t="str">
        <f t="shared" ca="1" si="126"/>
        <v/>
      </c>
      <c r="H1578" s="15" t="str">
        <f t="shared" ca="1" si="127"/>
        <v/>
      </c>
      <c r="I1578" s="16" t="str">
        <f t="shared" ca="1" si="128"/>
        <v/>
      </c>
    </row>
    <row r="1579" spans="1:9" x14ac:dyDescent="0.3">
      <c r="A1579" s="3"/>
      <c r="B1579" s="9"/>
      <c r="C1579" s="9"/>
      <c r="E1579" s="14" t="str">
        <f t="shared" si="124"/>
        <v/>
      </c>
      <c r="F1579" s="15" t="str">
        <f t="shared" ca="1" si="125"/>
        <v/>
      </c>
      <c r="G1579" s="15" t="str">
        <f t="shared" ca="1" si="126"/>
        <v/>
      </c>
      <c r="H1579" s="15" t="str">
        <f t="shared" ca="1" si="127"/>
        <v/>
      </c>
      <c r="I1579" s="16" t="str">
        <f t="shared" ca="1" si="128"/>
        <v/>
      </c>
    </row>
    <row r="1580" spans="1:9" x14ac:dyDescent="0.3">
      <c r="A1580" s="3"/>
      <c r="B1580" s="9"/>
      <c r="C1580" s="9"/>
      <c r="E1580" s="14" t="str">
        <f t="shared" si="124"/>
        <v/>
      </c>
      <c r="F1580" s="15" t="str">
        <f t="shared" ca="1" si="125"/>
        <v/>
      </c>
      <c r="G1580" s="15" t="str">
        <f t="shared" ca="1" si="126"/>
        <v/>
      </c>
      <c r="H1580" s="15" t="str">
        <f t="shared" ca="1" si="127"/>
        <v/>
      </c>
      <c r="I1580" s="16" t="str">
        <f t="shared" ca="1" si="128"/>
        <v/>
      </c>
    </row>
    <row r="1581" spans="1:9" x14ac:dyDescent="0.3">
      <c r="A1581" s="3"/>
      <c r="B1581" s="9"/>
      <c r="C1581" s="9"/>
      <c r="E1581" s="14" t="str">
        <f t="shared" si="124"/>
        <v/>
      </c>
      <c r="F1581" s="15" t="str">
        <f t="shared" ca="1" si="125"/>
        <v/>
      </c>
      <c r="G1581" s="15" t="str">
        <f t="shared" ca="1" si="126"/>
        <v/>
      </c>
      <c r="H1581" s="15" t="str">
        <f t="shared" ca="1" si="127"/>
        <v/>
      </c>
      <c r="I1581" s="16" t="str">
        <f t="shared" ca="1" si="128"/>
        <v/>
      </c>
    </row>
    <row r="1582" spans="1:9" x14ac:dyDescent="0.3">
      <c r="A1582" s="3"/>
      <c r="B1582" s="9"/>
      <c r="C1582" s="9"/>
      <c r="E1582" s="14" t="str">
        <f t="shared" si="124"/>
        <v/>
      </c>
      <c r="F1582" s="15" t="str">
        <f t="shared" ca="1" si="125"/>
        <v/>
      </c>
      <c r="G1582" s="15" t="str">
        <f t="shared" ca="1" si="126"/>
        <v/>
      </c>
      <c r="H1582" s="15" t="str">
        <f t="shared" ca="1" si="127"/>
        <v/>
      </c>
      <c r="I1582" s="16" t="str">
        <f t="shared" ca="1" si="128"/>
        <v/>
      </c>
    </row>
    <row r="1583" spans="1:9" x14ac:dyDescent="0.3">
      <c r="A1583" s="3"/>
      <c r="B1583" s="9"/>
      <c r="C1583" s="9"/>
      <c r="E1583" s="14" t="str">
        <f t="shared" si="124"/>
        <v/>
      </c>
      <c r="F1583" s="15" t="str">
        <f t="shared" ca="1" si="125"/>
        <v/>
      </c>
      <c r="G1583" s="15" t="str">
        <f t="shared" ca="1" si="126"/>
        <v/>
      </c>
      <c r="H1583" s="15" t="str">
        <f t="shared" ca="1" si="127"/>
        <v/>
      </c>
      <c r="I1583" s="16" t="str">
        <f t="shared" ca="1" si="128"/>
        <v/>
      </c>
    </row>
    <row r="1584" spans="1:9" x14ac:dyDescent="0.3">
      <c r="A1584" s="3"/>
      <c r="B1584" s="9"/>
      <c r="C1584" s="9"/>
      <c r="E1584" s="14" t="str">
        <f t="shared" si="124"/>
        <v/>
      </c>
      <c r="F1584" s="15" t="str">
        <f t="shared" ca="1" si="125"/>
        <v/>
      </c>
      <c r="G1584" s="15" t="str">
        <f t="shared" ca="1" si="126"/>
        <v/>
      </c>
      <c r="H1584" s="15" t="str">
        <f t="shared" ca="1" si="127"/>
        <v/>
      </c>
      <c r="I1584" s="16" t="str">
        <f t="shared" ca="1" si="128"/>
        <v/>
      </c>
    </row>
    <row r="1585" spans="1:9" x14ac:dyDescent="0.3">
      <c r="A1585" s="3"/>
      <c r="B1585" s="9"/>
      <c r="C1585" s="9"/>
      <c r="E1585" s="14" t="str">
        <f t="shared" si="124"/>
        <v/>
      </c>
      <c r="F1585" s="15" t="str">
        <f t="shared" ca="1" si="125"/>
        <v/>
      </c>
      <c r="G1585" s="15" t="str">
        <f t="shared" ca="1" si="126"/>
        <v/>
      </c>
      <c r="H1585" s="15" t="str">
        <f t="shared" ca="1" si="127"/>
        <v/>
      </c>
      <c r="I1585" s="16" t="str">
        <f t="shared" ca="1" si="128"/>
        <v/>
      </c>
    </row>
    <row r="1586" spans="1:9" x14ac:dyDescent="0.3">
      <c r="A1586" s="3"/>
      <c r="B1586" s="9"/>
      <c r="C1586" s="9"/>
      <c r="E1586" s="14" t="str">
        <f t="shared" si="124"/>
        <v/>
      </c>
      <c r="F1586" s="15" t="str">
        <f t="shared" ca="1" si="125"/>
        <v/>
      </c>
      <c r="G1586" s="15" t="str">
        <f t="shared" ca="1" si="126"/>
        <v/>
      </c>
      <c r="H1586" s="15" t="str">
        <f t="shared" ca="1" si="127"/>
        <v/>
      </c>
      <c r="I1586" s="16" t="str">
        <f t="shared" ca="1" si="128"/>
        <v/>
      </c>
    </row>
    <row r="1587" spans="1:9" x14ac:dyDescent="0.3">
      <c r="A1587" s="3"/>
      <c r="B1587" s="9"/>
      <c r="C1587" s="9"/>
      <c r="E1587" s="14" t="str">
        <f t="shared" si="124"/>
        <v/>
      </c>
      <c r="F1587" s="15" t="str">
        <f t="shared" ca="1" si="125"/>
        <v/>
      </c>
      <c r="G1587" s="15" t="str">
        <f t="shared" ca="1" si="126"/>
        <v/>
      </c>
      <c r="H1587" s="15" t="str">
        <f t="shared" ca="1" si="127"/>
        <v/>
      </c>
      <c r="I1587" s="16" t="str">
        <f t="shared" ca="1" si="128"/>
        <v/>
      </c>
    </row>
    <row r="1588" spans="1:9" x14ac:dyDescent="0.3">
      <c r="A1588" s="3"/>
      <c r="B1588" s="9"/>
      <c r="C1588" s="9"/>
      <c r="E1588" s="14" t="str">
        <f t="shared" si="124"/>
        <v/>
      </c>
      <c r="F1588" s="15" t="str">
        <f t="shared" ca="1" si="125"/>
        <v/>
      </c>
      <c r="G1588" s="15" t="str">
        <f t="shared" ca="1" si="126"/>
        <v/>
      </c>
      <c r="H1588" s="15" t="str">
        <f t="shared" ca="1" si="127"/>
        <v/>
      </c>
      <c r="I1588" s="16" t="str">
        <f t="shared" ca="1" si="128"/>
        <v/>
      </c>
    </row>
    <row r="1589" spans="1:9" x14ac:dyDescent="0.3">
      <c r="A1589" s="3"/>
      <c r="B1589" s="9"/>
      <c r="C1589" s="9"/>
      <c r="E1589" s="14" t="str">
        <f t="shared" si="124"/>
        <v/>
      </c>
      <c r="F1589" s="15" t="str">
        <f t="shared" ca="1" si="125"/>
        <v/>
      </c>
      <c r="G1589" s="15" t="str">
        <f t="shared" ca="1" si="126"/>
        <v/>
      </c>
      <c r="H1589" s="15" t="str">
        <f t="shared" ca="1" si="127"/>
        <v/>
      </c>
      <c r="I1589" s="16" t="str">
        <f t="shared" ca="1" si="128"/>
        <v/>
      </c>
    </row>
    <row r="1590" spans="1:9" x14ac:dyDescent="0.3">
      <c r="A1590" s="3"/>
      <c r="B1590" s="9"/>
      <c r="C1590" s="9"/>
      <c r="E1590" s="14" t="str">
        <f t="shared" si="124"/>
        <v/>
      </c>
      <c r="F1590" s="15" t="str">
        <f t="shared" ca="1" si="125"/>
        <v/>
      </c>
      <c r="G1590" s="15" t="str">
        <f t="shared" ca="1" si="126"/>
        <v/>
      </c>
      <c r="H1590" s="15" t="str">
        <f t="shared" ca="1" si="127"/>
        <v/>
      </c>
      <c r="I1590" s="16" t="str">
        <f t="shared" ca="1" si="128"/>
        <v/>
      </c>
    </row>
    <row r="1591" spans="1:9" x14ac:dyDescent="0.3">
      <c r="A1591" s="3"/>
      <c r="B1591" s="9"/>
      <c r="C1591" s="9"/>
      <c r="E1591" s="14" t="str">
        <f t="shared" si="124"/>
        <v/>
      </c>
      <c r="F1591" s="15" t="str">
        <f t="shared" ca="1" si="125"/>
        <v/>
      </c>
      <c r="G1591" s="15" t="str">
        <f t="shared" ca="1" si="126"/>
        <v/>
      </c>
      <c r="H1591" s="15" t="str">
        <f t="shared" ca="1" si="127"/>
        <v/>
      </c>
      <c r="I1591" s="16" t="str">
        <f t="shared" ca="1" si="128"/>
        <v/>
      </c>
    </row>
    <row r="1592" spans="1:9" x14ac:dyDescent="0.3">
      <c r="A1592" s="3"/>
      <c r="B1592" s="9"/>
      <c r="C1592" s="9"/>
      <c r="E1592" s="14" t="str">
        <f t="shared" si="124"/>
        <v/>
      </c>
      <c r="F1592" s="15" t="str">
        <f t="shared" ca="1" si="125"/>
        <v/>
      </c>
      <c r="G1592" s="15" t="str">
        <f t="shared" ca="1" si="126"/>
        <v/>
      </c>
      <c r="H1592" s="15" t="str">
        <f t="shared" ca="1" si="127"/>
        <v/>
      </c>
      <c r="I1592" s="16" t="str">
        <f t="shared" ca="1" si="128"/>
        <v/>
      </c>
    </row>
    <row r="1593" spans="1:9" x14ac:dyDescent="0.3">
      <c r="A1593" s="3"/>
      <c r="B1593" s="9"/>
      <c r="C1593" s="9"/>
      <c r="E1593" s="14" t="str">
        <f t="shared" si="124"/>
        <v/>
      </c>
      <c r="F1593" s="15" t="str">
        <f t="shared" ca="1" si="125"/>
        <v/>
      </c>
      <c r="G1593" s="15" t="str">
        <f t="shared" ca="1" si="126"/>
        <v/>
      </c>
      <c r="H1593" s="15" t="str">
        <f t="shared" ca="1" si="127"/>
        <v/>
      </c>
      <c r="I1593" s="16" t="str">
        <f t="shared" ca="1" si="128"/>
        <v/>
      </c>
    </row>
    <row r="1594" spans="1:9" x14ac:dyDescent="0.3">
      <c r="A1594" s="3"/>
      <c r="B1594" s="9"/>
      <c r="C1594" s="9"/>
      <c r="E1594" s="14" t="str">
        <f t="shared" si="124"/>
        <v/>
      </c>
      <c r="F1594" s="15" t="str">
        <f t="shared" ca="1" si="125"/>
        <v/>
      </c>
      <c r="G1594" s="15" t="str">
        <f t="shared" ca="1" si="126"/>
        <v/>
      </c>
      <c r="H1594" s="15" t="str">
        <f t="shared" ca="1" si="127"/>
        <v/>
      </c>
      <c r="I1594" s="16" t="str">
        <f t="shared" ca="1" si="128"/>
        <v/>
      </c>
    </row>
    <row r="1595" spans="1:9" x14ac:dyDescent="0.3">
      <c r="A1595" s="3"/>
      <c r="B1595" s="9"/>
      <c r="C1595" s="9"/>
      <c r="E1595" s="14" t="str">
        <f t="shared" si="124"/>
        <v/>
      </c>
      <c r="F1595" s="15" t="str">
        <f t="shared" ca="1" si="125"/>
        <v/>
      </c>
      <c r="G1595" s="15" t="str">
        <f t="shared" ca="1" si="126"/>
        <v/>
      </c>
      <c r="H1595" s="15" t="str">
        <f t="shared" ca="1" si="127"/>
        <v/>
      </c>
      <c r="I1595" s="16" t="str">
        <f t="shared" ca="1" si="128"/>
        <v/>
      </c>
    </row>
    <row r="1596" spans="1:9" x14ac:dyDescent="0.3">
      <c r="A1596" s="3"/>
      <c r="B1596" s="9"/>
      <c r="C1596" s="9"/>
      <c r="E1596" s="14" t="str">
        <f t="shared" si="124"/>
        <v/>
      </c>
      <c r="F1596" s="15" t="str">
        <f t="shared" ca="1" si="125"/>
        <v/>
      </c>
      <c r="G1596" s="15" t="str">
        <f t="shared" ca="1" si="126"/>
        <v/>
      </c>
      <c r="H1596" s="15" t="str">
        <f t="shared" ca="1" si="127"/>
        <v/>
      </c>
      <c r="I1596" s="16" t="str">
        <f t="shared" ca="1" si="128"/>
        <v/>
      </c>
    </row>
    <row r="1597" spans="1:9" x14ac:dyDescent="0.3">
      <c r="A1597" s="3"/>
      <c r="B1597" s="9"/>
      <c r="C1597" s="9"/>
      <c r="E1597" s="14" t="str">
        <f t="shared" si="124"/>
        <v/>
      </c>
      <c r="F1597" s="15" t="str">
        <f t="shared" ca="1" si="125"/>
        <v/>
      </c>
      <c r="G1597" s="15" t="str">
        <f t="shared" ca="1" si="126"/>
        <v/>
      </c>
      <c r="H1597" s="15" t="str">
        <f t="shared" ca="1" si="127"/>
        <v/>
      </c>
      <c r="I1597" s="16" t="str">
        <f t="shared" ca="1" si="128"/>
        <v/>
      </c>
    </row>
    <row r="1598" spans="1:9" x14ac:dyDescent="0.3">
      <c r="A1598" s="3"/>
      <c r="B1598" s="9"/>
      <c r="C1598" s="9"/>
      <c r="E1598" s="14" t="str">
        <f t="shared" si="124"/>
        <v/>
      </c>
      <c r="F1598" s="15" t="str">
        <f t="shared" ca="1" si="125"/>
        <v/>
      </c>
      <c r="G1598" s="15" t="str">
        <f t="shared" ca="1" si="126"/>
        <v/>
      </c>
      <c r="H1598" s="15" t="str">
        <f t="shared" ca="1" si="127"/>
        <v/>
      </c>
      <c r="I1598" s="16" t="str">
        <f t="shared" ca="1" si="128"/>
        <v/>
      </c>
    </row>
    <row r="1599" spans="1:9" x14ac:dyDescent="0.3">
      <c r="A1599" s="3"/>
      <c r="B1599" s="9"/>
      <c r="C1599" s="9"/>
      <c r="E1599" s="14" t="str">
        <f t="shared" si="124"/>
        <v/>
      </c>
      <c r="F1599" s="15" t="str">
        <f t="shared" ca="1" si="125"/>
        <v/>
      </c>
      <c r="G1599" s="15" t="str">
        <f t="shared" ca="1" si="126"/>
        <v/>
      </c>
      <c r="H1599" s="15" t="str">
        <f t="shared" ca="1" si="127"/>
        <v/>
      </c>
      <c r="I1599" s="16" t="str">
        <f t="shared" ca="1" si="128"/>
        <v/>
      </c>
    </row>
    <row r="1600" spans="1:9" x14ac:dyDescent="0.3">
      <c r="A1600" s="3"/>
      <c r="B1600" s="9"/>
      <c r="C1600" s="9"/>
      <c r="E1600" s="14" t="str">
        <f t="shared" si="124"/>
        <v/>
      </c>
      <c r="F1600" s="15" t="str">
        <f t="shared" ca="1" si="125"/>
        <v/>
      </c>
      <c r="G1600" s="15" t="str">
        <f t="shared" ca="1" si="126"/>
        <v/>
      </c>
      <c r="H1600" s="15" t="str">
        <f t="shared" ca="1" si="127"/>
        <v/>
      </c>
      <c r="I1600" s="16" t="str">
        <f t="shared" ca="1" si="128"/>
        <v/>
      </c>
    </row>
    <row r="1601" spans="1:9" x14ac:dyDescent="0.3">
      <c r="A1601" s="3"/>
      <c r="B1601" s="9"/>
      <c r="C1601" s="9"/>
      <c r="E1601" s="14" t="str">
        <f t="shared" si="124"/>
        <v/>
      </c>
      <c r="F1601" s="15" t="str">
        <f t="shared" ca="1" si="125"/>
        <v/>
      </c>
      <c r="G1601" s="15" t="str">
        <f t="shared" ca="1" si="126"/>
        <v/>
      </c>
      <c r="H1601" s="15" t="str">
        <f t="shared" ca="1" si="127"/>
        <v/>
      </c>
      <c r="I1601" s="16" t="str">
        <f t="shared" ca="1" si="128"/>
        <v/>
      </c>
    </row>
    <row r="1602" spans="1:9" x14ac:dyDescent="0.3">
      <c r="A1602" s="3"/>
      <c r="B1602" s="9"/>
      <c r="C1602" s="9"/>
      <c r="E1602" s="14" t="str">
        <f t="shared" si="124"/>
        <v/>
      </c>
      <c r="F1602" s="15" t="str">
        <f t="shared" ca="1" si="125"/>
        <v/>
      </c>
      <c r="G1602" s="15" t="str">
        <f t="shared" ca="1" si="126"/>
        <v/>
      </c>
      <c r="H1602" s="15" t="str">
        <f t="shared" ca="1" si="127"/>
        <v/>
      </c>
      <c r="I1602" s="16" t="str">
        <f t="shared" ca="1" si="128"/>
        <v/>
      </c>
    </row>
    <row r="1603" spans="1:9" x14ac:dyDescent="0.3">
      <c r="A1603" s="3"/>
      <c r="B1603" s="9"/>
      <c r="C1603" s="9"/>
      <c r="E1603" s="14" t="str">
        <f t="shared" ref="E1603:E1666" si="129">IF(ISNUMBER(B1603),B1603/C1603,"")</f>
        <v/>
      </c>
      <c r="F1603" s="15" t="str">
        <f t="shared" ca="1" si="125"/>
        <v/>
      </c>
      <c r="G1603" s="15" t="str">
        <f t="shared" ca="1" si="126"/>
        <v/>
      </c>
      <c r="H1603" s="15" t="str">
        <f t="shared" ca="1" si="127"/>
        <v/>
      </c>
      <c r="I1603" s="16" t="str">
        <f t="shared" ca="1" si="128"/>
        <v/>
      </c>
    </row>
    <row r="1604" spans="1:9" x14ac:dyDescent="0.3">
      <c r="A1604" s="3"/>
      <c r="B1604" s="9"/>
      <c r="C1604" s="9"/>
      <c r="E1604" s="14" t="str">
        <f t="shared" si="129"/>
        <v/>
      </c>
      <c r="F1604" s="15" t="str">
        <f t="shared" ca="1" si="125"/>
        <v/>
      </c>
      <c r="G1604" s="15" t="str">
        <f t="shared" ca="1" si="126"/>
        <v/>
      </c>
      <c r="H1604" s="15" t="str">
        <f t="shared" ca="1" si="127"/>
        <v/>
      </c>
      <c r="I1604" s="16" t="str">
        <f t="shared" ca="1" si="128"/>
        <v/>
      </c>
    </row>
    <row r="1605" spans="1:9" x14ac:dyDescent="0.3">
      <c r="A1605" s="3"/>
      <c r="B1605" s="9"/>
      <c r="C1605" s="9"/>
      <c r="E1605" s="14" t="str">
        <f t="shared" si="129"/>
        <v/>
      </c>
      <c r="F1605" s="15" t="str">
        <f t="shared" ca="1" si="125"/>
        <v/>
      </c>
      <c r="G1605" s="15" t="str">
        <f t="shared" ca="1" si="126"/>
        <v/>
      </c>
      <c r="H1605" s="15" t="str">
        <f t="shared" ca="1" si="127"/>
        <v/>
      </c>
      <c r="I1605" s="16" t="str">
        <f t="shared" ca="1" si="128"/>
        <v/>
      </c>
    </row>
    <row r="1606" spans="1:9" x14ac:dyDescent="0.3">
      <c r="A1606" s="3"/>
      <c r="B1606" s="9"/>
      <c r="C1606" s="9"/>
      <c r="E1606" s="14" t="str">
        <f t="shared" si="129"/>
        <v/>
      </c>
      <c r="F1606" s="15" t="str">
        <f t="shared" ca="1" si="125"/>
        <v/>
      </c>
      <c r="G1606" s="15" t="str">
        <f t="shared" ca="1" si="126"/>
        <v/>
      </c>
      <c r="H1606" s="15" t="str">
        <f t="shared" ca="1" si="127"/>
        <v/>
      </c>
      <c r="I1606" s="16" t="str">
        <f t="shared" ca="1" si="128"/>
        <v/>
      </c>
    </row>
    <row r="1607" spans="1:9" x14ac:dyDescent="0.3">
      <c r="A1607" s="3"/>
      <c r="B1607" s="9"/>
      <c r="C1607" s="9"/>
      <c r="E1607" s="14" t="str">
        <f t="shared" si="129"/>
        <v/>
      </c>
      <c r="F1607" s="15" t="str">
        <f t="shared" ca="1" si="125"/>
        <v/>
      </c>
      <c r="G1607" s="15" t="str">
        <f t="shared" ca="1" si="126"/>
        <v/>
      </c>
      <c r="H1607" s="15" t="str">
        <f t="shared" ca="1" si="127"/>
        <v/>
      </c>
      <c r="I1607" s="16" t="str">
        <f t="shared" ca="1" si="128"/>
        <v/>
      </c>
    </row>
    <row r="1608" spans="1:9" x14ac:dyDescent="0.3">
      <c r="A1608" s="3"/>
      <c r="B1608" s="9"/>
      <c r="C1608" s="9"/>
      <c r="E1608" s="14" t="str">
        <f t="shared" si="129"/>
        <v/>
      </c>
      <c r="F1608" s="15" t="str">
        <f t="shared" ca="1" si="125"/>
        <v/>
      </c>
      <c r="G1608" s="15" t="str">
        <f t="shared" ca="1" si="126"/>
        <v/>
      </c>
      <c r="H1608" s="15" t="str">
        <f t="shared" ca="1" si="127"/>
        <v/>
      </c>
      <c r="I1608" s="16" t="str">
        <f t="shared" ca="1" si="128"/>
        <v/>
      </c>
    </row>
    <row r="1609" spans="1:9" x14ac:dyDescent="0.3">
      <c r="A1609" s="3"/>
      <c r="B1609" s="9"/>
      <c r="C1609" s="9"/>
      <c r="E1609" s="14" t="str">
        <f t="shared" si="129"/>
        <v/>
      </c>
      <c r="F1609" s="15" t="str">
        <f t="shared" ca="1" si="125"/>
        <v/>
      </c>
      <c r="G1609" s="15" t="str">
        <f t="shared" ca="1" si="126"/>
        <v/>
      </c>
      <c r="H1609" s="15" t="str">
        <f t="shared" ca="1" si="127"/>
        <v/>
      </c>
      <c r="I1609" s="16" t="str">
        <f t="shared" ca="1" si="128"/>
        <v/>
      </c>
    </row>
    <row r="1610" spans="1:9" x14ac:dyDescent="0.3">
      <c r="A1610" s="3"/>
      <c r="B1610" s="9"/>
      <c r="C1610" s="9"/>
      <c r="E1610" s="14" t="str">
        <f t="shared" si="129"/>
        <v/>
      </c>
      <c r="F1610" s="15" t="str">
        <f t="shared" ca="1" si="125"/>
        <v/>
      </c>
      <c r="G1610" s="15" t="str">
        <f t="shared" ca="1" si="126"/>
        <v/>
      </c>
      <c r="H1610" s="15" t="str">
        <f t="shared" ca="1" si="127"/>
        <v/>
      </c>
      <c r="I1610" s="16" t="str">
        <f t="shared" ca="1" si="128"/>
        <v/>
      </c>
    </row>
    <row r="1611" spans="1:9" x14ac:dyDescent="0.3">
      <c r="A1611" s="3"/>
      <c r="B1611" s="9"/>
      <c r="C1611" s="9"/>
      <c r="E1611" s="14" t="str">
        <f t="shared" si="129"/>
        <v/>
      </c>
      <c r="F1611" s="15" t="str">
        <f t="shared" ca="1" si="125"/>
        <v/>
      </c>
      <c r="G1611" s="15" t="str">
        <f t="shared" ca="1" si="126"/>
        <v/>
      </c>
      <c r="H1611" s="15" t="str">
        <f t="shared" ca="1" si="127"/>
        <v/>
      </c>
      <c r="I1611" s="16" t="str">
        <f t="shared" ca="1" si="128"/>
        <v/>
      </c>
    </row>
    <row r="1612" spans="1:9" x14ac:dyDescent="0.3">
      <c r="A1612" s="3"/>
      <c r="B1612" s="9"/>
      <c r="C1612" s="9"/>
      <c r="E1612" s="14" t="str">
        <f t="shared" si="129"/>
        <v/>
      </c>
      <c r="F1612" s="15" t="str">
        <f t="shared" ca="1" si="125"/>
        <v/>
      </c>
      <c r="G1612" s="15" t="str">
        <f t="shared" ca="1" si="126"/>
        <v/>
      </c>
      <c r="H1612" s="15" t="str">
        <f t="shared" ca="1" si="127"/>
        <v/>
      </c>
      <c r="I1612" s="16" t="str">
        <f t="shared" ca="1" si="128"/>
        <v/>
      </c>
    </row>
    <row r="1613" spans="1:9" x14ac:dyDescent="0.3">
      <c r="A1613" s="3"/>
      <c r="B1613" s="9"/>
      <c r="C1613" s="9"/>
      <c r="E1613" s="14" t="str">
        <f t="shared" si="129"/>
        <v/>
      </c>
      <c r="F1613" s="15" t="str">
        <f t="shared" ca="1" si="125"/>
        <v/>
      </c>
      <c r="G1613" s="15" t="str">
        <f t="shared" ca="1" si="126"/>
        <v/>
      </c>
      <c r="H1613" s="15" t="str">
        <f t="shared" ca="1" si="127"/>
        <v/>
      </c>
      <c r="I1613" s="16" t="str">
        <f t="shared" ca="1" si="128"/>
        <v/>
      </c>
    </row>
    <row r="1614" spans="1:9" x14ac:dyDescent="0.3">
      <c r="A1614" s="3"/>
      <c r="B1614" s="9"/>
      <c r="C1614" s="9"/>
      <c r="E1614" s="14" t="str">
        <f t="shared" si="129"/>
        <v/>
      </c>
      <c r="F1614" s="15" t="str">
        <f t="shared" ca="1" si="125"/>
        <v/>
      </c>
      <c r="G1614" s="15" t="str">
        <f t="shared" ca="1" si="126"/>
        <v/>
      </c>
      <c r="H1614" s="15" t="str">
        <f t="shared" ca="1" si="127"/>
        <v/>
      </c>
      <c r="I1614" s="16" t="str">
        <f t="shared" ca="1" si="128"/>
        <v/>
      </c>
    </row>
    <row r="1615" spans="1:9" x14ac:dyDescent="0.3">
      <c r="A1615" s="3"/>
      <c r="B1615" s="9"/>
      <c r="C1615" s="9"/>
      <c r="E1615" s="14" t="str">
        <f t="shared" si="129"/>
        <v/>
      </c>
      <c r="F1615" s="15" t="str">
        <f t="shared" ca="1" si="125"/>
        <v/>
      </c>
      <c r="G1615" s="15" t="str">
        <f t="shared" ca="1" si="126"/>
        <v/>
      </c>
      <c r="H1615" s="15" t="str">
        <f t="shared" ca="1" si="127"/>
        <v/>
      </c>
      <c r="I1615" s="16" t="str">
        <f t="shared" ca="1" si="128"/>
        <v/>
      </c>
    </row>
    <row r="1616" spans="1:9" x14ac:dyDescent="0.3">
      <c r="A1616" s="3"/>
      <c r="B1616" s="9"/>
      <c r="C1616" s="9"/>
      <c r="E1616" s="14" t="str">
        <f t="shared" si="129"/>
        <v/>
      </c>
      <c r="F1616" s="15" t="str">
        <f t="shared" ca="1" si="125"/>
        <v/>
      </c>
      <c r="G1616" s="15" t="str">
        <f t="shared" ca="1" si="126"/>
        <v/>
      </c>
      <c r="H1616" s="15" t="str">
        <f t="shared" ca="1" si="127"/>
        <v/>
      </c>
      <c r="I1616" s="16" t="str">
        <f t="shared" ca="1" si="128"/>
        <v/>
      </c>
    </row>
    <row r="1617" spans="1:9" x14ac:dyDescent="0.3">
      <c r="A1617" s="3"/>
      <c r="B1617" s="9"/>
      <c r="C1617" s="9"/>
      <c r="E1617" s="14" t="str">
        <f t="shared" si="129"/>
        <v/>
      </c>
      <c r="F1617" s="15" t="str">
        <f t="shared" ref="F1617:F1680" ca="1" si="130">IF(ISNUMBER(E1617),IF(ROW(E1617)&gt;$K$1,AVERAGE(OFFSET(E1617,0,0,-$K$1)),""),"")</f>
        <v/>
      </c>
      <c r="G1617" s="15" t="str">
        <f t="shared" ref="G1617:G1680" ca="1" si="131">IF(ISNUMBER(I1617),F1617+I1617*$M$1,"")</f>
        <v/>
      </c>
      <c r="H1617" s="15" t="str">
        <f t="shared" ref="H1617:H1680" ca="1" si="132">IF(ISNUMBER(I1617),F1617-I1617*$M$1,"")</f>
        <v/>
      </c>
      <c r="I1617" s="16" t="str">
        <f t="shared" ref="I1617:I1680" ca="1" si="133">IF(ISNUMBER(E1617),IF(ROW(E1617)&gt;$K$1,_xlfn.STDEV.P(OFFSET(E1617,0,0,-$K$1)),""),"")</f>
        <v/>
      </c>
    </row>
    <row r="1618" spans="1:9" x14ac:dyDescent="0.3">
      <c r="A1618" s="3"/>
      <c r="B1618" s="9"/>
      <c r="C1618" s="9"/>
      <c r="E1618" s="14" t="str">
        <f t="shared" si="129"/>
        <v/>
      </c>
      <c r="F1618" s="15" t="str">
        <f t="shared" ca="1" si="130"/>
        <v/>
      </c>
      <c r="G1618" s="15" t="str">
        <f t="shared" ca="1" si="131"/>
        <v/>
      </c>
      <c r="H1618" s="15" t="str">
        <f t="shared" ca="1" si="132"/>
        <v/>
      </c>
      <c r="I1618" s="16" t="str">
        <f t="shared" ca="1" si="133"/>
        <v/>
      </c>
    </row>
    <row r="1619" spans="1:9" x14ac:dyDescent="0.3">
      <c r="A1619" s="3"/>
      <c r="B1619" s="9"/>
      <c r="C1619" s="9"/>
      <c r="E1619" s="14" t="str">
        <f t="shared" si="129"/>
        <v/>
      </c>
      <c r="F1619" s="15" t="str">
        <f t="shared" ca="1" si="130"/>
        <v/>
      </c>
      <c r="G1619" s="15" t="str">
        <f t="shared" ca="1" si="131"/>
        <v/>
      </c>
      <c r="H1619" s="15" t="str">
        <f t="shared" ca="1" si="132"/>
        <v/>
      </c>
      <c r="I1619" s="16" t="str">
        <f t="shared" ca="1" si="133"/>
        <v/>
      </c>
    </row>
    <row r="1620" spans="1:9" x14ac:dyDescent="0.3">
      <c r="A1620" s="3"/>
      <c r="B1620" s="9"/>
      <c r="C1620" s="9"/>
      <c r="E1620" s="14" t="str">
        <f t="shared" si="129"/>
        <v/>
      </c>
      <c r="F1620" s="15" t="str">
        <f t="shared" ca="1" si="130"/>
        <v/>
      </c>
      <c r="G1620" s="15" t="str">
        <f t="shared" ca="1" si="131"/>
        <v/>
      </c>
      <c r="H1620" s="15" t="str">
        <f t="shared" ca="1" si="132"/>
        <v/>
      </c>
      <c r="I1620" s="16" t="str">
        <f t="shared" ca="1" si="133"/>
        <v/>
      </c>
    </row>
    <row r="1621" spans="1:9" x14ac:dyDescent="0.3">
      <c r="A1621" s="3"/>
      <c r="B1621" s="9"/>
      <c r="C1621" s="9"/>
      <c r="E1621" s="14" t="str">
        <f t="shared" si="129"/>
        <v/>
      </c>
      <c r="F1621" s="15" t="str">
        <f t="shared" ca="1" si="130"/>
        <v/>
      </c>
      <c r="G1621" s="15" t="str">
        <f t="shared" ca="1" si="131"/>
        <v/>
      </c>
      <c r="H1621" s="15" t="str">
        <f t="shared" ca="1" si="132"/>
        <v/>
      </c>
      <c r="I1621" s="16" t="str">
        <f t="shared" ca="1" si="133"/>
        <v/>
      </c>
    </row>
    <row r="1622" spans="1:9" x14ac:dyDescent="0.3">
      <c r="A1622" s="3"/>
      <c r="B1622" s="9"/>
      <c r="C1622" s="9"/>
      <c r="E1622" s="14" t="str">
        <f t="shared" si="129"/>
        <v/>
      </c>
      <c r="F1622" s="15" t="str">
        <f t="shared" ca="1" si="130"/>
        <v/>
      </c>
      <c r="G1622" s="15" t="str">
        <f t="shared" ca="1" si="131"/>
        <v/>
      </c>
      <c r="H1622" s="15" t="str">
        <f t="shared" ca="1" si="132"/>
        <v/>
      </c>
      <c r="I1622" s="16" t="str">
        <f t="shared" ca="1" si="133"/>
        <v/>
      </c>
    </row>
    <row r="1623" spans="1:9" x14ac:dyDescent="0.3">
      <c r="A1623" s="3"/>
      <c r="B1623" s="9"/>
      <c r="C1623" s="9"/>
      <c r="E1623" s="14" t="str">
        <f t="shared" si="129"/>
        <v/>
      </c>
      <c r="F1623" s="15" t="str">
        <f t="shared" ca="1" si="130"/>
        <v/>
      </c>
      <c r="G1623" s="15" t="str">
        <f t="shared" ca="1" si="131"/>
        <v/>
      </c>
      <c r="H1623" s="15" t="str">
        <f t="shared" ca="1" si="132"/>
        <v/>
      </c>
      <c r="I1623" s="16" t="str">
        <f t="shared" ca="1" si="133"/>
        <v/>
      </c>
    </row>
    <row r="1624" spans="1:9" x14ac:dyDescent="0.3">
      <c r="A1624" s="3"/>
      <c r="B1624" s="9"/>
      <c r="C1624" s="9"/>
      <c r="E1624" s="14" t="str">
        <f t="shared" si="129"/>
        <v/>
      </c>
      <c r="F1624" s="15" t="str">
        <f t="shared" ca="1" si="130"/>
        <v/>
      </c>
      <c r="G1624" s="15" t="str">
        <f t="shared" ca="1" si="131"/>
        <v/>
      </c>
      <c r="H1624" s="15" t="str">
        <f t="shared" ca="1" si="132"/>
        <v/>
      </c>
      <c r="I1624" s="16" t="str">
        <f t="shared" ca="1" si="133"/>
        <v/>
      </c>
    </row>
    <row r="1625" spans="1:9" x14ac:dyDescent="0.3">
      <c r="A1625" s="3"/>
      <c r="B1625" s="9"/>
      <c r="C1625" s="9"/>
      <c r="E1625" s="14" t="str">
        <f t="shared" si="129"/>
        <v/>
      </c>
      <c r="F1625" s="15" t="str">
        <f t="shared" ca="1" si="130"/>
        <v/>
      </c>
      <c r="G1625" s="15" t="str">
        <f t="shared" ca="1" si="131"/>
        <v/>
      </c>
      <c r="H1625" s="15" t="str">
        <f t="shared" ca="1" si="132"/>
        <v/>
      </c>
      <c r="I1625" s="16" t="str">
        <f t="shared" ca="1" si="133"/>
        <v/>
      </c>
    </row>
    <row r="1626" spans="1:9" x14ac:dyDescent="0.3">
      <c r="A1626" s="3"/>
      <c r="B1626" s="9"/>
      <c r="C1626" s="9"/>
      <c r="E1626" s="14" t="str">
        <f t="shared" si="129"/>
        <v/>
      </c>
      <c r="F1626" s="15" t="str">
        <f t="shared" ca="1" si="130"/>
        <v/>
      </c>
      <c r="G1626" s="15" t="str">
        <f t="shared" ca="1" si="131"/>
        <v/>
      </c>
      <c r="H1626" s="15" t="str">
        <f t="shared" ca="1" si="132"/>
        <v/>
      </c>
      <c r="I1626" s="16" t="str">
        <f t="shared" ca="1" si="133"/>
        <v/>
      </c>
    </row>
    <row r="1627" spans="1:9" x14ac:dyDescent="0.3">
      <c r="A1627" s="3"/>
      <c r="B1627" s="9"/>
      <c r="C1627" s="9"/>
      <c r="E1627" s="14" t="str">
        <f t="shared" si="129"/>
        <v/>
      </c>
      <c r="F1627" s="15" t="str">
        <f t="shared" ca="1" si="130"/>
        <v/>
      </c>
      <c r="G1627" s="15" t="str">
        <f t="shared" ca="1" si="131"/>
        <v/>
      </c>
      <c r="H1627" s="15" t="str">
        <f t="shared" ca="1" si="132"/>
        <v/>
      </c>
      <c r="I1627" s="16" t="str">
        <f t="shared" ca="1" si="133"/>
        <v/>
      </c>
    </row>
    <row r="1628" spans="1:9" x14ac:dyDescent="0.3">
      <c r="A1628" s="3"/>
      <c r="B1628" s="9"/>
      <c r="C1628" s="9"/>
      <c r="E1628" s="14" t="str">
        <f t="shared" si="129"/>
        <v/>
      </c>
      <c r="F1628" s="15" t="str">
        <f t="shared" ca="1" si="130"/>
        <v/>
      </c>
      <c r="G1628" s="15" t="str">
        <f t="shared" ca="1" si="131"/>
        <v/>
      </c>
      <c r="H1628" s="15" t="str">
        <f t="shared" ca="1" si="132"/>
        <v/>
      </c>
      <c r="I1628" s="16" t="str">
        <f t="shared" ca="1" si="133"/>
        <v/>
      </c>
    </row>
    <row r="1629" spans="1:9" x14ac:dyDescent="0.3">
      <c r="A1629" s="3"/>
      <c r="B1629" s="9"/>
      <c r="C1629" s="9"/>
      <c r="E1629" s="14" t="str">
        <f t="shared" si="129"/>
        <v/>
      </c>
      <c r="F1629" s="15" t="str">
        <f t="shared" ca="1" si="130"/>
        <v/>
      </c>
      <c r="G1629" s="15" t="str">
        <f t="shared" ca="1" si="131"/>
        <v/>
      </c>
      <c r="H1629" s="15" t="str">
        <f t="shared" ca="1" si="132"/>
        <v/>
      </c>
      <c r="I1629" s="16" t="str">
        <f t="shared" ca="1" si="133"/>
        <v/>
      </c>
    </row>
    <row r="1630" spans="1:9" x14ac:dyDescent="0.3">
      <c r="A1630" s="3"/>
      <c r="B1630" s="9"/>
      <c r="C1630" s="9"/>
      <c r="E1630" s="14" t="str">
        <f t="shared" si="129"/>
        <v/>
      </c>
      <c r="F1630" s="15" t="str">
        <f t="shared" ca="1" si="130"/>
        <v/>
      </c>
      <c r="G1630" s="15" t="str">
        <f t="shared" ca="1" si="131"/>
        <v/>
      </c>
      <c r="H1630" s="15" t="str">
        <f t="shared" ca="1" si="132"/>
        <v/>
      </c>
      <c r="I1630" s="16" t="str">
        <f t="shared" ca="1" si="133"/>
        <v/>
      </c>
    </row>
    <row r="1631" spans="1:9" x14ac:dyDescent="0.3">
      <c r="A1631" s="3"/>
      <c r="B1631" s="9"/>
      <c r="C1631" s="9"/>
      <c r="E1631" s="14" t="str">
        <f t="shared" si="129"/>
        <v/>
      </c>
      <c r="F1631" s="15" t="str">
        <f t="shared" ca="1" si="130"/>
        <v/>
      </c>
      <c r="G1631" s="15" t="str">
        <f t="shared" ca="1" si="131"/>
        <v/>
      </c>
      <c r="H1631" s="15" t="str">
        <f t="shared" ca="1" si="132"/>
        <v/>
      </c>
      <c r="I1631" s="16" t="str">
        <f t="shared" ca="1" si="133"/>
        <v/>
      </c>
    </row>
    <row r="1632" spans="1:9" x14ac:dyDescent="0.3">
      <c r="A1632" s="3"/>
      <c r="B1632" s="9"/>
      <c r="C1632" s="9"/>
      <c r="E1632" s="14" t="str">
        <f t="shared" si="129"/>
        <v/>
      </c>
      <c r="F1632" s="15" t="str">
        <f t="shared" ca="1" si="130"/>
        <v/>
      </c>
      <c r="G1632" s="15" t="str">
        <f t="shared" ca="1" si="131"/>
        <v/>
      </c>
      <c r="H1632" s="15" t="str">
        <f t="shared" ca="1" si="132"/>
        <v/>
      </c>
      <c r="I1632" s="16" t="str">
        <f t="shared" ca="1" si="133"/>
        <v/>
      </c>
    </row>
    <row r="1633" spans="1:9" x14ac:dyDescent="0.3">
      <c r="A1633" s="3"/>
      <c r="B1633" s="9"/>
      <c r="C1633" s="9"/>
      <c r="E1633" s="14" t="str">
        <f t="shared" si="129"/>
        <v/>
      </c>
      <c r="F1633" s="15" t="str">
        <f t="shared" ca="1" si="130"/>
        <v/>
      </c>
      <c r="G1633" s="15" t="str">
        <f t="shared" ca="1" si="131"/>
        <v/>
      </c>
      <c r="H1633" s="15" t="str">
        <f t="shared" ca="1" si="132"/>
        <v/>
      </c>
      <c r="I1633" s="16" t="str">
        <f t="shared" ca="1" si="133"/>
        <v/>
      </c>
    </row>
    <row r="1634" spans="1:9" x14ac:dyDescent="0.3">
      <c r="A1634" s="3"/>
      <c r="B1634" s="9"/>
      <c r="C1634" s="9"/>
      <c r="E1634" s="14" t="str">
        <f t="shared" si="129"/>
        <v/>
      </c>
      <c r="F1634" s="15" t="str">
        <f t="shared" ca="1" si="130"/>
        <v/>
      </c>
      <c r="G1634" s="15" t="str">
        <f t="shared" ca="1" si="131"/>
        <v/>
      </c>
      <c r="H1634" s="15" t="str">
        <f t="shared" ca="1" si="132"/>
        <v/>
      </c>
      <c r="I1634" s="16" t="str">
        <f t="shared" ca="1" si="133"/>
        <v/>
      </c>
    </row>
    <row r="1635" spans="1:9" x14ac:dyDescent="0.3">
      <c r="A1635" s="3"/>
      <c r="B1635" s="9"/>
      <c r="C1635" s="9"/>
      <c r="E1635" s="14" t="str">
        <f t="shared" si="129"/>
        <v/>
      </c>
      <c r="F1635" s="15" t="str">
        <f t="shared" ca="1" si="130"/>
        <v/>
      </c>
      <c r="G1635" s="15" t="str">
        <f t="shared" ca="1" si="131"/>
        <v/>
      </c>
      <c r="H1635" s="15" t="str">
        <f t="shared" ca="1" si="132"/>
        <v/>
      </c>
      <c r="I1635" s="16" t="str">
        <f t="shared" ca="1" si="133"/>
        <v/>
      </c>
    </row>
    <row r="1636" spans="1:9" x14ac:dyDescent="0.3">
      <c r="A1636" s="3"/>
      <c r="B1636" s="9"/>
      <c r="C1636" s="9"/>
      <c r="E1636" s="14" t="str">
        <f t="shared" si="129"/>
        <v/>
      </c>
      <c r="F1636" s="15" t="str">
        <f t="shared" ca="1" si="130"/>
        <v/>
      </c>
      <c r="G1636" s="15" t="str">
        <f t="shared" ca="1" si="131"/>
        <v/>
      </c>
      <c r="H1636" s="15" t="str">
        <f t="shared" ca="1" si="132"/>
        <v/>
      </c>
      <c r="I1636" s="16" t="str">
        <f t="shared" ca="1" si="133"/>
        <v/>
      </c>
    </row>
    <row r="1637" spans="1:9" x14ac:dyDescent="0.3">
      <c r="A1637" s="3"/>
      <c r="B1637" s="9"/>
      <c r="C1637" s="9"/>
      <c r="E1637" s="14" t="str">
        <f t="shared" si="129"/>
        <v/>
      </c>
      <c r="F1637" s="15" t="str">
        <f t="shared" ca="1" si="130"/>
        <v/>
      </c>
      <c r="G1637" s="15" t="str">
        <f t="shared" ca="1" si="131"/>
        <v/>
      </c>
      <c r="H1637" s="15" t="str">
        <f t="shared" ca="1" si="132"/>
        <v/>
      </c>
      <c r="I1637" s="16" t="str">
        <f t="shared" ca="1" si="133"/>
        <v/>
      </c>
    </row>
    <row r="1638" spans="1:9" x14ac:dyDescent="0.3">
      <c r="A1638" s="3"/>
      <c r="B1638" s="9"/>
      <c r="C1638" s="9"/>
      <c r="E1638" s="14" t="str">
        <f t="shared" si="129"/>
        <v/>
      </c>
      <c r="F1638" s="15" t="str">
        <f t="shared" ca="1" si="130"/>
        <v/>
      </c>
      <c r="G1638" s="15" t="str">
        <f t="shared" ca="1" si="131"/>
        <v/>
      </c>
      <c r="H1638" s="15" t="str">
        <f t="shared" ca="1" si="132"/>
        <v/>
      </c>
      <c r="I1638" s="16" t="str">
        <f t="shared" ca="1" si="133"/>
        <v/>
      </c>
    </row>
    <row r="1639" spans="1:9" x14ac:dyDescent="0.3">
      <c r="A1639" s="3"/>
      <c r="B1639" s="9"/>
      <c r="C1639" s="9"/>
      <c r="E1639" s="14" t="str">
        <f t="shared" si="129"/>
        <v/>
      </c>
      <c r="F1639" s="15" t="str">
        <f t="shared" ca="1" si="130"/>
        <v/>
      </c>
      <c r="G1639" s="15" t="str">
        <f t="shared" ca="1" si="131"/>
        <v/>
      </c>
      <c r="H1639" s="15" t="str">
        <f t="shared" ca="1" si="132"/>
        <v/>
      </c>
      <c r="I1639" s="16" t="str">
        <f t="shared" ca="1" si="133"/>
        <v/>
      </c>
    </row>
    <row r="1640" spans="1:9" x14ac:dyDescent="0.3">
      <c r="A1640" s="3"/>
      <c r="B1640" s="9"/>
      <c r="C1640" s="9"/>
      <c r="E1640" s="14" t="str">
        <f t="shared" si="129"/>
        <v/>
      </c>
      <c r="F1640" s="15" t="str">
        <f t="shared" ca="1" si="130"/>
        <v/>
      </c>
      <c r="G1640" s="15" t="str">
        <f t="shared" ca="1" si="131"/>
        <v/>
      </c>
      <c r="H1640" s="15" t="str">
        <f t="shared" ca="1" si="132"/>
        <v/>
      </c>
      <c r="I1640" s="16" t="str">
        <f t="shared" ca="1" si="133"/>
        <v/>
      </c>
    </row>
    <row r="1641" spans="1:9" x14ac:dyDescent="0.3">
      <c r="A1641" s="3"/>
      <c r="B1641" s="9"/>
      <c r="C1641" s="9"/>
      <c r="E1641" s="14" t="str">
        <f t="shared" si="129"/>
        <v/>
      </c>
      <c r="F1641" s="15" t="str">
        <f t="shared" ca="1" si="130"/>
        <v/>
      </c>
      <c r="G1641" s="15" t="str">
        <f t="shared" ca="1" si="131"/>
        <v/>
      </c>
      <c r="H1641" s="15" t="str">
        <f t="shared" ca="1" si="132"/>
        <v/>
      </c>
      <c r="I1641" s="16" t="str">
        <f t="shared" ca="1" si="133"/>
        <v/>
      </c>
    </row>
    <row r="1642" spans="1:9" x14ac:dyDescent="0.3">
      <c r="A1642" s="3"/>
      <c r="B1642" s="9"/>
      <c r="C1642" s="9"/>
      <c r="E1642" s="14" t="str">
        <f t="shared" si="129"/>
        <v/>
      </c>
      <c r="F1642" s="15" t="str">
        <f t="shared" ca="1" si="130"/>
        <v/>
      </c>
      <c r="G1642" s="15" t="str">
        <f t="shared" ca="1" si="131"/>
        <v/>
      </c>
      <c r="H1642" s="15" t="str">
        <f t="shared" ca="1" si="132"/>
        <v/>
      </c>
      <c r="I1642" s="16" t="str">
        <f t="shared" ca="1" si="133"/>
        <v/>
      </c>
    </row>
    <row r="1643" spans="1:9" x14ac:dyDescent="0.3">
      <c r="A1643" s="3"/>
      <c r="B1643" s="9"/>
      <c r="C1643" s="9"/>
      <c r="E1643" s="14" t="str">
        <f t="shared" si="129"/>
        <v/>
      </c>
      <c r="F1643" s="15" t="str">
        <f t="shared" ca="1" si="130"/>
        <v/>
      </c>
      <c r="G1643" s="15" t="str">
        <f t="shared" ca="1" si="131"/>
        <v/>
      </c>
      <c r="H1643" s="15" t="str">
        <f t="shared" ca="1" si="132"/>
        <v/>
      </c>
      <c r="I1643" s="16" t="str">
        <f t="shared" ca="1" si="133"/>
        <v/>
      </c>
    </row>
    <row r="1644" spans="1:9" x14ac:dyDescent="0.3">
      <c r="A1644" s="3"/>
      <c r="B1644" s="9"/>
      <c r="C1644" s="9"/>
      <c r="E1644" s="14" t="str">
        <f t="shared" si="129"/>
        <v/>
      </c>
      <c r="F1644" s="15" t="str">
        <f t="shared" ca="1" si="130"/>
        <v/>
      </c>
      <c r="G1644" s="15" t="str">
        <f t="shared" ca="1" si="131"/>
        <v/>
      </c>
      <c r="H1644" s="15" t="str">
        <f t="shared" ca="1" si="132"/>
        <v/>
      </c>
      <c r="I1644" s="16" t="str">
        <f t="shared" ca="1" si="133"/>
        <v/>
      </c>
    </row>
    <row r="1645" spans="1:9" x14ac:dyDescent="0.3">
      <c r="A1645" s="3"/>
      <c r="B1645" s="9"/>
      <c r="C1645" s="9"/>
      <c r="E1645" s="14" t="str">
        <f t="shared" si="129"/>
        <v/>
      </c>
      <c r="F1645" s="15" t="str">
        <f t="shared" ca="1" si="130"/>
        <v/>
      </c>
      <c r="G1645" s="15" t="str">
        <f t="shared" ca="1" si="131"/>
        <v/>
      </c>
      <c r="H1645" s="15" t="str">
        <f t="shared" ca="1" si="132"/>
        <v/>
      </c>
      <c r="I1645" s="16" t="str">
        <f t="shared" ca="1" si="133"/>
        <v/>
      </c>
    </row>
    <row r="1646" spans="1:9" x14ac:dyDescent="0.3">
      <c r="A1646" s="3"/>
      <c r="B1646" s="9"/>
      <c r="C1646" s="9"/>
      <c r="E1646" s="14" t="str">
        <f t="shared" si="129"/>
        <v/>
      </c>
      <c r="F1646" s="15" t="str">
        <f t="shared" ca="1" si="130"/>
        <v/>
      </c>
      <c r="G1646" s="15" t="str">
        <f t="shared" ca="1" si="131"/>
        <v/>
      </c>
      <c r="H1646" s="15" t="str">
        <f t="shared" ca="1" si="132"/>
        <v/>
      </c>
      <c r="I1646" s="16" t="str">
        <f t="shared" ca="1" si="133"/>
        <v/>
      </c>
    </row>
    <row r="1647" spans="1:9" x14ac:dyDescent="0.3">
      <c r="A1647" s="3"/>
      <c r="B1647" s="9"/>
      <c r="C1647" s="9"/>
      <c r="E1647" s="14" t="str">
        <f t="shared" si="129"/>
        <v/>
      </c>
      <c r="F1647" s="15" t="str">
        <f t="shared" ca="1" si="130"/>
        <v/>
      </c>
      <c r="G1647" s="15" t="str">
        <f t="shared" ca="1" si="131"/>
        <v/>
      </c>
      <c r="H1647" s="15" t="str">
        <f t="shared" ca="1" si="132"/>
        <v/>
      </c>
      <c r="I1647" s="16" t="str">
        <f t="shared" ca="1" si="133"/>
        <v/>
      </c>
    </row>
    <row r="1648" spans="1:9" x14ac:dyDescent="0.3">
      <c r="A1648" s="3"/>
      <c r="B1648" s="9"/>
      <c r="C1648" s="9"/>
      <c r="E1648" s="14" t="str">
        <f t="shared" si="129"/>
        <v/>
      </c>
      <c r="F1648" s="15" t="str">
        <f t="shared" ca="1" si="130"/>
        <v/>
      </c>
      <c r="G1648" s="15" t="str">
        <f t="shared" ca="1" si="131"/>
        <v/>
      </c>
      <c r="H1648" s="15" t="str">
        <f t="shared" ca="1" si="132"/>
        <v/>
      </c>
      <c r="I1648" s="16" t="str">
        <f t="shared" ca="1" si="133"/>
        <v/>
      </c>
    </row>
    <row r="1649" spans="1:9" x14ac:dyDescent="0.3">
      <c r="A1649" s="3"/>
      <c r="B1649" s="9"/>
      <c r="C1649" s="9"/>
      <c r="E1649" s="14" t="str">
        <f t="shared" si="129"/>
        <v/>
      </c>
      <c r="F1649" s="15" t="str">
        <f t="shared" ca="1" si="130"/>
        <v/>
      </c>
      <c r="G1649" s="15" t="str">
        <f t="shared" ca="1" si="131"/>
        <v/>
      </c>
      <c r="H1649" s="15" t="str">
        <f t="shared" ca="1" si="132"/>
        <v/>
      </c>
      <c r="I1649" s="16" t="str">
        <f t="shared" ca="1" si="133"/>
        <v/>
      </c>
    </row>
    <row r="1650" spans="1:9" x14ac:dyDescent="0.3">
      <c r="A1650" s="3"/>
      <c r="B1650" s="9"/>
      <c r="C1650" s="9"/>
      <c r="E1650" s="14" t="str">
        <f t="shared" si="129"/>
        <v/>
      </c>
      <c r="F1650" s="15" t="str">
        <f t="shared" ca="1" si="130"/>
        <v/>
      </c>
      <c r="G1650" s="15" t="str">
        <f t="shared" ca="1" si="131"/>
        <v/>
      </c>
      <c r="H1650" s="15" t="str">
        <f t="shared" ca="1" si="132"/>
        <v/>
      </c>
      <c r="I1650" s="16" t="str">
        <f t="shared" ca="1" si="133"/>
        <v/>
      </c>
    </row>
    <row r="1651" spans="1:9" x14ac:dyDescent="0.3">
      <c r="A1651" s="3"/>
      <c r="B1651" s="9"/>
      <c r="C1651" s="9"/>
      <c r="E1651" s="14" t="str">
        <f t="shared" si="129"/>
        <v/>
      </c>
      <c r="F1651" s="15" t="str">
        <f t="shared" ca="1" si="130"/>
        <v/>
      </c>
      <c r="G1651" s="15" t="str">
        <f t="shared" ca="1" si="131"/>
        <v/>
      </c>
      <c r="H1651" s="15" t="str">
        <f t="shared" ca="1" si="132"/>
        <v/>
      </c>
      <c r="I1651" s="16" t="str">
        <f t="shared" ca="1" si="133"/>
        <v/>
      </c>
    </row>
    <row r="1652" spans="1:9" x14ac:dyDescent="0.3">
      <c r="A1652" s="3"/>
      <c r="B1652" s="9"/>
      <c r="C1652" s="9"/>
      <c r="E1652" s="14" t="str">
        <f t="shared" si="129"/>
        <v/>
      </c>
      <c r="F1652" s="15" t="str">
        <f t="shared" ca="1" si="130"/>
        <v/>
      </c>
      <c r="G1652" s="15" t="str">
        <f t="shared" ca="1" si="131"/>
        <v/>
      </c>
      <c r="H1652" s="15" t="str">
        <f t="shared" ca="1" si="132"/>
        <v/>
      </c>
      <c r="I1652" s="16" t="str">
        <f t="shared" ca="1" si="133"/>
        <v/>
      </c>
    </row>
    <row r="1653" spans="1:9" x14ac:dyDescent="0.3">
      <c r="A1653" s="3"/>
      <c r="B1653" s="9"/>
      <c r="C1653" s="9"/>
      <c r="E1653" s="14" t="str">
        <f t="shared" si="129"/>
        <v/>
      </c>
      <c r="F1653" s="15" t="str">
        <f t="shared" ca="1" si="130"/>
        <v/>
      </c>
      <c r="G1653" s="15" t="str">
        <f t="shared" ca="1" si="131"/>
        <v/>
      </c>
      <c r="H1653" s="15" t="str">
        <f t="shared" ca="1" si="132"/>
        <v/>
      </c>
      <c r="I1653" s="16" t="str">
        <f t="shared" ca="1" si="133"/>
        <v/>
      </c>
    </row>
    <row r="1654" spans="1:9" x14ac:dyDescent="0.3">
      <c r="A1654" s="3"/>
      <c r="B1654" s="9"/>
      <c r="C1654" s="9"/>
      <c r="E1654" s="14" t="str">
        <f t="shared" si="129"/>
        <v/>
      </c>
      <c r="F1654" s="15" t="str">
        <f t="shared" ca="1" si="130"/>
        <v/>
      </c>
      <c r="G1654" s="15" t="str">
        <f t="shared" ca="1" si="131"/>
        <v/>
      </c>
      <c r="H1654" s="15" t="str">
        <f t="shared" ca="1" si="132"/>
        <v/>
      </c>
      <c r="I1654" s="16" t="str">
        <f t="shared" ca="1" si="133"/>
        <v/>
      </c>
    </row>
    <row r="1655" spans="1:9" x14ac:dyDescent="0.3">
      <c r="A1655" s="3"/>
      <c r="B1655" s="9"/>
      <c r="C1655" s="9"/>
      <c r="E1655" s="14" t="str">
        <f t="shared" si="129"/>
        <v/>
      </c>
      <c r="F1655" s="15" t="str">
        <f t="shared" ca="1" si="130"/>
        <v/>
      </c>
      <c r="G1655" s="15" t="str">
        <f t="shared" ca="1" si="131"/>
        <v/>
      </c>
      <c r="H1655" s="15" t="str">
        <f t="shared" ca="1" si="132"/>
        <v/>
      </c>
      <c r="I1655" s="16" t="str">
        <f t="shared" ca="1" si="133"/>
        <v/>
      </c>
    </row>
    <row r="1656" spans="1:9" x14ac:dyDescent="0.3">
      <c r="A1656" s="3"/>
      <c r="B1656" s="9"/>
      <c r="C1656" s="9"/>
      <c r="E1656" s="14" t="str">
        <f t="shared" si="129"/>
        <v/>
      </c>
      <c r="F1656" s="15" t="str">
        <f t="shared" ca="1" si="130"/>
        <v/>
      </c>
      <c r="G1656" s="15" t="str">
        <f t="shared" ca="1" si="131"/>
        <v/>
      </c>
      <c r="H1656" s="15" t="str">
        <f t="shared" ca="1" si="132"/>
        <v/>
      </c>
      <c r="I1656" s="16" t="str">
        <f t="shared" ca="1" si="133"/>
        <v/>
      </c>
    </row>
    <row r="1657" spans="1:9" x14ac:dyDescent="0.3">
      <c r="A1657" s="3"/>
      <c r="B1657" s="9"/>
      <c r="C1657" s="9"/>
      <c r="E1657" s="14" t="str">
        <f t="shared" si="129"/>
        <v/>
      </c>
      <c r="F1657" s="15" t="str">
        <f t="shared" ca="1" si="130"/>
        <v/>
      </c>
      <c r="G1657" s="15" t="str">
        <f t="shared" ca="1" si="131"/>
        <v/>
      </c>
      <c r="H1657" s="15" t="str">
        <f t="shared" ca="1" si="132"/>
        <v/>
      </c>
      <c r="I1657" s="16" t="str">
        <f t="shared" ca="1" si="133"/>
        <v/>
      </c>
    </row>
    <row r="1658" spans="1:9" x14ac:dyDescent="0.3">
      <c r="A1658" s="3"/>
      <c r="B1658" s="9"/>
      <c r="C1658" s="9"/>
      <c r="E1658" s="14" t="str">
        <f t="shared" si="129"/>
        <v/>
      </c>
      <c r="F1658" s="15" t="str">
        <f t="shared" ca="1" si="130"/>
        <v/>
      </c>
      <c r="G1658" s="15" t="str">
        <f t="shared" ca="1" si="131"/>
        <v/>
      </c>
      <c r="H1658" s="15" t="str">
        <f t="shared" ca="1" si="132"/>
        <v/>
      </c>
      <c r="I1658" s="16" t="str">
        <f t="shared" ca="1" si="133"/>
        <v/>
      </c>
    </row>
    <row r="1659" spans="1:9" x14ac:dyDescent="0.3">
      <c r="A1659" s="3"/>
      <c r="B1659" s="9"/>
      <c r="C1659" s="9"/>
      <c r="E1659" s="14" t="str">
        <f t="shared" si="129"/>
        <v/>
      </c>
      <c r="F1659" s="15" t="str">
        <f t="shared" ca="1" si="130"/>
        <v/>
      </c>
      <c r="G1659" s="15" t="str">
        <f t="shared" ca="1" si="131"/>
        <v/>
      </c>
      <c r="H1659" s="15" t="str">
        <f t="shared" ca="1" si="132"/>
        <v/>
      </c>
      <c r="I1659" s="16" t="str">
        <f t="shared" ca="1" si="133"/>
        <v/>
      </c>
    </row>
    <row r="1660" spans="1:9" x14ac:dyDescent="0.3">
      <c r="A1660" s="3"/>
      <c r="B1660" s="9"/>
      <c r="C1660" s="9"/>
      <c r="E1660" s="14" t="str">
        <f t="shared" si="129"/>
        <v/>
      </c>
      <c r="F1660" s="15" t="str">
        <f t="shared" ca="1" si="130"/>
        <v/>
      </c>
      <c r="G1660" s="15" t="str">
        <f t="shared" ca="1" si="131"/>
        <v/>
      </c>
      <c r="H1660" s="15" t="str">
        <f t="shared" ca="1" si="132"/>
        <v/>
      </c>
      <c r="I1660" s="16" t="str">
        <f t="shared" ca="1" si="133"/>
        <v/>
      </c>
    </row>
    <row r="1661" spans="1:9" x14ac:dyDescent="0.3">
      <c r="A1661" s="3"/>
      <c r="B1661" s="9"/>
      <c r="C1661" s="9"/>
      <c r="E1661" s="14" t="str">
        <f t="shared" si="129"/>
        <v/>
      </c>
      <c r="F1661" s="15" t="str">
        <f t="shared" ca="1" si="130"/>
        <v/>
      </c>
      <c r="G1661" s="15" t="str">
        <f t="shared" ca="1" si="131"/>
        <v/>
      </c>
      <c r="H1661" s="15" t="str">
        <f t="shared" ca="1" si="132"/>
        <v/>
      </c>
      <c r="I1661" s="16" t="str">
        <f t="shared" ca="1" si="133"/>
        <v/>
      </c>
    </row>
    <row r="1662" spans="1:9" x14ac:dyDescent="0.3">
      <c r="A1662" s="3"/>
      <c r="B1662" s="9"/>
      <c r="C1662" s="9"/>
      <c r="E1662" s="14" t="str">
        <f t="shared" si="129"/>
        <v/>
      </c>
      <c r="F1662" s="15" t="str">
        <f t="shared" ca="1" si="130"/>
        <v/>
      </c>
      <c r="G1662" s="15" t="str">
        <f t="shared" ca="1" si="131"/>
        <v/>
      </c>
      <c r="H1662" s="15" t="str">
        <f t="shared" ca="1" si="132"/>
        <v/>
      </c>
      <c r="I1662" s="16" t="str">
        <f t="shared" ca="1" si="133"/>
        <v/>
      </c>
    </row>
    <row r="1663" spans="1:9" x14ac:dyDescent="0.3">
      <c r="A1663" s="3"/>
      <c r="B1663" s="9"/>
      <c r="C1663" s="9"/>
      <c r="E1663" s="14" t="str">
        <f t="shared" si="129"/>
        <v/>
      </c>
      <c r="F1663" s="15" t="str">
        <f t="shared" ca="1" si="130"/>
        <v/>
      </c>
      <c r="G1663" s="15" t="str">
        <f t="shared" ca="1" si="131"/>
        <v/>
      </c>
      <c r="H1663" s="15" t="str">
        <f t="shared" ca="1" si="132"/>
        <v/>
      </c>
      <c r="I1663" s="16" t="str">
        <f t="shared" ca="1" si="133"/>
        <v/>
      </c>
    </row>
    <row r="1664" spans="1:9" x14ac:dyDescent="0.3">
      <c r="A1664" s="3"/>
      <c r="B1664" s="9"/>
      <c r="C1664" s="9"/>
      <c r="E1664" s="14" t="str">
        <f t="shared" si="129"/>
        <v/>
      </c>
      <c r="F1664" s="15" t="str">
        <f t="shared" ca="1" si="130"/>
        <v/>
      </c>
      <c r="G1664" s="15" t="str">
        <f t="shared" ca="1" si="131"/>
        <v/>
      </c>
      <c r="H1664" s="15" t="str">
        <f t="shared" ca="1" si="132"/>
        <v/>
      </c>
      <c r="I1664" s="16" t="str">
        <f t="shared" ca="1" si="133"/>
        <v/>
      </c>
    </row>
    <row r="1665" spans="1:9" x14ac:dyDescent="0.3">
      <c r="A1665" s="3"/>
      <c r="B1665" s="9"/>
      <c r="C1665" s="9"/>
      <c r="E1665" s="14" t="str">
        <f t="shared" si="129"/>
        <v/>
      </c>
      <c r="F1665" s="15" t="str">
        <f t="shared" ca="1" si="130"/>
        <v/>
      </c>
      <c r="G1665" s="15" t="str">
        <f t="shared" ca="1" si="131"/>
        <v/>
      </c>
      <c r="H1665" s="15" t="str">
        <f t="shared" ca="1" si="132"/>
        <v/>
      </c>
      <c r="I1665" s="16" t="str">
        <f t="shared" ca="1" si="133"/>
        <v/>
      </c>
    </row>
    <row r="1666" spans="1:9" x14ac:dyDescent="0.3">
      <c r="A1666" s="3"/>
      <c r="B1666" s="9"/>
      <c r="C1666" s="9"/>
      <c r="E1666" s="14" t="str">
        <f t="shared" si="129"/>
        <v/>
      </c>
      <c r="F1666" s="15" t="str">
        <f t="shared" ca="1" si="130"/>
        <v/>
      </c>
      <c r="G1666" s="15" t="str">
        <f t="shared" ca="1" si="131"/>
        <v/>
      </c>
      <c r="H1666" s="15" t="str">
        <f t="shared" ca="1" si="132"/>
        <v/>
      </c>
      <c r="I1666" s="16" t="str">
        <f t="shared" ca="1" si="133"/>
        <v/>
      </c>
    </row>
    <row r="1667" spans="1:9" x14ac:dyDescent="0.3">
      <c r="A1667" s="3"/>
      <c r="B1667" s="9"/>
      <c r="C1667" s="9"/>
      <c r="E1667" s="14" t="str">
        <f t="shared" ref="E1667:E1730" si="134">IF(ISNUMBER(B1667),B1667/C1667,"")</f>
        <v/>
      </c>
      <c r="F1667" s="15" t="str">
        <f t="shared" ca="1" si="130"/>
        <v/>
      </c>
      <c r="G1667" s="15" t="str">
        <f t="shared" ca="1" si="131"/>
        <v/>
      </c>
      <c r="H1667" s="15" t="str">
        <f t="shared" ca="1" si="132"/>
        <v/>
      </c>
      <c r="I1667" s="16" t="str">
        <f t="shared" ca="1" si="133"/>
        <v/>
      </c>
    </row>
    <row r="1668" spans="1:9" x14ac:dyDescent="0.3">
      <c r="A1668" s="3"/>
      <c r="B1668" s="9"/>
      <c r="C1668" s="9"/>
      <c r="E1668" s="14" t="str">
        <f t="shared" si="134"/>
        <v/>
      </c>
      <c r="F1668" s="15" t="str">
        <f t="shared" ca="1" si="130"/>
        <v/>
      </c>
      <c r="G1668" s="15" t="str">
        <f t="shared" ca="1" si="131"/>
        <v/>
      </c>
      <c r="H1668" s="15" t="str">
        <f t="shared" ca="1" si="132"/>
        <v/>
      </c>
      <c r="I1668" s="16" t="str">
        <f t="shared" ca="1" si="133"/>
        <v/>
      </c>
    </row>
    <row r="1669" spans="1:9" x14ac:dyDescent="0.3">
      <c r="A1669" s="3"/>
      <c r="B1669" s="9"/>
      <c r="C1669" s="9"/>
      <c r="E1669" s="14" t="str">
        <f t="shared" si="134"/>
        <v/>
      </c>
      <c r="F1669" s="15" t="str">
        <f t="shared" ca="1" si="130"/>
        <v/>
      </c>
      <c r="G1669" s="15" t="str">
        <f t="shared" ca="1" si="131"/>
        <v/>
      </c>
      <c r="H1669" s="15" t="str">
        <f t="shared" ca="1" si="132"/>
        <v/>
      </c>
      <c r="I1669" s="16" t="str">
        <f t="shared" ca="1" si="133"/>
        <v/>
      </c>
    </row>
    <row r="1670" spans="1:9" x14ac:dyDescent="0.3">
      <c r="A1670" s="3"/>
      <c r="B1670" s="9"/>
      <c r="C1670" s="9"/>
      <c r="E1670" s="14" t="str">
        <f t="shared" si="134"/>
        <v/>
      </c>
      <c r="F1670" s="15" t="str">
        <f t="shared" ca="1" si="130"/>
        <v/>
      </c>
      <c r="G1670" s="15" t="str">
        <f t="shared" ca="1" si="131"/>
        <v/>
      </c>
      <c r="H1670" s="15" t="str">
        <f t="shared" ca="1" si="132"/>
        <v/>
      </c>
      <c r="I1670" s="16" t="str">
        <f t="shared" ca="1" si="133"/>
        <v/>
      </c>
    </row>
    <row r="1671" spans="1:9" x14ac:dyDescent="0.3">
      <c r="A1671" s="3"/>
      <c r="B1671" s="9"/>
      <c r="C1671" s="9"/>
      <c r="E1671" s="14" t="str">
        <f t="shared" si="134"/>
        <v/>
      </c>
      <c r="F1671" s="15" t="str">
        <f t="shared" ca="1" si="130"/>
        <v/>
      </c>
      <c r="G1671" s="15" t="str">
        <f t="shared" ca="1" si="131"/>
        <v/>
      </c>
      <c r="H1671" s="15" t="str">
        <f t="shared" ca="1" si="132"/>
        <v/>
      </c>
      <c r="I1671" s="16" t="str">
        <f t="shared" ca="1" si="133"/>
        <v/>
      </c>
    </row>
    <row r="1672" spans="1:9" x14ac:dyDescent="0.3">
      <c r="A1672" s="3"/>
      <c r="B1672" s="9"/>
      <c r="C1672" s="9"/>
      <c r="E1672" s="14" t="str">
        <f t="shared" si="134"/>
        <v/>
      </c>
      <c r="F1672" s="15" t="str">
        <f t="shared" ca="1" si="130"/>
        <v/>
      </c>
      <c r="G1672" s="15" t="str">
        <f t="shared" ca="1" si="131"/>
        <v/>
      </c>
      <c r="H1672" s="15" t="str">
        <f t="shared" ca="1" si="132"/>
        <v/>
      </c>
      <c r="I1672" s="16" t="str">
        <f t="shared" ca="1" si="133"/>
        <v/>
      </c>
    </row>
    <row r="1673" spans="1:9" x14ac:dyDescent="0.3">
      <c r="A1673" s="3"/>
      <c r="B1673" s="9"/>
      <c r="C1673" s="9"/>
      <c r="E1673" s="14" t="str">
        <f t="shared" si="134"/>
        <v/>
      </c>
      <c r="F1673" s="15" t="str">
        <f t="shared" ca="1" si="130"/>
        <v/>
      </c>
      <c r="G1673" s="15" t="str">
        <f t="shared" ca="1" si="131"/>
        <v/>
      </c>
      <c r="H1673" s="15" t="str">
        <f t="shared" ca="1" si="132"/>
        <v/>
      </c>
      <c r="I1673" s="16" t="str">
        <f t="shared" ca="1" si="133"/>
        <v/>
      </c>
    </row>
    <row r="1674" spans="1:9" x14ac:dyDescent="0.3">
      <c r="A1674" s="3"/>
      <c r="B1674" s="9"/>
      <c r="C1674" s="9"/>
      <c r="E1674" s="14" t="str">
        <f t="shared" si="134"/>
        <v/>
      </c>
      <c r="F1674" s="15" t="str">
        <f t="shared" ca="1" si="130"/>
        <v/>
      </c>
      <c r="G1674" s="15" t="str">
        <f t="shared" ca="1" si="131"/>
        <v/>
      </c>
      <c r="H1674" s="15" t="str">
        <f t="shared" ca="1" si="132"/>
        <v/>
      </c>
      <c r="I1674" s="16" t="str">
        <f t="shared" ca="1" si="133"/>
        <v/>
      </c>
    </row>
    <row r="1675" spans="1:9" x14ac:dyDescent="0.3">
      <c r="A1675" s="3"/>
      <c r="B1675" s="9"/>
      <c r="C1675" s="9"/>
      <c r="E1675" s="14" t="str">
        <f t="shared" si="134"/>
        <v/>
      </c>
      <c r="F1675" s="15" t="str">
        <f t="shared" ca="1" si="130"/>
        <v/>
      </c>
      <c r="G1675" s="15" t="str">
        <f t="shared" ca="1" si="131"/>
        <v/>
      </c>
      <c r="H1675" s="15" t="str">
        <f t="shared" ca="1" si="132"/>
        <v/>
      </c>
      <c r="I1675" s="16" t="str">
        <f t="shared" ca="1" si="133"/>
        <v/>
      </c>
    </row>
    <row r="1676" spans="1:9" x14ac:dyDescent="0.3">
      <c r="A1676" s="3"/>
      <c r="B1676" s="9"/>
      <c r="C1676" s="9"/>
      <c r="E1676" s="14" t="str">
        <f t="shared" si="134"/>
        <v/>
      </c>
      <c r="F1676" s="15" t="str">
        <f t="shared" ca="1" si="130"/>
        <v/>
      </c>
      <c r="G1676" s="15" t="str">
        <f t="shared" ca="1" si="131"/>
        <v/>
      </c>
      <c r="H1676" s="15" t="str">
        <f t="shared" ca="1" si="132"/>
        <v/>
      </c>
      <c r="I1676" s="16" t="str">
        <f t="shared" ca="1" si="133"/>
        <v/>
      </c>
    </row>
    <row r="1677" spans="1:9" x14ac:dyDescent="0.3">
      <c r="A1677" s="3"/>
      <c r="B1677" s="9"/>
      <c r="C1677" s="9"/>
      <c r="E1677" s="14" t="str">
        <f t="shared" si="134"/>
        <v/>
      </c>
      <c r="F1677" s="15" t="str">
        <f t="shared" ca="1" si="130"/>
        <v/>
      </c>
      <c r="G1677" s="15" t="str">
        <f t="shared" ca="1" si="131"/>
        <v/>
      </c>
      <c r="H1677" s="15" t="str">
        <f t="shared" ca="1" si="132"/>
        <v/>
      </c>
      <c r="I1677" s="16" t="str">
        <f t="shared" ca="1" si="133"/>
        <v/>
      </c>
    </row>
    <row r="1678" spans="1:9" x14ac:dyDescent="0.3">
      <c r="A1678" s="3"/>
      <c r="B1678" s="9"/>
      <c r="C1678" s="9"/>
      <c r="E1678" s="14" t="str">
        <f t="shared" si="134"/>
        <v/>
      </c>
      <c r="F1678" s="15" t="str">
        <f t="shared" ca="1" si="130"/>
        <v/>
      </c>
      <c r="G1678" s="15" t="str">
        <f t="shared" ca="1" si="131"/>
        <v/>
      </c>
      <c r="H1678" s="15" t="str">
        <f t="shared" ca="1" si="132"/>
        <v/>
      </c>
      <c r="I1678" s="16" t="str">
        <f t="shared" ca="1" si="133"/>
        <v/>
      </c>
    </row>
    <row r="1679" spans="1:9" x14ac:dyDescent="0.3">
      <c r="A1679" s="3"/>
      <c r="B1679" s="9"/>
      <c r="C1679" s="9"/>
      <c r="E1679" s="14" t="str">
        <f t="shared" si="134"/>
        <v/>
      </c>
      <c r="F1679" s="15" t="str">
        <f t="shared" ca="1" si="130"/>
        <v/>
      </c>
      <c r="G1679" s="15" t="str">
        <f t="shared" ca="1" si="131"/>
        <v/>
      </c>
      <c r="H1679" s="15" t="str">
        <f t="shared" ca="1" si="132"/>
        <v/>
      </c>
      <c r="I1679" s="16" t="str">
        <f t="shared" ca="1" si="133"/>
        <v/>
      </c>
    </row>
    <row r="1680" spans="1:9" x14ac:dyDescent="0.3">
      <c r="A1680" s="3"/>
      <c r="B1680" s="9"/>
      <c r="C1680" s="9"/>
      <c r="E1680" s="14" t="str">
        <f t="shared" si="134"/>
        <v/>
      </c>
      <c r="F1680" s="15" t="str">
        <f t="shared" ca="1" si="130"/>
        <v/>
      </c>
      <c r="G1680" s="15" t="str">
        <f t="shared" ca="1" si="131"/>
        <v/>
      </c>
      <c r="H1680" s="15" t="str">
        <f t="shared" ca="1" si="132"/>
        <v/>
      </c>
      <c r="I1680" s="16" t="str">
        <f t="shared" ca="1" si="133"/>
        <v/>
      </c>
    </row>
    <row r="1681" spans="1:9" x14ac:dyDescent="0.3">
      <c r="A1681" s="3"/>
      <c r="B1681" s="9"/>
      <c r="C1681" s="9"/>
      <c r="E1681" s="14" t="str">
        <f t="shared" si="134"/>
        <v/>
      </c>
      <c r="F1681" s="15" t="str">
        <f t="shared" ref="F1681:F1744" ca="1" si="135">IF(ISNUMBER(E1681),IF(ROW(E1681)&gt;$K$1,AVERAGE(OFFSET(E1681,0,0,-$K$1)),""),"")</f>
        <v/>
      </c>
      <c r="G1681" s="15" t="str">
        <f t="shared" ref="G1681:G1744" ca="1" si="136">IF(ISNUMBER(I1681),F1681+I1681*$M$1,"")</f>
        <v/>
      </c>
      <c r="H1681" s="15" t="str">
        <f t="shared" ref="H1681:H1744" ca="1" si="137">IF(ISNUMBER(I1681),F1681-I1681*$M$1,"")</f>
        <v/>
      </c>
      <c r="I1681" s="16" t="str">
        <f t="shared" ref="I1681:I1744" ca="1" si="138">IF(ISNUMBER(E1681),IF(ROW(E1681)&gt;$K$1,_xlfn.STDEV.P(OFFSET(E1681,0,0,-$K$1)),""),"")</f>
        <v/>
      </c>
    </row>
    <row r="1682" spans="1:9" x14ac:dyDescent="0.3">
      <c r="A1682" s="3"/>
      <c r="B1682" s="9"/>
      <c r="C1682" s="9"/>
      <c r="E1682" s="14" t="str">
        <f t="shared" si="134"/>
        <v/>
      </c>
      <c r="F1682" s="15" t="str">
        <f t="shared" ca="1" si="135"/>
        <v/>
      </c>
      <c r="G1682" s="15" t="str">
        <f t="shared" ca="1" si="136"/>
        <v/>
      </c>
      <c r="H1682" s="15" t="str">
        <f t="shared" ca="1" si="137"/>
        <v/>
      </c>
      <c r="I1682" s="16" t="str">
        <f t="shared" ca="1" si="138"/>
        <v/>
      </c>
    </row>
    <row r="1683" spans="1:9" x14ac:dyDescent="0.3">
      <c r="A1683" s="3"/>
      <c r="B1683" s="9"/>
      <c r="C1683" s="9"/>
      <c r="E1683" s="14" t="str">
        <f t="shared" si="134"/>
        <v/>
      </c>
      <c r="F1683" s="15" t="str">
        <f t="shared" ca="1" si="135"/>
        <v/>
      </c>
      <c r="G1683" s="15" t="str">
        <f t="shared" ca="1" si="136"/>
        <v/>
      </c>
      <c r="H1683" s="15" t="str">
        <f t="shared" ca="1" si="137"/>
        <v/>
      </c>
      <c r="I1683" s="16" t="str">
        <f t="shared" ca="1" si="138"/>
        <v/>
      </c>
    </row>
    <row r="1684" spans="1:9" x14ac:dyDescent="0.3">
      <c r="A1684" s="3"/>
      <c r="B1684" s="9"/>
      <c r="C1684" s="9"/>
      <c r="E1684" s="14" t="str">
        <f t="shared" si="134"/>
        <v/>
      </c>
      <c r="F1684" s="15" t="str">
        <f t="shared" ca="1" si="135"/>
        <v/>
      </c>
      <c r="G1684" s="15" t="str">
        <f t="shared" ca="1" si="136"/>
        <v/>
      </c>
      <c r="H1684" s="15" t="str">
        <f t="shared" ca="1" si="137"/>
        <v/>
      </c>
      <c r="I1684" s="16" t="str">
        <f t="shared" ca="1" si="138"/>
        <v/>
      </c>
    </row>
    <row r="1685" spans="1:9" x14ac:dyDescent="0.3">
      <c r="A1685" s="3"/>
      <c r="B1685" s="9"/>
      <c r="C1685" s="9"/>
      <c r="E1685" s="14" t="str">
        <f t="shared" si="134"/>
        <v/>
      </c>
      <c r="F1685" s="15" t="str">
        <f t="shared" ca="1" si="135"/>
        <v/>
      </c>
      <c r="G1685" s="15" t="str">
        <f t="shared" ca="1" si="136"/>
        <v/>
      </c>
      <c r="H1685" s="15" t="str">
        <f t="shared" ca="1" si="137"/>
        <v/>
      </c>
      <c r="I1685" s="16" t="str">
        <f t="shared" ca="1" si="138"/>
        <v/>
      </c>
    </row>
    <row r="1686" spans="1:9" x14ac:dyDescent="0.3">
      <c r="A1686" s="3"/>
      <c r="B1686" s="9"/>
      <c r="C1686" s="9"/>
      <c r="E1686" s="14" t="str">
        <f t="shared" si="134"/>
        <v/>
      </c>
      <c r="F1686" s="15" t="str">
        <f t="shared" ca="1" si="135"/>
        <v/>
      </c>
      <c r="G1686" s="15" t="str">
        <f t="shared" ca="1" si="136"/>
        <v/>
      </c>
      <c r="H1686" s="15" t="str">
        <f t="shared" ca="1" si="137"/>
        <v/>
      </c>
      <c r="I1686" s="16" t="str">
        <f t="shared" ca="1" si="138"/>
        <v/>
      </c>
    </row>
    <row r="1687" spans="1:9" x14ac:dyDescent="0.3">
      <c r="A1687" s="3"/>
      <c r="B1687" s="9"/>
      <c r="C1687" s="9"/>
      <c r="E1687" s="14" t="str">
        <f t="shared" si="134"/>
        <v/>
      </c>
      <c r="F1687" s="15" t="str">
        <f t="shared" ca="1" si="135"/>
        <v/>
      </c>
      <c r="G1687" s="15" t="str">
        <f t="shared" ca="1" si="136"/>
        <v/>
      </c>
      <c r="H1687" s="15" t="str">
        <f t="shared" ca="1" si="137"/>
        <v/>
      </c>
      <c r="I1687" s="16" t="str">
        <f t="shared" ca="1" si="138"/>
        <v/>
      </c>
    </row>
    <row r="1688" spans="1:9" x14ac:dyDescent="0.3">
      <c r="A1688" s="3"/>
      <c r="B1688" s="9"/>
      <c r="C1688" s="9"/>
      <c r="E1688" s="14" t="str">
        <f t="shared" si="134"/>
        <v/>
      </c>
      <c r="F1688" s="15" t="str">
        <f t="shared" ca="1" si="135"/>
        <v/>
      </c>
      <c r="G1688" s="15" t="str">
        <f t="shared" ca="1" si="136"/>
        <v/>
      </c>
      <c r="H1688" s="15" t="str">
        <f t="shared" ca="1" si="137"/>
        <v/>
      </c>
      <c r="I1688" s="16" t="str">
        <f t="shared" ca="1" si="138"/>
        <v/>
      </c>
    </row>
    <row r="1689" spans="1:9" x14ac:dyDescent="0.3">
      <c r="A1689" s="3"/>
      <c r="B1689" s="9"/>
      <c r="C1689" s="9"/>
      <c r="E1689" s="14" t="str">
        <f t="shared" si="134"/>
        <v/>
      </c>
      <c r="F1689" s="15" t="str">
        <f t="shared" ca="1" si="135"/>
        <v/>
      </c>
      <c r="G1689" s="15" t="str">
        <f t="shared" ca="1" si="136"/>
        <v/>
      </c>
      <c r="H1689" s="15" t="str">
        <f t="shared" ca="1" si="137"/>
        <v/>
      </c>
      <c r="I1689" s="16" t="str">
        <f t="shared" ca="1" si="138"/>
        <v/>
      </c>
    </row>
    <row r="1690" spans="1:9" x14ac:dyDescent="0.3">
      <c r="A1690" s="3"/>
      <c r="B1690" s="9"/>
      <c r="C1690" s="9"/>
      <c r="E1690" s="14" t="str">
        <f t="shared" si="134"/>
        <v/>
      </c>
      <c r="F1690" s="15" t="str">
        <f t="shared" ca="1" si="135"/>
        <v/>
      </c>
      <c r="G1690" s="15" t="str">
        <f t="shared" ca="1" si="136"/>
        <v/>
      </c>
      <c r="H1690" s="15" t="str">
        <f t="shared" ca="1" si="137"/>
        <v/>
      </c>
      <c r="I1690" s="16" t="str">
        <f t="shared" ca="1" si="138"/>
        <v/>
      </c>
    </row>
    <row r="1691" spans="1:9" x14ac:dyDescent="0.3">
      <c r="A1691" s="3"/>
      <c r="B1691" s="9"/>
      <c r="C1691" s="9"/>
      <c r="E1691" s="14" t="str">
        <f t="shared" si="134"/>
        <v/>
      </c>
      <c r="F1691" s="15" t="str">
        <f t="shared" ca="1" si="135"/>
        <v/>
      </c>
      <c r="G1691" s="15" t="str">
        <f t="shared" ca="1" si="136"/>
        <v/>
      </c>
      <c r="H1691" s="15" t="str">
        <f t="shared" ca="1" si="137"/>
        <v/>
      </c>
      <c r="I1691" s="16" t="str">
        <f t="shared" ca="1" si="138"/>
        <v/>
      </c>
    </row>
    <row r="1692" spans="1:9" x14ac:dyDescent="0.3">
      <c r="A1692" s="3"/>
      <c r="B1692" s="9"/>
      <c r="C1692" s="9"/>
      <c r="E1692" s="14" t="str">
        <f t="shared" si="134"/>
        <v/>
      </c>
      <c r="F1692" s="15" t="str">
        <f t="shared" ca="1" si="135"/>
        <v/>
      </c>
      <c r="G1692" s="15" t="str">
        <f t="shared" ca="1" si="136"/>
        <v/>
      </c>
      <c r="H1692" s="15" t="str">
        <f t="shared" ca="1" si="137"/>
        <v/>
      </c>
      <c r="I1692" s="16" t="str">
        <f t="shared" ca="1" si="138"/>
        <v/>
      </c>
    </row>
    <row r="1693" spans="1:9" x14ac:dyDescent="0.3">
      <c r="A1693" s="3"/>
      <c r="B1693" s="9"/>
      <c r="C1693" s="9"/>
      <c r="E1693" s="14" t="str">
        <f t="shared" si="134"/>
        <v/>
      </c>
      <c r="F1693" s="15" t="str">
        <f t="shared" ca="1" si="135"/>
        <v/>
      </c>
      <c r="G1693" s="15" t="str">
        <f t="shared" ca="1" si="136"/>
        <v/>
      </c>
      <c r="H1693" s="15" t="str">
        <f t="shared" ca="1" si="137"/>
        <v/>
      </c>
      <c r="I1693" s="16" t="str">
        <f t="shared" ca="1" si="138"/>
        <v/>
      </c>
    </row>
    <row r="1694" spans="1:9" x14ac:dyDescent="0.3">
      <c r="A1694" s="3"/>
      <c r="B1694" s="9"/>
      <c r="C1694" s="9"/>
      <c r="E1694" s="14" t="str">
        <f t="shared" si="134"/>
        <v/>
      </c>
      <c r="F1694" s="15" t="str">
        <f t="shared" ca="1" si="135"/>
        <v/>
      </c>
      <c r="G1694" s="15" t="str">
        <f t="shared" ca="1" si="136"/>
        <v/>
      </c>
      <c r="H1694" s="15" t="str">
        <f t="shared" ca="1" si="137"/>
        <v/>
      </c>
      <c r="I1694" s="16" t="str">
        <f t="shared" ca="1" si="138"/>
        <v/>
      </c>
    </row>
    <row r="1695" spans="1:9" x14ac:dyDescent="0.3">
      <c r="A1695" s="3"/>
      <c r="B1695" s="9"/>
      <c r="C1695" s="9"/>
      <c r="E1695" s="14" t="str">
        <f t="shared" si="134"/>
        <v/>
      </c>
      <c r="F1695" s="15" t="str">
        <f t="shared" ca="1" si="135"/>
        <v/>
      </c>
      <c r="G1695" s="15" t="str">
        <f t="shared" ca="1" si="136"/>
        <v/>
      </c>
      <c r="H1695" s="15" t="str">
        <f t="shared" ca="1" si="137"/>
        <v/>
      </c>
      <c r="I1695" s="16" t="str">
        <f t="shared" ca="1" si="138"/>
        <v/>
      </c>
    </row>
    <row r="1696" spans="1:9" x14ac:dyDescent="0.3">
      <c r="A1696" s="3"/>
      <c r="B1696" s="9"/>
      <c r="C1696" s="9"/>
      <c r="E1696" s="14" t="str">
        <f t="shared" si="134"/>
        <v/>
      </c>
      <c r="F1696" s="15" t="str">
        <f t="shared" ca="1" si="135"/>
        <v/>
      </c>
      <c r="G1696" s="15" t="str">
        <f t="shared" ca="1" si="136"/>
        <v/>
      </c>
      <c r="H1696" s="15" t="str">
        <f t="shared" ca="1" si="137"/>
        <v/>
      </c>
      <c r="I1696" s="16" t="str">
        <f t="shared" ca="1" si="138"/>
        <v/>
      </c>
    </row>
    <row r="1697" spans="1:9" x14ac:dyDescent="0.3">
      <c r="A1697" s="3"/>
      <c r="B1697" s="9"/>
      <c r="C1697" s="9"/>
      <c r="E1697" s="14" t="str">
        <f t="shared" si="134"/>
        <v/>
      </c>
      <c r="F1697" s="15" t="str">
        <f t="shared" ca="1" si="135"/>
        <v/>
      </c>
      <c r="G1697" s="15" t="str">
        <f t="shared" ca="1" si="136"/>
        <v/>
      </c>
      <c r="H1697" s="15" t="str">
        <f t="shared" ca="1" si="137"/>
        <v/>
      </c>
      <c r="I1697" s="16" t="str">
        <f t="shared" ca="1" si="138"/>
        <v/>
      </c>
    </row>
    <row r="1698" spans="1:9" x14ac:dyDescent="0.3">
      <c r="A1698" s="3"/>
      <c r="B1698" s="9"/>
      <c r="C1698" s="9"/>
      <c r="E1698" s="14" t="str">
        <f t="shared" si="134"/>
        <v/>
      </c>
      <c r="F1698" s="15" t="str">
        <f t="shared" ca="1" si="135"/>
        <v/>
      </c>
      <c r="G1698" s="15" t="str">
        <f t="shared" ca="1" si="136"/>
        <v/>
      </c>
      <c r="H1698" s="15" t="str">
        <f t="shared" ca="1" si="137"/>
        <v/>
      </c>
      <c r="I1698" s="16" t="str">
        <f t="shared" ca="1" si="138"/>
        <v/>
      </c>
    </row>
    <row r="1699" spans="1:9" x14ac:dyDescent="0.3">
      <c r="A1699" s="3"/>
      <c r="B1699" s="9"/>
      <c r="C1699" s="9"/>
      <c r="E1699" s="14" t="str">
        <f t="shared" si="134"/>
        <v/>
      </c>
      <c r="F1699" s="15" t="str">
        <f t="shared" ca="1" si="135"/>
        <v/>
      </c>
      <c r="G1699" s="15" t="str">
        <f t="shared" ca="1" si="136"/>
        <v/>
      </c>
      <c r="H1699" s="15" t="str">
        <f t="shared" ca="1" si="137"/>
        <v/>
      </c>
      <c r="I1699" s="16" t="str">
        <f t="shared" ca="1" si="138"/>
        <v/>
      </c>
    </row>
    <row r="1700" spans="1:9" x14ac:dyDescent="0.3">
      <c r="A1700" s="3"/>
      <c r="B1700" s="9"/>
      <c r="C1700" s="9"/>
      <c r="E1700" s="14" t="str">
        <f t="shared" si="134"/>
        <v/>
      </c>
      <c r="F1700" s="15" t="str">
        <f t="shared" ca="1" si="135"/>
        <v/>
      </c>
      <c r="G1700" s="15" t="str">
        <f t="shared" ca="1" si="136"/>
        <v/>
      </c>
      <c r="H1700" s="15" t="str">
        <f t="shared" ca="1" si="137"/>
        <v/>
      </c>
      <c r="I1700" s="16" t="str">
        <f t="shared" ca="1" si="138"/>
        <v/>
      </c>
    </row>
    <row r="1701" spans="1:9" x14ac:dyDescent="0.3">
      <c r="A1701" s="3"/>
      <c r="B1701" s="9"/>
      <c r="C1701" s="9"/>
      <c r="E1701" s="14" t="str">
        <f t="shared" si="134"/>
        <v/>
      </c>
      <c r="F1701" s="15" t="str">
        <f t="shared" ca="1" si="135"/>
        <v/>
      </c>
      <c r="G1701" s="15" t="str">
        <f t="shared" ca="1" si="136"/>
        <v/>
      </c>
      <c r="H1701" s="15" t="str">
        <f t="shared" ca="1" si="137"/>
        <v/>
      </c>
      <c r="I1701" s="16" t="str">
        <f t="shared" ca="1" si="138"/>
        <v/>
      </c>
    </row>
    <row r="1702" spans="1:9" x14ac:dyDescent="0.3">
      <c r="A1702" s="3"/>
      <c r="B1702" s="9"/>
      <c r="C1702" s="9"/>
      <c r="E1702" s="14" t="str">
        <f t="shared" si="134"/>
        <v/>
      </c>
      <c r="F1702" s="15" t="str">
        <f t="shared" ca="1" si="135"/>
        <v/>
      </c>
      <c r="G1702" s="15" t="str">
        <f t="shared" ca="1" si="136"/>
        <v/>
      </c>
      <c r="H1702" s="15" t="str">
        <f t="shared" ca="1" si="137"/>
        <v/>
      </c>
      <c r="I1702" s="16" t="str">
        <f t="shared" ca="1" si="138"/>
        <v/>
      </c>
    </row>
    <row r="1703" spans="1:9" x14ac:dyDescent="0.3">
      <c r="A1703" s="3"/>
      <c r="B1703" s="9"/>
      <c r="C1703" s="9"/>
      <c r="E1703" s="14" t="str">
        <f t="shared" si="134"/>
        <v/>
      </c>
      <c r="F1703" s="15" t="str">
        <f t="shared" ca="1" si="135"/>
        <v/>
      </c>
      <c r="G1703" s="15" t="str">
        <f t="shared" ca="1" si="136"/>
        <v/>
      </c>
      <c r="H1703" s="15" t="str">
        <f t="shared" ca="1" si="137"/>
        <v/>
      </c>
      <c r="I1703" s="16" t="str">
        <f t="shared" ca="1" si="138"/>
        <v/>
      </c>
    </row>
    <row r="1704" spans="1:9" x14ac:dyDescent="0.3">
      <c r="A1704" s="3"/>
      <c r="B1704" s="9"/>
      <c r="C1704" s="9"/>
      <c r="E1704" s="14" t="str">
        <f t="shared" si="134"/>
        <v/>
      </c>
      <c r="F1704" s="15" t="str">
        <f t="shared" ca="1" si="135"/>
        <v/>
      </c>
      <c r="G1704" s="15" t="str">
        <f t="shared" ca="1" si="136"/>
        <v/>
      </c>
      <c r="H1704" s="15" t="str">
        <f t="shared" ca="1" si="137"/>
        <v/>
      </c>
      <c r="I1704" s="16" t="str">
        <f t="shared" ca="1" si="138"/>
        <v/>
      </c>
    </row>
    <row r="1705" spans="1:9" x14ac:dyDescent="0.3">
      <c r="A1705" s="3"/>
      <c r="B1705" s="9"/>
      <c r="C1705" s="9"/>
      <c r="E1705" s="14" t="str">
        <f t="shared" si="134"/>
        <v/>
      </c>
      <c r="F1705" s="15" t="str">
        <f t="shared" ca="1" si="135"/>
        <v/>
      </c>
      <c r="G1705" s="15" t="str">
        <f t="shared" ca="1" si="136"/>
        <v/>
      </c>
      <c r="H1705" s="15" t="str">
        <f t="shared" ca="1" si="137"/>
        <v/>
      </c>
      <c r="I1705" s="16" t="str">
        <f t="shared" ca="1" si="138"/>
        <v/>
      </c>
    </row>
    <row r="1706" spans="1:9" x14ac:dyDescent="0.3">
      <c r="A1706" s="3"/>
      <c r="B1706" s="9"/>
      <c r="C1706" s="9"/>
      <c r="E1706" s="14" t="str">
        <f t="shared" si="134"/>
        <v/>
      </c>
      <c r="F1706" s="15" t="str">
        <f t="shared" ca="1" si="135"/>
        <v/>
      </c>
      <c r="G1706" s="15" t="str">
        <f t="shared" ca="1" si="136"/>
        <v/>
      </c>
      <c r="H1706" s="15" t="str">
        <f t="shared" ca="1" si="137"/>
        <v/>
      </c>
      <c r="I1706" s="16" t="str">
        <f t="shared" ca="1" si="138"/>
        <v/>
      </c>
    </row>
    <row r="1707" spans="1:9" x14ac:dyDescent="0.3">
      <c r="A1707" s="3"/>
      <c r="B1707" s="9"/>
      <c r="C1707" s="9"/>
      <c r="E1707" s="14" t="str">
        <f t="shared" si="134"/>
        <v/>
      </c>
      <c r="F1707" s="15" t="str">
        <f t="shared" ca="1" si="135"/>
        <v/>
      </c>
      <c r="G1707" s="15" t="str">
        <f t="shared" ca="1" si="136"/>
        <v/>
      </c>
      <c r="H1707" s="15" t="str">
        <f t="shared" ca="1" si="137"/>
        <v/>
      </c>
      <c r="I1707" s="16" t="str">
        <f t="shared" ca="1" si="138"/>
        <v/>
      </c>
    </row>
    <row r="1708" spans="1:9" x14ac:dyDescent="0.3">
      <c r="A1708" s="3"/>
      <c r="B1708" s="9"/>
      <c r="C1708" s="9"/>
      <c r="E1708" s="14" t="str">
        <f t="shared" si="134"/>
        <v/>
      </c>
      <c r="F1708" s="15" t="str">
        <f t="shared" ca="1" si="135"/>
        <v/>
      </c>
      <c r="G1708" s="15" t="str">
        <f t="shared" ca="1" si="136"/>
        <v/>
      </c>
      <c r="H1708" s="15" t="str">
        <f t="shared" ca="1" si="137"/>
        <v/>
      </c>
      <c r="I1708" s="16" t="str">
        <f t="shared" ca="1" si="138"/>
        <v/>
      </c>
    </row>
    <row r="1709" spans="1:9" x14ac:dyDescent="0.3">
      <c r="A1709" s="3"/>
      <c r="B1709" s="9"/>
      <c r="C1709" s="9"/>
      <c r="E1709" s="14" t="str">
        <f t="shared" si="134"/>
        <v/>
      </c>
      <c r="F1709" s="15" t="str">
        <f t="shared" ca="1" si="135"/>
        <v/>
      </c>
      <c r="G1709" s="15" t="str">
        <f t="shared" ca="1" si="136"/>
        <v/>
      </c>
      <c r="H1709" s="15" t="str">
        <f t="shared" ca="1" si="137"/>
        <v/>
      </c>
      <c r="I1709" s="16" t="str">
        <f t="shared" ca="1" si="138"/>
        <v/>
      </c>
    </row>
    <row r="1710" spans="1:9" x14ac:dyDescent="0.3">
      <c r="A1710" s="3"/>
      <c r="B1710" s="9"/>
      <c r="C1710" s="9"/>
      <c r="E1710" s="14" t="str">
        <f t="shared" si="134"/>
        <v/>
      </c>
      <c r="F1710" s="15" t="str">
        <f t="shared" ca="1" si="135"/>
        <v/>
      </c>
      <c r="G1710" s="15" t="str">
        <f t="shared" ca="1" si="136"/>
        <v/>
      </c>
      <c r="H1710" s="15" t="str">
        <f t="shared" ca="1" si="137"/>
        <v/>
      </c>
      <c r="I1710" s="16" t="str">
        <f t="shared" ca="1" si="138"/>
        <v/>
      </c>
    </row>
    <row r="1711" spans="1:9" x14ac:dyDescent="0.3">
      <c r="A1711" s="3"/>
      <c r="B1711" s="9"/>
      <c r="C1711" s="9"/>
      <c r="E1711" s="14" t="str">
        <f t="shared" si="134"/>
        <v/>
      </c>
      <c r="F1711" s="15" t="str">
        <f t="shared" ca="1" si="135"/>
        <v/>
      </c>
      <c r="G1711" s="15" t="str">
        <f t="shared" ca="1" si="136"/>
        <v/>
      </c>
      <c r="H1711" s="15" t="str">
        <f t="shared" ca="1" si="137"/>
        <v/>
      </c>
      <c r="I1711" s="16" t="str">
        <f t="shared" ca="1" si="138"/>
        <v/>
      </c>
    </row>
    <row r="1712" spans="1:9" x14ac:dyDescent="0.3">
      <c r="A1712" s="3"/>
      <c r="B1712" s="9"/>
      <c r="C1712" s="9"/>
      <c r="E1712" s="14" t="str">
        <f t="shared" si="134"/>
        <v/>
      </c>
      <c r="F1712" s="15" t="str">
        <f t="shared" ca="1" si="135"/>
        <v/>
      </c>
      <c r="G1712" s="15" t="str">
        <f t="shared" ca="1" si="136"/>
        <v/>
      </c>
      <c r="H1712" s="15" t="str">
        <f t="shared" ca="1" si="137"/>
        <v/>
      </c>
      <c r="I1712" s="16" t="str">
        <f t="shared" ca="1" si="138"/>
        <v/>
      </c>
    </row>
    <row r="1713" spans="1:9" x14ac:dyDescent="0.3">
      <c r="A1713" s="3"/>
      <c r="B1713" s="9"/>
      <c r="C1713" s="9"/>
      <c r="E1713" s="14" t="str">
        <f t="shared" si="134"/>
        <v/>
      </c>
      <c r="F1713" s="15" t="str">
        <f t="shared" ca="1" si="135"/>
        <v/>
      </c>
      <c r="G1713" s="15" t="str">
        <f t="shared" ca="1" si="136"/>
        <v/>
      </c>
      <c r="H1713" s="15" t="str">
        <f t="shared" ca="1" si="137"/>
        <v/>
      </c>
      <c r="I1713" s="16" t="str">
        <f t="shared" ca="1" si="138"/>
        <v/>
      </c>
    </row>
    <row r="1714" spans="1:9" x14ac:dyDescent="0.3">
      <c r="A1714" s="3"/>
      <c r="B1714" s="9"/>
      <c r="C1714" s="9"/>
      <c r="E1714" s="14" t="str">
        <f t="shared" si="134"/>
        <v/>
      </c>
      <c r="F1714" s="15" t="str">
        <f t="shared" ca="1" si="135"/>
        <v/>
      </c>
      <c r="G1714" s="15" t="str">
        <f t="shared" ca="1" si="136"/>
        <v/>
      </c>
      <c r="H1714" s="15" t="str">
        <f t="shared" ca="1" si="137"/>
        <v/>
      </c>
      <c r="I1714" s="16" t="str">
        <f t="shared" ca="1" si="138"/>
        <v/>
      </c>
    </row>
    <row r="1715" spans="1:9" x14ac:dyDescent="0.3">
      <c r="A1715" s="3"/>
      <c r="B1715" s="9"/>
      <c r="C1715" s="9"/>
      <c r="E1715" s="14" t="str">
        <f t="shared" si="134"/>
        <v/>
      </c>
      <c r="F1715" s="15" t="str">
        <f t="shared" ca="1" si="135"/>
        <v/>
      </c>
      <c r="G1715" s="15" t="str">
        <f t="shared" ca="1" si="136"/>
        <v/>
      </c>
      <c r="H1715" s="15" t="str">
        <f t="shared" ca="1" si="137"/>
        <v/>
      </c>
      <c r="I1715" s="16" t="str">
        <f t="shared" ca="1" si="138"/>
        <v/>
      </c>
    </row>
    <row r="1716" spans="1:9" x14ac:dyDescent="0.3">
      <c r="A1716" s="3"/>
      <c r="B1716" s="9"/>
      <c r="C1716" s="9"/>
      <c r="E1716" s="14" t="str">
        <f t="shared" si="134"/>
        <v/>
      </c>
      <c r="F1716" s="15" t="str">
        <f t="shared" ca="1" si="135"/>
        <v/>
      </c>
      <c r="G1716" s="15" t="str">
        <f t="shared" ca="1" si="136"/>
        <v/>
      </c>
      <c r="H1716" s="15" t="str">
        <f t="shared" ca="1" si="137"/>
        <v/>
      </c>
      <c r="I1716" s="16" t="str">
        <f t="shared" ca="1" si="138"/>
        <v/>
      </c>
    </row>
    <row r="1717" spans="1:9" x14ac:dyDescent="0.3">
      <c r="A1717" s="3"/>
      <c r="B1717" s="9"/>
      <c r="C1717" s="9"/>
      <c r="E1717" s="14" t="str">
        <f t="shared" si="134"/>
        <v/>
      </c>
      <c r="F1717" s="15" t="str">
        <f t="shared" ca="1" si="135"/>
        <v/>
      </c>
      <c r="G1717" s="15" t="str">
        <f t="shared" ca="1" si="136"/>
        <v/>
      </c>
      <c r="H1717" s="15" t="str">
        <f t="shared" ca="1" si="137"/>
        <v/>
      </c>
      <c r="I1717" s="16" t="str">
        <f t="shared" ca="1" si="138"/>
        <v/>
      </c>
    </row>
    <row r="1718" spans="1:9" x14ac:dyDescent="0.3">
      <c r="A1718" s="3"/>
      <c r="B1718" s="9"/>
      <c r="C1718" s="9"/>
      <c r="E1718" s="14" t="str">
        <f t="shared" si="134"/>
        <v/>
      </c>
      <c r="F1718" s="15" t="str">
        <f t="shared" ca="1" si="135"/>
        <v/>
      </c>
      <c r="G1718" s="15" t="str">
        <f t="shared" ca="1" si="136"/>
        <v/>
      </c>
      <c r="H1718" s="15" t="str">
        <f t="shared" ca="1" si="137"/>
        <v/>
      </c>
      <c r="I1718" s="16" t="str">
        <f t="shared" ca="1" si="138"/>
        <v/>
      </c>
    </row>
    <row r="1719" spans="1:9" x14ac:dyDescent="0.3">
      <c r="A1719" s="3"/>
      <c r="B1719" s="9"/>
      <c r="C1719" s="9"/>
      <c r="E1719" s="14" t="str">
        <f t="shared" si="134"/>
        <v/>
      </c>
      <c r="F1719" s="15" t="str">
        <f t="shared" ca="1" si="135"/>
        <v/>
      </c>
      <c r="G1719" s="15" t="str">
        <f t="shared" ca="1" si="136"/>
        <v/>
      </c>
      <c r="H1719" s="15" t="str">
        <f t="shared" ca="1" si="137"/>
        <v/>
      </c>
      <c r="I1719" s="16" t="str">
        <f t="shared" ca="1" si="138"/>
        <v/>
      </c>
    </row>
    <row r="1720" spans="1:9" x14ac:dyDescent="0.3">
      <c r="A1720" s="3"/>
      <c r="B1720" s="9"/>
      <c r="C1720" s="9"/>
      <c r="E1720" s="14" t="str">
        <f t="shared" si="134"/>
        <v/>
      </c>
      <c r="F1720" s="15" t="str">
        <f t="shared" ca="1" si="135"/>
        <v/>
      </c>
      <c r="G1720" s="15" t="str">
        <f t="shared" ca="1" si="136"/>
        <v/>
      </c>
      <c r="H1720" s="15" t="str">
        <f t="shared" ca="1" si="137"/>
        <v/>
      </c>
      <c r="I1720" s="16" t="str">
        <f t="shared" ca="1" si="138"/>
        <v/>
      </c>
    </row>
    <row r="1721" spans="1:9" x14ac:dyDescent="0.3">
      <c r="A1721" s="3"/>
      <c r="B1721" s="9"/>
      <c r="C1721" s="9"/>
      <c r="E1721" s="14" t="str">
        <f t="shared" si="134"/>
        <v/>
      </c>
      <c r="F1721" s="15" t="str">
        <f t="shared" ca="1" si="135"/>
        <v/>
      </c>
      <c r="G1721" s="15" t="str">
        <f t="shared" ca="1" si="136"/>
        <v/>
      </c>
      <c r="H1721" s="15" t="str">
        <f t="shared" ca="1" si="137"/>
        <v/>
      </c>
      <c r="I1721" s="16" t="str">
        <f t="shared" ca="1" si="138"/>
        <v/>
      </c>
    </row>
    <row r="1722" spans="1:9" x14ac:dyDescent="0.3">
      <c r="A1722" s="3"/>
      <c r="B1722" s="9"/>
      <c r="C1722" s="9"/>
      <c r="E1722" s="14" t="str">
        <f t="shared" si="134"/>
        <v/>
      </c>
      <c r="F1722" s="15" t="str">
        <f t="shared" ca="1" si="135"/>
        <v/>
      </c>
      <c r="G1722" s="15" t="str">
        <f t="shared" ca="1" si="136"/>
        <v/>
      </c>
      <c r="H1722" s="15" t="str">
        <f t="shared" ca="1" si="137"/>
        <v/>
      </c>
      <c r="I1722" s="16" t="str">
        <f t="shared" ca="1" si="138"/>
        <v/>
      </c>
    </row>
    <row r="1723" spans="1:9" x14ac:dyDescent="0.3">
      <c r="A1723" s="3"/>
      <c r="B1723" s="9"/>
      <c r="C1723" s="9"/>
      <c r="E1723" s="14" t="str">
        <f t="shared" si="134"/>
        <v/>
      </c>
      <c r="F1723" s="15" t="str">
        <f t="shared" ca="1" si="135"/>
        <v/>
      </c>
      <c r="G1723" s="15" t="str">
        <f t="shared" ca="1" si="136"/>
        <v/>
      </c>
      <c r="H1723" s="15" t="str">
        <f t="shared" ca="1" si="137"/>
        <v/>
      </c>
      <c r="I1723" s="16" t="str">
        <f t="shared" ca="1" si="138"/>
        <v/>
      </c>
    </row>
    <row r="1724" spans="1:9" x14ac:dyDescent="0.3">
      <c r="A1724" s="3"/>
      <c r="B1724" s="9"/>
      <c r="C1724" s="9"/>
      <c r="E1724" s="14" t="str">
        <f t="shared" si="134"/>
        <v/>
      </c>
      <c r="F1724" s="15" t="str">
        <f t="shared" ca="1" si="135"/>
        <v/>
      </c>
      <c r="G1724" s="15" t="str">
        <f t="shared" ca="1" si="136"/>
        <v/>
      </c>
      <c r="H1724" s="15" t="str">
        <f t="shared" ca="1" si="137"/>
        <v/>
      </c>
      <c r="I1724" s="16" t="str">
        <f t="shared" ca="1" si="138"/>
        <v/>
      </c>
    </row>
    <row r="1725" spans="1:9" x14ac:dyDescent="0.3">
      <c r="A1725" s="3"/>
      <c r="B1725" s="9"/>
      <c r="C1725" s="9"/>
      <c r="E1725" s="14" t="str">
        <f t="shared" si="134"/>
        <v/>
      </c>
      <c r="F1725" s="15" t="str">
        <f t="shared" ca="1" si="135"/>
        <v/>
      </c>
      <c r="G1725" s="15" t="str">
        <f t="shared" ca="1" si="136"/>
        <v/>
      </c>
      <c r="H1725" s="15" t="str">
        <f t="shared" ca="1" si="137"/>
        <v/>
      </c>
      <c r="I1725" s="16" t="str">
        <f t="shared" ca="1" si="138"/>
        <v/>
      </c>
    </row>
    <row r="1726" spans="1:9" x14ac:dyDescent="0.3">
      <c r="A1726" s="3"/>
      <c r="B1726" s="9"/>
      <c r="C1726" s="9"/>
      <c r="E1726" s="14" t="str">
        <f t="shared" si="134"/>
        <v/>
      </c>
      <c r="F1726" s="15" t="str">
        <f t="shared" ca="1" si="135"/>
        <v/>
      </c>
      <c r="G1726" s="15" t="str">
        <f t="shared" ca="1" si="136"/>
        <v/>
      </c>
      <c r="H1726" s="15" t="str">
        <f t="shared" ca="1" si="137"/>
        <v/>
      </c>
      <c r="I1726" s="16" t="str">
        <f t="shared" ca="1" si="138"/>
        <v/>
      </c>
    </row>
    <row r="1727" spans="1:9" x14ac:dyDescent="0.3">
      <c r="A1727" s="3"/>
      <c r="B1727" s="9"/>
      <c r="C1727" s="9"/>
      <c r="E1727" s="14" t="str">
        <f t="shared" si="134"/>
        <v/>
      </c>
      <c r="F1727" s="15" t="str">
        <f t="shared" ca="1" si="135"/>
        <v/>
      </c>
      <c r="G1727" s="15" t="str">
        <f t="shared" ca="1" si="136"/>
        <v/>
      </c>
      <c r="H1727" s="15" t="str">
        <f t="shared" ca="1" si="137"/>
        <v/>
      </c>
      <c r="I1727" s="16" t="str">
        <f t="shared" ca="1" si="138"/>
        <v/>
      </c>
    </row>
    <row r="1728" spans="1:9" x14ac:dyDescent="0.3">
      <c r="A1728" s="3"/>
      <c r="B1728" s="9"/>
      <c r="C1728" s="9"/>
      <c r="E1728" s="14" t="str">
        <f t="shared" si="134"/>
        <v/>
      </c>
      <c r="F1728" s="15" t="str">
        <f t="shared" ca="1" si="135"/>
        <v/>
      </c>
      <c r="G1728" s="15" t="str">
        <f t="shared" ca="1" si="136"/>
        <v/>
      </c>
      <c r="H1728" s="15" t="str">
        <f t="shared" ca="1" si="137"/>
        <v/>
      </c>
      <c r="I1728" s="16" t="str">
        <f t="shared" ca="1" si="138"/>
        <v/>
      </c>
    </row>
    <row r="1729" spans="1:9" x14ac:dyDescent="0.3">
      <c r="A1729" s="3"/>
      <c r="B1729" s="9"/>
      <c r="C1729" s="9"/>
      <c r="E1729" s="14" t="str">
        <f t="shared" si="134"/>
        <v/>
      </c>
      <c r="F1729" s="15" t="str">
        <f t="shared" ca="1" si="135"/>
        <v/>
      </c>
      <c r="G1729" s="15" t="str">
        <f t="shared" ca="1" si="136"/>
        <v/>
      </c>
      <c r="H1729" s="15" t="str">
        <f t="shared" ca="1" si="137"/>
        <v/>
      </c>
      <c r="I1729" s="16" t="str">
        <f t="shared" ca="1" si="138"/>
        <v/>
      </c>
    </row>
    <row r="1730" spans="1:9" x14ac:dyDescent="0.3">
      <c r="A1730" s="3"/>
      <c r="B1730" s="9"/>
      <c r="C1730" s="9"/>
      <c r="E1730" s="14" t="str">
        <f t="shared" si="134"/>
        <v/>
      </c>
      <c r="F1730" s="15" t="str">
        <f t="shared" ca="1" si="135"/>
        <v/>
      </c>
      <c r="G1730" s="15" t="str">
        <f t="shared" ca="1" si="136"/>
        <v/>
      </c>
      <c r="H1730" s="15" t="str">
        <f t="shared" ca="1" si="137"/>
        <v/>
      </c>
      <c r="I1730" s="16" t="str">
        <f t="shared" ca="1" si="138"/>
        <v/>
      </c>
    </row>
    <row r="1731" spans="1:9" x14ac:dyDescent="0.3">
      <c r="A1731" s="3"/>
      <c r="B1731" s="9"/>
      <c r="C1731" s="9"/>
      <c r="E1731" s="14" t="str">
        <f t="shared" ref="E1731:E1794" si="139">IF(ISNUMBER(B1731),B1731/C1731,"")</f>
        <v/>
      </c>
      <c r="F1731" s="15" t="str">
        <f t="shared" ca="1" si="135"/>
        <v/>
      </c>
      <c r="G1731" s="15" t="str">
        <f t="shared" ca="1" si="136"/>
        <v/>
      </c>
      <c r="H1731" s="15" t="str">
        <f t="shared" ca="1" si="137"/>
        <v/>
      </c>
      <c r="I1731" s="16" t="str">
        <f t="shared" ca="1" si="138"/>
        <v/>
      </c>
    </row>
    <row r="1732" spans="1:9" x14ac:dyDescent="0.3">
      <c r="A1732" s="3"/>
      <c r="B1732" s="9"/>
      <c r="C1732" s="9"/>
      <c r="E1732" s="14" t="str">
        <f t="shared" si="139"/>
        <v/>
      </c>
      <c r="F1732" s="15" t="str">
        <f t="shared" ca="1" si="135"/>
        <v/>
      </c>
      <c r="G1732" s="15" t="str">
        <f t="shared" ca="1" si="136"/>
        <v/>
      </c>
      <c r="H1732" s="15" t="str">
        <f t="shared" ca="1" si="137"/>
        <v/>
      </c>
      <c r="I1732" s="16" t="str">
        <f t="shared" ca="1" si="138"/>
        <v/>
      </c>
    </row>
    <row r="1733" spans="1:9" x14ac:dyDescent="0.3">
      <c r="A1733" s="3"/>
      <c r="B1733" s="9"/>
      <c r="C1733" s="9"/>
      <c r="E1733" s="14" t="str">
        <f t="shared" si="139"/>
        <v/>
      </c>
      <c r="F1733" s="15" t="str">
        <f t="shared" ca="1" si="135"/>
        <v/>
      </c>
      <c r="G1733" s="15" t="str">
        <f t="shared" ca="1" si="136"/>
        <v/>
      </c>
      <c r="H1733" s="15" t="str">
        <f t="shared" ca="1" si="137"/>
        <v/>
      </c>
      <c r="I1733" s="16" t="str">
        <f t="shared" ca="1" si="138"/>
        <v/>
      </c>
    </row>
    <row r="1734" spans="1:9" x14ac:dyDescent="0.3">
      <c r="A1734" s="3"/>
      <c r="B1734" s="9"/>
      <c r="C1734" s="9"/>
      <c r="E1734" s="14" t="str">
        <f t="shared" si="139"/>
        <v/>
      </c>
      <c r="F1734" s="15" t="str">
        <f t="shared" ca="1" si="135"/>
        <v/>
      </c>
      <c r="G1734" s="15" t="str">
        <f t="shared" ca="1" si="136"/>
        <v/>
      </c>
      <c r="H1734" s="15" t="str">
        <f t="shared" ca="1" si="137"/>
        <v/>
      </c>
      <c r="I1734" s="16" t="str">
        <f t="shared" ca="1" si="138"/>
        <v/>
      </c>
    </row>
    <row r="1735" spans="1:9" x14ac:dyDescent="0.3">
      <c r="A1735" s="3"/>
      <c r="B1735" s="9"/>
      <c r="C1735" s="9"/>
      <c r="E1735" s="14" t="str">
        <f t="shared" si="139"/>
        <v/>
      </c>
      <c r="F1735" s="15" t="str">
        <f t="shared" ca="1" si="135"/>
        <v/>
      </c>
      <c r="G1735" s="15" t="str">
        <f t="shared" ca="1" si="136"/>
        <v/>
      </c>
      <c r="H1735" s="15" t="str">
        <f t="shared" ca="1" si="137"/>
        <v/>
      </c>
      <c r="I1735" s="16" t="str">
        <f t="shared" ca="1" si="138"/>
        <v/>
      </c>
    </row>
    <row r="1736" spans="1:9" x14ac:dyDescent="0.3">
      <c r="A1736" s="3"/>
      <c r="B1736" s="9"/>
      <c r="C1736" s="9"/>
      <c r="E1736" s="14" t="str">
        <f t="shared" si="139"/>
        <v/>
      </c>
      <c r="F1736" s="15" t="str">
        <f t="shared" ca="1" si="135"/>
        <v/>
      </c>
      <c r="G1736" s="15" t="str">
        <f t="shared" ca="1" si="136"/>
        <v/>
      </c>
      <c r="H1736" s="15" t="str">
        <f t="shared" ca="1" si="137"/>
        <v/>
      </c>
      <c r="I1736" s="16" t="str">
        <f t="shared" ca="1" si="138"/>
        <v/>
      </c>
    </row>
    <row r="1737" spans="1:9" x14ac:dyDescent="0.3">
      <c r="A1737" s="3"/>
      <c r="B1737" s="9"/>
      <c r="C1737" s="9"/>
      <c r="E1737" s="14" t="str">
        <f t="shared" si="139"/>
        <v/>
      </c>
      <c r="F1737" s="15" t="str">
        <f t="shared" ca="1" si="135"/>
        <v/>
      </c>
      <c r="G1737" s="15" t="str">
        <f t="shared" ca="1" si="136"/>
        <v/>
      </c>
      <c r="H1737" s="15" t="str">
        <f t="shared" ca="1" si="137"/>
        <v/>
      </c>
      <c r="I1737" s="16" t="str">
        <f t="shared" ca="1" si="138"/>
        <v/>
      </c>
    </row>
    <row r="1738" spans="1:9" x14ac:dyDescent="0.3">
      <c r="A1738" s="3"/>
      <c r="B1738" s="9"/>
      <c r="C1738" s="9"/>
      <c r="E1738" s="14" t="str">
        <f t="shared" si="139"/>
        <v/>
      </c>
      <c r="F1738" s="15" t="str">
        <f t="shared" ca="1" si="135"/>
        <v/>
      </c>
      <c r="G1738" s="15" t="str">
        <f t="shared" ca="1" si="136"/>
        <v/>
      </c>
      <c r="H1738" s="15" t="str">
        <f t="shared" ca="1" si="137"/>
        <v/>
      </c>
      <c r="I1738" s="16" t="str">
        <f t="shared" ca="1" si="138"/>
        <v/>
      </c>
    </row>
    <row r="1739" spans="1:9" x14ac:dyDescent="0.3">
      <c r="A1739" s="3"/>
      <c r="B1739" s="9"/>
      <c r="C1739" s="9"/>
      <c r="E1739" s="14" t="str">
        <f t="shared" si="139"/>
        <v/>
      </c>
      <c r="F1739" s="15" t="str">
        <f t="shared" ca="1" si="135"/>
        <v/>
      </c>
      <c r="G1739" s="15" t="str">
        <f t="shared" ca="1" si="136"/>
        <v/>
      </c>
      <c r="H1739" s="15" t="str">
        <f t="shared" ca="1" si="137"/>
        <v/>
      </c>
      <c r="I1739" s="16" t="str">
        <f t="shared" ca="1" si="138"/>
        <v/>
      </c>
    </row>
    <row r="1740" spans="1:9" x14ac:dyDescent="0.3">
      <c r="A1740" s="3"/>
      <c r="B1740" s="9"/>
      <c r="C1740" s="9"/>
      <c r="E1740" s="14" t="str">
        <f t="shared" si="139"/>
        <v/>
      </c>
      <c r="F1740" s="15" t="str">
        <f t="shared" ca="1" si="135"/>
        <v/>
      </c>
      <c r="G1740" s="15" t="str">
        <f t="shared" ca="1" si="136"/>
        <v/>
      </c>
      <c r="H1740" s="15" t="str">
        <f t="shared" ca="1" si="137"/>
        <v/>
      </c>
      <c r="I1740" s="16" t="str">
        <f t="shared" ca="1" si="138"/>
        <v/>
      </c>
    </row>
    <row r="1741" spans="1:9" x14ac:dyDescent="0.3">
      <c r="A1741" s="3"/>
      <c r="B1741" s="9"/>
      <c r="C1741" s="9"/>
      <c r="E1741" s="14" t="str">
        <f t="shared" si="139"/>
        <v/>
      </c>
      <c r="F1741" s="15" t="str">
        <f t="shared" ca="1" si="135"/>
        <v/>
      </c>
      <c r="G1741" s="15" t="str">
        <f t="shared" ca="1" si="136"/>
        <v/>
      </c>
      <c r="H1741" s="15" t="str">
        <f t="shared" ca="1" si="137"/>
        <v/>
      </c>
      <c r="I1741" s="16" t="str">
        <f t="shared" ca="1" si="138"/>
        <v/>
      </c>
    </row>
    <row r="1742" spans="1:9" x14ac:dyDescent="0.3">
      <c r="A1742" s="3"/>
      <c r="B1742" s="9"/>
      <c r="C1742" s="9"/>
      <c r="E1742" s="14" t="str">
        <f t="shared" si="139"/>
        <v/>
      </c>
      <c r="F1742" s="15" t="str">
        <f t="shared" ca="1" si="135"/>
        <v/>
      </c>
      <c r="G1742" s="15" t="str">
        <f t="shared" ca="1" si="136"/>
        <v/>
      </c>
      <c r="H1742" s="15" t="str">
        <f t="shared" ca="1" si="137"/>
        <v/>
      </c>
      <c r="I1742" s="16" t="str">
        <f t="shared" ca="1" si="138"/>
        <v/>
      </c>
    </row>
    <row r="1743" spans="1:9" x14ac:dyDescent="0.3">
      <c r="A1743" s="3"/>
      <c r="B1743" s="9"/>
      <c r="C1743" s="9"/>
      <c r="E1743" s="14" t="str">
        <f t="shared" si="139"/>
        <v/>
      </c>
      <c r="F1743" s="15" t="str">
        <f t="shared" ca="1" si="135"/>
        <v/>
      </c>
      <c r="G1743" s="15" t="str">
        <f t="shared" ca="1" si="136"/>
        <v/>
      </c>
      <c r="H1743" s="15" t="str">
        <f t="shared" ca="1" si="137"/>
        <v/>
      </c>
      <c r="I1743" s="16" t="str">
        <f t="shared" ca="1" si="138"/>
        <v/>
      </c>
    </row>
    <row r="1744" spans="1:9" x14ac:dyDescent="0.3">
      <c r="A1744" s="3"/>
      <c r="B1744" s="9"/>
      <c r="C1744" s="9"/>
      <c r="E1744" s="14" t="str">
        <f t="shared" si="139"/>
        <v/>
      </c>
      <c r="F1744" s="15" t="str">
        <f t="shared" ca="1" si="135"/>
        <v/>
      </c>
      <c r="G1744" s="15" t="str">
        <f t="shared" ca="1" si="136"/>
        <v/>
      </c>
      <c r="H1744" s="15" t="str">
        <f t="shared" ca="1" si="137"/>
        <v/>
      </c>
      <c r="I1744" s="16" t="str">
        <f t="shared" ca="1" si="138"/>
        <v/>
      </c>
    </row>
    <row r="1745" spans="1:9" x14ac:dyDescent="0.3">
      <c r="A1745" s="3"/>
      <c r="B1745" s="9"/>
      <c r="C1745" s="9"/>
      <c r="E1745" s="14" t="str">
        <f t="shared" si="139"/>
        <v/>
      </c>
      <c r="F1745" s="15" t="str">
        <f t="shared" ref="F1745:F1808" ca="1" si="140">IF(ISNUMBER(E1745),IF(ROW(E1745)&gt;$K$1,AVERAGE(OFFSET(E1745,0,0,-$K$1)),""),"")</f>
        <v/>
      </c>
      <c r="G1745" s="15" t="str">
        <f t="shared" ref="G1745:G1808" ca="1" si="141">IF(ISNUMBER(I1745),F1745+I1745*$M$1,"")</f>
        <v/>
      </c>
      <c r="H1745" s="15" t="str">
        <f t="shared" ref="H1745:H1808" ca="1" si="142">IF(ISNUMBER(I1745),F1745-I1745*$M$1,"")</f>
        <v/>
      </c>
      <c r="I1745" s="16" t="str">
        <f t="shared" ref="I1745:I1808" ca="1" si="143">IF(ISNUMBER(E1745),IF(ROW(E1745)&gt;$K$1,_xlfn.STDEV.P(OFFSET(E1745,0,0,-$K$1)),""),"")</f>
        <v/>
      </c>
    </row>
    <row r="1746" spans="1:9" x14ac:dyDescent="0.3">
      <c r="A1746" s="3"/>
      <c r="B1746" s="9"/>
      <c r="C1746" s="9"/>
      <c r="E1746" s="14" t="str">
        <f t="shared" si="139"/>
        <v/>
      </c>
      <c r="F1746" s="15" t="str">
        <f t="shared" ca="1" si="140"/>
        <v/>
      </c>
      <c r="G1746" s="15" t="str">
        <f t="shared" ca="1" si="141"/>
        <v/>
      </c>
      <c r="H1746" s="15" t="str">
        <f t="shared" ca="1" si="142"/>
        <v/>
      </c>
      <c r="I1746" s="16" t="str">
        <f t="shared" ca="1" si="143"/>
        <v/>
      </c>
    </row>
    <row r="1747" spans="1:9" x14ac:dyDescent="0.3">
      <c r="A1747" s="3"/>
      <c r="B1747" s="9"/>
      <c r="C1747" s="9"/>
      <c r="E1747" s="14" t="str">
        <f t="shared" si="139"/>
        <v/>
      </c>
      <c r="F1747" s="15" t="str">
        <f t="shared" ca="1" si="140"/>
        <v/>
      </c>
      <c r="G1747" s="15" t="str">
        <f t="shared" ca="1" si="141"/>
        <v/>
      </c>
      <c r="H1747" s="15" t="str">
        <f t="shared" ca="1" si="142"/>
        <v/>
      </c>
      <c r="I1747" s="16" t="str">
        <f t="shared" ca="1" si="143"/>
        <v/>
      </c>
    </row>
    <row r="1748" spans="1:9" x14ac:dyDescent="0.3">
      <c r="A1748" s="3"/>
      <c r="B1748" s="9"/>
      <c r="C1748" s="9"/>
      <c r="E1748" s="14" t="str">
        <f t="shared" si="139"/>
        <v/>
      </c>
      <c r="F1748" s="15" t="str">
        <f t="shared" ca="1" si="140"/>
        <v/>
      </c>
      <c r="G1748" s="15" t="str">
        <f t="shared" ca="1" si="141"/>
        <v/>
      </c>
      <c r="H1748" s="15" t="str">
        <f t="shared" ca="1" si="142"/>
        <v/>
      </c>
      <c r="I1748" s="16" t="str">
        <f t="shared" ca="1" si="143"/>
        <v/>
      </c>
    </row>
    <row r="1749" spans="1:9" x14ac:dyDescent="0.3">
      <c r="A1749" s="3"/>
      <c r="B1749" s="9"/>
      <c r="C1749" s="9"/>
      <c r="E1749" s="14" t="str">
        <f t="shared" si="139"/>
        <v/>
      </c>
      <c r="F1749" s="15" t="str">
        <f t="shared" ca="1" si="140"/>
        <v/>
      </c>
      <c r="G1749" s="15" t="str">
        <f t="shared" ca="1" si="141"/>
        <v/>
      </c>
      <c r="H1749" s="15" t="str">
        <f t="shared" ca="1" si="142"/>
        <v/>
      </c>
      <c r="I1749" s="16" t="str">
        <f t="shared" ca="1" si="143"/>
        <v/>
      </c>
    </row>
    <row r="1750" spans="1:9" x14ac:dyDescent="0.3">
      <c r="A1750" s="3"/>
      <c r="B1750" s="9"/>
      <c r="C1750" s="9"/>
      <c r="E1750" s="14" t="str">
        <f t="shared" si="139"/>
        <v/>
      </c>
      <c r="F1750" s="15" t="str">
        <f t="shared" ca="1" si="140"/>
        <v/>
      </c>
      <c r="G1750" s="15" t="str">
        <f t="shared" ca="1" si="141"/>
        <v/>
      </c>
      <c r="H1750" s="15" t="str">
        <f t="shared" ca="1" si="142"/>
        <v/>
      </c>
      <c r="I1750" s="16" t="str">
        <f t="shared" ca="1" si="143"/>
        <v/>
      </c>
    </row>
    <row r="1751" spans="1:9" x14ac:dyDescent="0.3">
      <c r="A1751" s="3"/>
      <c r="B1751" s="9"/>
      <c r="C1751" s="9"/>
      <c r="E1751" s="14" t="str">
        <f t="shared" si="139"/>
        <v/>
      </c>
      <c r="F1751" s="15" t="str">
        <f t="shared" ca="1" si="140"/>
        <v/>
      </c>
      <c r="G1751" s="15" t="str">
        <f t="shared" ca="1" si="141"/>
        <v/>
      </c>
      <c r="H1751" s="15" t="str">
        <f t="shared" ca="1" si="142"/>
        <v/>
      </c>
      <c r="I1751" s="16" t="str">
        <f t="shared" ca="1" si="143"/>
        <v/>
      </c>
    </row>
    <row r="1752" spans="1:9" x14ac:dyDescent="0.3">
      <c r="A1752" s="3"/>
      <c r="B1752" s="9"/>
      <c r="C1752" s="9"/>
      <c r="E1752" s="14" t="str">
        <f t="shared" si="139"/>
        <v/>
      </c>
      <c r="F1752" s="15" t="str">
        <f t="shared" ca="1" si="140"/>
        <v/>
      </c>
      <c r="G1752" s="15" t="str">
        <f t="shared" ca="1" si="141"/>
        <v/>
      </c>
      <c r="H1752" s="15" t="str">
        <f t="shared" ca="1" si="142"/>
        <v/>
      </c>
      <c r="I1752" s="16" t="str">
        <f t="shared" ca="1" si="143"/>
        <v/>
      </c>
    </row>
    <row r="1753" spans="1:9" x14ac:dyDescent="0.3">
      <c r="A1753" s="3"/>
      <c r="B1753" s="9"/>
      <c r="C1753" s="9"/>
      <c r="E1753" s="14" t="str">
        <f t="shared" si="139"/>
        <v/>
      </c>
      <c r="F1753" s="15" t="str">
        <f t="shared" ca="1" si="140"/>
        <v/>
      </c>
      <c r="G1753" s="15" t="str">
        <f t="shared" ca="1" si="141"/>
        <v/>
      </c>
      <c r="H1753" s="15" t="str">
        <f t="shared" ca="1" si="142"/>
        <v/>
      </c>
      <c r="I1753" s="16" t="str">
        <f t="shared" ca="1" si="143"/>
        <v/>
      </c>
    </row>
    <row r="1754" spans="1:9" x14ac:dyDescent="0.3">
      <c r="A1754" s="3"/>
      <c r="B1754" s="9"/>
      <c r="C1754" s="9"/>
      <c r="E1754" s="14" t="str">
        <f t="shared" si="139"/>
        <v/>
      </c>
      <c r="F1754" s="15" t="str">
        <f t="shared" ca="1" si="140"/>
        <v/>
      </c>
      <c r="G1754" s="15" t="str">
        <f t="shared" ca="1" si="141"/>
        <v/>
      </c>
      <c r="H1754" s="15" t="str">
        <f t="shared" ca="1" si="142"/>
        <v/>
      </c>
      <c r="I1754" s="16" t="str">
        <f t="shared" ca="1" si="143"/>
        <v/>
      </c>
    </row>
    <row r="1755" spans="1:9" x14ac:dyDescent="0.3">
      <c r="A1755" s="3"/>
      <c r="B1755" s="9"/>
      <c r="C1755" s="9"/>
      <c r="E1755" s="14" t="str">
        <f t="shared" si="139"/>
        <v/>
      </c>
      <c r="F1755" s="15" t="str">
        <f t="shared" ca="1" si="140"/>
        <v/>
      </c>
      <c r="G1755" s="15" t="str">
        <f t="shared" ca="1" si="141"/>
        <v/>
      </c>
      <c r="H1755" s="15" t="str">
        <f t="shared" ca="1" si="142"/>
        <v/>
      </c>
      <c r="I1755" s="16" t="str">
        <f t="shared" ca="1" si="143"/>
        <v/>
      </c>
    </row>
    <row r="1756" spans="1:9" x14ac:dyDescent="0.3">
      <c r="A1756" s="3"/>
      <c r="B1756" s="9"/>
      <c r="C1756" s="9"/>
      <c r="E1756" s="14" t="str">
        <f t="shared" si="139"/>
        <v/>
      </c>
      <c r="F1756" s="15" t="str">
        <f t="shared" ca="1" si="140"/>
        <v/>
      </c>
      <c r="G1756" s="15" t="str">
        <f t="shared" ca="1" si="141"/>
        <v/>
      </c>
      <c r="H1756" s="15" t="str">
        <f t="shared" ca="1" si="142"/>
        <v/>
      </c>
      <c r="I1756" s="16" t="str">
        <f t="shared" ca="1" si="143"/>
        <v/>
      </c>
    </row>
    <row r="1757" spans="1:9" x14ac:dyDescent="0.3">
      <c r="A1757" s="3"/>
      <c r="B1757" s="9"/>
      <c r="C1757" s="9"/>
      <c r="E1757" s="14" t="str">
        <f t="shared" si="139"/>
        <v/>
      </c>
      <c r="F1757" s="15" t="str">
        <f t="shared" ca="1" si="140"/>
        <v/>
      </c>
      <c r="G1757" s="15" t="str">
        <f t="shared" ca="1" si="141"/>
        <v/>
      </c>
      <c r="H1757" s="15" t="str">
        <f t="shared" ca="1" si="142"/>
        <v/>
      </c>
      <c r="I1757" s="16" t="str">
        <f t="shared" ca="1" si="143"/>
        <v/>
      </c>
    </row>
    <row r="1758" spans="1:9" x14ac:dyDescent="0.3">
      <c r="A1758" s="3"/>
      <c r="B1758" s="9"/>
      <c r="C1758" s="9"/>
      <c r="E1758" s="14" t="str">
        <f t="shared" si="139"/>
        <v/>
      </c>
      <c r="F1758" s="15" t="str">
        <f t="shared" ca="1" si="140"/>
        <v/>
      </c>
      <c r="G1758" s="15" t="str">
        <f t="shared" ca="1" si="141"/>
        <v/>
      </c>
      <c r="H1758" s="15" t="str">
        <f t="shared" ca="1" si="142"/>
        <v/>
      </c>
      <c r="I1758" s="16" t="str">
        <f t="shared" ca="1" si="143"/>
        <v/>
      </c>
    </row>
    <row r="1759" spans="1:9" x14ac:dyDescent="0.3">
      <c r="A1759" s="3"/>
      <c r="B1759" s="9"/>
      <c r="C1759" s="9"/>
      <c r="E1759" s="14" t="str">
        <f t="shared" si="139"/>
        <v/>
      </c>
      <c r="F1759" s="15" t="str">
        <f t="shared" ca="1" si="140"/>
        <v/>
      </c>
      <c r="G1759" s="15" t="str">
        <f t="shared" ca="1" si="141"/>
        <v/>
      </c>
      <c r="H1759" s="15" t="str">
        <f t="shared" ca="1" si="142"/>
        <v/>
      </c>
      <c r="I1759" s="16" t="str">
        <f t="shared" ca="1" si="143"/>
        <v/>
      </c>
    </row>
    <row r="1760" spans="1:9" x14ac:dyDescent="0.3">
      <c r="A1760" s="3"/>
      <c r="B1760" s="9"/>
      <c r="C1760" s="9"/>
      <c r="E1760" s="14" t="str">
        <f t="shared" si="139"/>
        <v/>
      </c>
      <c r="F1760" s="15" t="str">
        <f t="shared" ca="1" si="140"/>
        <v/>
      </c>
      <c r="G1760" s="15" t="str">
        <f t="shared" ca="1" si="141"/>
        <v/>
      </c>
      <c r="H1760" s="15" t="str">
        <f t="shared" ca="1" si="142"/>
        <v/>
      </c>
      <c r="I1760" s="16" t="str">
        <f t="shared" ca="1" si="143"/>
        <v/>
      </c>
    </row>
    <row r="1761" spans="1:9" x14ac:dyDescent="0.3">
      <c r="A1761" s="3"/>
      <c r="B1761" s="9"/>
      <c r="C1761" s="9"/>
      <c r="E1761" s="14" t="str">
        <f t="shared" si="139"/>
        <v/>
      </c>
      <c r="F1761" s="15" t="str">
        <f t="shared" ca="1" si="140"/>
        <v/>
      </c>
      <c r="G1761" s="15" t="str">
        <f t="shared" ca="1" si="141"/>
        <v/>
      </c>
      <c r="H1761" s="15" t="str">
        <f t="shared" ca="1" si="142"/>
        <v/>
      </c>
      <c r="I1761" s="16" t="str">
        <f t="shared" ca="1" si="143"/>
        <v/>
      </c>
    </row>
    <row r="1762" spans="1:9" x14ac:dyDescent="0.3">
      <c r="A1762" s="3"/>
      <c r="B1762" s="9"/>
      <c r="C1762" s="9"/>
      <c r="E1762" s="14" t="str">
        <f t="shared" si="139"/>
        <v/>
      </c>
      <c r="F1762" s="15" t="str">
        <f t="shared" ca="1" si="140"/>
        <v/>
      </c>
      <c r="G1762" s="15" t="str">
        <f t="shared" ca="1" si="141"/>
        <v/>
      </c>
      <c r="H1762" s="15" t="str">
        <f t="shared" ca="1" si="142"/>
        <v/>
      </c>
      <c r="I1762" s="16" t="str">
        <f t="shared" ca="1" si="143"/>
        <v/>
      </c>
    </row>
    <row r="1763" spans="1:9" x14ac:dyDescent="0.3">
      <c r="A1763" s="3"/>
      <c r="B1763" s="9"/>
      <c r="C1763" s="9"/>
      <c r="E1763" s="14" t="str">
        <f t="shared" si="139"/>
        <v/>
      </c>
      <c r="F1763" s="15" t="str">
        <f t="shared" ca="1" si="140"/>
        <v/>
      </c>
      <c r="G1763" s="15" t="str">
        <f t="shared" ca="1" si="141"/>
        <v/>
      </c>
      <c r="H1763" s="15" t="str">
        <f t="shared" ca="1" si="142"/>
        <v/>
      </c>
      <c r="I1763" s="16" t="str">
        <f t="shared" ca="1" si="143"/>
        <v/>
      </c>
    </row>
    <row r="1764" spans="1:9" x14ac:dyDescent="0.3">
      <c r="A1764" s="3"/>
      <c r="B1764" s="9"/>
      <c r="C1764" s="9"/>
      <c r="E1764" s="14" t="str">
        <f t="shared" si="139"/>
        <v/>
      </c>
      <c r="F1764" s="15" t="str">
        <f t="shared" ca="1" si="140"/>
        <v/>
      </c>
      <c r="G1764" s="15" t="str">
        <f t="shared" ca="1" si="141"/>
        <v/>
      </c>
      <c r="H1764" s="15" t="str">
        <f t="shared" ca="1" si="142"/>
        <v/>
      </c>
      <c r="I1764" s="16" t="str">
        <f t="shared" ca="1" si="143"/>
        <v/>
      </c>
    </row>
    <row r="1765" spans="1:9" x14ac:dyDescent="0.3">
      <c r="A1765" s="3"/>
      <c r="B1765" s="9"/>
      <c r="C1765" s="9"/>
      <c r="E1765" s="14" t="str">
        <f t="shared" si="139"/>
        <v/>
      </c>
      <c r="F1765" s="15" t="str">
        <f t="shared" ca="1" si="140"/>
        <v/>
      </c>
      <c r="G1765" s="15" t="str">
        <f t="shared" ca="1" si="141"/>
        <v/>
      </c>
      <c r="H1765" s="15" t="str">
        <f t="shared" ca="1" si="142"/>
        <v/>
      </c>
      <c r="I1765" s="16" t="str">
        <f t="shared" ca="1" si="143"/>
        <v/>
      </c>
    </row>
    <row r="1766" spans="1:9" x14ac:dyDescent="0.3">
      <c r="A1766" s="3"/>
      <c r="B1766" s="9"/>
      <c r="C1766" s="9"/>
      <c r="E1766" s="14" t="str">
        <f t="shared" si="139"/>
        <v/>
      </c>
      <c r="F1766" s="15" t="str">
        <f t="shared" ca="1" si="140"/>
        <v/>
      </c>
      <c r="G1766" s="15" t="str">
        <f t="shared" ca="1" si="141"/>
        <v/>
      </c>
      <c r="H1766" s="15" t="str">
        <f t="shared" ca="1" si="142"/>
        <v/>
      </c>
      <c r="I1766" s="16" t="str">
        <f t="shared" ca="1" si="143"/>
        <v/>
      </c>
    </row>
    <row r="1767" spans="1:9" x14ac:dyDescent="0.3">
      <c r="A1767" s="3"/>
      <c r="B1767" s="9"/>
      <c r="C1767" s="9"/>
      <c r="E1767" s="14" t="str">
        <f t="shared" si="139"/>
        <v/>
      </c>
      <c r="F1767" s="15" t="str">
        <f t="shared" ca="1" si="140"/>
        <v/>
      </c>
      <c r="G1767" s="15" t="str">
        <f t="shared" ca="1" si="141"/>
        <v/>
      </c>
      <c r="H1767" s="15" t="str">
        <f t="shared" ca="1" si="142"/>
        <v/>
      </c>
      <c r="I1767" s="16" t="str">
        <f t="shared" ca="1" si="143"/>
        <v/>
      </c>
    </row>
    <row r="1768" spans="1:9" x14ac:dyDescent="0.3">
      <c r="A1768" s="3"/>
      <c r="B1768" s="9"/>
      <c r="C1768" s="9"/>
      <c r="E1768" s="14" t="str">
        <f t="shared" si="139"/>
        <v/>
      </c>
      <c r="F1768" s="15" t="str">
        <f t="shared" ca="1" si="140"/>
        <v/>
      </c>
      <c r="G1768" s="15" t="str">
        <f t="shared" ca="1" si="141"/>
        <v/>
      </c>
      <c r="H1768" s="15" t="str">
        <f t="shared" ca="1" si="142"/>
        <v/>
      </c>
      <c r="I1768" s="16" t="str">
        <f t="shared" ca="1" si="143"/>
        <v/>
      </c>
    </row>
    <row r="1769" spans="1:9" x14ac:dyDescent="0.3">
      <c r="A1769" s="3"/>
      <c r="B1769" s="9"/>
      <c r="C1769" s="9"/>
      <c r="E1769" s="14" t="str">
        <f t="shared" si="139"/>
        <v/>
      </c>
      <c r="F1769" s="15" t="str">
        <f t="shared" ca="1" si="140"/>
        <v/>
      </c>
      <c r="G1769" s="15" t="str">
        <f t="shared" ca="1" si="141"/>
        <v/>
      </c>
      <c r="H1769" s="15" t="str">
        <f t="shared" ca="1" si="142"/>
        <v/>
      </c>
      <c r="I1769" s="16" t="str">
        <f t="shared" ca="1" si="143"/>
        <v/>
      </c>
    </row>
    <row r="1770" spans="1:9" x14ac:dyDescent="0.3">
      <c r="A1770" s="3"/>
      <c r="B1770" s="9"/>
      <c r="C1770" s="9"/>
      <c r="E1770" s="14" t="str">
        <f t="shared" si="139"/>
        <v/>
      </c>
      <c r="F1770" s="15" t="str">
        <f t="shared" ca="1" si="140"/>
        <v/>
      </c>
      <c r="G1770" s="15" t="str">
        <f t="shared" ca="1" si="141"/>
        <v/>
      </c>
      <c r="H1770" s="15" t="str">
        <f t="shared" ca="1" si="142"/>
        <v/>
      </c>
      <c r="I1770" s="16" t="str">
        <f t="shared" ca="1" si="143"/>
        <v/>
      </c>
    </row>
    <row r="1771" spans="1:9" x14ac:dyDescent="0.3">
      <c r="A1771" s="3"/>
      <c r="B1771" s="9"/>
      <c r="C1771" s="9"/>
      <c r="E1771" s="14" t="str">
        <f t="shared" si="139"/>
        <v/>
      </c>
      <c r="F1771" s="15" t="str">
        <f t="shared" ca="1" si="140"/>
        <v/>
      </c>
      <c r="G1771" s="15" t="str">
        <f t="shared" ca="1" si="141"/>
        <v/>
      </c>
      <c r="H1771" s="15" t="str">
        <f t="shared" ca="1" si="142"/>
        <v/>
      </c>
      <c r="I1771" s="16" t="str">
        <f t="shared" ca="1" si="143"/>
        <v/>
      </c>
    </row>
    <row r="1772" spans="1:9" x14ac:dyDescent="0.3">
      <c r="A1772" s="3"/>
      <c r="B1772" s="9"/>
      <c r="C1772" s="9"/>
      <c r="E1772" s="14" t="str">
        <f t="shared" si="139"/>
        <v/>
      </c>
      <c r="F1772" s="15" t="str">
        <f t="shared" ca="1" si="140"/>
        <v/>
      </c>
      <c r="G1772" s="15" t="str">
        <f t="shared" ca="1" si="141"/>
        <v/>
      </c>
      <c r="H1772" s="15" t="str">
        <f t="shared" ca="1" si="142"/>
        <v/>
      </c>
      <c r="I1772" s="16" t="str">
        <f t="shared" ca="1" si="143"/>
        <v/>
      </c>
    </row>
    <row r="1773" spans="1:9" x14ac:dyDescent="0.3">
      <c r="A1773" s="3"/>
      <c r="B1773" s="9"/>
      <c r="C1773" s="9"/>
      <c r="E1773" s="14" t="str">
        <f t="shared" si="139"/>
        <v/>
      </c>
      <c r="F1773" s="15" t="str">
        <f t="shared" ca="1" si="140"/>
        <v/>
      </c>
      <c r="G1773" s="15" t="str">
        <f t="shared" ca="1" si="141"/>
        <v/>
      </c>
      <c r="H1773" s="15" t="str">
        <f t="shared" ca="1" si="142"/>
        <v/>
      </c>
      <c r="I1773" s="16" t="str">
        <f t="shared" ca="1" si="143"/>
        <v/>
      </c>
    </row>
    <row r="1774" spans="1:9" x14ac:dyDescent="0.3">
      <c r="A1774" s="3"/>
      <c r="B1774" s="9"/>
      <c r="C1774" s="9"/>
      <c r="E1774" s="14" t="str">
        <f t="shared" si="139"/>
        <v/>
      </c>
      <c r="F1774" s="15" t="str">
        <f t="shared" ca="1" si="140"/>
        <v/>
      </c>
      <c r="G1774" s="15" t="str">
        <f t="shared" ca="1" si="141"/>
        <v/>
      </c>
      <c r="H1774" s="15" t="str">
        <f t="shared" ca="1" si="142"/>
        <v/>
      </c>
      <c r="I1774" s="16" t="str">
        <f t="shared" ca="1" si="143"/>
        <v/>
      </c>
    </row>
    <row r="1775" spans="1:9" x14ac:dyDescent="0.3">
      <c r="A1775" s="3"/>
      <c r="B1775" s="9"/>
      <c r="C1775" s="9"/>
      <c r="E1775" s="14" t="str">
        <f t="shared" si="139"/>
        <v/>
      </c>
      <c r="F1775" s="15" t="str">
        <f t="shared" ca="1" si="140"/>
        <v/>
      </c>
      <c r="G1775" s="15" t="str">
        <f t="shared" ca="1" si="141"/>
        <v/>
      </c>
      <c r="H1775" s="15" t="str">
        <f t="shared" ca="1" si="142"/>
        <v/>
      </c>
      <c r="I1775" s="16" t="str">
        <f t="shared" ca="1" si="143"/>
        <v/>
      </c>
    </row>
    <row r="1776" spans="1:9" x14ac:dyDescent="0.3">
      <c r="A1776" s="3"/>
      <c r="B1776" s="9"/>
      <c r="C1776" s="9"/>
      <c r="E1776" s="14" t="str">
        <f t="shared" si="139"/>
        <v/>
      </c>
      <c r="F1776" s="15" t="str">
        <f t="shared" ca="1" si="140"/>
        <v/>
      </c>
      <c r="G1776" s="15" t="str">
        <f t="shared" ca="1" si="141"/>
        <v/>
      </c>
      <c r="H1776" s="15" t="str">
        <f t="shared" ca="1" si="142"/>
        <v/>
      </c>
      <c r="I1776" s="16" t="str">
        <f t="shared" ca="1" si="143"/>
        <v/>
      </c>
    </row>
    <row r="1777" spans="1:9" x14ac:dyDescent="0.3">
      <c r="A1777" s="3"/>
      <c r="B1777" s="9"/>
      <c r="C1777" s="9"/>
      <c r="E1777" s="14" t="str">
        <f t="shared" si="139"/>
        <v/>
      </c>
      <c r="F1777" s="15" t="str">
        <f t="shared" ca="1" si="140"/>
        <v/>
      </c>
      <c r="G1777" s="15" t="str">
        <f t="shared" ca="1" si="141"/>
        <v/>
      </c>
      <c r="H1777" s="15" t="str">
        <f t="shared" ca="1" si="142"/>
        <v/>
      </c>
      <c r="I1777" s="16" t="str">
        <f t="shared" ca="1" si="143"/>
        <v/>
      </c>
    </row>
    <row r="1778" spans="1:9" x14ac:dyDescent="0.3">
      <c r="A1778" s="3"/>
      <c r="B1778" s="9"/>
      <c r="C1778" s="9"/>
      <c r="E1778" s="14" t="str">
        <f t="shared" si="139"/>
        <v/>
      </c>
      <c r="F1778" s="15" t="str">
        <f t="shared" ca="1" si="140"/>
        <v/>
      </c>
      <c r="G1778" s="15" t="str">
        <f t="shared" ca="1" si="141"/>
        <v/>
      </c>
      <c r="H1778" s="15" t="str">
        <f t="shared" ca="1" si="142"/>
        <v/>
      </c>
      <c r="I1778" s="16" t="str">
        <f t="shared" ca="1" si="143"/>
        <v/>
      </c>
    </row>
    <row r="1779" spans="1:9" x14ac:dyDescent="0.3">
      <c r="A1779" s="3"/>
      <c r="B1779" s="9"/>
      <c r="C1779" s="9"/>
      <c r="E1779" s="14" t="str">
        <f t="shared" si="139"/>
        <v/>
      </c>
      <c r="F1779" s="15" t="str">
        <f t="shared" ca="1" si="140"/>
        <v/>
      </c>
      <c r="G1779" s="15" t="str">
        <f t="shared" ca="1" si="141"/>
        <v/>
      </c>
      <c r="H1779" s="15" t="str">
        <f t="shared" ca="1" si="142"/>
        <v/>
      </c>
      <c r="I1779" s="16" t="str">
        <f t="shared" ca="1" si="143"/>
        <v/>
      </c>
    </row>
    <row r="1780" spans="1:9" x14ac:dyDescent="0.3">
      <c r="A1780" s="3"/>
      <c r="B1780" s="9"/>
      <c r="C1780" s="9"/>
      <c r="E1780" s="14" t="str">
        <f t="shared" si="139"/>
        <v/>
      </c>
      <c r="F1780" s="15" t="str">
        <f t="shared" ca="1" si="140"/>
        <v/>
      </c>
      <c r="G1780" s="15" t="str">
        <f t="shared" ca="1" si="141"/>
        <v/>
      </c>
      <c r="H1780" s="15" t="str">
        <f t="shared" ca="1" si="142"/>
        <v/>
      </c>
      <c r="I1780" s="16" t="str">
        <f t="shared" ca="1" si="143"/>
        <v/>
      </c>
    </row>
    <row r="1781" spans="1:9" x14ac:dyDescent="0.3">
      <c r="A1781" s="3"/>
      <c r="B1781" s="9"/>
      <c r="C1781" s="9"/>
      <c r="E1781" s="14" t="str">
        <f t="shared" si="139"/>
        <v/>
      </c>
      <c r="F1781" s="15" t="str">
        <f t="shared" ca="1" si="140"/>
        <v/>
      </c>
      <c r="G1781" s="15" t="str">
        <f t="shared" ca="1" si="141"/>
        <v/>
      </c>
      <c r="H1781" s="15" t="str">
        <f t="shared" ca="1" si="142"/>
        <v/>
      </c>
      <c r="I1781" s="16" t="str">
        <f t="shared" ca="1" si="143"/>
        <v/>
      </c>
    </row>
    <row r="1782" spans="1:9" x14ac:dyDescent="0.3">
      <c r="A1782" s="3"/>
      <c r="B1782" s="9"/>
      <c r="C1782" s="9"/>
      <c r="E1782" s="14" t="str">
        <f t="shared" si="139"/>
        <v/>
      </c>
      <c r="F1782" s="15" t="str">
        <f t="shared" ca="1" si="140"/>
        <v/>
      </c>
      <c r="G1782" s="15" t="str">
        <f t="shared" ca="1" si="141"/>
        <v/>
      </c>
      <c r="H1782" s="15" t="str">
        <f t="shared" ca="1" si="142"/>
        <v/>
      </c>
      <c r="I1782" s="16" t="str">
        <f t="shared" ca="1" si="143"/>
        <v/>
      </c>
    </row>
    <row r="1783" spans="1:9" x14ac:dyDescent="0.3">
      <c r="A1783" s="3"/>
      <c r="B1783" s="9"/>
      <c r="C1783" s="9"/>
      <c r="E1783" s="14" t="str">
        <f t="shared" si="139"/>
        <v/>
      </c>
      <c r="F1783" s="15" t="str">
        <f t="shared" ca="1" si="140"/>
        <v/>
      </c>
      <c r="G1783" s="15" t="str">
        <f t="shared" ca="1" si="141"/>
        <v/>
      </c>
      <c r="H1783" s="15" t="str">
        <f t="shared" ca="1" si="142"/>
        <v/>
      </c>
      <c r="I1783" s="16" t="str">
        <f t="shared" ca="1" si="143"/>
        <v/>
      </c>
    </row>
    <row r="1784" spans="1:9" x14ac:dyDescent="0.3">
      <c r="A1784" s="3"/>
      <c r="B1784" s="9"/>
      <c r="C1784" s="9"/>
      <c r="E1784" s="14" t="str">
        <f t="shared" si="139"/>
        <v/>
      </c>
      <c r="F1784" s="15" t="str">
        <f t="shared" ca="1" si="140"/>
        <v/>
      </c>
      <c r="G1784" s="15" t="str">
        <f t="shared" ca="1" si="141"/>
        <v/>
      </c>
      <c r="H1784" s="15" t="str">
        <f t="shared" ca="1" si="142"/>
        <v/>
      </c>
      <c r="I1784" s="16" t="str">
        <f t="shared" ca="1" si="143"/>
        <v/>
      </c>
    </row>
    <row r="1785" spans="1:9" x14ac:dyDescent="0.3">
      <c r="A1785" s="3"/>
      <c r="B1785" s="9"/>
      <c r="C1785" s="9"/>
      <c r="E1785" s="14" t="str">
        <f t="shared" si="139"/>
        <v/>
      </c>
      <c r="F1785" s="15" t="str">
        <f t="shared" ca="1" si="140"/>
        <v/>
      </c>
      <c r="G1785" s="15" t="str">
        <f t="shared" ca="1" si="141"/>
        <v/>
      </c>
      <c r="H1785" s="15" t="str">
        <f t="shared" ca="1" si="142"/>
        <v/>
      </c>
      <c r="I1785" s="16" t="str">
        <f t="shared" ca="1" si="143"/>
        <v/>
      </c>
    </row>
    <row r="1786" spans="1:9" x14ac:dyDescent="0.3">
      <c r="A1786" s="3"/>
      <c r="B1786" s="9"/>
      <c r="C1786" s="9"/>
      <c r="E1786" s="14" t="str">
        <f t="shared" si="139"/>
        <v/>
      </c>
      <c r="F1786" s="15" t="str">
        <f t="shared" ca="1" si="140"/>
        <v/>
      </c>
      <c r="G1786" s="15" t="str">
        <f t="shared" ca="1" si="141"/>
        <v/>
      </c>
      <c r="H1786" s="15" t="str">
        <f t="shared" ca="1" si="142"/>
        <v/>
      </c>
      <c r="I1786" s="16" t="str">
        <f t="shared" ca="1" si="143"/>
        <v/>
      </c>
    </row>
    <row r="1787" spans="1:9" x14ac:dyDescent="0.3">
      <c r="A1787" s="3"/>
      <c r="B1787" s="9"/>
      <c r="C1787" s="9"/>
      <c r="E1787" s="14" t="str">
        <f t="shared" si="139"/>
        <v/>
      </c>
      <c r="F1787" s="15" t="str">
        <f t="shared" ca="1" si="140"/>
        <v/>
      </c>
      <c r="G1787" s="15" t="str">
        <f t="shared" ca="1" si="141"/>
        <v/>
      </c>
      <c r="H1787" s="15" t="str">
        <f t="shared" ca="1" si="142"/>
        <v/>
      </c>
      <c r="I1787" s="16" t="str">
        <f t="shared" ca="1" si="143"/>
        <v/>
      </c>
    </row>
    <row r="1788" spans="1:9" x14ac:dyDescent="0.3">
      <c r="A1788" s="3"/>
      <c r="B1788" s="9"/>
      <c r="C1788" s="9"/>
      <c r="E1788" s="14" t="str">
        <f t="shared" si="139"/>
        <v/>
      </c>
      <c r="F1788" s="15" t="str">
        <f t="shared" ca="1" si="140"/>
        <v/>
      </c>
      <c r="G1788" s="15" t="str">
        <f t="shared" ca="1" si="141"/>
        <v/>
      </c>
      <c r="H1788" s="15" t="str">
        <f t="shared" ca="1" si="142"/>
        <v/>
      </c>
      <c r="I1788" s="16" t="str">
        <f t="shared" ca="1" si="143"/>
        <v/>
      </c>
    </row>
    <row r="1789" spans="1:9" x14ac:dyDescent="0.3">
      <c r="A1789" s="3"/>
      <c r="B1789" s="9"/>
      <c r="C1789" s="9"/>
      <c r="E1789" s="14" t="str">
        <f t="shared" si="139"/>
        <v/>
      </c>
      <c r="F1789" s="15" t="str">
        <f t="shared" ca="1" si="140"/>
        <v/>
      </c>
      <c r="G1789" s="15" t="str">
        <f t="shared" ca="1" si="141"/>
        <v/>
      </c>
      <c r="H1789" s="15" t="str">
        <f t="shared" ca="1" si="142"/>
        <v/>
      </c>
      <c r="I1789" s="16" t="str">
        <f t="shared" ca="1" si="143"/>
        <v/>
      </c>
    </row>
    <row r="1790" spans="1:9" x14ac:dyDescent="0.3">
      <c r="A1790" s="3"/>
      <c r="B1790" s="9"/>
      <c r="C1790" s="9"/>
      <c r="E1790" s="14" t="str">
        <f t="shared" si="139"/>
        <v/>
      </c>
      <c r="F1790" s="15" t="str">
        <f t="shared" ca="1" si="140"/>
        <v/>
      </c>
      <c r="G1790" s="15" t="str">
        <f t="shared" ca="1" si="141"/>
        <v/>
      </c>
      <c r="H1790" s="15" t="str">
        <f t="shared" ca="1" si="142"/>
        <v/>
      </c>
      <c r="I1790" s="16" t="str">
        <f t="shared" ca="1" si="143"/>
        <v/>
      </c>
    </row>
    <row r="1791" spans="1:9" x14ac:dyDescent="0.3">
      <c r="A1791" s="3"/>
      <c r="B1791" s="9"/>
      <c r="C1791" s="9"/>
      <c r="E1791" s="14" t="str">
        <f t="shared" si="139"/>
        <v/>
      </c>
      <c r="F1791" s="15" t="str">
        <f t="shared" ca="1" si="140"/>
        <v/>
      </c>
      <c r="G1791" s="15" t="str">
        <f t="shared" ca="1" si="141"/>
        <v/>
      </c>
      <c r="H1791" s="15" t="str">
        <f t="shared" ca="1" si="142"/>
        <v/>
      </c>
      <c r="I1791" s="16" t="str">
        <f t="shared" ca="1" si="143"/>
        <v/>
      </c>
    </row>
    <row r="1792" spans="1:9" x14ac:dyDescent="0.3">
      <c r="A1792" s="3"/>
      <c r="B1792" s="9"/>
      <c r="C1792" s="9"/>
      <c r="E1792" s="14" t="str">
        <f t="shared" si="139"/>
        <v/>
      </c>
      <c r="F1792" s="15" t="str">
        <f t="shared" ca="1" si="140"/>
        <v/>
      </c>
      <c r="G1792" s="15" t="str">
        <f t="shared" ca="1" si="141"/>
        <v/>
      </c>
      <c r="H1792" s="15" t="str">
        <f t="shared" ca="1" si="142"/>
        <v/>
      </c>
      <c r="I1792" s="16" t="str">
        <f t="shared" ca="1" si="143"/>
        <v/>
      </c>
    </row>
    <row r="1793" spans="1:9" x14ac:dyDescent="0.3">
      <c r="A1793" s="3"/>
      <c r="B1793" s="9"/>
      <c r="C1793" s="9"/>
      <c r="E1793" s="14" t="str">
        <f t="shared" si="139"/>
        <v/>
      </c>
      <c r="F1793" s="15" t="str">
        <f t="shared" ca="1" si="140"/>
        <v/>
      </c>
      <c r="G1793" s="15" t="str">
        <f t="shared" ca="1" si="141"/>
        <v/>
      </c>
      <c r="H1793" s="15" t="str">
        <f t="shared" ca="1" si="142"/>
        <v/>
      </c>
      <c r="I1793" s="16" t="str">
        <f t="shared" ca="1" si="143"/>
        <v/>
      </c>
    </row>
    <row r="1794" spans="1:9" x14ac:dyDescent="0.3">
      <c r="A1794" s="3"/>
      <c r="B1794" s="9"/>
      <c r="C1794" s="9"/>
      <c r="E1794" s="14" t="str">
        <f t="shared" si="139"/>
        <v/>
      </c>
      <c r="F1794" s="15" t="str">
        <f t="shared" ca="1" si="140"/>
        <v/>
      </c>
      <c r="G1794" s="15" t="str">
        <f t="shared" ca="1" si="141"/>
        <v/>
      </c>
      <c r="H1794" s="15" t="str">
        <f t="shared" ca="1" si="142"/>
        <v/>
      </c>
      <c r="I1794" s="16" t="str">
        <f t="shared" ca="1" si="143"/>
        <v/>
      </c>
    </row>
    <row r="1795" spans="1:9" x14ac:dyDescent="0.3">
      <c r="A1795" s="3"/>
      <c r="B1795" s="9"/>
      <c r="C1795" s="9"/>
      <c r="E1795" s="14" t="str">
        <f t="shared" ref="E1795:E1858" si="144">IF(ISNUMBER(B1795),B1795/C1795,"")</f>
        <v/>
      </c>
      <c r="F1795" s="15" t="str">
        <f t="shared" ca="1" si="140"/>
        <v/>
      </c>
      <c r="G1795" s="15" t="str">
        <f t="shared" ca="1" si="141"/>
        <v/>
      </c>
      <c r="H1795" s="15" t="str">
        <f t="shared" ca="1" si="142"/>
        <v/>
      </c>
      <c r="I1795" s="16" t="str">
        <f t="shared" ca="1" si="143"/>
        <v/>
      </c>
    </row>
    <row r="1796" spans="1:9" x14ac:dyDescent="0.3">
      <c r="A1796" s="3"/>
      <c r="B1796" s="9"/>
      <c r="C1796" s="9"/>
      <c r="E1796" s="14" t="str">
        <f t="shared" si="144"/>
        <v/>
      </c>
      <c r="F1796" s="15" t="str">
        <f t="shared" ca="1" si="140"/>
        <v/>
      </c>
      <c r="G1796" s="15" t="str">
        <f t="shared" ca="1" si="141"/>
        <v/>
      </c>
      <c r="H1796" s="15" t="str">
        <f t="shared" ca="1" si="142"/>
        <v/>
      </c>
      <c r="I1796" s="16" t="str">
        <f t="shared" ca="1" si="143"/>
        <v/>
      </c>
    </row>
    <row r="1797" spans="1:9" x14ac:dyDescent="0.3">
      <c r="A1797" s="3"/>
      <c r="B1797" s="9"/>
      <c r="C1797" s="9"/>
      <c r="E1797" s="14" t="str">
        <f t="shared" si="144"/>
        <v/>
      </c>
      <c r="F1797" s="15" t="str">
        <f t="shared" ca="1" si="140"/>
        <v/>
      </c>
      <c r="G1797" s="15" t="str">
        <f t="shared" ca="1" si="141"/>
        <v/>
      </c>
      <c r="H1797" s="15" t="str">
        <f t="shared" ca="1" si="142"/>
        <v/>
      </c>
      <c r="I1797" s="16" t="str">
        <f t="shared" ca="1" si="143"/>
        <v/>
      </c>
    </row>
    <row r="1798" spans="1:9" x14ac:dyDescent="0.3">
      <c r="A1798" s="3"/>
      <c r="B1798" s="9"/>
      <c r="C1798" s="9"/>
      <c r="E1798" s="14" t="str">
        <f t="shared" si="144"/>
        <v/>
      </c>
      <c r="F1798" s="15" t="str">
        <f t="shared" ca="1" si="140"/>
        <v/>
      </c>
      <c r="G1798" s="15" t="str">
        <f t="shared" ca="1" si="141"/>
        <v/>
      </c>
      <c r="H1798" s="15" t="str">
        <f t="shared" ca="1" si="142"/>
        <v/>
      </c>
      <c r="I1798" s="16" t="str">
        <f t="shared" ca="1" si="143"/>
        <v/>
      </c>
    </row>
    <row r="1799" spans="1:9" x14ac:dyDescent="0.3">
      <c r="A1799" s="3"/>
      <c r="B1799" s="9"/>
      <c r="C1799" s="9"/>
      <c r="E1799" s="14" t="str">
        <f t="shared" si="144"/>
        <v/>
      </c>
      <c r="F1799" s="15" t="str">
        <f t="shared" ca="1" si="140"/>
        <v/>
      </c>
      <c r="G1799" s="15" t="str">
        <f t="shared" ca="1" si="141"/>
        <v/>
      </c>
      <c r="H1799" s="15" t="str">
        <f t="shared" ca="1" si="142"/>
        <v/>
      </c>
      <c r="I1799" s="16" t="str">
        <f t="shared" ca="1" si="143"/>
        <v/>
      </c>
    </row>
    <row r="1800" spans="1:9" x14ac:dyDescent="0.3">
      <c r="A1800" s="3"/>
      <c r="B1800" s="9"/>
      <c r="C1800" s="9"/>
      <c r="E1800" s="14" t="str">
        <f t="shared" si="144"/>
        <v/>
      </c>
      <c r="F1800" s="15" t="str">
        <f t="shared" ca="1" si="140"/>
        <v/>
      </c>
      <c r="G1800" s="15" t="str">
        <f t="shared" ca="1" si="141"/>
        <v/>
      </c>
      <c r="H1800" s="15" t="str">
        <f t="shared" ca="1" si="142"/>
        <v/>
      </c>
      <c r="I1800" s="16" t="str">
        <f t="shared" ca="1" si="143"/>
        <v/>
      </c>
    </row>
    <row r="1801" spans="1:9" x14ac:dyDescent="0.3">
      <c r="A1801" s="3"/>
      <c r="B1801" s="9"/>
      <c r="C1801" s="9"/>
      <c r="E1801" s="14" t="str">
        <f t="shared" si="144"/>
        <v/>
      </c>
      <c r="F1801" s="15" t="str">
        <f t="shared" ca="1" si="140"/>
        <v/>
      </c>
      <c r="G1801" s="15" t="str">
        <f t="shared" ca="1" si="141"/>
        <v/>
      </c>
      <c r="H1801" s="15" t="str">
        <f t="shared" ca="1" si="142"/>
        <v/>
      </c>
      <c r="I1801" s="16" t="str">
        <f t="shared" ca="1" si="143"/>
        <v/>
      </c>
    </row>
    <row r="1802" spans="1:9" x14ac:dyDescent="0.3">
      <c r="A1802" s="3"/>
      <c r="B1802" s="9"/>
      <c r="C1802" s="9"/>
      <c r="E1802" s="14" t="str">
        <f t="shared" si="144"/>
        <v/>
      </c>
      <c r="F1802" s="15" t="str">
        <f t="shared" ca="1" si="140"/>
        <v/>
      </c>
      <c r="G1802" s="15" t="str">
        <f t="shared" ca="1" si="141"/>
        <v/>
      </c>
      <c r="H1802" s="15" t="str">
        <f t="shared" ca="1" si="142"/>
        <v/>
      </c>
      <c r="I1802" s="16" t="str">
        <f t="shared" ca="1" si="143"/>
        <v/>
      </c>
    </row>
    <row r="1803" spans="1:9" x14ac:dyDescent="0.3">
      <c r="A1803" s="3"/>
      <c r="B1803" s="9"/>
      <c r="C1803" s="9"/>
      <c r="E1803" s="14" t="str">
        <f t="shared" si="144"/>
        <v/>
      </c>
      <c r="F1803" s="15" t="str">
        <f t="shared" ca="1" si="140"/>
        <v/>
      </c>
      <c r="G1803" s="15" t="str">
        <f t="shared" ca="1" si="141"/>
        <v/>
      </c>
      <c r="H1803" s="15" t="str">
        <f t="shared" ca="1" si="142"/>
        <v/>
      </c>
      <c r="I1803" s="16" t="str">
        <f t="shared" ca="1" si="143"/>
        <v/>
      </c>
    </row>
    <row r="1804" spans="1:9" x14ac:dyDescent="0.3">
      <c r="A1804" s="3"/>
      <c r="B1804" s="9"/>
      <c r="C1804" s="9"/>
      <c r="E1804" s="14" t="str">
        <f t="shared" si="144"/>
        <v/>
      </c>
      <c r="F1804" s="15" t="str">
        <f t="shared" ca="1" si="140"/>
        <v/>
      </c>
      <c r="G1804" s="15" t="str">
        <f t="shared" ca="1" si="141"/>
        <v/>
      </c>
      <c r="H1804" s="15" t="str">
        <f t="shared" ca="1" si="142"/>
        <v/>
      </c>
      <c r="I1804" s="16" t="str">
        <f t="shared" ca="1" si="143"/>
        <v/>
      </c>
    </row>
    <row r="1805" spans="1:9" x14ac:dyDescent="0.3">
      <c r="A1805" s="3"/>
      <c r="B1805" s="9"/>
      <c r="C1805" s="9"/>
      <c r="E1805" s="14" t="str">
        <f t="shared" si="144"/>
        <v/>
      </c>
      <c r="F1805" s="15" t="str">
        <f t="shared" ca="1" si="140"/>
        <v/>
      </c>
      <c r="G1805" s="15" t="str">
        <f t="shared" ca="1" si="141"/>
        <v/>
      </c>
      <c r="H1805" s="15" t="str">
        <f t="shared" ca="1" si="142"/>
        <v/>
      </c>
      <c r="I1805" s="16" t="str">
        <f t="shared" ca="1" si="143"/>
        <v/>
      </c>
    </row>
    <row r="1806" spans="1:9" x14ac:dyDescent="0.3">
      <c r="A1806" s="3"/>
      <c r="B1806" s="9"/>
      <c r="C1806" s="9"/>
      <c r="E1806" s="14" t="str">
        <f t="shared" si="144"/>
        <v/>
      </c>
      <c r="F1806" s="15" t="str">
        <f t="shared" ca="1" si="140"/>
        <v/>
      </c>
      <c r="G1806" s="15" t="str">
        <f t="shared" ca="1" si="141"/>
        <v/>
      </c>
      <c r="H1806" s="15" t="str">
        <f t="shared" ca="1" si="142"/>
        <v/>
      </c>
      <c r="I1806" s="16" t="str">
        <f t="shared" ca="1" si="143"/>
        <v/>
      </c>
    </row>
    <row r="1807" spans="1:9" x14ac:dyDescent="0.3">
      <c r="A1807" s="3"/>
      <c r="B1807" s="9"/>
      <c r="C1807" s="9"/>
      <c r="E1807" s="14" t="str">
        <f t="shared" si="144"/>
        <v/>
      </c>
      <c r="F1807" s="15" t="str">
        <f t="shared" ca="1" si="140"/>
        <v/>
      </c>
      <c r="G1807" s="15" t="str">
        <f t="shared" ca="1" si="141"/>
        <v/>
      </c>
      <c r="H1807" s="15" t="str">
        <f t="shared" ca="1" si="142"/>
        <v/>
      </c>
      <c r="I1807" s="16" t="str">
        <f t="shared" ca="1" si="143"/>
        <v/>
      </c>
    </row>
    <row r="1808" spans="1:9" x14ac:dyDescent="0.3">
      <c r="A1808" s="3"/>
      <c r="B1808" s="9"/>
      <c r="C1808" s="9"/>
      <c r="E1808" s="14" t="str">
        <f t="shared" si="144"/>
        <v/>
      </c>
      <c r="F1808" s="15" t="str">
        <f t="shared" ca="1" si="140"/>
        <v/>
      </c>
      <c r="G1808" s="15" t="str">
        <f t="shared" ca="1" si="141"/>
        <v/>
      </c>
      <c r="H1808" s="15" t="str">
        <f t="shared" ca="1" si="142"/>
        <v/>
      </c>
      <c r="I1808" s="16" t="str">
        <f t="shared" ca="1" si="143"/>
        <v/>
      </c>
    </row>
    <row r="1809" spans="1:9" x14ac:dyDescent="0.3">
      <c r="A1809" s="3"/>
      <c r="B1809" s="9"/>
      <c r="C1809" s="9"/>
      <c r="E1809" s="14" t="str">
        <f t="shared" si="144"/>
        <v/>
      </c>
      <c r="F1809" s="15" t="str">
        <f t="shared" ref="F1809:F1872" ca="1" si="145">IF(ISNUMBER(E1809),IF(ROW(E1809)&gt;$K$1,AVERAGE(OFFSET(E1809,0,0,-$K$1)),""),"")</f>
        <v/>
      </c>
      <c r="G1809" s="15" t="str">
        <f t="shared" ref="G1809:G1872" ca="1" si="146">IF(ISNUMBER(I1809),F1809+I1809*$M$1,"")</f>
        <v/>
      </c>
      <c r="H1809" s="15" t="str">
        <f t="shared" ref="H1809:H1872" ca="1" si="147">IF(ISNUMBER(I1809),F1809-I1809*$M$1,"")</f>
        <v/>
      </c>
      <c r="I1809" s="16" t="str">
        <f t="shared" ref="I1809:I1872" ca="1" si="148">IF(ISNUMBER(E1809),IF(ROW(E1809)&gt;$K$1,_xlfn.STDEV.P(OFFSET(E1809,0,0,-$K$1)),""),"")</f>
        <v/>
      </c>
    </row>
    <row r="1810" spans="1:9" x14ac:dyDescent="0.3">
      <c r="A1810" s="3"/>
      <c r="B1810" s="9"/>
      <c r="C1810" s="9"/>
      <c r="E1810" s="14" t="str">
        <f t="shared" si="144"/>
        <v/>
      </c>
      <c r="F1810" s="15" t="str">
        <f t="shared" ca="1" si="145"/>
        <v/>
      </c>
      <c r="G1810" s="15" t="str">
        <f t="shared" ca="1" si="146"/>
        <v/>
      </c>
      <c r="H1810" s="15" t="str">
        <f t="shared" ca="1" si="147"/>
        <v/>
      </c>
      <c r="I1810" s="16" t="str">
        <f t="shared" ca="1" si="148"/>
        <v/>
      </c>
    </row>
    <row r="1811" spans="1:9" x14ac:dyDescent="0.3">
      <c r="A1811" s="3"/>
      <c r="B1811" s="9"/>
      <c r="C1811" s="9"/>
      <c r="E1811" s="14" t="str">
        <f t="shared" si="144"/>
        <v/>
      </c>
      <c r="F1811" s="15" t="str">
        <f t="shared" ca="1" si="145"/>
        <v/>
      </c>
      <c r="G1811" s="15" t="str">
        <f t="shared" ca="1" si="146"/>
        <v/>
      </c>
      <c r="H1811" s="15" t="str">
        <f t="shared" ca="1" si="147"/>
        <v/>
      </c>
      <c r="I1811" s="16" t="str">
        <f t="shared" ca="1" si="148"/>
        <v/>
      </c>
    </row>
    <row r="1812" spans="1:9" x14ac:dyDescent="0.3">
      <c r="A1812" s="3"/>
      <c r="B1812" s="9"/>
      <c r="C1812" s="9"/>
      <c r="E1812" s="14" t="str">
        <f t="shared" si="144"/>
        <v/>
      </c>
      <c r="F1812" s="15" t="str">
        <f t="shared" ca="1" si="145"/>
        <v/>
      </c>
      <c r="G1812" s="15" t="str">
        <f t="shared" ca="1" si="146"/>
        <v/>
      </c>
      <c r="H1812" s="15" t="str">
        <f t="shared" ca="1" si="147"/>
        <v/>
      </c>
      <c r="I1812" s="16" t="str">
        <f t="shared" ca="1" si="148"/>
        <v/>
      </c>
    </row>
    <row r="1813" spans="1:9" x14ac:dyDescent="0.3">
      <c r="A1813" s="3"/>
      <c r="B1813" s="9"/>
      <c r="C1813" s="9"/>
      <c r="E1813" s="14" t="str">
        <f t="shared" si="144"/>
        <v/>
      </c>
      <c r="F1813" s="15" t="str">
        <f t="shared" ca="1" si="145"/>
        <v/>
      </c>
      <c r="G1813" s="15" t="str">
        <f t="shared" ca="1" si="146"/>
        <v/>
      </c>
      <c r="H1813" s="15" t="str">
        <f t="shared" ca="1" si="147"/>
        <v/>
      </c>
      <c r="I1813" s="16" t="str">
        <f t="shared" ca="1" si="148"/>
        <v/>
      </c>
    </row>
    <row r="1814" spans="1:9" x14ac:dyDescent="0.3">
      <c r="A1814" s="3"/>
      <c r="B1814" s="9"/>
      <c r="C1814" s="9"/>
      <c r="E1814" s="14" t="str">
        <f t="shared" si="144"/>
        <v/>
      </c>
      <c r="F1814" s="15" t="str">
        <f t="shared" ca="1" si="145"/>
        <v/>
      </c>
      <c r="G1814" s="15" t="str">
        <f t="shared" ca="1" si="146"/>
        <v/>
      </c>
      <c r="H1814" s="15" t="str">
        <f t="shared" ca="1" si="147"/>
        <v/>
      </c>
      <c r="I1814" s="16" t="str">
        <f t="shared" ca="1" si="148"/>
        <v/>
      </c>
    </row>
    <row r="1815" spans="1:9" x14ac:dyDescent="0.3">
      <c r="A1815" s="3"/>
      <c r="B1815" s="9"/>
      <c r="C1815" s="9"/>
      <c r="E1815" s="14" t="str">
        <f t="shared" si="144"/>
        <v/>
      </c>
      <c r="F1815" s="15" t="str">
        <f t="shared" ca="1" si="145"/>
        <v/>
      </c>
      <c r="G1815" s="15" t="str">
        <f t="shared" ca="1" si="146"/>
        <v/>
      </c>
      <c r="H1815" s="15" t="str">
        <f t="shared" ca="1" si="147"/>
        <v/>
      </c>
      <c r="I1815" s="16" t="str">
        <f t="shared" ca="1" si="148"/>
        <v/>
      </c>
    </row>
    <row r="1816" spans="1:9" x14ac:dyDescent="0.3">
      <c r="A1816" s="3"/>
      <c r="B1816" s="9"/>
      <c r="C1816" s="9"/>
      <c r="E1816" s="14" t="str">
        <f t="shared" si="144"/>
        <v/>
      </c>
      <c r="F1816" s="15" t="str">
        <f t="shared" ca="1" si="145"/>
        <v/>
      </c>
      <c r="G1816" s="15" t="str">
        <f t="shared" ca="1" si="146"/>
        <v/>
      </c>
      <c r="H1816" s="15" t="str">
        <f t="shared" ca="1" si="147"/>
        <v/>
      </c>
      <c r="I1816" s="16" t="str">
        <f t="shared" ca="1" si="148"/>
        <v/>
      </c>
    </row>
    <row r="1817" spans="1:9" x14ac:dyDescent="0.3">
      <c r="A1817" s="3"/>
      <c r="B1817" s="9"/>
      <c r="C1817" s="9"/>
      <c r="E1817" s="14" t="str">
        <f t="shared" si="144"/>
        <v/>
      </c>
      <c r="F1817" s="15" t="str">
        <f t="shared" ca="1" si="145"/>
        <v/>
      </c>
      <c r="G1817" s="15" t="str">
        <f t="shared" ca="1" si="146"/>
        <v/>
      </c>
      <c r="H1817" s="15" t="str">
        <f t="shared" ca="1" si="147"/>
        <v/>
      </c>
      <c r="I1817" s="16" t="str">
        <f t="shared" ca="1" si="148"/>
        <v/>
      </c>
    </row>
    <row r="1818" spans="1:9" x14ac:dyDescent="0.3">
      <c r="A1818" s="3"/>
      <c r="B1818" s="9"/>
      <c r="C1818" s="9"/>
      <c r="E1818" s="14" t="str">
        <f t="shared" si="144"/>
        <v/>
      </c>
      <c r="F1818" s="15" t="str">
        <f t="shared" ca="1" si="145"/>
        <v/>
      </c>
      <c r="G1818" s="15" t="str">
        <f t="shared" ca="1" si="146"/>
        <v/>
      </c>
      <c r="H1818" s="15" t="str">
        <f t="shared" ca="1" si="147"/>
        <v/>
      </c>
      <c r="I1818" s="16" t="str">
        <f t="shared" ca="1" si="148"/>
        <v/>
      </c>
    </row>
    <row r="1819" spans="1:9" x14ac:dyDescent="0.3">
      <c r="A1819" s="3"/>
      <c r="B1819" s="9"/>
      <c r="C1819" s="9"/>
      <c r="E1819" s="14" t="str">
        <f t="shared" si="144"/>
        <v/>
      </c>
      <c r="F1819" s="15" t="str">
        <f t="shared" ca="1" si="145"/>
        <v/>
      </c>
      <c r="G1819" s="15" t="str">
        <f t="shared" ca="1" si="146"/>
        <v/>
      </c>
      <c r="H1819" s="15" t="str">
        <f t="shared" ca="1" si="147"/>
        <v/>
      </c>
      <c r="I1819" s="16" t="str">
        <f t="shared" ca="1" si="148"/>
        <v/>
      </c>
    </row>
    <row r="1820" spans="1:9" x14ac:dyDescent="0.3">
      <c r="A1820" s="3"/>
      <c r="B1820" s="9"/>
      <c r="C1820" s="9"/>
      <c r="E1820" s="14" t="str">
        <f t="shared" si="144"/>
        <v/>
      </c>
      <c r="F1820" s="15" t="str">
        <f t="shared" ca="1" si="145"/>
        <v/>
      </c>
      <c r="G1820" s="15" t="str">
        <f t="shared" ca="1" si="146"/>
        <v/>
      </c>
      <c r="H1820" s="15" t="str">
        <f t="shared" ca="1" si="147"/>
        <v/>
      </c>
      <c r="I1820" s="16" t="str">
        <f t="shared" ca="1" si="148"/>
        <v/>
      </c>
    </row>
    <row r="1821" spans="1:9" x14ac:dyDescent="0.3">
      <c r="A1821" s="3"/>
      <c r="B1821" s="9"/>
      <c r="C1821" s="9"/>
      <c r="E1821" s="14" t="str">
        <f t="shared" si="144"/>
        <v/>
      </c>
      <c r="F1821" s="15" t="str">
        <f t="shared" ca="1" si="145"/>
        <v/>
      </c>
      <c r="G1821" s="15" t="str">
        <f t="shared" ca="1" si="146"/>
        <v/>
      </c>
      <c r="H1821" s="15" t="str">
        <f t="shared" ca="1" si="147"/>
        <v/>
      </c>
      <c r="I1821" s="16" t="str">
        <f t="shared" ca="1" si="148"/>
        <v/>
      </c>
    </row>
    <row r="1822" spans="1:9" x14ac:dyDescent="0.3">
      <c r="A1822" s="3"/>
      <c r="B1822" s="9"/>
      <c r="C1822" s="9"/>
      <c r="E1822" s="14" t="str">
        <f t="shared" si="144"/>
        <v/>
      </c>
      <c r="F1822" s="15" t="str">
        <f t="shared" ca="1" si="145"/>
        <v/>
      </c>
      <c r="G1822" s="15" t="str">
        <f t="shared" ca="1" si="146"/>
        <v/>
      </c>
      <c r="H1822" s="15" t="str">
        <f t="shared" ca="1" si="147"/>
        <v/>
      </c>
      <c r="I1822" s="16" t="str">
        <f t="shared" ca="1" si="148"/>
        <v/>
      </c>
    </row>
    <row r="1823" spans="1:9" x14ac:dyDescent="0.3">
      <c r="A1823" s="3"/>
      <c r="B1823" s="9"/>
      <c r="C1823" s="9"/>
      <c r="E1823" s="14" t="str">
        <f t="shared" si="144"/>
        <v/>
      </c>
      <c r="F1823" s="15" t="str">
        <f t="shared" ca="1" si="145"/>
        <v/>
      </c>
      <c r="G1823" s="15" t="str">
        <f t="shared" ca="1" si="146"/>
        <v/>
      </c>
      <c r="H1823" s="15" t="str">
        <f t="shared" ca="1" si="147"/>
        <v/>
      </c>
      <c r="I1823" s="16" t="str">
        <f t="shared" ca="1" si="148"/>
        <v/>
      </c>
    </row>
    <row r="1824" spans="1:9" x14ac:dyDescent="0.3">
      <c r="A1824" s="3"/>
      <c r="B1824" s="9"/>
      <c r="C1824" s="9"/>
      <c r="E1824" s="14" t="str">
        <f t="shared" si="144"/>
        <v/>
      </c>
      <c r="F1824" s="15" t="str">
        <f t="shared" ca="1" si="145"/>
        <v/>
      </c>
      <c r="G1824" s="15" t="str">
        <f t="shared" ca="1" si="146"/>
        <v/>
      </c>
      <c r="H1824" s="15" t="str">
        <f t="shared" ca="1" si="147"/>
        <v/>
      </c>
      <c r="I1824" s="16" t="str">
        <f t="shared" ca="1" si="148"/>
        <v/>
      </c>
    </row>
    <row r="1825" spans="1:9" x14ac:dyDescent="0.3">
      <c r="A1825" s="3"/>
      <c r="B1825" s="9"/>
      <c r="C1825" s="9"/>
      <c r="E1825" s="14" t="str">
        <f t="shared" si="144"/>
        <v/>
      </c>
      <c r="F1825" s="15" t="str">
        <f t="shared" ca="1" si="145"/>
        <v/>
      </c>
      <c r="G1825" s="15" t="str">
        <f t="shared" ca="1" si="146"/>
        <v/>
      </c>
      <c r="H1825" s="15" t="str">
        <f t="shared" ca="1" si="147"/>
        <v/>
      </c>
      <c r="I1825" s="16" t="str">
        <f t="shared" ca="1" si="148"/>
        <v/>
      </c>
    </row>
    <row r="1826" spans="1:9" x14ac:dyDescent="0.3">
      <c r="A1826" s="3"/>
      <c r="B1826" s="9"/>
      <c r="C1826" s="9"/>
      <c r="E1826" s="14" t="str">
        <f t="shared" si="144"/>
        <v/>
      </c>
      <c r="F1826" s="15" t="str">
        <f t="shared" ca="1" si="145"/>
        <v/>
      </c>
      <c r="G1826" s="15" t="str">
        <f t="shared" ca="1" si="146"/>
        <v/>
      </c>
      <c r="H1826" s="15" t="str">
        <f t="shared" ca="1" si="147"/>
        <v/>
      </c>
      <c r="I1826" s="16" t="str">
        <f t="shared" ca="1" si="148"/>
        <v/>
      </c>
    </row>
    <row r="1827" spans="1:9" x14ac:dyDescent="0.3">
      <c r="A1827" s="3"/>
      <c r="B1827" s="9"/>
      <c r="C1827" s="9"/>
      <c r="E1827" s="14" t="str">
        <f t="shared" si="144"/>
        <v/>
      </c>
      <c r="F1827" s="15" t="str">
        <f t="shared" ca="1" si="145"/>
        <v/>
      </c>
      <c r="G1827" s="15" t="str">
        <f t="shared" ca="1" si="146"/>
        <v/>
      </c>
      <c r="H1827" s="15" t="str">
        <f t="shared" ca="1" si="147"/>
        <v/>
      </c>
      <c r="I1827" s="16" t="str">
        <f t="shared" ca="1" si="148"/>
        <v/>
      </c>
    </row>
    <row r="1828" spans="1:9" x14ac:dyDescent="0.3">
      <c r="A1828" s="3"/>
      <c r="B1828" s="9"/>
      <c r="C1828" s="9"/>
      <c r="E1828" s="14" t="str">
        <f t="shared" si="144"/>
        <v/>
      </c>
      <c r="F1828" s="15" t="str">
        <f t="shared" ca="1" si="145"/>
        <v/>
      </c>
      <c r="G1828" s="15" t="str">
        <f t="shared" ca="1" si="146"/>
        <v/>
      </c>
      <c r="H1828" s="15" t="str">
        <f t="shared" ca="1" si="147"/>
        <v/>
      </c>
      <c r="I1828" s="16" t="str">
        <f t="shared" ca="1" si="148"/>
        <v/>
      </c>
    </row>
    <row r="1829" spans="1:9" x14ac:dyDescent="0.3">
      <c r="A1829" s="3"/>
      <c r="B1829" s="9"/>
      <c r="C1829" s="9"/>
      <c r="E1829" s="14" t="str">
        <f t="shared" si="144"/>
        <v/>
      </c>
      <c r="F1829" s="15" t="str">
        <f t="shared" ca="1" si="145"/>
        <v/>
      </c>
      <c r="G1829" s="15" t="str">
        <f t="shared" ca="1" si="146"/>
        <v/>
      </c>
      <c r="H1829" s="15" t="str">
        <f t="shared" ca="1" si="147"/>
        <v/>
      </c>
      <c r="I1829" s="16" t="str">
        <f t="shared" ca="1" si="148"/>
        <v/>
      </c>
    </row>
    <row r="1830" spans="1:9" x14ac:dyDescent="0.3">
      <c r="A1830" s="3"/>
      <c r="B1830" s="9"/>
      <c r="C1830" s="9"/>
      <c r="E1830" s="14" t="str">
        <f t="shared" si="144"/>
        <v/>
      </c>
      <c r="F1830" s="15" t="str">
        <f t="shared" ca="1" si="145"/>
        <v/>
      </c>
      <c r="G1830" s="15" t="str">
        <f t="shared" ca="1" si="146"/>
        <v/>
      </c>
      <c r="H1830" s="15" t="str">
        <f t="shared" ca="1" si="147"/>
        <v/>
      </c>
      <c r="I1830" s="16" t="str">
        <f t="shared" ca="1" si="148"/>
        <v/>
      </c>
    </row>
    <row r="1831" spans="1:9" x14ac:dyDescent="0.3">
      <c r="A1831" s="3"/>
      <c r="B1831" s="9"/>
      <c r="C1831" s="9"/>
      <c r="E1831" s="14" t="str">
        <f t="shared" si="144"/>
        <v/>
      </c>
      <c r="F1831" s="15" t="str">
        <f t="shared" ca="1" si="145"/>
        <v/>
      </c>
      <c r="G1831" s="15" t="str">
        <f t="shared" ca="1" si="146"/>
        <v/>
      </c>
      <c r="H1831" s="15" t="str">
        <f t="shared" ca="1" si="147"/>
        <v/>
      </c>
      <c r="I1831" s="16" t="str">
        <f t="shared" ca="1" si="148"/>
        <v/>
      </c>
    </row>
    <row r="1832" spans="1:9" x14ac:dyDescent="0.3">
      <c r="A1832" s="3"/>
      <c r="B1832" s="9"/>
      <c r="C1832" s="9"/>
      <c r="E1832" s="14" t="str">
        <f t="shared" si="144"/>
        <v/>
      </c>
      <c r="F1832" s="15" t="str">
        <f t="shared" ca="1" si="145"/>
        <v/>
      </c>
      <c r="G1832" s="15" t="str">
        <f t="shared" ca="1" si="146"/>
        <v/>
      </c>
      <c r="H1832" s="15" t="str">
        <f t="shared" ca="1" si="147"/>
        <v/>
      </c>
      <c r="I1832" s="16" t="str">
        <f t="shared" ca="1" si="148"/>
        <v/>
      </c>
    </row>
    <row r="1833" spans="1:9" x14ac:dyDescent="0.3">
      <c r="A1833" s="3"/>
      <c r="B1833" s="9"/>
      <c r="C1833" s="9"/>
      <c r="E1833" s="14" t="str">
        <f t="shared" si="144"/>
        <v/>
      </c>
      <c r="F1833" s="15" t="str">
        <f t="shared" ca="1" si="145"/>
        <v/>
      </c>
      <c r="G1833" s="15" t="str">
        <f t="shared" ca="1" si="146"/>
        <v/>
      </c>
      <c r="H1833" s="15" t="str">
        <f t="shared" ca="1" si="147"/>
        <v/>
      </c>
      <c r="I1833" s="16" t="str">
        <f t="shared" ca="1" si="148"/>
        <v/>
      </c>
    </row>
    <row r="1834" spans="1:9" x14ac:dyDescent="0.3">
      <c r="A1834" s="3"/>
      <c r="B1834" s="9"/>
      <c r="C1834" s="9"/>
      <c r="E1834" s="14" t="str">
        <f t="shared" si="144"/>
        <v/>
      </c>
      <c r="F1834" s="15" t="str">
        <f t="shared" ca="1" si="145"/>
        <v/>
      </c>
      <c r="G1834" s="15" t="str">
        <f t="shared" ca="1" si="146"/>
        <v/>
      </c>
      <c r="H1834" s="15" t="str">
        <f t="shared" ca="1" si="147"/>
        <v/>
      </c>
      <c r="I1834" s="16" t="str">
        <f t="shared" ca="1" si="148"/>
        <v/>
      </c>
    </row>
    <row r="1835" spans="1:9" x14ac:dyDescent="0.3">
      <c r="A1835" s="3"/>
      <c r="B1835" s="9"/>
      <c r="C1835" s="9"/>
      <c r="E1835" s="14" t="str">
        <f t="shared" si="144"/>
        <v/>
      </c>
      <c r="F1835" s="15" t="str">
        <f t="shared" ca="1" si="145"/>
        <v/>
      </c>
      <c r="G1835" s="15" t="str">
        <f t="shared" ca="1" si="146"/>
        <v/>
      </c>
      <c r="H1835" s="15" t="str">
        <f t="shared" ca="1" si="147"/>
        <v/>
      </c>
      <c r="I1835" s="16" t="str">
        <f t="shared" ca="1" si="148"/>
        <v/>
      </c>
    </row>
    <row r="1836" spans="1:9" x14ac:dyDescent="0.3">
      <c r="A1836" s="3"/>
      <c r="B1836" s="9"/>
      <c r="C1836" s="9"/>
      <c r="E1836" s="14" t="str">
        <f t="shared" si="144"/>
        <v/>
      </c>
      <c r="F1836" s="15" t="str">
        <f t="shared" ca="1" si="145"/>
        <v/>
      </c>
      <c r="G1836" s="15" t="str">
        <f t="shared" ca="1" si="146"/>
        <v/>
      </c>
      <c r="H1836" s="15" t="str">
        <f t="shared" ca="1" si="147"/>
        <v/>
      </c>
      <c r="I1836" s="16" t="str">
        <f t="shared" ca="1" si="148"/>
        <v/>
      </c>
    </row>
    <row r="1837" spans="1:9" x14ac:dyDescent="0.3">
      <c r="A1837" s="3"/>
      <c r="B1837" s="9"/>
      <c r="C1837" s="9"/>
      <c r="E1837" s="14" t="str">
        <f t="shared" si="144"/>
        <v/>
      </c>
      <c r="F1837" s="15" t="str">
        <f t="shared" ca="1" si="145"/>
        <v/>
      </c>
      <c r="G1837" s="15" t="str">
        <f t="shared" ca="1" si="146"/>
        <v/>
      </c>
      <c r="H1837" s="15" t="str">
        <f t="shared" ca="1" si="147"/>
        <v/>
      </c>
      <c r="I1837" s="16" t="str">
        <f t="shared" ca="1" si="148"/>
        <v/>
      </c>
    </row>
    <row r="1838" spans="1:9" x14ac:dyDescent="0.3">
      <c r="A1838" s="3"/>
      <c r="B1838" s="9"/>
      <c r="C1838" s="9"/>
      <c r="E1838" s="14" t="str">
        <f t="shared" si="144"/>
        <v/>
      </c>
      <c r="F1838" s="15" t="str">
        <f t="shared" ca="1" si="145"/>
        <v/>
      </c>
      <c r="G1838" s="15" t="str">
        <f t="shared" ca="1" si="146"/>
        <v/>
      </c>
      <c r="H1838" s="15" t="str">
        <f t="shared" ca="1" si="147"/>
        <v/>
      </c>
      <c r="I1838" s="16" t="str">
        <f t="shared" ca="1" si="148"/>
        <v/>
      </c>
    </row>
    <row r="1839" spans="1:9" x14ac:dyDescent="0.3">
      <c r="A1839" s="3"/>
      <c r="B1839" s="9"/>
      <c r="C1839" s="9"/>
      <c r="E1839" s="14" t="str">
        <f t="shared" si="144"/>
        <v/>
      </c>
      <c r="F1839" s="15" t="str">
        <f t="shared" ca="1" si="145"/>
        <v/>
      </c>
      <c r="G1839" s="15" t="str">
        <f t="shared" ca="1" si="146"/>
        <v/>
      </c>
      <c r="H1839" s="15" t="str">
        <f t="shared" ca="1" si="147"/>
        <v/>
      </c>
      <c r="I1839" s="16" t="str">
        <f t="shared" ca="1" si="148"/>
        <v/>
      </c>
    </row>
    <row r="1840" spans="1:9" x14ac:dyDescent="0.3">
      <c r="A1840" s="3"/>
      <c r="B1840" s="9"/>
      <c r="C1840" s="9"/>
      <c r="E1840" s="14" t="str">
        <f t="shared" si="144"/>
        <v/>
      </c>
      <c r="F1840" s="15" t="str">
        <f t="shared" ca="1" si="145"/>
        <v/>
      </c>
      <c r="G1840" s="15" t="str">
        <f t="shared" ca="1" si="146"/>
        <v/>
      </c>
      <c r="H1840" s="15" t="str">
        <f t="shared" ca="1" si="147"/>
        <v/>
      </c>
      <c r="I1840" s="16" t="str">
        <f t="shared" ca="1" si="148"/>
        <v/>
      </c>
    </row>
    <row r="1841" spans="1:9" x14ac:dyDescent="0.3">
      <c r="A1841" s="3"/>
      <c r="B1841" s="9"/>
      <c r="C1841" s="9"/>
      <c r="E1841" s="14" t="str">
        <f t="shared" si="144"/>
        <v/>
      </c>
      <c r="F1841" s="15" t="str">
        <f t="shared" ca="1" si="145"/>
        <v/>
      </c>
      <c r="G1841" s="15" t="str">
        <f t="shared" ca="1" si="146"/>
        <v/>
      </c>
      <c r="H1841" s="15" t="str">
        <f t="shared" ca="1" si="147"/>
        <v/>
      </c>
      <c r="I1841" s="16" t="str">
        <f t="shared" ca="1" si="148"/>
        <v/>
      </c>
    </row>
    <row r="1842" spans="1:9" x14ac:dyDescent="0.3">
      <c r="A1842" s="3"/>
      <c r="B1842" s="9"/>
      <c r="C1842" s="9"/>
      <c r="E1842" s="14" t="str">
        <f t="shared" si="144"/>
        <v/>
      </c>
      <c r="F1842" s="15" t="str">
        <f t="shared" ca="1" si="145"/>
        <v/>
      </c>
      <c r="G1842" s="15" t="str">
        <f t="shared" ca="1" si="146"/>
        <v/>
      </c>
      <c r="H1842" s="15" t="str">
        <f t="shared" ca="1" si="147"/>
        <v/>
      </c>
      <c r="I1842" s="16" t="str">
        <f t="shared" ca="1" si="148"/>
        <v/>
      </c>
    </row>
    <row r="1843" spans="1:9" x14ac:dyDescent="0.3">
      <c r="A1843" s="3"/>
      <c r="B1843" s="9"/>
      <c r="C1843" s="9"/>
      <c r="E1843" s="14" t="str">
        <f t="shared" si="144"/>
        <v/>
      </c>
      <c r="F1843" s="15" t="str">
        <f t="shared" ca="1" si="145"/>
        <v/>
      </c>
      <c r="G1843" s="15" t="str">
        <f t="shared" ca="1" si="146"/>
        <v/>
      </c>
      <c r="H1843" s="15" t="str">
        <f t="shared" ca="1" si="147"/>
        <v/>
      </c>
      <c r="I1843" s="16" t="str">
        <f t="shared" ca="1" si="148"/>
        <v/>
      </c>
    </row>
    <row r="1844" spans="1:9" x14ac:dyDescent="0.3">
      <c r="A1844" s="3"/>
      <c r="B1844" s="9"/>
      <c r="C1844" s="9"/>
      <c r="E1844" s="14" t="str">
        <f t="shared" si="144"/>
        <v/>
      </c>
      <c r="F1844" s="15" t="str">
        <f t="shared" ca="1" si="145"/>
        <v/>
      </c>
      <c r="G1844" s="15" t="str">
        <f t="shared" ca="1" si="146"/>
        <v/>
      </c>
      <c r="H1844" s="15" t="str">
        <f t="shared" ca="1" si="147"/>
        <v/>
      </c>
      <c r="I1844" s="16" t="str">
        <f t="shared" ca="1" si="148"/>
        <v/>
      </c>
    </row>
    <row r="1845" spans="1:9" x14ac:dyDescent="0.3">
      <c r="A1845" s="3"/>
      <c r="B1845" s="9"/>
      <c r="C1845" s="9"/>
      <c r="E1845" s="14" t="str">
        <f t="shared" si="144"/>
        <v/>
      </c>
      <c r="F1845" s="15" t="str">
        <f t="shared" ca="1" si="145"/>
        <v/>
      </c>
      <c r="G1845" s="15" t="str">
        <f t="shared" ca="1" si="146"/>
        <v/>
      </c>
      <c r="H1845" s="15" t="str">
        <f t="shared" ca="1" si="147"/>
        <v/>
      </c>
      <c r="I1845" s="16" t="str">
        <f t="shared" ca="1" si="148"/>
        <v/>
      </c>
    </row>
    <row r="1846" spans="1:9" x14ac:dyDescent="0.3">
      <c r="A1846" s="3"/>
      <c r="B1846" s="9"/>
      <c r="C1846" s="9"/>
      <c r="E1846" s="14" t="str">
        <f t="shared" si="144"/>
        <v/>
      </c>
      <c r="F1846" s="15" t="str">
        <f t="shared" ca="1" si="145"/>
        <v/>
      </c>
      <c r="G1846" s="15" t="str">
        <f t="shared" ca="1" si="146"/>
        <v/>
      </c>
      <c r="H1846" s="15" t="str">
        <f t="shared" ca="1" si="147"/>
        <v/>
      </c>
      <c r="I1846" s="16" t="str">
        <f t="shared" ca="1" si="148"/>
        <v/>
      </c>
    </row>
    <row r="1847" spans="1:9" x14ac:dyDescent="0.3">
      <c r="A1847" s="3"/>
      <c r="B1847" s="9"/>
      <c r="C1847" s="9"/>
      <c r="E1847" s="14" t="str">
        <f t="shared" si="144"/>
        <v/>
      </c>
      <c r="F1847" s="15" t="str">
        <f t="shared" ca="1" si="145"/>
        <v/>
      </c>
      <c r="G1847" s="15" t="str">
        <f t="shared" ca="1" si="146"/>
        <v/>
      </c>
      <c r="H1847" s="15" t="str">
        <f t="shared" ca="1" si="147"/>
        <v/>
      </c>
      <c r="I1847" s="16" t="str">
        <f t="shared" ca="1" si="148"/>
        <v/>
      </c>
    </row>
    <row r="1848" spans="1:9" x14ac:dyDescent="0.3">
      <c r="A1848" s="3"/>
      <c r="B1848" s="9"/>
      <c r="C1848" s="9"/>
      <c r="E1848" s="14" t="str">
        <f t="shared" si="144"/>
        <v/>
      </c>
      <c r="F1848" s="15" t="str">
        <f t="shared" ca="1" si="145"/>
        <v/>
      </c>
      <c r="G1848" s="15" t="str">
        <f t="shared" ca="1" si="146"/>
        <v/>
      </c>
      <c r="H1848" s="15" t="str">
        <f t="shared" ca="1" si="147"/>
        <v/>
      </c>
      <c r="I1848" s="16" t="str">
        <f t="shared" ca="1" si="148"/>
        <v/>
      </c>
    </row>
    <row r="1849" spans="1:9" x14ac:dyDescent="0.3">
      <c r="A1849" s="3"/>
      <c r="B1849" s="9"/>
      <c r="C1849" s="9"/>
      <c r="E1849" s="14" t="str">
        <f t="shared" si="144"/>
        <v/>
      </c>
      <c r="F1849" s="15" t="str">
        <f t="shared" ca="1" si="145"/>
        <v/>
      </c>
      <c r="G1849" s="15" t="str">
        <f t="shared" ca="1" si="146"/>
        <v/>
      </c>
      <c r="H1849" s="15" t="str">
        <f t="shared" ca="1" si="147"/>
        <v/>
      </c>
      <c r="I1849" s="16" t="str">
        <f t="shared" ca="1" si="148"/>
        <v/>
      </c>
    </row>
    <row r="1850" spans="1:9" x14ac:dyDescent="0.3">
      <c r="A1850" s="3"/>
      <c r="B1850" s="9"/>
      <c r="C1850" s="9"/>
      <c r="E1850" s="14" t="str">
        <f t="shared" si="144"/>
        <v/>
      </c>
      <c r="F1850" s="15" t="str">
        <f t="shared" ca="1" si="145"/>
        <v/>
      </c>
      <c r="G1850" s="15" t="str">
        <f t="shared" ca="1" si="146"/>
        <v/>
      </c>
      <c r="H1850" s="15" t="str">
        <f t="shared" ca="1" si="147"/>
        <v/>
      </c>
      <c r="I1850" s="16" t="str">
        <f t="shared" ca="1" si="148"/>
        <v/>
      </c>
    </row>
    <row r="1851" spans="1:9" x14ac:dyDescent="0.3">
      <c r="A1851" s="3"/>
      <c r="B1851" s="9"/>
      <c r="C1851" s="9"/>
      <c r="E1851" s="14" t="str">
        <f t="shared" si="144"/>
        <v/>
      </c>
      <c r="F1851" s="15" t="str">
        <f t="shared" ca="1" si="145"/>
        <v/>
      </c>
      <c r="G1851" s="15" t="str">
        <f t="shared" ca="1" si="146"/>
        <v/>
      </c>
      <c r="H1851" s="15" t="str">
        <f t="shared" ca="1" si="147"/>
        <v/>
      </c>
      <c r="I1851" s="16" t="str">
        <f t="shared" ca="1" si="148"/>
        <v/>
      </c>
    </row>
    <row r="1852" spans="1:9" x14ac:dyDescent="0.3">
      <c r="A1852" s="3"/>
      <c r="B1852" s="9"/>
      <c r="C1852" s="9"/>
      <c r="E1852" s="14" t="str">
        <f t="shared" si="144"/>
        <v/>
      </c>
      <c r="F1852" s="15" t="str">
        <f t="shared" ca="1" si="145"/>
        <v/>
      </c>
      <c r="G1852" s="15" t="str">
        <f t="shared" ca="1" si="146"/>
        <v/>
      </c>
      <c r="H1852" s="15" t="str">
        <f t="shared" ca="1" si="147"/>
        <v/>
      </c>
      <c r="I1852" s="16" t="str">
        <f t="shared" ca="1" si="148"/>
        <v/>
      </c>
    </row>
    <row r="1853" spans="1:9" x14ac:dyDescent="0.3">
      <c r="A1853" s="3"/>
      <c r="B1853" s="9"/>
      <c r="C1853" s="9"/>
      <c r="E1853" s="14" t="str">
        <f t="shared" si="144"/>
        <v/>
      </c>
      <c r="F1853" s="15" t="str">
        <f t="shared" ca="1" si="145"/>
        <v/>
      </c>
      <c r="G1853" s="15" t="str">
        <f t="shared" ca="1" si="146"/>
        <v/>
      </c>
      <c r="H1853" s="15" t="str">
        <f t="shared" ca="1" si="147"/>
        <v/>
      </c>
      <c r="I1853" s="16" t="str">
        <f t="shared" ca="1" si="148"/>
        <v/>
      </c>
    </row>
    <row r="1854" spans="1:9" x14ac:dyDescent="0.3">
      <c r="A1854" s="3"/>
      <c r="B1854" s="9"/>
      <c r="C1854" s="9"/>
      <c r="E1854" s="14" t="str">
        <f t="shared" si="144"/>
        <v/>
      </c>
      <c r="F1854" s="15" t="str">
        <f t="shared" ca="1" si="145"/>
        <v/>
      </c>
      <c r="G1854" s="15" t="str">
        <f t="shared" ca="1" si="146"/>
        <v/>
      </c>
      <c r="H1854" s="15" t="str">
        <f t="shared" ca="1" si="147"/>
        <v/>
      </c>
      <c r="I1854" s="16" t="str">
        <f t="shared" ca="1" si="148"/>
        <v/>
      </c>
    </row>
    <row r="1855" spans="1:9" x14ac:dyDescent="0.3">
      <c r="A1855" s="3"/>
      <c r="B1855" s="9"/>
      <c r="C1855" s="9"/>
      <c r="E1855" s="14" t="str">
        <f t="shared" si="144"/>
        <v/>
      </c>
      <c r="F1855" s="15" t="str">
        <f t="shared" ca="1" si="145"/>
        <v/>
      </c>
      <c r="G1855" s="15" t="str">
        <f t="shared" ca="1" si="146"/>
        <v/>
      </c>
      <c r="H1855" s="15" t="str">
        <f t="shared" ca="1" si="147"/>
        <v/>
      </c>
      <c r="I1855" s="16" t="str">
        <f t="shared" ca="1" si="148"/>
        <v/>
      </c>
    </row>
    <row r="1856" spans="1:9" x14ac:dyDescent="0.3">
      <c r="A1856" s="3"/>
      <c r="B1856" s="9"/>
      <c r="C1856" s="9"/>
      <c r="E1856" s="14" t="str">
        <f t="shared" si="144"/>
        <v/>
      </c>
      <c r="F1856" s="15" t="str">
        <f t="shared" ca="1" si="145"/>
        <v/>
      </c>
      <c r="G1856" s="15" t="str">
        <f t="shared" ca="1" si="146"/>
        <v/>
      </c>
      <c r="H1856" s="15" t="str">
        <f t="shared" ca="1" si="147"/>
        <v/>
      </c>
      <c r="I1856" s="16" t="str">
        <f t="shared" ca="1" si="148"/>
        <v/>
      </c>
    </row>
    <row r="1857" spans="1:9" x14ac:dyDescent="0.3">
      <c r="A1857" s="3"/>
      <c r="B1857" s="9"/>
      <c r="C1857" s="9"/>
      <c r="E1857" s="14" t="str">
        <f t="shared" si="144"/>
        <v/>
      </c>
      <c r="F1857" s="15" t="str">
        <f t="shared" ca="1" si="145"/>
        <v/>
      </c>
      <c r="G1857" s="15" t="str">
        <f t="shared" ca="1" si="146"/>
        <v/>
      </c>
      <c r="H1857" s="15" t="str">
        <f t="shared" ca="1" si="147"/>
        <v/>
      </c>
      <c r="I1857" s="16" t="str">
        <f t="shared" ca="1" si="148"/>
        <v/>
      </c>
    </row>
    <row r="1858" spans="1:9" x14ac:dyDescent="0.3">
      <c r="A1858" s="3"/>
      <c r="B1858" s="9"/>
      <c r="C1858" s="9"/>
      <c r="E1858" s="14" t="str">
        <f t="shared" si="144"/>
        <v/>
      </c>
      <c r="F1858" s="15" t="str">
        <f t="shared" ca="1" si="145"/>
        <v/>
      </c>
      <c r="G1858" s="15" t="str">
        <f t="shared" ca="1" si="146"/>
        <v/>
      </c>
      <c r="H1858" s="15" t="str">
        <f t="shared" ca="1" si="147"/>
        <v/>
      </c>
      <c r="I1858" s="16" t="str">
        <f t="shared" ca="1" si="148"/>
        <v/>
      </c>
    </row>
    <row r="1859" spans="1:9" x14ac:dyDescent="0.3">
      <c r="A1859" s="3"/>
      <c r="B1859" s="9"/>
      <c r="C1859" s="9"/>
      <c r="E1859" s="14" t="str">
        <f t="shared" ref="E1859:E1922" si="149">IF(ISNUMBER(B1859),B1859/C1859,"")</f>
        <v/>
      </c>
      <c r="F1859" s="15" t="str">
        <f t="shared" ca="1" si="145"/>
        <v/>
      </c>
      <c r="G1859" s="15" t="str">
        <f t="shared" ca="1" si="146"/>
        <v/>
      </c>
      <c r="H1859" s="15" t="str">
        <f t="shared" ca="1" si="147"/>
        <v/>
      </c>
      <c r="I1859" s="16" t="str">
        <f t="shared" ca="1" si="148"/>
        <v/>
      </c>
    </row>
    <row r="1860" spans="1:9" x14ac:dyDescent="0.3">
      <c r="A1860" s="3"/>
      <c r="B1860" s="9"/>
      <c r="C1860" s="9"/>
      <c r="E1860" s="14" t="str">
        <f t="shared" si="149"/>
        <v/>
      </c>
      <c r="F1860" s="15" t="str">
        <f t="shared" ca="1" si="145"/>
        <v/>
      </c>
      <c r="G1860" s="15" t="str">
        <f t="shared" ca="1" si="146"/>
        <v/>
      </c>
      <c r="H1860" s="15" t="str">
        <f t="shared" ca="1" si="147"/>
        <v/>
      </c>
      <c r="I1860" s="16" t="str">
        <f t="shared" ca="1" si="148"/>
        <v/>
      </c>
    </row>
    <row r="1861" spans="1:9" x14ac:dyDescent="0.3">
      <c r="A1861" s="3"/>
      <c r="B1861" s="9"/>
      <c r="C1861" s="9"/>
      <c r="E1861" s="14" t="str">
        <f t="shared" si="149"/>
        <v/>
      </c>
      <c r="F1861" s="15" t="str">
        <f t="shared" ca="1" si="145"/>
        <v/>
      </c>
      <c r="G1861" s="15" t="str">
        <f t="shared" ca="1" si="146"/>
        <v/>
      </c>
      <c r="H1861" s="15" t="str">
        <f t="shared" ca="1" si="147"/>
        <v/>
      </c>
      <c r="I1861" s="16" t="str">
        <f t="shared" ca="1" si="148"/>
        <v/>
      </c>
    </row>
    <row r="1862" spans="1:9" x14ac:dyDescent="0.3">
      <c r="A1862" s="3"/>
      <c r="B1862" s="9"/>
      <c r="C1862" s="9"/>
      <c r="E1862" s="14" t="str">
        <f t="shared" si="149"/>
        <v/>
      </c>
      <c r="F1862" s="15" t="str">
        <f t="shared" ca="1" si="145"/>
        <v/>
      </c>
      <c r="G1862" s="15" t="str">
        <f t="shared" ca="1" si="146"/>
        <v/>
      </c>
      <c r="H1862" s="15" t="str">
        <f t="shared" ca="1" si="147"/>
        <v/>
      </c>
      <c r="I1862" s="16" t="str">
        <f t="shared" ca="1" si="148"/>
        <v/>
      </c>
    </row>
    <row r="1863" spans="1:9" x14ac:dyDescent="0.3">
      <c r="A1863" s="3"/>
      <c r="B1863" s="9"/>
      <c r="C1863" s="9"/>
      <c r="E1863" s="14" t="str">
        <f t="shared" si="149"/>
        <v/>
      </c>
      <c r="F1863" s="15" t="str">
        <f t="shared" ca="1" si="145"/>
        <v/>
      </c>
      <c r="G1863" s="15" t="str">
        <f t="shared" ca="1" si="146"/>
        <v/>
      </c>
      <c r="H1863" s="15" t="str">
        <f t="shared" ca="1" si="147"/>
        <v/>
      </c>
      <c r="I1863" s="16" t="str">
        <f t="shared" ca="1" si="148"/>
        <v/>
      </c>
    </row>
    <row r="1864" spans="1:9" x14ac:dyDescent="0.3">
      <c r="A1864" s="3"/>
      <c r="B1864" s="9"/>
      <c r="C1864" s="9"/>
      <c r="E1864" s="14" t="str">
        <f t="shared" si="149"/>
        <v/>
      </c>
      <c r="F1864" s="15" t="str">
        <f t="shared" ca="1" si="145"/>
        <v/>
      </c>
      <c r="G1864" s="15" t="str">
        <f t="shared" ca="1" si="146"/>
        <v/>
      </c>
      <c r="H1864" s="15" t="str">
        <f t="shared" ca="1" si="147"/>
        <v/>
      </c>
      <c r="I1864" s="16" t="str">
        <f t="shared" ca="1" si="148"/>
        <v/>
      </c>
    </row>
    <row r="1865" spans="1:9" x14ac:dyDescent="0.3">
      <c r="A1865" s="3"/>
      <c r="B1865" s="9"/>
      <c r="C1865" s="9"/>
      <c r="E1865" s="14" t="str">
        <f t="shared" si="149"/>
        <v/>
      </c>
      <c r="F1865" s="15" t="str">
        <f t="shared" ca="1" si="145"/>
        <v/>
      </c>
      <c r="G1865" s="15" t="str">
        <f t="shared" ca="1" si="146"/>
        <v/>
      </c>
      <c r="H1865" s="15" t="str">
        <f t="shared" ca="1" si="147"/>
        <v/>
      </c>
      <c r="I1865" s="16" t="str">
        <f t="shared" ca="1" si="148"/>
        <v/>
      </c>
    </row>
    <row r="1866" spans="1:9" x14ac:dyDescent="0.3">
      <c r="A1866" s="3"/>
      <c r="B1866" s="9"/>
      <c r="C1866" s="9"/>
      <c r="E1866" s="14" t="str">
        <f t="shared" si="149"/>
        <v/>
      </c>
      <c r="F1866" s="15" t="str">
        <f t="shared" ca="1" si="145"/>
        <v/>
      </c>
      <c r="G1866" s="15" t="str">
        <f t="shared" ca="1" si="146"/>
        <v/>
      </c>
      <c r="H1866" s="15" t="str">
        <f t="shared" ca="1" si="147"/>
        <v/>
      </c>
      <c r="I1866" s="16" t="str">
        <f t="shared" ca="1" si="148"/>
        <v/>
      </c>
    </row>
    <row r="1867" spans="1:9" x14ac:dyDescent="0.3">
      <c r="A1867" s="3"/>
      <c r="B1867" s="9"/>
      <c r="C1867" s="9"/>
      <c r="E1867" s="14" t="str">
        <f t="shared" si="149"/>
        <v/>
      </c>
      <c r="F1867" s="15" t="str">
        <f t="shared" ca="1" si="145"/>
        <v/>
      </c>
      <c r="G1867" s="15" t="str">
        <f t="shared" ca="1" si="146"/>
        <v/>
      </c>
      <c r="H1867" s="15" t="str">
        <f t="shared" ca="1" si="147"/>
        <v/>
      </c>
      <c r="I1867" s="16" t="str">
        <f t="shared" ca="1" si="148"/>
        <v/>
      </c>
    </row>
    <row r="1868" spans="1:9" x14ac:dyDescent="0.3">
      <c r="A1868" s="3"/>
      <c r="B1868" s="9"/>
      <c r="C1868" s="9"/>
      <c r="E1868" s="14" t="str">
        <f t="shared" si="149"/>
        <v/>
      </c>
      <c r="F1868" s="15" t="str">
        <f t="shared" ca="1" si="145"/>
        <v/>
      </c>
      <c r="G1868" s="15" t="str">
        <f t="shared" ca="1" si="146"/>
        <v/>
      </c>
      <c r="H1868" s="15" t="str">
        <f t="shared" ca="1" si="147"/>
        <v/>
      </c>
      <c r="I1868" s="16" t="str">
        <f t="shared" ca="1" si="148"/>
        <v/>
      </c>
    </row>
    <row r="1869" spans="1:9" x14ac:dyDescent="0.3">
      <c r="A1869" s="3"/>
      <c r="B1869" s="9"/>
      <c r="C1869" s="9"/>
      <c r="E1869" s="14" t="str">
        <f t="shared" si="149"/>
        <v/>
      </c>
      <c r="F1869" s="15" t="str">
        <f t="shared" ca="1" si="145"/>
        <v/>
      </c>
      <c r="G1869" s="15" t="str">
        <f t="shared" ca="1" si="146"/>
        <v/>
      </c>
      <c r="H1869" s="15" t="str">
        <f t="shared" ca="1" si="147"/>
        <v/>
      </c>
      <c r="I1869" s="16" t="str">
        <f t="shared" ca="1" si="148"/>
        <v/>
      </c>
    </row>
    <row r="1870" spans="1:9" x14ac:dyDescent="0.3">
      <c r="A1870" s="3"/>
      <c r="B1870" s="9"/>
      <c r="C1870" s="9"/>
      <c r="E1870" s="14" t="str">
        <f t="shared" si="149"/>
        <v/>
      </c>
      <c r="F1870" s="15" t="str">
        <f t="shared" ca="1" si="145"/>
        <v/>
      </c>
      <c r="G1870" s="15" t="str">
        <f t="shared" ca="1" si="146"/>
        <v/>
      </c>
      <c r="H1870" s="15" t="str">
        <f t="shared" ca="1" si="147"/>
        <v/>
      </c>
      <c r="I1870" s="16" t="str">
        <f t="shared" ca="1" si="148"/>
        <v/>
      </c>
    </row>
    <row r="1871" spans="1:9" x14ac:dyDescent="0.3">
      <c r="A1871" s="3"/>
      <c r="B1871" s="9"/>
      <c r="C1871" s="9"/>
      <c r="E1871" s="14" t="str">
        <f t="shared" si="149"/>
        <v/>
      </c>
      <c r="F1871" s="15" t="str">
        <f t="shared" ca="1" si="145"/>
        <v/>
      </c>
      <c r="G1871" s="15" t="str">
        <f t="shared" ca="1" si="146"/>
        <v/>
      </c>
      <c r="H1871" s="15" t="str">
        <f t="shared" ca="1" si="147"/>
        <v/>
      </c>
      <c r="I1871" s="16" t="str">
        <f t="shared" ca="1" si="148"/>
        <v/>
      </c>
    </row>
    <row r="1872" spans="1:9" x14ac:dyDescent="0.3">
      <c r="A1872" s="3"/>
      <c r="B1872" s="9"/>
      <c r="C1872" s="9"/>
      <c r="E1872" s="14" t="str">
        <f t="shared" si="149"/>
        <v/>
      </c>
      <c r="F1872" s="15" t="str">
        <f t="shared" ca="1" si="145"/>
        <v/>
      </c>
      <c r="G1872" s="15" t="str">
        <f t="shared" ca="1" si="146"/>
        <v/>
      </c>
      <c r="H1872" s="15" t="str">
        <f t="shared" ca="1" si="147"/>
        <v/>
      </c>
      <c r="I1872" s="16" t="str">
        <f t="shared" ca="1" si="148"/>
        <v/>
      </c>
    </row>
    <row r="1873" spans="1:9" x14ac:dyDescent="0.3">
      <c r="A1873" s="3"/>
      <c r="B1873" s="9"/>
      <c r="C1873" s="9"/>
      <c r="E1873" s="14" t="str">
        <f t="shared" si="149"/>
        <v/>
      </c>
      <c r="F1873" s="15" t="str">
        <f t="shared" ref="F1873:F1936" ca="1" si="150">IF(ISNUMBER(E1873),IF(ROW(E1873)&gt;$K$1,AVERAGE(OFFSET(E1873,0,0,-$K$1)),""),"")</f>
        <v/>
      </c>
      <c r="G1873" s="15" t="str">
        <f t="shared" ref="G1873:G1936" ca="1" si="151">IF(ISNUMBER(I1873),F1873+I1873*$M$1,"")</f>
        <v/>
      </c>
      <c r="H1873" s="15" t="str">
        <f t="shared" ref="H1873:H1936" ca="1" si="152">IF(ISNUMBER(I1873),F1873-I1873*$M$1,"")</f>
        <v/>
      </c>
      <c r="I1873" s="16" t="str">
        <f t="shared" ref="I1873:I1936" ca="1" si="153">IF(ISNUMBER(E1873),IF(ROW(E1873)&gt;$K$1,_xlfn.STDEV.P(OFFSET(E1873,0,0,-$K$1)),""),"")</f>
        <v/>
      </c>
    </row>
    <row r="1874" spans="1:9" x14ac:dyDescent="0.3">
      <c r="A1874" s="3"/>
      <c r="B1874" s="9"/>
      <c r="C1874" s="9"/>
      <c r="E1874" s="14" t="str">
        <f t="shared" si="149"/>
        <v/>
      </c>
      <c r="F1874" s="15" t="str">
        <f t="shared" ca="1" si="150"/>
        <v/>
      </c>
      <c r="G1874" s="15" t="str">
        <f t="shared" ca="1" si="151"/>
        <v/>
      </c>
      <c r="H1874" s="15" t="str">
        <f t="shared" ca="1" si="152"/>
        <v/>
      </c>
      <c r="I1874" s="16" t="str">
        <f t="shared" ca="1" si="153"/>
        <v/>
      </c>
    </row>
    <row r="1875" spans="1:9" x14ac:dyDescent="0.3">
      <c r="A1875" s="3"/>
      <c r="B1875" s="9"/>
      <c r="C1875" s="9"/>
      <c r="E1875" s="14" t="str">
        <f t="shared" si="149"/>
        <v/>
      </c>
      <c r="F1875" s="15" t="str">
        <f t="shared" ca="1" si="150"/>
        <v/>
      </c>
      <c r="G1875" s="15" t="str">
        <f t="shared" ca="1" si="151"/>
        <v/>
      </c>
      <c r="H1875" s="15" t="str">
        <f t="shared" ca="1" si="152"/>
        <v/>
      </c>
      <c r="I1875" s="16" t="str">
        <f t="shared" ca="1" si="153"/>
        <v/>
      </c>
    </row>
    <row r="1876" spans="1:9" x14ac:dyDescent="0.3">
      <c r="A1876" s="3"/>
      <c r="B1876" s="9"/>
      <c r="C1876" s="9"/>
      <c r="E1876" s="14" t="str">
        <f t="shared" si="149"/>
        <v/>
      </c>
      <c r="F1876" s="15" t="str">
        <f t="shared" ca="1" si="150"/>
        <v/>
      </c>
      <c r="G1876" s="15" t="str">
        <f t="shared" ca="1" si="151"/>
        <v/>
      </c>
      <c r="H1876" s="15" t="str">
        <f t="shared" ca="1" si="152"/>
        <v/>
      </c>
      <c r="I1876" s="16" t="str">
        <f t="shared" ca="1" si="153"/>
        <v/>
      </c>
    </row>
    <row r="1877" spans="1:9" x14ac:dyDescent="0.3">
      <c r="A1877" s="3"/>
      <c r="B1877" s="9"/>
      <c r="C1877" s="9"/>
      <c r="E1877" s="14" t="str">
        <f t="shared" si="149"/>
        <v/>
      </c>
      <c r="F1877" s="15" t="str">
        <f t="shared" ca="1" si="150"/>
        <v/>
      </c>
      <c r="G1877" s="15" t="str">
        <f t="shared" ca="1" si="151"/>
        <v/>
      </c>
      <c r="H1877" s="15" t="str">
        <f t="shared" ca="1" si="152"/>
        <v/>
      </c>
      <c r="I1877" s="16" t="str">
        <f t="shared" ca="1" si="153"/>
        <v/>
      </c>
    </row>
    <row r="1878" spans="1:9" x14ac:dyDescent="0.3">
      <c r="A1878" s="3"/>
      <c r="B1878" s="9"/>
      <c r="C1878" s="9"/>
      <c r="E1878" s="14" t="str">
        <f t="shared" si="149"/>
        <v/>
      </c>
      <c r="F1878" s="15" t="str">
        <f t="shared" ca="1" si="150"/>
        <v/>
      </c>
      <c r="G1878" s="15" t="str">
        <f t="shared" ca="1" si="151"/>
        <v/>
      </c>
      <c r="H1878" s="15" t="str">
        <f t="shared" ca="1" si="152"/>
        <v/>
      </c>
      <c r="I1878" s="16" t="str">
        <f t="shared" ca="1" si="153"/>
        <v/>
      </c>
    </row>
    <row r="1879" spans="1:9" x14ac:dyDescent="0.3">
      <c r="A1879" s="3"/>
      <c r="B1879" s="9"/>
      <c r="C1879" s="9"/>
      <c r="E1879" s="14" t="str">
        <f t="shared" si="149"/>
        <v/>
      </c>
      <c r="F1879" s="15" t="str">
        <f t="shared" ca="1" si="150"/>
        <v/>
      </c>
      <c r="G1879" s="15" t="str">
        <f t="shared" ca="1" si="151"/>
        <v/>
      </c>
      <c r="H1879" s="15" t="str">
        <f t="shared" ca="1" si="152"/>
        <v/>
      </c>
      <c r="I1879" s="16" t="str">
        <f t="shared" ca="1" si="153"/>
        <v/>
      </c>
    </row>
    <row r="1880" spans="1:9" x14ac:dyDescent="0.3">
      <c r="A1880" s="3"/>
      <c r="B1880" s="9"/>
      <c r="C1880" s="9"/>
      <c r="E1880" s="14" t="str">
        <f t="shared" si="149"/>
        <v/>
      </c>
      <c r="F1880" s="15" t="str">
        <f t="shared" ca="1" si="150"/>
        <v/>
      </c>
      <c r="G1880" s="15" t="str">
        <f t="shared" ca="1" si="151"/>
        <v/>
      </c>
      <c r="H1880" s="15" t="str">
        <f t="shared" ca="1" si="152"/>
        <v/>
      </c>
      <c r="I1880" s="16" t="str">
        <f t="shared" ca="1" si="153"/>
        <v/>
      </c>
    </row>
    <row r="1881" spans="1:9" x14ac:dyDescent="0.3">
      <c r="A1881" s="3"/>
      <c r="B1881" s="9"/>
      <c r="C1881" s="9"/>
      <c r="E1881" s="14" t="str">
        <f t="shared" si="149"/>
        <v/>
      </c>
      <c r="F1881" s="15" t="str">
        <f t="shared" ca="1" si="150"/>
        <v/>
      </c>
      <c r="G1881" s="15" t="str">
        <f t="shared" ca="1" si="151"/>
        <v/>
      </c>
      <c r="H1881" s="15" t="str">
        <f t="shared" ca="1" si="152"/>
        <v/>
      </c>
      <c r="I1881" s="16" t="str">
        <f t="shared" ca="1" si="153"/>
        <v/>
      </c>
    </row>
    <row r="1882" spans="1:9" x14ac:dyDescent="0.3">
      <c r="A1882" s="3"/>
      <c r="B1882" s="9"/>
      <c r="C1882" s="9"/>
      <c r="E1882" s="14" t="str">
        <f t="shared" si="149"/>
        <v/>
      </c>
      <c r="F1882" s="15" t="str">
        <f t="shared" ca="1" si="150"/>
        <v/>
      </c>
      <c r="G1882" s="15" t="str">
        <f t="shared" ca="1" si="151"/>
        <v/>
      </c>
      <c r="H1882" s="15" t="str">
        <f t="shared" ca="1" si="152"/>
        <v/>
      </c>
      <c r="I1882" s="16" t="str">
        <f t="shared" ca="1" si="153"/>
        <v/>
      </c>
    </row>
    <row r="1883" spans="1:9" x14ac:dyDescent="0.3">
      <c r="A1883" s="3"/>
      <c r="B1883" s="9"/>
      <c r="C1883" s="9"/>
      <c r="E1883" s="14" t="str">
        <f t="shared" si="149"/>
        <v/>
      </c>
      <c r="F1883" s="15" t="str">
        <f t="shared" ca="1" si="150"/>
        <v/>
      </c>
      <c r="G1883" s="15" t="str">
        <f t="shared" ca="1" si="151"/>
        <v/>
      </c>
      <c r="H1883" s="15" t="str">
        <f t="shared" ca="1" si="152"/>
        <v/>
      </c>
      <c r="I1883" s="16" t="str">
        <f t="shared" ca="1" si="153"/>
        <v/>
      </c>
    </row>
    <row r="1884" spans="1:9" x14ac:dyDescent="0.3">
      <c r="A1884" s="3"/>
      <c r="B1884" s="9"/>
      <c r="C1884" s="9"/>
      <c r="E1884" s="14" t="str">
        <f t="shared" si="149"/>
        <v/>
      </c>
      <c r="F1884" s="15" t="str">
        <f t="shared" ca="1" si="150"/>
        <v/>
      </c>
      <c r="G1884" s="15" t="str">
        <f t="shared" ca="1" si="151"/>
        <v/>
      </c>
      <c r="H1884" s="15" t="str">
        <f t="shared" ca="1" si="152"/>
        <v/>
      </c>
      <c r="I1884" s="16" t="str">
        <f t="shared" ca="1" si="153"/>
        <v/>
      </c>
    </row>
    <row r="1885" spans="1:9" x14ac:dyDescent="0.3">
      <c r="A1885" s="3"/>
      <c r="B1885" s="9"/>
      <c r="C1885" s="9"/>
      <c r="E1885" s="14" t="str">
        <f t="shared" si="149"/>
        <v/>
      </c>
      <c r="F1885" s="15" t="str">
        <f t="shared" ca="1" si="150"/>
        <v/>
      </c>
      <c r="G1885" s="15" t="str">
        <f t="shared" ca="1" si="151"/>
        <v/>
      </c>
      <c r="H1885" s="15" t="str">
        <f t="shared" ca="1" si="152"/>
        <v/>
      </c>
      <c r="I1885" s="16" t="str">
        <f t="shared" ca="1" si="153"/>
        <v/>
      </c>
    </row>
    <row r="1886" spans="1:9" x14ac:dyDescent="0.3">
      <c r="A1886" s="3"/>
      <c r="B1886" s="9"/>
      <c r="C1886" s="9"/>
      <c r="E1886" s="14" t="str">
        <f t="shared" si="149"/>
        <v/>
      </c>
      <c r="F1886" s="15" t="str">
        <f t="shared" ca="1" si="150"/>
        <v/>
      </c>
      <c r="G1886" s="15" t="str">
        <f t="shared" ca="1" si="151"/>
        <v/>
      </c>
      <c r="H1886" s="15" t="str">
        <f t="shared" ca="1" si="152"/>
        <v/>
      </c>
      <c r="I1886" s="16" t="str">
        <f t="shared" ca="1" si="153"/>
        <v/>
      </c>
    </row>
    <row r="1887" spans="1:9" x14ac:dyDescent="0.3">
      <c r="A1887" s="3"/>
      <c r="B1887" s="9"/>
      <c r="C1887" s="9"/>
      <c r="E1887" s="14" t="str">
        <f t="shared" si="149"/>
        <v/>
      </c>
      <c r="F1887" s="15" t="str">
        <f t="shared" ca="1" si="150"/>
        <v/>
      </c>
      <c r="G1887" s="15" t="str">
        <f t="shared" ca="1" si="151"/>
        <v/>
      </c>
      <c r="H1887" s="15" t="str">
        <f t="shared" ca="1" si="152"/>
        <v/>
      </c>
      <c r="I1887" s="16" t="str">
        <f t="shared" ca="1" si="153"/>
        <v/>
      </c>
    </row>
    <row r="1888" spans="1:9" x14ac:dyDescent="0.3">
      <c r="A1888" s="3"/>
      <c r="B1888" s="9"/>
      <c r="C1888" s="9"/>
      <c r="E1888" s="14" t="str">
        <f t="shared" si="149"/>
        <v/>
      </c>
      <c r="F1888" s="15" t="str">
        <f t="shared" ca="1" si="150"/>
        <v/>
      </c>
      <c r="G1888" s="15" t="str">
        <f t="shared" ca="1" si="151"/>
        <v/>
      </c>
      <c r="H1888" s="15" t="str">
        <f t="shared" ca="1" si="152"/>
        <v/>
      </c>
      <c r="I1888" s="16" t="str">
        <f t="shared" ca="1" si="153"/>
        <v/>
      </c>
    </row>
    <row r="1889" spans="1:9" x14ac:dyDescent="0.3">
      <c r="A1889" s="3"/>
      <c r="B1889" s="9"/>
      <c r="C1889" s="9"/>
      <c r="E1889" s="14" t="str">
        <f t="shared" si="149"/>
        <v/>
      </c>
      <c r="F1889" s="15" t="str">
        <f t="shared" ca="1" si="150"/>
        <v/>
      </c>
      <c r="G1889" s="15" t="str">
        <f t="shared" ca="1" si="151"/>
        <v/>
      </c>
      <c r="H1889" s="15" t="str">
        <f t="shared" ca="1" si="152"/>
        <v/>
      </c>
      <c r="I1889" s="16" t="str">
        <f t="shared" ca="1" si="153"/>
        <v/>
      </c>
    </row>
    <row r="1890" spans="1:9" x14ac:dyDescent="0.3">
      <c r="A1890" s="3"/>
      <c r="B1890" s="9"/>
      <c r="C1890" s="9"/>
      <c r="E1890" s="14" t="str">
        <f t="shared" si="149"/>
        <v/>
      </c>
      <c r="F1890" s="15" t="str">
        <f t="shared" ca="1" si="150"/>
        <v/>
      </c>
      <c r="G1890" s="15" t="str">
        <f t="shared" ca="1" si="151"/>
        <v/>
      </c>
      <c r="H1890" s="15" t="str">
        <f t="shared" ca="1" si="152"/>
        <v/>
      </c>
      <c r="I1890" s="16" t="str">
        <f t="shared" ca="1" si="153"/>
        <v/>
      </c>
    </row>
    <row r="1891" spans="1:9" x14ac:dyDescent="0.3">
      <c r="A1891" s="3"/>
      <c r="B1891" s="9"/>
      <c r="C1891" s="9"/>
      <c r="E1891" s="14" t="str">
        <f t="shared" si="149"/>
        <v/>
      </c>
      <c r="F1891" s="15" t="str">
        <f t="shared" ca="1" si="150"/>
        <v/>
      </c>
      <c r="G1891" s="15" t="str">
        <f t="shared" ca="1" si="151"/>
        <v/>
      </c>
      <c r="H1891" s="15" t="str">
        <f t="shared" ca="1" si="152"/>
        <v/>
      </c>
      <c r="I1891" s="16" t="str">
        <f t="shared" ca="1" si="153"/>
        <v/>
      </c>
    </row>
    <row r="1892" spans="1:9" x14ac:dyDescent="0.3">
      <c r="A1892" s="3"/>
      <c r="B1892" s="9"/>
      <c r="C1892" s="9"/>
      <c r="E1892" s="14" t="str">
        <f t="shared" si="149"/>
        <v/>
      </c>
      <c r="F1892" s="15" t="str">
        <f t="shared" ca="1" si="150"/>
        <v/>
      </c>
      <c r="G1892" s="15" t="str">
        <f t="shared" ca="1" si="151"/>
        <v/>
      </c>
      <c r="H1892" s="15" t="str">
        <f t="shared" ca="1" si="152"/>
        <v/>
      </c>
      <c r="I1892" s="16" t="str">
        <f t="shared" ca="1" si="153"/>
        <v/>
      </c>
    </row>
    <row r="1893" spans="1:9" x14ac:dyDescent="0.3">
      <c r="A1893" s="3"/>
      <c r="B1893" s="9"/>
      <c r="C1893" s="9"/>
      <c r="E1893" s="14" t="str">
        <f t="shared" si="149"/>
        <v/>
      </c>
      <c r="F1893" s="15" t="str">
        <f t="shared" ca="1" si="150"/>
        <v/>
      </c>
      <c r="G1893" s="15" t="str">
        <f t="shared" ca="1" si="151"/>
        <v/>
      </c>
      <c r="H1893" s="15" t="str">
        <f t="shared" ca="1" si="152"/>
        <v/>
      </c>
      <c r="I1893" s="16" t="str">
        <f t="shared" ca="1" si="153"/>
        <v/>
      </c>
    </row>
    <row r="1894" spans="1:9" x14ac:dyDescent="0.3">
      <c r="A1894" s="3"/>
      <c r="B1894" s="9"/>
      <c r="C1894" s="9"/>
      <c r="E1894" s="14" t="str">
        <f t="shared" si="149"/>
        <v/>
      </c>
      <c r="F1894" s="15" t="str">
        <f t="shared" ca="1" si="150"/>
        <v/>
      </c>
      <c r="G1894" s="15" t="str">
        <f t="shared" ca="1" si="151"/>
        <v/>
      </c>
      <c r="H1894" s="15" t="str">
        <f t="shared" ca="1" si="152"/>
        <v/>
      </c>
      <c r="I1894" s="16" t="str">
        <f t="shared" ca="1" si="153"/>
        <v/>
      </c>
    </row>
    <row r="1895" spans="1:9" x14ac:dyDescent="0.3">
      <c r="A1895" s="3"/>
      <c r="B1895" s="9"/>
      <c r="C1895" s="9"/>
      <c r="E1895" s="14" t="str">
        <f t="shared" si="149"/>
        <v/>
      </c>
      <c r="F1895" s="15" t="str">
        <f t="shared" ca="1" si="150"/>
        <v/>
      </c>
      <c r="G1895" s="15" t="str">
        <f t="shared" ca="1" si="151"/>
        <v/>
      </c>
      <c r="H1895" s="15" t="str">
        <f t="shared" ca="1" si="152"/>
        <v/>
      </c>
      <c r="I1895" s="16" t="str">
        <f t="shared" ca="1" si="153"/>
        <v/>
      </c>
    </row>
    <row r="1896" spans="1:9" x14ac:dyDescent="0.3">
      <c r="A1896" s="3"/>
      <c r="B1896" s="9"/>
      <c r="C1896" s="9"/>
      <c r="E1896" s="14" t="str">
        <f t="shared" si="149"/>
        <v/>
      </c>
      <c r="F1896" s="15" t="str">
        <f t="shared" ca="1" si="150"/>
        <v/>
      </c>
      <c r="G1896" s="15" t="str">
        <f t="shared" ca="1" si="151"/>
        <v/>
      </c>
      <c r="H1896" s="15" t="str">
        <f t="shared" ca="1" si="152"/>
        <v/>
      </c>
      <c r="I1896" s="16" t="str">
        <f t="shared" ca="1" si="153"/>
        <v/>
      </c>
    </row>
    <row r="1897" spans="1:9" x14ac:dyDescent="0.3">
      <c r="A1897" s="3"/>
      <c r="B1897" s="9"/>
      <c r="C1897" s="9"/>
      <c r="E1897" s="14" t="str">
        <f t="shared" si="149"/>
        <v/>
      </c>
      <c r="F1897" s="15" t="str">
        <f t="shared" ca="1" si="150"/>
        <v/>
      </c>
      <c r="G1897" s="15" t="str">
        <f t="shared" ca="1" si="151"/>
        <v/>
      </c>
      <c r="H1897" s="15" t="str">
        <f t="shared" ca="1" si="152"/>
        <v/>
      </c>
      <c r="I1897" s="16" t="str">
        <f t="shared" ca="1" si="153"/>
        <v/>
      </c>
    </row>
    <row r="1898" spans="1:9" x14ac:dyDescent="0.3">
      <c r="A1898" s="3"/>
      <c r="B1898" s="9"/>
      <c r="C1898" s="9"/>
      <c r="E1898" s="14" t="str">
        <f t="shared" si="149"/>
        <v/>
      </c>
      <c r="F1898" s="15" t="str">
        <f t="shared" ca="1" si="150"/>
        <v/>
      </c>
      <c r="G1898" s="15" t="str">
        <f t="shared" ca="1" si="151"/>
        <v/>
      </c>
      <c r="H1898" s="15" t="str">
        <f t="shared" ca="1" si="152"/>
        <v/>
      </c>
      <c r="I1898" s="16" t="str">
        <f t="shared" ca="1" si="153"/>
        <v/>
      </c>
    </row>
    <row r="1899" spans="1:9" x14ac:dyDescent="0.3">
      <c r="A1899" s="3"/>
      <c r="B1899" s="9"/>
      <c r="C1899" s="9"/>
      <c r="E1899" s="14" t="str">
        <f t="shared" si="149"/>
        <v/>
      </c>
      <c r="F1899" s="15" t="str">
        <f t="shared" ca="1" si="150"/>
        <v/>
      </c>
      <c r="G1899" s="15" t="str">
        <f t="shared" ca="1" si="151"/>
        <v/>
      </c>
      <c r="H1899" s="15" t="str">
        <f t="shared" ca="1" si="152"/>
        <v/>
      </c>
      <c r="I1899" s="16" t="str">
        <f t="shared" ca="1" si="153"/>
        <v/>
      </c>
    </row>
    <row r="1900" spans="1:9" x14ac:dyDescent="0.3">
      <c r="A1900" s="3"/>
      <c r="B1900" s="9"/>
      <c r="C1900" s="9"/>
      <c r="E1900" s="14" t="str">
        <f t="shared" si="149"/>
        <v/>
      </c>
      <c r="F1900" s="15" t="str">
        <f t="shared" ca="1" si="150"/>
        <v/>
      </c>
      <c r="G1900" s="15" t="str">
        <f t="shared" ca="1" si="151"/>
        <v/>
      </c>
      <c r="H1900" s="15" t="str">
        <f t="shared" ca="1" si="152"/>
        <v/>
      </c>
      <c r="I1900" s="16" t="str">
        <f t="shared" ca="1" si="153"/>
        <v/>
      </c>
    </row>
    <row r="1901" spans="1:9" x14ac:dyDescent="0.3">
      <c r="A1901" s="3"/>
      <c r="B1901" s="9"/>
      <c r="C1901" s="9"/>
      <c r="E1901" s="14" t="str">
        <f t="shared" si="149"/>
        <v/>
      </c>
      <c r="F1901" s="15" t="str">
        <f t="shared" ca="1" si="150"/>
        <v/>
      </c>
      <c r="G1901" s="15" t="str">
        <f t="shared" ca="1" si="151"/>
        <v/>
      </c>
      <c r="H1901" s="15" t="str">
        <f t="shared" ca="1" si="152"/>
        <v/>
      </c>
      <c r="I1901" s="16" t="str">
        <f t="shared" ca="1" si="153"/>
        <v/>
      </c>
    </row>
    <row r="1902" spans="1:9" x14ac:dyDescent="0.3">
      <c r="A1902" s="3"/>
      <c r="B1902" s="9"/>
      <c r="C1902" s="9"/>
      <c r="E1902" s="14" t="str">
        <f t="shared" si="149"/>
        <v/>
      </c>
      <c r="F1902" s="15" t="str">
        <f t="shared" ca="1" si="150"/>
        <v/>
      </c>
      <c r="G1902" s="15" t="str">
        <f t="shared" ca="1" si="151"/>
        <v/>
      </c>
      <c r="H1902" s="15" t="str">
        <f t="shared" ca="1" si="152"/>
        <v/>
      </c>
      <c r="I1902" s="16" t="str">
        <f t="shared" ca="1" si="153"/>
        <v/>
      </c>
    </row>
    <row r="1903" spans="1:9" x14ac:dyDescent="0.3">
      <c r="A1903" s="3"/>
      <c r="B1903" s="9"/>
      <c r="C1903" s="9"/>
      <c r="E1903" s="14" t="str">
        <f t="shared" si="149"/>
        <v/>
      </c>
      <c r="F1903" s="15" t="str">
        <f t="shared" ca="1" si="150"/>
        <v/>
      </c>
      <c r="G1903" s="15" t="str">
        <f t="shared" ca="1" si="151"/>
        <v/>
      </c>
      <c r="H1903" s="15" t="str">
        <f t="shared" ca="1" si="152"/>
        <v/>
      </c>
      <c r="I1903" s="16" t="str">
        <f t="shared" ca="1" si="153"/>
        <v/>
      </c>
    </row>
    <row r="1904" spans="1:9" x14ac:dyDescent="0.3">
      <c r="A1904" s="3"/>
      <c r="B1904" s="9"/>
      <c r="C1904" s="9"/>
      <c r="E1904" s="14" t="str">
        <f t="shared" si="149"/>
        <v/>
      </c>
      <c r="F1904" s="15" t="str">
        <f t="shared" ca="1" si="150"/>
        <v/>
      </c>
      <c r="G1904" s="15" t="str">
        <f t="shared" ca="1" si="151"/>
        <v/>
      </c>
      <c r="H1904" s="15" t="str">
        <f t="shared" ca="1" si="152"/>
        <v/>
      </c>
      <c r="I1904" s="16" t="str">
        <f t="shared" ca="1" si="153"/>
        <v/>
      </c>
    </row>
    <row r="1905" spans="1:9" x14ac:dyDescent="0.3">
      <c r="A1905" s="3"/>
      <c r="B1905" s="9"/>
      <c r="C1905" s="9"/>
      <c r="E1905" s="14" t="str">
        <f t="shared" si="149"/>
        <v/>
      </c>
      <c r="F1905" s="15" t="str">
        <f t="shared" ca="1" si="150"/>
        <v/>
      </c>
      <c r="G1905" s="15" t="str">
        <f t="shared" ca="1" si="151"/>
        <v/>
      </c>
      <c r="H1905" s="15" t="str">
        <f t="shared" ca="1" si="152"/>
        <v/>
      </c>
      <c r="I1905" s="16" t="str">
        <f t="shared" ca="1" si="153"/>
        <v/>
      </c>
    </row>
    <row r="1906" spans="1:9" x14ac:dyDescent="0.3">
      <c r="A1906" s="3"/>
      <c r="B1906" s="9"/>
      <c r="C1906" s="9"/>
      <c r="E1906" s="14" t="str">
        <f t="shared" si="149"/>
        <v/>
      </c>
      <c r="F1906" s="15" t="str">
        <f t="shared" ca="1" si="150"/>
        <v/>
      </c>
      <c r="G1906" s="15" t="str">
        <f t="shared" ca="1" si="151"/>
        <v/>
      </c>
      <c r="H1906" s="15" t="str">
        <f t="shared" ca="1" si="152"/>
        <v/>
      </c>
      <c r="I1906" s="16" t="str">
        <f t="shared" ca="1" si="153"/>
        <v/>
      </c>
    </row>
    <row r="1907" spans="1:9" x14ac:dyDescent="0.3">
      <c r="A1907" s="3"/>
      <c r="B1907" s="9"/>
      <c r="C1907" s="9"/>
      <c r="E1907" s="14" t="str">
        <f t="shared" si="149"/>
        <v/>
      </c>
      <c r="F1907" s="15" t="str">
        <f t="shared" ca="1" si="150"/>
        <v/>
      </c>
      <c r="G1907" s="15" t="str">
        <f t="shared" ca="1" si="151"/>
        <v/>
      </c>
      <c r="H1907" s="15" t="str">
        <f t="shared" ca="1" si="152"/>
        <v/>
      </c>
      <c r="I1907" s="16" t="str">
        <f t="shared" ca="1" si="153"/>
        <v/>
      </c>
    </row>
    <row r="1908" spans="1:9" x14ac:dyDescent="0.3">
      <c r="A1908" s="3"/>
      <c r="B1908" s="9"/>
      <c r="C1908" s="9"/>
      <c r="E1908" s="14" t="str">
        <f t="shared" si="149"/>
        <v/>
      </c>
      <c r="F1908" s="15" t="str">
        <f t="shared" ca="1" si="150"/>
        <v/>
      </c>
      <c r="G1908" s="15" t="str">
        <f t="shared" ca="1" si="151"/>
        <v/>
      </c>
      <c r="H1908" s="15" t="str">
        <f t="shared" ca="1" si="152"/>
        <v/>
      </c>
      <c r="I1908" s="16" t="str">
        <f t="shared" ca="1" si="153"/>
        <v/>
      </c>
    </row>
    <row r="1909" spans="1:9" x14ac:dyDescent="0.3">
      <c r="A1909" s="3"/>
      <c r="B1909" s="9"/>
      <c r="C1909" s="9"/>
      <c r="E1909" s="14" t="str">
        <f t="shared" si="149"/>
        <v/>
      </c>
      <c r="F1909" s="15" t="str">
        <f t="shared" ca="1" si="150"/>
        <v/>
      </c>
      <c r="G1909" s="15" t="str">
        <f t="shared" ca="1" si="151"/>
        <v/>
      </c>
      <c r="H1909" s="15" t="str">
        <f t="shared" ca="1" si="152"/>
        <v/>
      </c>
      <c r="I1909" s="16" t="str">
        <f t="shared" ca="1" si="153"/>
        <v/>
      </c>
    </row>
    <row r="1910" spans="1:9" x14ac:dyDescent="0.3">
      <c r="A1910" s="3"/>
      <c r="B1910" s="9"/>
      <c r="C1910" s="9"/>
      <c r="E1910" s="14" t="str">
        <f t="shared" si="149"/>
        <v/>
      </c>
      <c r="F1910" s="15" t="str">
        <f t="shared" ca="1" si="150"/>
        <v/>
      </c>
      <c r="G1910" s="15" t="str">
        <f t="shared" ca="1" si="151"/>
        <v/>
      </c>
      <c r="H1910" s="15" t="str">
        <f t="shared" ca="1" si="152"/>
        <v/>
      </c>
      <c r="I1910" s="16" t="str">
        <f t="shared" ca="1" si="153"/>
        <v/>
      </c>
    </row>
    <row r="1911" spans="1:9" x14ac:dyDescent="0.3">
      <c r="A1911" s="3"/>
      <c r="B1911" s="9"/>
      <c r="C1911" s="9"/>
      <c r="E1911" s="14" t="str">
        <f t="shared" si="149"/>
        <v/>
      </c>
      <c r="F1911" s="15" t="str">
        <f t="shared" ca="1" si="150"/>
        <v/>
      </c>
      <c r="G1911" s="15" t="str">
        <f t="shared" ca="1" si="151"/>
        <v/>
      </c>
      <c r="H1911" s="15" t="str">
        <f t="shared" ca="1" si="152"/>
        <v/>
      </c>
      <c r="I1911" s="16" t="str">
        <f t="shared" ca="1" si="153"/>
        <v/>
      </c>
    </row>
    <row r="1912" spans="1:9" x14ac:dyDescent="0.3">
      <c r="A1912" s="3"/>
      <c r="B1912" s="9"/>
      <c r="C1912" s="9"/>
      <c r="E1912" s="14" t="str">
        <f t="shared" si="149"/>
        <v/>
      </c>
      <c r="F1912" s="15" t="str">
        <f t="shared" ca="1" si="150"/>
        <v/>
      </c>
      <c r="G1912" s="15" t="str">
        <f t="shared" ca="1" si="151"/>
        <v/>
      </c>
      <c r="H1912" s="15" t="str">
        <f t="shared" ca="1" si="152"/>
        <v/>
      </c>
      <c r="I1912" s="16" t="str">
        <f t="shared" ca="1" si="153"/>
        <v/>
      </c>
    </row>
    <row r="1913" spans="1:9" x14ac:dyDescent="0.3">
      <c r="A1913" s="3"/>
      <c r="B1913" s="9"/>
      <c r="C1913" s="9"/>
      <c r="E1913" s="14" t="str">
        <f t="shared" si="149"/>
        <v/>
      </c>
      <c r="F1913" s="15" t="str">
        <f t="shared" ca="1" si="150"/>
        <v/>
      </c>
      <c r="G1913" s="15" t="str">
        <f t="shared" ca="1" si="151"/>
        <v/>
      </c>
      <c r="H1913" s="15" t="str">
        <f t="shared" ca="1" si="152"/>
        <v/>
      </c>
      <c r="I1913" s="16" t="str">
        <f t="shared" ca="1" si="153"/>
        <v/>
      </c>
    </row>
    <row r="1914" spans="1:9" x14ac:dyDescent="0.3">
      <c r="A1914" s="3"/>
      <c r="B1914" s="9"/>
      <c r="C1914" s="9"/>
      <c r="E1914" s="14" t="str">
        <f t="shared" si="149"/>
        <v/>
      </c>
      <c r="F1914" s="15" t="str">
        <f t="shared" ca="1" si="150"/>
        <v/>
      </c>
      <c r="G1914" s="15" t="str">
        <f t="shared" ca="1" si="151"/>
        <v/>
      </c>
      <c r="H1914" s="15" t="str">
        <f t="shared" ca="1" si="152"/>
        <v/>
      </c>
      <c r="I1914" s="16" t="str">
        <f t="shared" ca="1" si="153"/>
        <v/>
      </c>
    </row>
    <row r="1915" spans="1:9" x14ac:dyDescent="0.3">
      <c r="A1915" s="3"/>
      <c r="B1915" s="9"/>
      <c r="C1915" s="9"/>
      <c r="E1915" s="14" t="str">
        <f t="shared" si="149"/>
        <v/>
      </c>
      <c r="F1915" s="15" t="str">
        <f t="shared" ca="1" si="150"/>
        <v/>
      </c>
      <c r="G1915" s="15" t="str">
        <f t="shared" ca="1" si="151"/>
        <v/>
      </c>
      <c r="H1915" s="15" t="str">
        <f t="shared" ca="1" si="152"/>
        <v/>
      </c>
      <c r="I1915" s="16" t="str">
        <f t="shared" ca="1" si="153"/>
        <v/>
      </c>
    </row>
    <row r="1916" spans="1:9" x14ac:dyDescent="0.3">
      <c r="A1916" s="3"/>
      <c r="B1916" s="9"/>
      <c r="C1916" s="9"/>
      <c r="E1916" s="14" t="str">
        <f t="shared" si="149"/>
        <v/>
      </c>
      <c r="F1916" s="15" t="str">
        <f t="shared" ca="1" si="150"/>
        <v/>
      </c>
      <c r="G1916" s="15" t="str">
        <f t="shared" ca="1" si="151"/>
        <v/>
      </c>
      <c r="H1916" s="15" t="str">
        <f t="shared" ca="1" si="152"/>
        <v/>
      </c>
      <c r="I1916" s="16" t="str">
        <f t="shared" ca="1" si="153"/>
        <v/>
      </c>
    </row>
    <row r="1917" spans="1:9" x14ac:dyDescent="0.3">
      <c r="A1917" s="3"/>
      <c r="B1917" s="9"/>
      <c r="C1917" s="9"/>
      <c r="E1917" s="14" t="str">
        <f t="shared" si="149"/>
        <v/>
      </c>
      <c r="F1917" s="15" t="str">
        <f t="shared" ca="1" si="150"/>
        <v/>
      </c>
      <c r="G1917" s="15" t="str">
        <f t="shared" ca="1" si="151"/>
        <v/>
      </c>
      <c r="H1917" s="15" t="str">
        <f t="shared" ca="1" si="152"/>
        <v/>
      </c>
      <c r="I1917" s="16" t="str">
        <f t="shared" ca="1" si="153"/>
        <v/>
      </c>
    </row>
    <row r="1918" spans="1:9" x14ac:dyDescent="0.3">
      <c r="A1918" s="3"/>
      <c r="B1918" s="9"/>
      <c r="C1918" s="9"/>
      <c r="E1918" s="14" t="str">
        <f t="shared" si="149"/>
        <v/>
      </c>
      <c r="F1918" s="15" t="str">
        <f t="shared" ca="1" si="150"/>
        <v/>
      </c>
      <c r="G1918" s="15" t="str">
        <f t="shared" ca="1" si="151"/>
        <v/>
      </c>
      <c r="H1918" s="15" t="str">
        <f t="shared" ca="1" si="152"/>
        <v/>
      </c>
      <c r="I1918" s="16" t="str">
        <f t="shared" ca="1" si="153"/>
        <v/>
      </c>
    </row>
    <row r="1919" spans="1:9" x14ac:dyDescent="0.3">
      <c r="A1919" s="3"/>
      <c r="B1919" s="9"/>
      <c r="C1919" s="9"/>
      <c r="E1919" s="14" t="str">
        <f t="shared" si="149"/>
        <v/>
      </c>
      <c r="F1919" s="15" t="str">
        <f t="shared" ca="1" si="150"/>
        <v/>
      </c>
      <c r="G1919" s="15" t="str">
        <f t="shared" ca="1" si="151"/>
        <v/>
      </c>
      <c r="H1919" s="15" t="str">
        <f t="shared" ca="1" si="152"/>
        <v/>
      </c>
      <c r="I1919" s="16" t="str">
        <f t="shared" ca="1" si="153"/>
        <v/>
      </c>
    </row>
    <row r="1920" spans="1:9" x14ac:dyDescent="0.3">
      <c r="A1920" s="3"/>
      <c r="B1920" s="9"/>
      <c r="C1920" s="9"/>
      <c r="E1920" s="14" t="str">
        <f t="shared" si="149"/>
        <v/>
      </c>
      <c r="F1920" s="15" t="str">
        <f t="shared" ca="1" si="150"/>
        <v/>
      </c>
      <c r="G1920" s="15" t="str">
        <f t="shared" ca="1" si="151"/>
        <v/>
      </c>
      <c r="H1920" s="15" t="str">
        <f t="shared" ca="1" si="152"/>
        <v/>
      </c>
      <c r="I1920" s="16" t="str">
        <f t="shared" ca="1" si="153"/>
        <v/>
      </c>
    </row>
    <row r="1921" spans="1:9" x14ac:dyDescent="0.3">
      <c r="A1921" s="3"/>
      <c r="B1921" s="9"/>
      <c r="C1921" s="9"/>
      <c r="E1921" s="14" t="str">
        <f t="shared" si="149"/>
        <v/>
      </c>
      <c r="F1921" s="15" t="str">
        <f t="shared" ca="1" si="150"/>
        <v/>
      </c>
      <c r="G1921" s="15" t="str">
        <f t="shared" ca="1" si="151"/>
        <v/>
      </c>
      <c r="H1921" s="15" t="str">
        <f t="shared" ca="1" si="152"/>
        <v/>
      </c>
      <c r="I1921" s="16" t="str">
        <f t="shared" ca="1" si="153"/>
        <v/>
      </c>
    </row>
    <row r="1922" spans="1:9" x14ac:dyDescent="0.3">
      <c r="A1922" s="3"/>
      <c r="B1922" s="9"/>
      <c r="C1922" s="9"/>
      <c r="E1922" s="14" t="str">
        <f t="shared" si="149"/>
        <v/>
      </c>
      <c r="F1922" s="15" t="str">
        <f t="shared" ca="1" si="150"/>
        <v/>
      </c>
      <c r="G1922" s="15" t="str">
        <f t="shared" ca="1" si="151"/>
        <v/>
      </c>
      <c r="H1922" s="15" t="str">
        <f t="shared" ca="1" si="152"/>
        <v/>
      </c>
      <c r="I1922" s="16" t="str">
        <f t="shared" ca="1" si="153"/>
        <v/>
      </c>
    </row>
    <row r="1923" spans="1:9" x14ac:dyDescent="0.3">
      <c r="A1923" s="3"/>
      <c r="B1923" s="9"/>
      <c r="C1923" s="9"/>
      <c r="E1923" s="14" t="str">
        <f t="shared" ref="E1923:E1986" si="154">IF(ISNUMBER(B1923),B1923/C1923,"")</f>
        <v/>
      </c>
      <c r="F1923" s="15" t="str">
        <f t="shared" ca="1" si="150"/>
        <v/>
      </c>
      <c r="G1923" s="15" t="str">
        <f t="shared" ca="1" si="151"/>
        <v/>
      </c>
      <c r="H1923" s="15" t="str">
        <f t="shared" ca="1" si="152"/>
        <v/>
      </c>
      <c r="I1923" s="16" t="str">
        <f t="shared" ca="1" si="153"/>
        <v/>
      </c>
    </row>
    <row r="1924" spans="1:9" x14ac:dyDescent="0.3">
      <c r="A1924" s="3"/>
      <c r="B1924" s="9"/>
      <c r="C1924" s="9"/>
      <c r="E1924" s="14" t="str">
        <f t="shared" si="154"/>
        <v/>
      </c>
      <c r="F1924" s="15" t="str">
        <f t="shared" ca="1" si="150"/>
        <v/>
      </c>
      <c r="G1924" s="15" t="str">
        <f t="shared" ca="1" si="151"/>
        <v/>
      </c>
      <c r="H1924" s="15" t="str">
        <f t="shared" ca="1" si="152"/>
        <v/>
      </c>
      <c r="I1924" s="16" t="str">
        <f t="shared" ca="1" si="153"/>
        <v/>
      </c>
    </row>
    <row r="1925" spans="1:9" x14ac:dyDescent="0.3">
      <c r="A1925" s="3"/>
      <c r="B1925" s="9"/>
      <c r="C1925" s="9"/>
      <c r="E1925" s="14" t="str">
        <f t="shared" si="154"/>
        <v/>
      </c>
      <c r="F1925" s="15" t="str">
        <f t="shared" ca="1" si="150"/>
        <v/>
      </c>
      <c r="G1925" s="15" t="str">
        <f t="shared" ca="1" si="151"/>
        <v/>
      </c>
      <c r="H1925" s="15" t="str">
        <f t="shared" ca="1" si="152"/>
        <v/>
      </c>
      <c r="I1925" s="16" t="str">
        <f t="shared" ca="1" si="153"/>
        <v/>
      </c>
    </row>
    <row r="1926" spans="1:9" x14ac:dyDescent="0.3">
      <c r="A1926" s="3"/>
      <c r="B1926" s="9"/>
      <c r="C1926" s="9"/>
      <c r="E1926" s="14" t="str">
        <f t="shared" si="154"/>
        <v/>
      </c>
      <c r="F1926" s="15" t="str">
        <f t="shared" ca="1" si="150"/>
        <v/>
      </c>
      <c r="G1926" s="15" t="str">
        <f t="shared" ca="1" si="151"/>
        <v/>
      </c>
      <c r="H1926" s="15" t="str">
        <f t="shared" ca="1" si="152"/>
        <v/>
      </c>
      <c r="I1926" s="16" t="str">
        <f t="shared" ca="1" si="153"/>
        <v/>
      </c>
    </row>
    <row r="1927" spans="1:9" x14ac:dyDescent="0.3">
      <c r="A1927" s="3"/>
      <c r="B1927" s="9"/>
      <c r="C1927" s="9"/>
      <c r="E1927" s="14" t="str">
        <f t="shared" si="154"/>
        <v/>
      </c>
      <c r="F1927" s="15" t="str">
        <f t="shared" ca="1" si="150"/>
        <v/>
      </c>
      <c r="G1927" s="15" t="str">
        <f t="shared" ca="1" si="151"/>
        <v/>
      </c>
      <c r="H1927" s="15" t="str">
        <f t="shared" ca="1" si="152"/>
        <v/>
      </c>
      <c r="I1927" s="16" t="str">
        <f t="shared" ca="1" si="153"/>
        <v/>
      </c>
    </row>
    <row r="1928" spans="1:9" x14ac:dyDescent="0.3">
      <c r="A1928" s="3"/>
      <c r="B1928" s="9"/>
      <c r="C1928" s="9"/>
      <c r="E1928" s="14" t="str">
        <f t="shared" si="154"/>
        <v/>
      </c>
      <c r="F1928" s="15" t="str">
        <f t="shared" ca="1" si="150"/>
        <v/>
      </c>
      <c r="G1928" s="15" t="str">
        <f t="shared" ca="1" si="151"/>
        <v/>
      </c>
      <c r="H1928" s="15" t="str">
        <f t="shared" ca="1" si="152"/>
        <v/>
      </c>
      <c r="I1928" s="16" t="str">
        <f t="shared" ca="1" si="153"/>
        <v/>
      </c>
    </row>
    <row r="1929" spans="1:9" x14ac:dyDescent="0.3">
      <c r="A1929" s="3"/>
      <c r="B1929" s="9"/>
      <c r="C1929" s="9"/>
      <c r="E1929" s="14" t="str">
        <f t="shared" si="154"/>
        <v/>
      </c>
      <c r="F1929" s="15" t="str">
        <f t="shared" ca="1" si="150"/>
        <v/>
      </c>
      <c r="G1929" s="15" t="str">
        <f t="shared" ca="1" si="151"/>
        <v/>
      </c>
      <c r="H1929" s="15" t="str">
        <f t="shared" ca="1" si="152"/>
        <v/>
      </c>
      <c r="I1929" s="16" t="str">
        <f t="shared" ca="1" si="153"/>
        <v/>
      </c>
    </row>
    <row r="1930" spans="1:9" x14ac:dyDescent="0.3">
      <c r="A1930" s="3"/>
      <c r="B1930" s="9"/>
      <c r="C1930" s="9"/>
      <c r="E1930" s="14" t="str">
        <f t="shared" si="154"/>
        <v/>
      </c>
      <c r="F1930" s="15" t="str">
        <f t="shared" ca="1" si="150"/>
        <v/>
      </c>
      <c r="G1930" s="15" t="str">
        <f t="shared" ca="1" si="151"/>
        <v/>
      </c>
      <c r="H1930" s="15" t="str">
        <f t="shared" ca="1" si="152"/>
        <v/>
      </c>
      <c r="I1930" s="16" t="str">
        <f t="shared" ca="1" si="153"/>
        <v/>
      </c>
    </row>
    <row r="1931" spans="1:9" x14ac:dyDescent="0.3">
      <c r="A1931" s="3"/>
      <c r="B1931" s="9"/>
      <c r="C1931" s="9"/>
      <c r="E1931" s="14" t="str">
        <f t="shared" si="154"/>
        <v/>
      </c>
      <c r="F1931" s="15" t="str">
        <f t="shared" ca="1" si="150"/>
        <v/>
      </c>
      <c r="G1931" s="15" t="str">
        <f t="shared" ca="1" si="151"/>
        <v/>
      </c>
      <c r="H1931" s="15" t="str">
        <f t="shared" ca="1" si="152"/>
        <v/>
      </c>
      <c r="I1931" s="16" t="str">
        <f t="shared" ca="1" si="153"/>
        <v/>
      </c>
    </row>
    <row r="1932" spans="1:9" x14ac:dyDescent="0.3">
      <c r="A1932" s="3"/>
      <c r="B1932" s="9"/>
      <c r="C1932" s="9"/>
      <c r="E1932" s="14" t="str">
        <f t="shared" si="154"/>
        <v/>
      </c>
      <c r="F1932" s="15" t="str">
        <f t="shared" ca="1" si="150"/>
        <v/>
      </c>
      <c r="G1932" s="15" t="str">
        <f t="shared" ca="1" si="151"/>
        <v/>
      </c>
      <c r="H1932" s="15" t="str">
        <f t="shared" ca="1" si="152"/>
        <v/>
      </c>
      <c r="I1932" s="16" t="str">
        <f t="shared" ca="1" si="153"/>
        <v/>
      </c>
    </row>
    <row r="1933" spans="1:9" x14ac:dyDescent="0.3">
      <c r="A1933" s="3"/>
      <c r="B1933" s="9"/>
      <c r="C1933" s="9"/>
      <c r="E1933" s="14" t="str">
        <f t="shared" si="154"/>
        <v/>
      </c>
      <c r="F1933" s="15" t="str">
        <f t="shared" ca="1" si="150"/>
        <v/>
      </c>
      <c r="G1933" s="15" t="str">
        <f t="shared" ca="1" si="151"/>
        <v/>
      </c>
      <c r="H1933" s="15" t="str">
        <f t="shared" ca="1" si="152"/>
        <v/>
      </c>
      <c r="I1933" s="16" t="str">
        <f t="shared" ca="1" si="153"/>
        <v/>
      </c>
    </row>
    <row r="1934" spans="1:9" x14ac:dyDescent="0.3">
      <c r="A1934" s="3"/>
      <c r="B1934" s="9"/>
      <c r="C1934" s="9"/>
      <c r="E1934" s="14" t="str">
        <f t="shared" si="154"/>
        <v/>
      </c>
      <c r="F1934" s="15" t="str">
        <f t="shared" ca="1" si="150"/>
        <v/>
      </c>
      <c r="G1934" s="15" t="str">
        <f t="shared" ca="1" si="151"/>
        <v/>
      </c>
      <c r="H1934" s="15" t="str">
        <f t="shared" ca="1" si="152"/>
        <v/>
      </c>
      <c r="I1934" s="16" t="str">
        <f t="shared" ca="1" si="153"/>
        <v/>
      </c>
    </row>
    <row r="1935" spans="1:9" x14ac:dyDescent="0.3">
      <c r="A1935" s="3"/>
      <c r="B1935" s="9"/>
      <c r="C1935" s="9"/>
      <c r="E1935" s="14" t="str">
        <f t="shared" si="154"/>
        <v/>
      </c>
      <c r="F1935" s="15" t="str">
        <f t="shared" ca="1" si="150"/>
        <v/>
      </c>
      <c r="G1935" s="15" t="str">
        <f t="shared" ca="1" si="151"/>
        <v/>
      </c>
      <c r="H1935" s="15" t="str">
        <f t="shared" ca="1" si="152"/>
        <v/>
      </c>
      <c r="I1935" s="16" t="str">
        <f t="shared" ca="1" si="153"/>
        <v/>
      </c>
    </row>
    <row r="1936" spans="1:9" x14ac:dyDescent="0.3">
      <c r="A1936" s="3"/>
      <c r="B1936" s="9"/>
      <c r="C1936" s="9"/>
      <c r="E1936" s="14" t="str">
        <f t="shared" si="154"/>
        <v/>
      </c>
      <c r="F1936" s="15" t="str">
        <f t="shared" ca="1" si="150"/>
        <v/>
      </c>
      <c r="G1936" s="15" t="str">
        <f t="shared" ca="1" si="151"/>
        <v/>
      </c>
      <c r="H1936" s="15" t="str">
        <f t="shared" ca="1" si="152"/>
        <v/>
      </c>
      <c r="I1936" s="16" t="str">
        <f t="shared" ca="1" si="153"/>
        <v/>
      </c>
    </row>
    <row r="1937" spans="1:9" x14ac:dyDescent="0.3">
      <c r="A1937" s="3"/>
      <c r="B1937" s="9"/>
      <c r="C1937" s="9"/>
      <c r="E1937" s="14" t="str">
        <f t="shared" si="154"/>
        <v/>
      </c>
      <c r="F1937" s="15" t="str">
        <f t="shared" ref="F1937:F2000" ca="1" si="155">IF(ISNUMBER(E1937),IF(ROW(E1937)&gt;$K$1,AVERAGE(OFFSET(E1937,0,0,-$K$1)),""),"")</f>
        <v/>
      </c>
      <c r="G1937" s="15" t="str">
        <f t="shared" ref="G1937:G2000" ca="1" si="156">IF(ISNUMBER(I1937),F1937+I1937*$M$1,"")</f>
        <v/>
      </c>
      <c r="H1937" s="15" t="str">
        <f t="shared" ref="H1937:H2000" ca="1" si="157">IF(ISNUMBER(I1937),F1937-I1937*$M$1,"")</f>
        <v/>
      </c>
      <c r="I1937" s="16" t="str">
        <f t="shared" ref="I1937:I2000" ca="1" si="158">IF(ISNUMBER(E1937),IF(ROW(E1937)&gt;$K$1,_xlfn.STDEV.P(OFFSET(E1937,0,0,-$K$1)),""),"")</f>
        <v/>
      </c>
    </row>
    <row r="1938" spans="1:9" x14ac:dyDescent="0.3">
      <c r="A1938" s="3"/>
      <c r="B1938" s="9"/>
      <c r="C1938" s="9"/>
      <c r="E1938" s="14" t="str">
        <f t="shared" si="154"/>
        <v/>
      </c>
      <c r="F1938" s="15" t="str">
        <f t="shared" ca="1" si="155"/>
        <v/>
      </c>
      <c r="G1938" s="15" t="str">
        <f t="shared" ca="1" si="156"/>
        <v/>
      </c>
      <c r="H1938" s="15" t="str">
        <f t="shared" ca="1" si="157"/>
        <v/>
      </c>
      <c r="I1938" s="16" t="str">
        <f t="shared" ca="1" si="158"/>
        <v/>
      </c>
    </row>
    <row r="1939" spans="1:9" x14ac:dyDescent="0.3">
      <c r="A1939" s="3"/>
      <c r="B1939" s="9"/>
      <c r="C1939" s="9"/>
      <c r="E1939" s="14" t="str">
        <f t="shared" si="154"/>
        <v/>
      </c>
      <c r="F1939" s="15" t="str">
        <f t="shared" ca="1" si="155"/>
        <v/>
      </c>
      <c r="G1939" s="15" t="str">
        <f t="shared" ca="1" si="156"/>
        <v/>
      </c>
      <c r="H1939" s="15" t="str">
        <f t="shared" ca="1" si="157"/>
        <v/>
      </c>
      <c r="I1939" s="16" t="str">
        <f t="shared" ca="1" si="158"/>
        <v/>
      </c>
    </row>
    <row r="1940" spans="1:9" x14ac:dyDescent="0.3">
      <c r="A1940" s="3"/>
      <c r="B1940" s="9"/>
      <c r="C1940" s="9"/>
      <c r="E1940" s="14" t="str">
        <f t="shared" si="154"/>
        <v/>
      </c>
      <c r="F1940" s="15" t="str">
        <f t="shared" ca="1" si="155"/>
        <v/>
      </c>
      <c r="G1940" s="15" t="str">
        <f t="shared" ca="1" si="156"/>
        <v/>
      </c>
      <c r="H1940" s="15" t="str">
        <f t="shared" ca="1" si="157"/>
        <v/>
      </c>
      <c r="I1940" s="16" t="str">
        <f t="shared" ca="1" si="158"/>
        <v/>
      </c>
    </row>
    <row r="1941" spans="1:9" x14ac:dyDescent="0.3">
      <c r="A1941" s="3"/>
      <c r="B1941" s="9"/>
      <c r="C1941" s="9"/>
      <c r="E1941" s="14" t="str">
        <f t="shared" si="154"/>
        <v/>
      </c>
      <c r="F1941" s="15" t="str">
        <f t="shared" ca="1" si="155"/>
        <v/>
      </c>
      <c r="G1941" s="15" t="str">
        <f t="shared" ca="1" si="156"/>
        <v/>
      </c>
      <c r="H1941" s="15" t="str">
        <f t="shared" ca="1" si="157"/>
        <v/>
      </c>
      <c r="I1941" s="16" t="str">
        <f t="shared" ca="1" si="158"/>
        <v/>
      </c>
    </row>
    <row r="1942" spans="1:9" x14ac:dyDescent="0.3">
      <c r="A1942" s="3"/>
      <c r="B1942" s="9"/>
      <c r="C1942" s="9"/>
      <c r="E1942" s="14" t="str">
        <f t="shared" si="154"/>
        <v/>
      </c>
      <c r="F1942" s="15" t="str">
        <f t="shared" ca="1" si="155"/>
        <v/>
      </c>
      <c r="G1942" s="15" t="str">
        <f t="shared" ca="1" si="156"/>
        <v/>
      </c>
      <c r="H1942" s="15" t="str">
        <f t="shared" ca="1" si="157"/>
        <v/>
      </c>
      <c r="I1942" s="16" t="str">
        <f t="shared" ca="1" si="158"/>
        <v/>
      </c>
    </row>
    <row r="1943" spans="1:9" x14ac:dyDescent="0.3">
      <c r="A1943" s="3"/>
      <c r="B1943" s="9"/>
      <c r="C1943" s="9"/>
      <c r="E1943" s="14" t="str">
        <f t="shared" si="154"/>
        <v/>
      </c>
      <c r="F1943" s="15" t="str">
        <f t="shared" ca="1" si="155"/>
        <v/>
      </c>
      <c r="G1943" s="15" t="str">
        <f t="shared" ca="1" si="156"/>
        <v/>
      </c>
      <c r="H1943" s="15" t="str">
        <f t="shared" ca="1" si="157"/>
        <v/>
      </c>
      <c r="I1943" s="16" t="str">
        <f t="shared" ca="1" si="158"/>
        <v/>
      </c>
    </row>
    <row r="1944" spans="1:9" x14ac:dyDescent="0.3">
      <c r="A1944" s="3"/>
      <c r="B1944" s="9"/>
      <c r="C1944" s="9"/>
      <c r="E1944" s="14" t="str">
        <f t="shared" si="154"/>
        <v/>
      </c>
      <c r="F1944" s="15" t="str">
        <f t="shared" ca="1" si="155"/>
        <v/>
      </c>
      <c r="G1944" s="15" t="str">
        <f t="shared" ca="1" si="156"/>
        <v/>
      </c>
      <c r="H1944" s="15" t="str">
        <f t="shared" ca="1" si="157"/>
        <v/>
      </c>
      <c r="I1944" s="16" t="str">
        <f t="shared" ca="1" si="158"/>
        <v/>
      </c>
    </row>
    <row r="1945" spans="1:9" x14ac:dyDescent="0.3">
      <c r="A1945" s="3"/>
      <c r="B1945" s="9"/>
      <c r="C1945" s="9"/>
      <c r="E1945" s="14" t="str">
        <f t="shared" si="154"/>
        <v/>
      </c>
      <c r="F1945" s="15" t="str">
        <f t="shared" ca="1" si="155"/>
        <v/>
      </c>
      <c r="G1945" s="15" t="str">
        <f t="shared" ca="1" si="156"/>
        <v/>
      </c>
      <c r="H1945" s="15" t="str">
        <f t="shared" ca="1" si="157"/>
        <v/>
      </c>
      <c r="I1945" s="16" t="str">
        <f t="shared" ca="1" si="158"/>
        <v/>
      </c>
    </row>
    <row r="1946" spans="1:9" x14ac:dyDescent="0.3">
      <c r="A1946" s="3"/>
      <c r="B1946" s="9"/>
      <c r="C1946" s="9"/>
      <c r="E1946" s="14" t="str">
        <f t="shared" si="154"/>
        <v/>
      </c>
      <c r="F1946" s="15" t="str">
        <f t="shared" ca="1" si="155"/>
        <v/>
      </c>
      <c r="G1946" s="15" t="str">
        <f t="shared" ca="1" si="156"/>
        <v/>
      </c>
      <c r="H1946" s="15" t="str">
        <f t="shared" ca="1" si="157"/>
        <v/>
      </c>
      <c r="I1946" s="16" t="str">
        <f t="shared" ca="1" si="158"/>
        <v/>
      </c>
    </row>
    <row r="1947" spans="1:9" x14ac:dyDescent="0.3">
      <c r="A1947" s="3"/>
      <c r="B1947" s="9"/>
      <c r="C1947" s="9"/>
      <c r="E1947" s="14" t="str">
        <f t="shared" si="154"/>
        <v/>
      </c>
      <c r="F1947" s="15" t="str">
        <f t="shared" ca="1" si="155"/>
        <v/>
      </c>
      <c r="G1947" s="15" t="str">
        <f t="shared" ca="1" si="156"/>
        <v/>
      </c>
      <c r="H1947" s="15" t="str">
        <f t="shared" ca="1" si="157"/>
        <v/>
      </c>
      <c r="I1947" s="16" t="str">
        <f t="shared" ca="1" si="158"/>
        <v/>
      </c>
    </row>
    <row r="1948" spans="1:9" x14ac:dyDescent="0.3">
      <c r="A1948" s="3"/>
      <c r="B1948" s="9"/>
      <c r="C1948" s="9"/>
      <c r="E1948" s="14" t="str">
        <f t="shared" si="154"/>
        <v/>
      </c>
      <c r="F1948" s="15" t="str">
        <f t="shared" ca="1" si="155"/>
        <v/>
      </c>
      <c r="G1948" s="15" t="str">
        <f t="shared" ca="1" si="156"/>
        <v/>
      </c>
      <c r="H1948" s="15" t="str">
        <f t="shared" ca="1" si="157"/>
        <v/>
      </c>
      <c r="I1948" s="16" t="str">
        <f t="shared" ca="1" si="158"/>
        <v/>
      </c>
    </row>
    <row r="1949" spans="1:9" x14ac:dyDescent="0.3">
      <c r="A1949" s="3"/>
      <c r="B1949" s="9"/>
      <c r="C1949" s="9"/>
      <c r="E1949" s="14" t="str">
        <f t="shared" si="154"/>
        <v/>
      </c>
      <c r="F1949" s="15" t="str">
        <f t="shared" ca="1" si="155"/>
        <v/>
      </c>
      <c r="G1949" s="15" t="str">
        <f t="shared" ca="1" si="156"/>
        <v/>
      </c>
      <c r="H1949" s="15" t="str">
        <f t="shared" ca="1" si="157"/>
        <v/>
      </c>
      <c r="I1949" s="16" t="str">
        <f t="shared" ca="1" si="158"/>
        <v/>
      </c>
    </row>
    <row r="1950" spans="1:9" x14ac:dyDescent="0.3">
      <c r="A1950" s="3"/>
      <c r="B1950" s="9"/>
      <c r="C1950" s="9"/>
      <c r="E1950" s="14" t="str">
        <f t="shared" si="154"/>
        <v/>
      </c>
      <c r="F1950" s="15" t="str">
        <f t="shared" ca="1" si="155"/>
        <v/>
      </c>
      <c r="G1950" s="15" t="str">
        <f t="shared" ca="1" si="156"/>
        <v/>
      </c>
      <c r="H1950" s="15" t="str">
        <f t="shared" ca="1" si="157"/>
        <v/>
      </c>
      <c r="I1950" s="16" t="str">
        <f t="shared" ca="1" si="158"/>
        <v/>
      </c>
    </row>
    <row r="1951" spans="1:9" x14ac:dyDescent="0.3">
      <c r="A1951" s="3"/>
      <c r="B1951" s="9"/>
      <c r="C1951" s="9"/>
      <c r="E1951" s="14" t="str">
        <f t="shared" si="154"/>
        <v/>
      </c>
      <c r="F1951" s="15" t="str">
        <f t="shared" ca="1" si="155"/>
        <v/>
      </c>
      <c r="G1951" s="15" t="str">
        <f t="shared" ca="1" si="156"/>
        <v/>
      </c>
      <c r="H1951" s="15" t="str">
        <f t="shared" ca="1" si="157"/>
        <v/>
      </c>
      <c r="I1951" s="16" t="str">
        <f t="shared" ca="1" si="158"/>
        <v/>
      </c>
    </row>
    <row r="1952" spans="1:9" x14ac:dyDescent="0.3">
      <c r="A1952" s="3"/>
      <c r="B1952" s="9"/>
      <c r="C1952" s="9"/>
      <c r="E1952" s="14" t="str">
        <f t="shared" si="154"/>
        <v/>
      </c>
      <c r="F1952" s="15" t="str">
        <f t="shared" ca="1" si="155"/>
        <v/>
      </c>
      <c r="G1952" s="15" t="str">
        <f t="shared" ca="1" si="156"/>
        <v/>
      </c>
      <c r="H1952" s="15" t="str">
        <f t="shared" ca="1" si="157"/>
        <v/>
      </c>
      <c r="I1952" s="16" t="str">
        <f t="shared" ca="1" si="158"/>
        <v/>
      </c>
    </row>
    <row r="1953" spans="1:9" x14ac:dyDescent="0.3">
      <c r="A1953" s="3"/>
      <c r="B1953" s="9"/>
      <c r="C1953" s="9"/>
      <c r="E1953" s="14" t="str">
        <f t="shared" si="154"/>
        <v/>
      </c>
      <c r="F1953" s="15" t="str">
        <f t="shared" ca="1" si="155"/>
        <v/>
      </c>
      <c r="G1953" s="15" t="str">
        <f t="shared" ca="1" si="156"/>
        <v/>
      </c>
      <c r="H1953" s="15" t="str">
        <f t="shared" ca="1" si="157"/>
        <v/>
      </c>
      <c r="I1953" s="16" t="str">
        <f t="shared" ca="1" si="158"/>
        <v/>
      </c>
    </row>
    <row r="1954" spans="1:9" x14ac:dyDescent="0.3">
      <c r="A1954" s="3"/>
      <c r="B1954" s="9"/>
      <c r="C1954" s="9"/>
      <c r="E1954" s="14" t="str">
        <f t="shared" si="154"/>
        <v/>
      </c>
      <c r="F1954" s="15" t="str">
        <f t="shared" ca="1" si="155"/>
        <v/>
      </c>
      <c r="G1954" s="15" t="str">
        <f t="shared" ca="1" si="156"/>
        <v/>
      </c>
      <c r="H1954" s="15" t="str">
        <f t="shared" ca="1" si="157"/>
        <v/>
      </c>
      <c r="I1954" s="16" t="str">
        <f t="shared" ca="1" si="158"/>
        <v/>
      </c>
    </row>
    <row r="1955" spans="1:9" x14ac:dyDescent="0.3">
      <c r="A1955" s="3"/>
      <c r="B1955" s="9"/>
      <c r="C1955" s="9"/>
      <c r="E1955" s="14" t="str">
        <f t="shared" si="154"/>
        <v/>
      </c>
      <c r="F1955" s="15" t="str">
        <f t="shared" ca="1" si="155"/>
        <v/>
      </c>
      <c r="G1955" s="15" t="str">
        <f t="shared" ca="1" si="156"/>
        <v/>
      </c>
      <c r="H1955" s="15" t="str">
        <f t="shared" ca="1" si="157"/>
        <v/>
      </c>
      <c r="I1955" s="16" t="str">
        <f t="shared" ca="1" si="158"/>
        <v/>
      </c>
    </row>
    <row r="1956" spans="1:9" x14ac:dyDescent="0.3">
      <c r="A1956" s="3"/>
      <c r="B1956" s="9"/>
      <c r="C1956" s="9"/>
      <c r="E1956" s="14" t="str">
        <f t="shared" si="154"/>
        <v/>
      </c>
      <c r="F1956" s="15" t="str">
        <f t="shared" ca="1" si="155"/>
        <v/>
      </c>
      <c r="G1956" s="15" t="str">
        <f t="shared" ca="1" si="156"/>
        <v/>
      </c>
      <c r="H1956" s="15" t="str">
        <f t="shared" ca="1" si="157"/>
        <v/>
      </c>
      <c r="I1956" s="16" t="str">
        <f t="shared" ca="1" si="158"/>
        <v/>
      </c>
    </row>
    <row r="1957" spans="1:9" x14ac:dyDescent="0.3">
      <c r="A1957" s="3"/>
      <c r="B1957" s="9"/>
      <c r="C1957" s="9"/>
      <c r="E1957" s="14" t="str">
        <f t="shared" si="154"/>
        <v/>
      </c>
      <c r="F1957" s="15" t="str">
        <f t="shared" ca="1" si="155"/>
        <v/>
      </c>
      <c r="G1957" s="15" t="str">
        <f t="shared" ca="1" si="156"/>
        <v/>
      </c>
      <c r="H1957" s="15" t="str">
        <f t="shared" ca="1" si="157"/>
        <v/>
      </c>
      <c r="I1957" s="16" t="str">
        <f t="shared" ca="1" si="158"/>
        <v/>
      </c>
    </row>
    <row r="1958" spans="1:9" x14ac:dyDescent="0.3">
      <c r="A1958" s="3"/>
      <c r="B1958" s="9"/>
      <c r="C1958" s="9"/>
      <c r="E1958" s="14" t="str">
        <f t="shared" si="154"/>
        <v/>
      </c>
      <c r="F1958" s="15" t="str">
        <f t="shared" ca="1" si="155"/>
        <v/>
      </c>
      <c r="G1958" s="15" t="str">
        <f t="shared" ca="1" si="156"/>
        <v/>
      </c>
      <c r="H1958" s="15" t="str">
        <f t="shared" ca="1" si="157"/>
        <v/>
      </c>
      <c r="I1958" s="16" t="str">
        <f t="shared" ca="1" si="158"/>
        <v/>
      </c>
    </row>
    <row r="1959" spans="1:9" x14ac:dyDescent="0.3">
      <c r="A1959" s="3"/>
      <c r="B1959" s="9"/>
      <c r="C1959" s="9"/>
      <c r="E1959" s="14" t="str">
        <f t="shared" si="154"/>
        <v/>
      </c>
      <c r="F1959" s="15" t="str">
        <f t="shared" ca="1" si="155"/>
        <v/>
      </c>
      <c r="G1959" s="15" t="str">
        <f t="shared" ca="1" si="156"/>
        <v/>
      </c>
      <c r="H1959" s="15" t="str">
        <f t="shared" ca="1" si="157"/>
        <v/>
      </c>
      <c r="I1959" s="16" t="str">
        <f t="shared" ca="1" si="158"/>
        <v/>
      </c>
    </row>
    <row r="1960" spans="1:9" x14ac:dyDescent="0.3">
      <c r="A1960" s="3"/>
      <c r="B1960" s="9"/>
      <c r="C1960" s="9"/>
      <c r="E1960" s="14" t="str">
        <f t="shared" si="154"/>
        <v/>
      </c>
      <c r="F1960" s="15" t="str">
        <f t="shared" ca="1" si="155"/>
        <v/>
      </c>
      <c r="G1960" s="15" t="str">
        <f t="shared" ca="1" si="156"/>
        <v/>
      </c>
      <c r="H1960" s="15" t="str">
        <f t="shared" ca="1" si="157"/>
        <v/>
      </c>
      <c r="I1960" s="16" t="str">
        <f t="shared" ca="1" si="158"/>
        <v/>
      </c>
    </row>
    <row r="1961" spans="1:9" x14ac:dyDescent="0.3">
      <c r="A1961" s="3"/>
      <c r="B1961" s="9"/>
      <c r="C1961" s="9"/>
      <c r="E1961" s="14" t="str">
        <f t="shared" si="154"/>
        <v/>
      </c>
      <c r="F1961" s="15" t="str">
        <f t="shared" ca="1" si="155"/>
        <v/>
      </c>
      <c r="G1961" s="15" t="str">
        <f t="shared" ca="1" si="156"/>
        <v/>
      </c>
      <c r="H1961" s="15" t="str">
        <f t="shared" ca="1" si="157"/>
        <v/>
      </c>
      <c r="I1961" s="16" t="str">
        <f t="shared" ca="1" si="158"/>
        <v/>
      </c>
    </row>
    <row r="1962" spans="1:9" x14ac:dyDescent="0.3">
      <c r="A1962" s="3"/>
      <c r="B1962" s="9"/>
      <c r="C1962" s="9"/>
      <c r="E1962" s="14" t="str">
        <f t="shared" si="154"/>
        <v/>
      </c>
      <c r="F1962" s="15" t="str">
        <f t="shared" ca="1" si="155"/>
        <v/>
      </c>
      <c r="G1962" s="15" t="str">
        <f t="shared" ca="1" si="156"/>
        <v/>
      </c>
      <c r="H1962" s="15" t="str">
        <f t="shared" ca="1" si="157"/>
        <v/>
      </c>
      <c r="I1962" s="16" t="str">
        <f t="shared" ca="1" si="158"/>
        <v/>
      </c>
    </row>
    <row r="1963" spans="1:9" x14ac:dyDescent="0.3">
      <c r="A1963" s="3"/>
      <c r="B1963" s="9"/>
      <c r="C1963" s="9"/>
      <c r="E1963" s="14" t="str">
        <f t="shared" si="154"/>
        <v/>
      </c>
      <c r="F1963" s="15" t="str">
        <f t="shared" ca="1" si="155"/>
        <v/>
      </c>
      <c r="G1963" s="15" t="str">
        <f t="shared" ca="1" si="156"/>
        <v/>
      </c>
      <c r="H1963" s="15" t="str">
        <f t="shared" ca="1" si="157"/>
        <v/>
      </c>
      <c r="I1963" s="16" t="str">
        <f t="shared" ca="1" si="158"/>
        <v/>
      </c>
    </row>
    <row r="1964" spans="1:9" x14ac:dyDescent="0.3">
      <c r="A1964" s="3"/>
      <c r="B1964" s="9"/>
      <c r="C1964" s="9"/>
      <c r="E1964" s="14" t="str">
        <f t="shared" si="154"/>
        <v/>
      </c>
      <c r="F1964" s="15" t="str">
        <f t="shared" ca="1" si="155"/>
        <v/>
      </c>
      <c r="G1964" s="15" t="str">
        <f t="shared" ca="1" si="156"/>
        <v/>
      </c>
      <c r="H1964" s="15" t="str">
        <f t="shared" ca="1" si="157"/>
        <v/>
      </c>
      <c r="I1964" s="16" t="str">
        <f t="shared" ca="1" si="158"/>
        <v/>
      </c>
    </row>
    <row r="1965" spans="1:9" x14ac:dyDescent="0.3">
      <c r="A1965" s="3"/>
      <c r="B1965" s="9"/>
      <c r="C1965" s="9"/>
      <c r="E1965" s="14" t="str">
        <f t="shared" si="154"/>
        <v/>
      </c>
      <c r="F1965" s="15" t="str">
        <f t="shared" ca="1" si="155"/>
        <v/>
      </c>
      <c r="G1965" s="15" t="str">
        <f t="shared" ca="1" si="156"/>
        <v/>
      </c>
      <c r="H1965" s="15" t="str">
        <f t="shared" ca="1" si="157"/>
        <v/>
      </c>
      <c r="I1965" s="16" t="str">
        <f t="shared" ca="1" si="158"/>
        <v/>
      </c>
    </row>
    <row r="1966" spans="1:9" x14ac:dyDescent="0.3">
      <c r="A1966" s="3"/>
      <c r="B1966" s="9"/>
      <c r="C1966" s="9"/>
      <c r="E1966" s="14" t="str">
        <f t="shared" si="154"/>
        <v/>
      </c>
      <c r="F1966" s="15" t="str">
        <f t="shared" ca="1" si="155"/>
        <v/>
      </c>
      <c r="G1966" s="15" t="str">
        <f t="shared" ca="1" si="156"/>
        <v/>
      </c>
      <c r="H1966" s="15" t="str">
        <f t="shared" ca="1" si="157"/>
        <v/>
      </c>
      <c r="I1966" s="16" t="str">
        <f t="shared" ca="1" si="158"/>
        <v/>
      </c>
    </row>
    <row r="1967" spans="1:9" x14ac:dyDescent="0.3">
      <c r="A1967" s="3"/>
      <c r="B1967" s="9"/>
      <c r="C1967" s="9"/>
      <c r="E1967" s="14" t="str">
        <f t="shared" si="154"/>
        <v/>
      </c>
      <c r="F1967" s="15" t="str">
        <f t="shared" ca="1" si="155"/>
        <v/>
      </c>
      <c r="G1967" s="15" t="str">
        <f t="shared" ca="1" si="156"/>
        <v/>
      </c>
      <c r="H1967" s="15" t="str">
        <f t="shared" ca="1" si="157"/>
        <v/>
      </c>
      <c r="I1967" s="16" t="str">
        <f t="shared" ca="1" si="158"/>
        <v/>
      </c>
    </row>
    <row r="1968" spans="1:9" x14ac:dyDescent="0.3">
      <c r="A1968" s="3"/>
      <c r="B1968" s="9"/>
      <c r="C1968" s="9"/>
      <c r="E1968" s="14" t="str">
        <f t="shared" si="154"/>
        <v/>
      </c>
      <c r="F1968" s="15" t="str">
        <f t="shared" ca="1" si="155"/>
        <v/>
      </c>
      <c r="G1968" s="15" t="str">
        <f t="shared" ca="1" si="156"/>
        <v/>
      </c>
      <c r="H1968" s="15" t="str">
        <f t="shared" ca="1" si="157"/>
        <v/>
      </c>
      <c r="I1968" s="16" t="str">
        <f t="shared" ca="1" si="158"/>
        <v/>
      </c>
    </row>
    <row r="1969" spans="1:9" x14ac:dyDescent="0.3">
      <c r="A1969" s="3"/>
      <c r="B1969" s="9"/>
      <c r="C1969" s="9"/>
      <c r="E1969" s="14" t="str">
        <f t="shared" si="154"/>
        <v/>
      </c>
      <c r="F1969" s="15" t="str">
        <f t="shared" ca="1" si="155"/>
        <v/>
      </c>
      <c r="G1969" s="15" t="str">
        <f t="shared" ca="1" si="156"/>
        <v/>
      </c>
      <c r="H1969" s="15" t="str">
        <f t="shared" ca="1" si="157"/>
        <v/>
      </c>
      <c r="I1969" s="16" t="str">
        <f t="shared" ca="1" si="158"/>
        <v/>
      </c>
    </row>
    <row r="1970" spans="1:9" x14ac:dyDescent="0.3">
      <c r="A1970" s="3"/>
      <c r="B1970" s="9"/>
      <c r="C1970" s="9"/>
      <c r="E1970" s="14" t="str">
        <f t="shared" si="154"/>
        <v/>
      </c>
      <c r="F1970" s="15" t="str">
        <f t="shared" ca="1" si="155"/>
        <v/>
      </c>
      <c r="G1970" s="15" t="str">
        <f t="shared" ca="1" si="156"/>
        <v/>
      </c>
      <c r="H1970" s="15" t="str">
        <f t="shared" ca="1" si="157"/>
        <v/>
      </c>
      <c r="I1970" s="16" t="str">
        <f t="shared" ca="1" si="158"/>
        <v/>
      </c>
    </row>
    <row r="1971" spans="1:9" x14ac:dyDescent="0.3">
      <c r="A1971" s="3"/>
      <c r="B1971" s="9"/>
      <c r="C1971" s="9"/>
      <c r="E1971" s="14" t="str">
        <f t="shared" si="154"/>
        <v/>
      </c>
      <c r="F1971" s="15" t="str">
        <f t="shared" ca="1" si="155"/>
        <v/>
      </c>
      <c r="G1971" s="15" t="str">
        <f t="shared" ca="1" si="156"/>
        <v/>
      </c>
      <c r="H1971" s="15" t="str">
        <f t="shared" ca="1" si="157"/>
        <v/>
      </c>
      <c r="I1971" s="16" t="str">
        <f t="shared" ca="1" si="158"/>
        <v/>
      </c>
    </row>
    <row r="1972" spans="1:9" x14ac:dyDescent="0.3">
      <c r="A1972" s="3"/>
      <c r="B1972" s="9"/>
      <c r="C1972" s="9"/>
      <c r="E1972" s="14" t="str">
        <f t="shared" si="154"/>
        <v/>
      </c>
      <c r="F1972" s="15" t="str">
        <f t="shared" ca="1" si="155"/>
        <v/>
      </c>
      <c r="G1972" s="15" t="str">
        <f t="shared" ca="1" si="156"/>
        <v/>
      </c>
      <c r="H1972" s="15" t="str">
        <f t="shared" ca="1" si="157"/>
        <v/>
      </c>
      <c r="I1972" s="16" t="str">
        <f t="shared" ca="1" si="158"/>
        <v/>
      </c>
    </row>
    <row r="1973" spans="1:9" x14ac:dyDescent="0.3">
      <c r="A1973" s="3"/>
      <c r="B1973" s="9"/>
      <c r="C1973" s="9"/>
      <c r="E1973" s="14" t="str">
        <f t="shared" si="154"/>
        <v/>
      </c>
      <c r="F1973" s="15" t="str">
        <f t="shared" ca="1" si="155"/>
        <v/>
      </c>
      <c r="G1973" s="15" t="str">
        <f t="shared" ca="1" si="156"/>
        <v/>
      </c>
      <c r="H1973" s="15" t="str">
        <f t="shared" ca="1" si="157"/>
        <v/>
      </c>
      <c r="I1973" s="16" t="str">
        <f t="shared" ca="1" si="158"/>
        <v/>
      </c>
    </row>
    <row r="1974" spans="1:9" x14ac:dyDescent="0.3">
      <c r="A1974" s="3"/>
      <c r="B1974" s="9"/>
      <c r="C1974" s="9"/>
      <c r="E1974" s="14" t="str">
        <f t="shared" si="154"/>
        <v/>
      </c>
      <c r="F1974" s="15" t="str">
        <f t="shared" ca="1" si="155"/>
        <v/>
      </c>
      <c r="G1974" s="15" t="str">
        <f t="shared" ca="1" si="156"/>
        <v/>
      </c>
      <c r="H1974" s="15" t="str">
        <f t="shared" ca="1" si="157"/>
        <v/>
      </c>
      <c r="I1974" s="16" t="str">
        <f t="shared" ca="1" si="158"/>
        <v/>
      </c>
    </row>
    <row r="1975" spans="1:9" x14ac:dyDescent="0.3">
      <c r="A1975" s="3"/>
      <c r="B1975" s="9"/>
      <c r="C1975" s="9"/>
      <c r="E1975" s="14" t="str">
        <f t="shared" si="154"/>
        <v/>
      </c>
      <c r="F1975" s="15" t="str">
        <f t="shared" ca="1" si="155"/>
        <v/>
      </c>
      <c r="G1975" s="15" t="str">
        <f t="shared" ca="1" si="156"/>
        <v/>
      </c>
      <c r="H1975" s="15" t="str">
        <f t="shared" ca="1" si="157"/>
        <v/>
      </c>
      <c r="I1975" s="16" t="str">
        <f t="shared" ca="1" si="158"/>
        <v/>
      </c>
    </row>
    <row r="1976" spans="1:9" x14ac:dyDescent="0.3">
      <c r="A1976" s="3"/>
      <c r="B1976" s="9"/>
      <c r="C1976" s="9"/>
      <c r="E1976" s="14" t="str">
        <f t="shared" si="154"/>
        <v/>
      </c>
      <c r="F1976" s="15" t="str">
        <f t="shared" ca="1" si="155"/>
        <v/>
      </c>
      <c r="G1976" s="15" t="str">
        <f t="shared" ca="1" si="156"/>
        <v/>
      </c>
      <c r="H1976" s="15" t="str">
        <f t="shared" ca="1" si="157"/>
        <v/>
      </c>
      <c r="I1976" s="16" t="str">
        <f t="shared" ca="1" si="158"/>
        <v/>
      </c>
    </row>
    <row r="1977" spans="1:9" x14ac:dyDescent="0.3">
      <c r="A1977" s="3"/>
      <c r="B1977" s="9"/>
      <c r="C1977" s="9"/>
      <c r="E1977" s="14" t="str">
        <f t="shared" si="154"/>
        <v/>
      </c>
      <c r="F1977" s="15" t="str">
        <f t="shared" ca="1" si="155"/>
        <v/>
      </c>
      <c r="G1977" s="15" t="str">
        <f t="shared" ca="1" si="156"/>
        <v/>
      </c>
      <c r="H1977" s="15" t="str">
        <f t="shared" ca="1" si="157"/>
        <v/>
      </c>
      <c r="I1977" s="16" t="str">
        <f t="shared" ca="1" si="158"/>
        <v/>
      </c>
    </row>
    <row r="1978" spans="1:9" x14ac:dyDescent="0.3">
      <c r="A1978" s="3"/>
      <c r="B1978" s="9"/>
      <c r="C1978" s="9"/>
      <c r="E1978" s="14" t="str">
        <f t="shared" si="154"/>
        <v/>
      </c>
      <c r="F1978" s="15" t="str">
        <f t="shared" ca="1" si="155"/>
        <v/>
      </c>
      <c r="G1978" s="15" t="str">
        <f t="shared" ca="1" si="156"/>
        <v/>
      </c>
      <c r="H1978" s="15" t="str">
        <f t="shared" ca="1" si="157"/>
        <v/>
      </c>
      <c r="I1978" s="16" t="str">
        <f t="shared" ca="1" si="158"/>
        <v/>
      </c>
    </row>
    <row r="1979" spans="1:9" x14ac:dyDescent="0.3">
      <c r="A1979" s="3"/>
      <c r="B1979" s="9"/>
      <c r="C1979" s="9"/>
      <c r="E1979" s="14" t="str">
        <f t="shared" si="154"/>
        <v/>
      </c>
      <c r="F1979" s="15" t="str">
        <f t="shared" ca="1" si="155"/>
        <v/>
      </c>
      <c r="G1979" s="15" t="str">
        <f t="shared" ca="1" si="156"/>
        <v/>
      </c>
      <c r="H1979" s="15" t="str">
        <f t="shared" ca="1" si="157"/>
        <v/>
      </c>
      <c r="I1979" s="16" t="str">
        <f t="shared" ca="1" si="158"/>
        <v/>
      </c>
    </row>
    <row r="1980" spans="1:9" x14ac:dyDescent="0.3">
      <c r="A1980" s="3"/>
      <c r="B1980" s="9"/>
      <c r="C1980" s="9"/>
      <c r="E1980" s="14" t="str">
        <f t="shared" si="154"/>
        <v/>
      </c>
      <c r="F1980" s="15" t="str">
        <f t="shared" ca="1" si="155"/>
        <v/>
      </c>
      <c r="G1980" s="15" t="str">
        <f t="shared" ca="1" si="156"/>
        <v/>
      </c>
      <c r="H1980" s="15" t="str">
        <f t="shared" ca="1" si="157"/>
        <v/>
      </c>
      <c r="I1980" s="16" t="str">
        <f t="shared" ca="1" si="158"/>
        <v/>
      </c>
    </row>
    <row r="1981" spans="1:9" x14ac:dyDescent="0.3">
      <c r="A1981" s="3"/>
      <c r="B1981" s="9"/>
      <c r="C1981" s="9"/>
      <c r="E1981" s="14" t="str">
        <f t="shared" si="154"/>
        <v/>
      </c>
      <c r="F1981" s="15" t="str">
        <f t="shared" ca="1" si="155"/>
        <v/>
      </c>
      <c r="G1981" s="15" t="str">
        <f t="shared" ca="1" si="156"/>
        <v/>
      </c>
      <c r="H1981" s="15" t="str">
        <f t="shared" ca="1" si="157"/>
        <v/>
      </c>
      <c r="I1981" s="16" t="str">
        <f t="shared" ca="1" si="158"/>
        <v/>
      </c>
    </row>
    <row r="1982" spans="1:9" x14ac:dyDescent="0.3">
      <c r="A1982" s="3"/>
      <c r="B1982" s="9"/>
      <c r="C1982" s="9"/>
      <c r="E1982" s="14" t="str">
        <f t="shared" si="154"/>
        <v/>
      </c>
      <c r="F1982" s="15" t="str">
        <f t="shared" ca="1" si="155"/>
        <v/>
      </c>
      <c r="G1982" s="15" t="str">
        <f t="shared" ca="1" si="156"/>
        <v/>
      </c>
      <c r="H1982" s="15" t="str">
        <f t="shared" ca="1" si="157"/>
        <v/>
      </c>
      <c r="I1982" s="16" t="str">
        <f t="shared" ca="1" si="158"/>
        <v/>
      </c>
    </row>
    <row r="1983" spans="1:9" x14ac:dyDescent="0.3">
      <c r="A1983" s="3"/>
      <c r="B1983" s="9"/>
      <c r="C1983" s="9"/>
      <c r="E1983" s="14" t="str">
        <f t="shared" si="154"/>
        <v/>
      </c>
      <c r="F1983" s="15" t="str">
        <f t="shared" ca="1" si="155"/>
        <v/>
      </c>
      <c r="G1983" s="15" t="str">
        <f t="shared" ca="1" si="156"/>
        <v/>
      </c>
      <c r="H1983" s="15" t="str">
        <f t="shared" ca="1" si="157"/>
        <v/>
      </c>
      <c r="I1983" s="16" t="str">
        <f t="shared" ca="1" si="158"/>
        <v/>
      </c>
    </row>
    <row r="1984" spans="1:9" x14ac:dyDescent="0.3">
      <c r="A1984" s="3"/>
      <c r="B1984" s="9"/>
      <c r="C1984" s="9"/>
      <c r="E1984" s="14" t="str">
        <f t="shared" si="154"/>
        <v/>
      </c>
      <c r="F1984" s="15" t="str">
        <f t="shared" ca="1" si="155"/>
        <v/>
      </c>
      <c r="G1984" s="15" t="str">
        <f t="shared" ca="1" si="156"/>
        <v/>
      </c>
      <c r="H1984" s="15" t="str">
        <f t="shared" ca="1" si="157"/>
        <v/>
      </c>
      <c r="I1984" s="16" t="str">
        <f t="shared" ca="1" si="158"/>
        <v/>
      </c>
    </row>
    <row r="1985" spans="1:9" x14ac:dyDescent="0.3">
      <c r="A1985" s="3"/>
      <c r="B1985" s="9"/>
      <c r="C1985" s="9"/>
      <c r="E1985" s="14" t="str">
        <f t="shared" si="154"/>
        <v/>
      </c>
      <c r="F1985" s="15" t="str">
        <f t="shared" ca="1" si="155"/>
        <v/>
      </c>
      <c r="G1985" s="15" t="str">
        <f t="shared" ca="1" si="156"/>
        <v/>
      </c>
      <c r="H1985" s="15" t="str">
        <f t="shared" ca="1" si="157"/>
        <v/>
      </c>
      <c r="I1985" s="16" t="str">
        <f t="shared" ca="1" si="158"/>
        <v/>
      </c>
    </row>
    <row r="1986" spans="1:9" x14ac:dyDescent="0.3">
      <c r="A1986" s="3"/>
      <c r="B1986" s="9"/>
      <c r="C1986" s="9"/>
      <c r="E1986" s="14" t="str">
        <f t="shared" si="154"/>
        <v/>
      </c>
      <c r="F1986" s="15" t="str">
        <f t="shared" ca="1" si="155"/>
        <v/>
      </c>
      <c r="G1986" s="15" t="str">
        <f t="shared" ca="1" si="156"/>
        <v/>
      </c>
      <c r="H1986" s="15" t="str">
        <f t="shared" ca="1" si="157"/>
        <v/>
      </c>
      <c r="I1986" s="16" t="str">
        <f t="shared" ca="1" si="158"/>
        <v/>
      </c>
    </row>
    <row r="1987" spans="1:9" x14ac:dyDescent="0.3">
      <c r="A1987" s="3"/>
      <c r="B1987" s="9"/>
      <c r="C1987" s="9"/>
      <c r="E1987" s="14" t="str">
        <f t="shared" ref="E1987:E2050" si="159">IF(ISNUMBER(B1987),B1987/C1987,"")</f>
        <v/>
      </c>
      <c r="F1987" s="15" t="str">
        <f t="shared" ca="1" si="155"/>
        <v/>
      </c>
      <c r="G1987" s="15" t="str">
        <f t="shared" ca="1" si="156"/>
        <v/>
      </c>
      <c r="H1987" s="15" t="str">
        <f t="shared" ca="1" si="157"/>
        <v/>
      </c>
      <c r="I1987" s="16" t="str">
        <f t="shared" ca="1" si="158"/>
        <v/>
      </c>
    </row>
    <row r="1988" spans="1:9" x14ac:dyDescent="0.3">
      <c r="A1988" s="3"/>
      <c r="B1988" s="9"/>
      <c r="C1988" s="9"/>
      <c r="E1988" s="14" t="str">
        <f t="shared" si="159"/>
        <v/>
      </c>
      <c r="F1988" s="15" t="str">
        <f t="shared" ca="1" si="155"/>
        <v/>
      </c>
      <c r="G1988" s="15" t="str">
        <f t="shared" ca="1" si="156"/>
        <v/>
      </c>
      <c r="H1988" s="15" t="str">
        <f t="shared" ca="1" si="157"/>
        <v/>
      </c>
      <c r="I1988" s="16" t="str">
        <f t="shared" ca="1" si="158"/>
        <v/>
      </c>
    </row>
    <row r="1989" spans="1:9" x14ac:dyDescent="0.3">
      <c r="A1989" s="3"/>
      <c r="B1989" s="9"/>
      <c r="C1989" s="9"/>
      <c r="E1989" s="14" t="str">
        <f t="shared" si="159"/>
        <v/>
      </c>
      <c r="F1989" s="15" t="str">
        <f t="shared" ca="1" si="155"/>
        <v/>
      </c>
      <c r="G1989" s="15" t="str">
        <f t="shared" ca="1" si="156"/>
        <v/>
      </c>
      <c r="H1989" s="15" t="str">
        <f t="shared" ca="1" si="157"/>
        <v/>
      </c>
      <c r="I1989" s="16" t="str">
        <f t="shared" ca="1" si="158"/>
        <v/>
      </c>
    </row>
    <row r="1990" spans="1:9" x14ac:dyDescent="0.3">
      <c r="A1990" s="3"/>
      <c r="B1990" s="9"/>
      <c r="C1990" s="9"/>
      <c r="E1990" s="14" t="str">
        <f t="shared" si="159"/>
        <v/>
      </c>
      <c r="F1990" s="15" t="str">
        <f t="shared" ca="1" si="155"/>
        <v/>
      </c>
      <c r="G1990" s="15" t="str">
        <f t="shared" ca="1" si="156"/>
        <v/>
      </c>
      <c r="H1990" s="15" t="str">
        <f t="shared" ca="1" si="157"/>
        <v/>
      </c>
      <c r="I1990" s="16" t="str">
        <f t="shared" ca="1" si="158"/>
        <v/>
      </c>
    </row>
    <row r="1991" spans="1:9" x14ac:dyDescent="0.3">
      <c r="A1991" s="3"/>
      <c r="B1991" s="9"/>
      <c r="C1991" s="9"/>
      <c r="E1991" s="14" t="str">
        <f t="shared" si="159"/>
        <v/>
      </c>
      <c r="F1991" s="15" t="str">
        <f t="shared" ca="1" si="155"/>
        <v/>
      </c>
      <c r="G1991" s="15" t="str">
        <f t="shared" ca="1" si="156"/>
        <v/>
      </c>
      <c r="H1991" s="15" t="str">
        <f t="shared" ca="1" si="157"/>
        <v/>
      </c>
      <c r="I1991" s="16" t="str">
        <f t="shared" ca="1" si="158"/>
        <v/>
      </c>
    </row>
    <row r="1992" spans="1:9" x14ac:dyDescent="0.3">
      <c r="A1992" s="3"/>
      <c r="B1992" s="9"/>
      <c r="C1992" s="9"/>
      <c r="E1992" s="14" t="str">
        <f t="shared" si="159"/>
        <v/>
      </c>
      <c r="F1992" s="15" t="str">
        <f t="shared" ca="1" si="155"/>
        <v/>
      </c>
      <c r="G1992" s="15" t="str">
        <f t="shared" ca="1" si="156"/>
        <v/>
      </c>
      <c r="H1992" s="15" t="str">
        <f t="shared" ca="1" si="157"/>
        <v/>
      </c>
      <c r="I1992" s="16" t="str">
        <f t="shared" ca="1" si="158"/>
        <v/>
      </c>
    </row>
    <row r="1993" spans="1:9" x14ac:dyDescent="0.3">
      <c r="A1993" s="3"/>
      <c r="B1993" s="9"/>
      <c r="C1993" s="9"/>
      <c r="E1993" s="14" t="str">
        <f t="shared" si="159"/>
        <v/>
      </c>
      <c r="F1993" s="15" t="str">
        <f t="shared" ca="1" si="155"/>
        <v/>
      </c>
      <c r="G1993" s="15" t="str">
        <f t="shared" ca="1" si="156"/>
        <v/>
      </c>
      <c r="H1993" s="15" t="str">
        <f t="shared" ca="1" si="157"/>
        <v/>
      </c>
      <c r="I1993" s="16" t="str">
        <f t="shared" ca="1" si="158"/>
        <v/>
      </c>
    </row>
    <row r="1994" spans="1:9" x14ac:dyDescent="0.3">
      <c r="A1994" s="3"/>
      <c r="B1994" s="9"/>
      <c r="C1994" s="9"/>
      <c r="E1994" s="14" t="str">
        <f t="shared" si="159"/>
        <v/>
      </c>
      <c r="F1994" s="15" t="str">
        <f t="shared" ca="1" si="155"/>
        <v/>
      </c>
      <c r="G1994" s="15" t="str">
        <f t="shared" ca="1" si="156"/>
        <v/>
      </c>
      <c r="H1994" s="15" t="str">
        <f t="shared" ca="1" si="157"/>
        <v/>
      </c>
      <c r="I1994" s="16" t="str">
        <f t="shared" ca="1" si="158"/>
        <v/>
      </c>
    </row>
    <row r="1995" spans="1:9" x14ac:dyDescent="0.3">
      <c r="A1995" s="3"/>
      <c r="B1995" s="9"/>
      <c r="C1995" s="9"/>
      <c r="E1995" s="14" t="str">
        <f t="shared" si="159"/>
        <v/>
      </c>
      <c r="F1995" s="15" t="str">
        <f t="shared" ca="1" si="155"/>
        <v/>
      </c>
      <c r="G1995" s="15" t="str">
        <f t="shared" ca="1" si="156"/>
        <v/>
      </c>
      <c r="H1995" s="15" t="str">
        <f t="shared" ca="1" si="157"/>
        <v/>
      </c>
      <c r="I1995" s="16" t="str">
        <f t="shared" ca="1" si="158"/>
        <v/>
      </c>
    </row>
    <row r="1996" spans="1:9" x14ac:dyDescent="0.3">
      <c r="A1996" s="3"/>
      <c r="B1996" s="9"/>
      <c r="C1996" s="9"/>
      <c r="E1996" s="14" t="str">
        <f t="shared" si="159"/>
        <v/>
      </c>
      <c r="F1996" s="15" t="str">
        <f t="shared" ca="1" si="155"/>
        <v/>
      </c>
      <c r="G1996" s="15" t="str">
        <f t="shared" ca="1" si="156"/>
        <v/>
      </c>
      <c r="H1996" s="15" t="str">
        <f t="shared" ca="1" si="157"/>
        <v/>
      </c>
      <c r="I1996" s="16" t="str">
        <f t="shared" ca="1" si="158"/>
        <v/>
      </c>
    </row>
    <row r="1997" spans="1:9" x14ac:dyDescent="0.3">
      <c r="A1997" s="3"/>
      <c r="B1997" s="9"/>
      <c r="C1997" s="9"/>
      <c r="E1997" s="14" t="str">
        <f t="shared" si="159"/>
        <v/>
      </c>
      <c r="F1997" s="15" t="str">
        <f t="shared" ca="1" si="155"/>
        <v/>
      </c>
      <c r="G1997" s="15" t="str">
        <f t="shared" ca="1" si="156"/>
        <v/>
      </c>
      <c r="H1997" s="15" t="str">
        <f t="shared" ca="1" si="157"/>
        <v/>
      </c>
      <c r="I1997" s="16" t="str">
        <f t="shared" ca="1" si="158"/>
        <v/>
      </c>
    </row>
    <row r="1998" spans="1:9" x14ac:dyDescent="0.3">
      <c r="A1998" s="3"/>
      <c r="B1998" s="9"/>
      <c r="C1998" s="9"/>
      <c r="E1998" s="14" t="str">
        <f t="shared" si="159"/>
        <v/>
      </c>
      <c r="F1998" s="15" t="str">
        <f t="shared" ca="1" si="155"/>
        <v/>
      </c>
      <c r="G1998" s="15" t="str">
        <f t="shared" ca="1" si="156"/>
        <v/>
      </c>
      <c r="H1998" s="15" t="str">
        <f t="shared" ca="1" si="157"/>
        <v/>
      </c>
      <c r="I1998" s="16" t="str">
        <f t="shared" ca="1" si="158"/>
        <v/>
      </c>
    </row>
    <row r="1999" spans="1:9" x14ac:dyDescent="0.3">
      <c r="A1999" s="3"/>
      <c r="B1999" s="9"/>
      <c r="C1999" s="9"/>
      <c r="E1999" s="14" t="str">
        <f t="shared" si="159"/>
        <v/>
      </c>
      <c r="F1999" s="15" t="str">
        <f t="shared" ca="1" si="155"/>
        <v/>
      </c>
      <c r="G1999" s="15" t="str">
        <f t="shared" ca="1" si="156"/>
        <v/>
      </c>
      <c r="H1999" s="15" t="str">
        <f t="shared" ca="1" si="157"/>
        <v/>
      </c>
      <c r="I1999" s="16" t="str">
        <f t="shared" ca="1" si="158"/>
        <v/>
      </c>
    </row>
    <row r="2000" spans="1:9" x14ac:dyDescent="0.3">
      <c r="A2000" s="3"/>
      <c r="B2000" s="9"/>
      <c r="C2000" s="9"/>
      <c r="E2000" s="14" t="str">
        <f t="shared" si="159"/>
        <v/>
      </c>
      <c r="F2000" s="15" t="str">
        <f t="shared" ca="1" si="155"/>
        <v/>
      </c>
      <c r="G2000" s="15" t="str">
        <f t="shared" ca="1" si="156"/>
        <v/>
      </c>
      <c r="H2000" s="15" t="str">
        <f t="shared" ca="1" si="157"/>
        <v/>
      </c>
      <c r="I2000" s="16" t="str">
        <f t="shared" ca="1" si="158"/>
        <v/>
      </c>
    </row>
    <row r="2001" spans="1:9" x14ac:dyDescent="0.3">
      <c r="A2001" s="3"/>
      <c r="B2001" s="9"/>
      <c r="C2001" s="9"/>
      <c r="E2001" s="14" t="str">
        <f t="shared" si="159"/>
        <v/>
      </c>
      <c r="F2001" s="15" t="str">
        <f t="shared" ref="F2001:F2064" ca="1" si="160">IF(ISNUMBER(E2001),IF(ROW(E2001)&gt;$K$1,AVERAGE(OFFSET(E2001,0,0,-$K$1)),""),"")</f>
        <v/>
      </c>
      <c r="G2001" s="15" t="str">
        <f t="shared" ref="G2001:G2064" ca="1" si="161">IF(ISNUMBER(I2001),F2001+I2001*$M$1,"")</f>
        <v/>
      </c>
      <c r="H2001" s="15" t="str">
        <f t="shared" ref="H2001:H2064" ca="1" si="162">IF(ISNUMBER(I2001),F2001-I2001*$M$1,"")</f>
        <v/>
      </c>
      <c r="I2001" s="16" t="str">
        <f t="shared" ref="I2001:I2064" ca="1" si="163">IF(ISNUMBER(E2001),IF(ROW(E2001)&gt;$K$1,_xlfn.STDEV.P(OFFSET(E2001,0,0,-$K$1)),""),"")</f>
        <v/>
      </c>
    </row>
    <row r="2002" spans="1:9" x14ac:dyDescent="0.3">
      <c r="A2002" s="3"/>
      <c r="B2002" s="9"/>
      <c r="C2002" s="9"/>
      <c r="E2002" s="14" t="str">
        <f t="shared" si="159"/>
        <v/>
      </c>
      <c r="F2002" s="15" t="str">
        <f t="shared" ca="1" si="160"/>
        <v/>
      </c>
      <c r="G2002" s="15" t="str">
        <f t="shared" ca="1" si="161"/>
        <v/>
      </c>
      <c r="H2002" s="15" t="str">
        <f t="shared" ca="1" si="162"/>
        <v/>
      </c>
      <c r="I2002" s="16" t="str">
        <f t="shared" ca="1" si="163"/>
        <v/>
      </c>
    </row>
    <row r="2003" spans="1:9" x14ac:dyDescent="0.3">
      <c r="A2003" s="3"/>
      <c r="B2003" s="9"/>
      <c r="C2003" s="9"/>
      <c r="E2003" s="14" t="str">
        <f t="shared" si="159"/>
        <v/>
      </c>
      <c r="F2003" s="15" t="str">
        <f t="shared" ca="1" si="160"/>
        <v/>
      </c>
      <c r="G2003" s="15" t="str">
        <f t="shared" ca="1" si="161"/>
        <v/>
      </c>
      <c r="H2003" s="15" t="str">
        <f t="shared" ca="1" si="162"/>
        <v/>
      </c>
      <c r="I2003" s="16" t="str">
        <f t="shared" ca="1" si="163"/>
        <v/>
      </c>
    </row>
    <row r="2004" spans="1:9" x14ac:dyDescent="0.3">
      <c r="A2004" s="3"/>
      <c r="B2004" s="9"/>
      <c r="C2004" s="9"/>
      <c r="E2004" s="14" t="str">
        <f t="shared" si="159"/>
        <v/>
      </c>
      <c r="F2004" s="15" t="str">
        <f t="shared" ca="1" si="160"/>
        <v/>
      </c>
      <c r="G2004" s="15" t="str">
        <f t="shared" ca="1" si="161"/>
        <v/>
      </c>
      <c r="H2004" s="15" t="str">
        <f t="shared" ca="1" si="162"/>
        <v/>
      </c>
      <c r="I2004" s="16" t="str">
        <f t="shared" ca="1" si="163"/>
        <v/>
      </c>
    </row>
    <row r="2005" spans="1:9" x14ac:dyDescent="0.3">
      <c r="A2005" s="3"/>
      <c r="B2005" s="9"/>
      <c r="C2005" s="9"/>
      <c r="E2005" s="14" t="str">
        <f t="shared" si="159"/>
        <v/>
      </c>
      <c r="F2005" s="15" t="str">
        <f t="shared" ca="1" si="160"/>
        <v/>
      </c>
      <c r="G2005" s="15" t="str">
        <f t="shared" ca="1" si="161"/>
        <v/>
      </c>
      <c r="H2005" s="15" t="str">
        <f t="shared" ca="1" si="162"/>
        <v/>
      </c>
      <c r="I2005" s="16" t="str">
        <f t="shared" ca="1" si="163"/>
        <v/>
      </c>
    </row>
    <row r="2006" spans="1:9" x14ac:dyDescent="0.3">
      <c r="A2006" s="3"/>
      <c r="B2006" s="9"/>
      <c r="C2006" s="9"/>
      <c r="E2006" s="14" t="str">
        <f t="shared" si="159"/>
        <v/>
      </c>
      <c r="F2006" s="15" t="str">
        <f t="shared" ca="1" si="160"/>
        <v/>
      </c>
      <c r="G2006" s="15" t="str">
        <f t="shared" ca="1" si="161"/>
        <v/>
      </c>
      <c r="H2006" s="15" t="str">
        <f t="shared" ca="1" si="162"/>
        <v/>
      </c>
      <c r="I2006" s="16" t="str">
        <f t="shared" ca="1" si="163"/>
        <v/>
      </c>
    </row>
    <row r="2007" spans="1:9" x14ac:dyDescent="0.3">
      <c r="A2007" s="3"/>
      <c r="B2007" s="9"/>
      <c r="C2007" s="9"/>
      <c r="E2007" s="14" t="str">
        <f t="shared" si="159"/>
        <v/>
      </c>
      <c r="F2007" s="15" t="str">
        <f t="shared" ca="1" si="160"/>
        <v/>
      </c>
      <c r="G2007" s="15" t="str">
        <f t="shared" ca="1" si="161"/>
        <v/>
      </c>
      <c r="H2007" s="15" t="str">
        <f t="shared" ca="1" si="162"/>
        <v/>
      </c>
      <c r="I2007" s="16" t="str">
        <f t="shared" ca="1" si="163"/>
        <v/>
      </c>
    </row>
    <row r="2008" spans="1:9" x14ac:dyDescent="0.3">
      <c r="A2008" s="3"/>
      <c r="B2008" s="9"/>
      <c r="C2008" s="9"/>
      <c r="E2008" s="14" t="str">
        <f t="shared" si="159"/>
        <v/>
      </c>
      <c r="F2008" s="15" t="str">
        <f t="shared" ca="1" si="160"/>
        <v/>
      </c>
      <c r="G2008" s="15" t="str">
        <f t="shared" ca="1" si="161"/>
        <v/>
      </c>
      <c r="H2008" s="15" t="str">
        <f t="shared" ca="1" si="162"/>
        <v/>
      </c>
      <c r="I2008" s="16" t="str">
        <f t="shared" ca="1" si="163"/>
        <v/>
      </c>
    </row>
    <row r="2009" spans="1:9" x14ac:dyDescent="0.3">
      <c r="A2009" s="3"/>
      <c r="B2009" s="9"/>
      <c r="C2009" s="9"/>
      <c r="E2009" s="14" t="str">
        <f t="shared" si="159"/>
        <v/>
      </c>
      <c r="F2009" s="15" t="str">
        <f t="shared" ca="1" si="160"/>
        <v/>
      </c>
      <c r="G2009" s="15" t="str">
        <f t="shared" ca="1" si="161"/>
        <v/>
      </c>
      <c r="H2009" s="15" t="str">
        <f t="shared" ca="1" si="162"/>
        <v/>
      </c>
      <c r="I2009" s="16" t="str">
        <f t="shared" ca="1" si="163"/>
        <v/>
      </c>
    </row>
    <row r="2010" spans="1:9" x14ac:dyDescent="0.3">
      <c r="A2010" s="3"/>
      <c r="B2010" s="9"/>
      <c r="C2010" s="9"/>
      <c r="E2010" s="14" t="str">
        <f t="shared" si="159"/>
        <v/>
      </c>
      <c r="F2010" s="15" t="str">
        <f t="shared" ca="1" si="160"/>
        <v/>
      </c>
      <c r="G2010" s="15" t="str">
        <f t="shared" ca="1" si="161"/>
        <v/>
      </c>
      <c r="H2010" s="15" t="str">
        <f t="shared" ca="1" si="162"/>
        <v/>
      </c>
      <c r="I2010" s="16" t="str">
        <f t="shared" ca="1" si="163"/>
        <v/>
      </c>
    </row>
    <row r="2011" spans="1:9" x14ac:dyDescent="0.3">
      <c r="A2011" s="3"/>
      <c r="B2011" s="9"/>
      <c r="C2011" s="9"/>
      <c r="E2011" s="14" t="str">
        <f t="shared" si="159"/>
        <v/>
      </c>
      <c r="F2011" s="15" t="str">
        <f t="shared" ca="1" si="160"/>
        <v/>
      </c>
      <c r="G2011" s="15" t="str">
        <f t="shared" ca="1" si="161"/>
        <v/>
      </c>
      <c r="H2011" s="15" t="str">
        <f t="shared" ca="1" si="162"/>
        <v/>
      </c>
      <c r="I2011" s="16" t="str">
        <f t="shared" ca="1" si="163"/>
        <v/>
      </c>
    </row>
    <row r="2012" spans="1:9" x14ac:dyDescent="0.3">
      <c r="A2012" s="3"/>
      <c r="B2012" s="9"/>
      <c r="C2012" s="9"/>
      <c r="E2012" s="14" t="str">
        <f t="shared" si="159"/>
        <v/>
      </c>
      <c r="F2012" s="15" t="str">
        <f t="shared" ca="1" si="160"/>
        <v/>
      </c>
      <c r="G2012" s="15" t="str">
        <f t="shared" ca="1" si="161"/>
        <v/>
      </c>
      <c r="H2012" s="15" t="str">
        <f t="shared" ca="1" si="162"/>
        <v/>
      </c>
      <c r="I2012" s="16" t="str">
        <f t="shared" ca="1" si="163"/>
        <v/>
      </c>
    </row>
    <row r="2013" spans="1:9" x14ac:dyDescent="0.3">
      <c r="A2013" s="3"/>
      <c r="B2013" s="9"/>
      <c r="C2013" s="9"/>
      <c r="E2013" s="14" t="str">
        <f t="shared" si="159"/>
        <v/>
      </c>
      <c r="F2013" s="15" t="str">
        <f t="shared" ca="1" si="160"/>
        <v/>
      </c>
      <c r="G2013" s="15" t="str">
        <f t="shared" ca="1" si="161"/>
        <v/>
      </c>
      <c r="H2013" s="15" t="str">
        <f t="shared" ca="1" si="162"/>
        <v/>
      </c>
      <c r="I2013" s="16" t="str">
        <f t="shared" ca="1" si="163"/>
        <v/>
      </c>
    </row>
    <row r="2014" spans="1:9" x14ac:dyDescent="0.3">
      <c r="A2014" s="3"/>
      <c r="B2014" s="9"/>
      <c r="C2014" s="9"/>
      <c r="E2014" s="14" t="str">
        <f t="shared" si="159"/>
        <v/>
      </c>
      <c r="F2014" s="15" t="str">
        <f t="shared" ca="1" si="160"/>
        <v/>
      </c>
      <c r="G2014" s="15" t="str">
        <f t="shared" ca="1" si="161"/>
        <v/>
      </c>
      <c r="H2014" s="15" t="str">
        <f t="shared" ca="1" si="162"/>
        <v/>
      </c>
      <c r="I2014" s="16" t="str">
        <f t="shared" ca="1" si="163"/>
        <v/>
      </c>
    </row>
    <row r="2015" spans="1:9" x14ac:dyDescent="0.3">
      <c r="A2015" s="3"/>
      <c r="B2015" s="9"/>
      <c r="C2015" s="9"/>
      <c r="E2015" s="14" t="str">
        <f t="shared" si="159"/>
        <v/>
      </c>
      <c r="F2015" s="15" t="str">
        <f t="shared" ca="1" si="160"/>
        <v/>
      </c>
      <c r="G2015" s="15" t="str">
        <f t="shared" ca="1" si="161"/>
        <v/>
      </c>
      <c r="H2015" s="15" t="str">
        <f t="shared" ca="1" si="162"/>
        <v/>
      </c>
      <c r="I2015" s="16" t="str">
        <f t="shared" ca="1" si="163"/>
        <v/>
      </c>
    </row>
    <row r="2016" spans="1:9" x14ac:dyDescent="0.3">
      <c r="A2016" s="3"/>
      <c r="B2016" s="9"/>
      <c r="C2016" s="9"/>
      <c r="E2016" s="14" t="str">
        <f t="shared" si="159"/>
        <v/>
      </c>
      <c r="F2016" s="15" t="str">
        <f t="shared" ca="1" si="160"/>
        <v/>
      </c>
      <c r="G2016" s="15" t="str">
        <f t="shared" ca="1" si="161"/>
        <v/>
      </c>
      <c r="H2016" s="15" t="str">
        <f t="shared" ca="1" si="162"/>
        <v/>
      </c>
      <c r="I2016" s="16" t="str">
        <f t="shared" ca="1" si="163"/>
        <v/>
      </c>
    </row>
    <row r="2017" spans="1:9" x14ac:dyDescent="0.3">
      <c r="A2017" s="3"/>
      <c r="B2017" s="9"/>
      <c r="C2017" s="9"/>
      <c r="E2017" s="14" t="str">
        <f t="shared" si="159"/>
        <v/>
      </c>
      <c r="F2017" s="15" t="str">
        <f t="shared" ca="1" si="160"/>
        <v/>
      </c>
      <c r="G2017" s="15" t="str">
        <f t="shared" ca="1" si="161"/>
        <v/>
      </c>
      <c r="H2017" s="15" t="str">
        <f t="shared" ca="1" si="162"/>
        <v/>
      </c>
      <c r="I2017" s="16" t="str">
        <f t="shared" ca="1" si="163"/>
        <v/>
      </c>
    </row>
    <row r="2018" spans="1:9" x14ac:dyDescent="0.3">
      <c r="A2018" s="3"/>
      <c r="B2018" s="9"/>
      <c r="C2018" s="9"/>
      <c r="E2018" s="14" t="str">
        <f t="shared" si="159"/>
        <v/>
      </c>
      <c r="F2018" s="15" t="str">
        <f t="shared" ca="1" si="160"/>
        <v/>
      </c>
      <c r="G2018" s="15" t="str">
        <f t="shared" ca="1" si="161"/>
        <v/>
      </c>
      <c r="H2018" s="15" t="str">
        <f t="shared" ca="1" si="162"/>
        <v/>
      </c>
      <c r="I2018" s="16" t="str">
        <f t="shared" ca="1" si="163"/>
        <v/>
      </c>
    </row>
    <row r="2019" spans="1:9" x14ac:dyDescent="0.3">
      <c r="A2019" s="3"/>
      <c r="B2019" s="9"/>
      <c r="C2019" s="9"/>
      <c r="E2019" s="14" t="str">
        <f t="shared" si="159"/>
        <v/>
      </c>
      <c r="F2019" s="15" t="str">
        <f t="shared" ca="1" si="160"/>
        <v/>
      </c>
      <c r="G2019" s="15" t="str">
        <f t="shared" ca="1" si="161"/>
        <v/>
      </c>
      <c r="H2019" s="15" t="str">
        <f t="shared" ca="1" si="162"/>
        <v/>
      </c>
      <c r="I2019" s="16" t="str">
        <f t="shared" ca="1" si="163"/>
        <v/>
      </c>
    </row>
    <row r="2020" spans="1:9" x14ac:dyDescent="0.3">
      <c r="A2020" s="3"/>
      <c r="B2020" s="9"/>
      <c r="C2020" s="9"/>
      <c r="E2020" s="14" t="str">
        <f t="shared" si="159"/>
        <v/>
      </c>
      <c r="F2020" s="15" t="str">
        <f t="shared" ca="1" si="160"/>
        <v/>
      </c>
      <c r="G2020" s="15" t="str">
        <f t="shared" ca="1" si="161"/>
        <v/>
      </c>
      <c r="H2020" s="15" t="str">
        <f t="shared" ca="1" si="162"/>
        <v/>
      </c>
      <c r="I2020" s="16" t="str">
        <f t="shared" ca="1" si="163"/>
        <v/>
      </c>
    </row>
    <row r="2021" spans="1:9" x14ac:dyDescent="0.3">
      <c r="A2021" s="3"/>
      <c r="B2021" s="9"/>
      <c r="C2021" s="9"/>
      <c r="E2021" s="14" t="str">
        <f t="shared" si="159"/>
        <v/>
      </c>
      <c r="F2021" s="15" t="str">
        <f t="shared" ca="1" si="160"/>
        <v/>
      </c>
      <c r="G2021" s="15" t="str">
        <f t="shared" ca="1" si="161"/>
        <v/>
      </c>
      <c r="H2021" s="15" t="str">
        <f t="shared" ca="1" si="162"/>
        <v/>
      </c>
      <c r="I2021" s="16" t="str">
        <f t="shared" ca="1" si="163"/>
        <v/>
      </c>
    </row>
    <row r="2022" spans="1:9" x14ac:dyDescent="0.3">
      <c r="A2022" s="3"/>
      <c r="B2022" s="9"/>
      <c r="C2022" s="9"/>
      <c r="E2022" s="14" t="str">
        <f t="shared" si="159"/>
        <v/>
      </c>
      <c r="F2022" s="15" t="str">
        <f t="shared" ca="1" si="160"/>
        <v/>
      </c>
      <c r="G2022" s="15" t="str">
        <f t="shared" ca="1" si="161"/>
        <v/>
      </c>
      <c r="H2022" s="15" t="str">
        <f t="shared" ca="1" si="162"/>
        <v/>
      </c>
      <c r="I2022" s="16" t="str">
        <f t="shared" ca="1" si="163"/>
        <v/>
      </c>
    </row>
    <row r="2023" spans="1:9" x14ac:dyDescent="0.3">
      <c r="A2023" s="3"/>
      <c r="B2023" s="9"/>
      <c r="C2023" s="9"/>
      <c r="E2023" s="14" t="str">
        <f t="shared" si="159"/>
        <v/>
      </c>
      <c r="F2023" s="15" t="str">
        <f t="shared" ca="1" si="160"/>
        <v/>
      </c>
      <c r="G2023" s="15" t="str">
        <f t="shared" ca="1" si="161"/>
        <v/>
      </c>
      <c r="H2023" s="15" t="str">
        <f t="shared" ca="1" si="162"/>
        <v/>
      </c>
      <c r="I2023" s="16" t="str">
        <f t="shared" ca="1" si="163"/>
        <v/>
      </c>
    </row>
    <row r="2024" spans="1:9" x14ac:dyDescent="0.3">
      <c r="A2024" s="3"/>
      <c r="B2024" s="9"/>
      <c r="C2024" s="9"/>
      <c r="E2024" s="14" t="str">
        <f t="shared" si="159"/>
        <v/>
      </c>
      <c r="F2024" s="15" t="str">
        <f t="shared" ca="1" si="160"/>
        <v/>
      </c>
      <c r="G2024" s="15" t="str">
        <f t="shared" ca="1" si="161"/>
        <v/>
      </c>
      <c r="H2024" s="15" t="str">
        <f t="shared" ca="1" si="162"/>
        <v/>
      </c>
      <c r="I2024" s="16" t="str">
        <f t="shared" ca="1" si="163"/>
        <v/>
      </c>
    </row>
    <row r="2025" spans="1:9" x14ac:dyDescent="0.3">
      <c r="A2025" s="3"/>
      <c r="B2025" s="9"/>
      <c r="C2025" s="9"/>
      <c r="E2025" s="14" t="str">
        <f t="shared" si="159"/>
        <v/>
      </c>
      <c r="F2025" s="15" t="str">
        <f t="shared" ca="1" si="160"/>
        <v/>
      </c>
      <c r="G2025" s="15" t="str">
        <f t="shared" ca="1" si="161"/>
        <v/>
      </c>
      <c r="H2025" s="15" t="str">
        <f t="shared" ca="1" si="162"/>
        <v/>
      </c>
      <c r="I2025" s="16" t="str">
        <f t="shared" ca="1" si="163"/>
        <v/>
      </c>
    </row>
    <row r="2026" spans="1:9" x14ac:dyDescent="0.3">
      <c r="A2026" s="3"/>
      <c r="B2026" s="9"/>
      <c r="C2026" s="9"/>
      <c r="E2026" s="14" t="str">
        <f t="shared" si="159"/>
        <v/>
      </c>
      <c r="F2026" s="15" t="str">
        <f t="shared" ca="1" si="160"/>
        <v/>
      </c>
      <c r="G2026" s="15" t="str">
        <f t="shared" ca="1" si="161"/>
        <v/>
      </c>
      <c r="H2026" s="15" t="str">
        <f t="shared" ca="1" si="162"/>
        <v/>
      </c>
      <c r="I2026" s="16" t="str">
        <f t="shared" ca="1" si="163"/>
        <v/>
      </c>
    </row>
    <row r="2027" spans="1:9" x14ac:dyDescent="0.3">
      <c r="A2027" s="3"/>
      <c r="B2027" s="9"/>
      <c r="C2027" s="9"/>
      <c r="E2027" s="14" t="str">
        <f t="shared" si="159"/>
        <v/>
      </c>
      <c r="F2027" s="15" t="str">
        <f t="shared" ca="1" si="160"/>
        <v/>
      </c>
      <c r="G2027" s="15" t="str">
        <f t="shared" ca="1" si="161"/>
        <v/>
      </c>
      <c r="H2027" s="15" t="str">
        <f t="shared" ca="1" si="162"/>
        <v/>
      </c>
      <c r="I2027" s="16" t="str">
        <f t="shared" ca="1" si="163"/>
        <v/>
      </c>
    </row>
    <row r="2028" spans="1:9" x14ac:dyDescent="0.3">
      <c r="A2028" s="3"/>
      <c r="B2028" s="9"/>
      <c r="C2028" s="9"/>
      <c r="E2028" s="14" t="str">
        <f t="shared" si="159"/>
        <v/>
      </c>
      <c r="F2028" s="15" t="str">
        <f t="shared" ca="1" si="160"/>
        <v/>
      </c>
      <c r="G2028" s="15" t="str">
        <f t="shared" ca="1" si="161"/>
        <v/>
      </c>
      <c r="H2028" s="15" t="str">
        <f t="shared" ca="1" si="162"/>
        <v/>
      </c>
      <c r="I2028" s="16" t="str">
        <f t="shared" ca="1" si="163"/>
        <v/>
      </c>
    </row>
    <row r="2029" spans="1:9" x14ac:dyDescent="0.3">
      <c r="A2029" s="3"/>
      <c r="B2029" s="9"/>
      <c r="C2029" s="9"/>
      <c r="E2029" s="14" t="str">
        <f t="shared" si="159"/>
        <v/>
      </c>
      <c r="F2029" s="15" t="str">
        <f t="shared" ca="1" si="160"/>
        <v/>
      </c>
      <c r="G2029" s="15" t="str">
        <f t="shared" ca="1" si="161"/>
        <v/>
      </c>
      <c r="H2029" s="15" t="str">
        <f t="shared" ca="1" si="162"/>
        <v/>
      </c>
      <c r="I2029" s="16" t="str">
        <f t="shared" ca="1" si="163"/>
        <v/>
      </c>
    </row>
    <row r="2030" spans="1:9" x14ac:dyDescent="0.3">
      <c r="A2030" s="3"/>
      <c r="B2030" s="9"/>
      <c r="C2030" s="9"/>
      <c r="E2030" s="14" t="str">
        <f t="shared" si="159"/>
        <v/>
      </c>
      <c r="F2030" s="15" t="str">
        <f t="shared" ca="1" si="160"/>
        <v/>
      </c>
      <c r="G2030" s="15" t="str">
        <f t="shared" ca="1" si="161"/>
        <v/>
      </c>
      <c r="H2030" s="15" t="str">
        <f t="shared" ca="1" si="162"/>
        <v/>
      </c>
      <c r="I2030" s="16" t="str">
        <f t="shared" ca="1" si="163"/>
        <v/>
      </c>
    </row>
    <row r="2031" spans="1:9" x14ac:dyDescent="0.3">
      <c r="A2031" s="3"/>
      <c r="B2031" s="9"/>
      <c r="C2031" s="9"/>
      <c r="E2031" s="14" t="str">
        <f t="shared" si="159"/>
        <v/>
      </c>
      <c r="F2031" s="15" t="str">
        <f t="shared" ca="1" si="160"/>
        <v/>
      </c>
      <c r="G2031" s="15" t="str">
        <f t="shared" ca="1" si="161"/>
        <v/>
      </c>
      <c r="H2031" s="15" t="str">
        <f t="shared" ca="1" si="162"/>
        <v/>
      </c>
      <c r="I2031" s="16" t="str">
        <f t="shared" ca="1" si="163"/>
        <v/>
      </c>
    </row>
    <row r="2032" spans="1:9" x14ac:dyDescent="0.3">
      <c r="A2032" s="3"/>
      <c r="B2032" s="9"/>
      <c r="C2032" s="9"/>
      <c r="E2032" s="14" t="str">
        <f t="shared" si="159"/>
        <v/>
      </c>
      <c r="F2032" s="15" t="str">
        <f t="shared" ca="1" si="160"/>
        <v/>
      </c>
      <c r="G2032" s="15" t="str">
        <f t="shared" ca="1" si="161"/>
        <v/>
      </c>
      <c r="H2032" s="15" t="str">
        <f t="shared" ca="1" si="162"/>
        <v/>
      </c>
      <c r="I2032" s="16" t="str">
        <f t="shared" ca="1" si="163"/>
        <v/>
      </c>
    </row>
    <row r="2033" spans="1:9" x14ac:dyDescent="0.3">
      <c r="A2033" s="3"/>
      <c r="B2033" s="9"/>
      <c r="C2033" s="9"/>
      <c r="E2033" s="14" t="str">
        <f t="shared" si="159"/>
        <v/>
      </c>
      <c r="F2033" s="15" t="str">
        <f t="shared" ca="1" si="160"/>
        <v/>
      </c>
      <c r="G2033" s="15" t="str">
        <f t="shared" ca="1" si="161"/>
        <v/>
      </c>
      <c r="H2033" s="15" t="str">
        <f t="shared" ca="1" si="162"/>
        <v/>
      </c>
      <c r="I2033" s="16" t="str">
        <f t="shared" ca="1" si="163"/>
        <v/>
      </c>
    </row>
    <row r="2034" spans="1:9" x14ac:dyDescent="0.3">
      <c r="A2034" s="3"/>
      <c r="B2034" s="9"/>
      <c r="C2034" s="9"/>
      <c r="E2034" s="14" t="str">
        <f t="shared" si="159"/>
        <v/>
      </c>
      <c r="F2034" s="15" t="str">
        <f t="shared" ca="1" si="160"/>
        <v/>
      </c>
      <c r="G2034" s="15" t="str">
        <f t="shared" ca="1" si="161"/>
        <v/>
      </c>
      <c r="H2034" s="15" t="str">
        <f t="shared" ca="1" si="162"/>
        <v/>
      </c>
      <c r="I2034" s="16" t="str">
        <f t="shared" ca="1" si="163"/>
        <v/>
      </c>
    </row>
    <row r="2035" spans="1:9" x14ac:dyDescent="0.3">
      <c r="A2035" s="3"/>
      <c r="B2035" s="9"/>
      <c r="C2035" s="9"/>
      <c r="E2035" s="14" t="str">
        <f t="shared" si="159"/>
        <v/>
      </c>
      <c r="F2035" s="15" t="str">
        <f t="shared" ca="1" si="160"/>
        <v/>
      </c>
      <c r="G2035" s="15" t="str">
        <f t="shared" ca="1" si="161"/>
        <v/>
      </c>
      <c r="H2035" s="15" t="str">
        <f t="shared" ca="1" si="162"/>
        <v/>
      </c>
      <c r="I2035" s="16" t="str">
        <f t="shared" ca="1" si="163"/>
        <v/>
      </c>
    </row>
    <row r="2036" spans="1:9" x14ac:dyDescent="0.3">
      <c r="A2036" s="3"/>
      <c r="B2036" s="9"/>
      <c r="C2036" s="9"/>
      <c r="E2036" s="14" t="str">
        <f t="shared" si="159"/>
        <v/>
      </c>
      <c r="F2036" s="15" t="str">
        <f t="shared" ca="1" si="160"/>
        <v/>
      </c>
      <c r="G2036" s="15" t="str">
        <f t="shared" ca="1" si="161"/>
        <v/>
      </c>
      <c r="H2036" s="15" t="str">
        <f t="shared" ca="1" si="162"/>
        <v/>
      </c>
      <c r="I2036" s="16" t="str">
        <f t="shared" ca="1" si="163"/>
        <v/>
      </c>
    </row>
    <row r="2037" spans="1:9" x14ac:dyDescent="0.3">
      <c r="A2037" s="3"/>
      <c r="B2037" s="9"/>
      <c r="C2037" s="9"/>
      <c r="E2037" s="14" t="str">
        <f t="shared" si="159"/>
        <v/>
      </c>
      <c r="F2037" s="15" t="str">
        <f t="shared" ca="1" si="160"/>
        <v/>
      </c>
      <c r="G2037" s="15" t="str">
        <f t="shared" ca="1" si="161"/>
        <v/>
      </c>
      <c r="H2037" s="15" t="str">
        <f t="shared" ca="1" si="162"/>
        <v/>
      </c>
      <c r="I2037" s="16" t="str">
        <f t="shared" ca="1" si="163"/>
        <v/>
      </c>
    </row>
    <row r="2038" spans="1:9" x14ac:dyDescent="0.3">
      <c r="A2038" s="3"/>
      <c r="B2038" s="9"/>
      <c r="C2038" s="9"/>
      <c r="E2038" s="14" t="str">
        <f t="shared" si="159"/>
        <v/>
      </c>
      <c r="F2038" s="15" t="str">
        <f t="shared" ca="1" si="160"/>
        <v/>
      </c>
      <c r="G2038" s="15" t="str">
        <f t="shared" ca="1" si="161"/>
        <v/>
      </c>
      <c r="H2038" s="15" t="str">
        <f t="shared" ca="1" si="162"/>
        <v/>
      </c>
      <c r="I2038" s="16" t="str">
        <f t="shared" ca="1" si="163"/>
        <v/>
      </c>
    </row>
    <row r="2039" spans="1:9" x14ac:dyDescent="0.3">
      <c r="A2039" s="3"/>
      <c r="B2039" s="9"/>
      <c r="C2039" s="9"/>
      <c r="E2039" s="14" t="str">
        <f t="shared" si="159"/>
        <v/>
      </c>
      <c r="F2039" s="15" t="str">
        <f t="shared" ca="1" si="160"/>
        <v/>
      </c>
      <c r="G2039" s="15" t="str">
        <f t="shared" ca="1" si="161"/>
        <v/>
      </c>
      <c r="H2039" s="15" t="str">
        <f t="shared" ca="1" si="162"/>
        <v/>
      </c>
      <c r="I2039" s="16" t="str">
        <f t="shared" ca="1" si="163"/>
        <v/>
      </c>
    </row>
    <row r="2040" spans="1:9" x14ac:dyDescent="0.3">
      <c r="A2040" s="3"/>
      <c r="B2040" s="9"/>
      <c r="C2040" s="9"/>
      <c r="E2040" s="14" t="str">
        <f t="shared" si="159"/>
        <v/>
      </c>
      <c r="F2040" s="15" t="str">
        <f t="shared" ca="1" si="160"/>
        <v/>
      </c>
      <c r="G2040" s="15" t="str">
        <f t="shared" ca="1" si="161"/>
        <v/>
      </c>
      <c r="H2040" s="15" t="str">
        <f t="shared" ca="1" si="162"/>
        <v/>
      </c>
      <c r="I2040" s="16" t="str">
        <f t="shared" ca="1" si="163"/>
        <v/>
      </c>
    </row>
    <row r="2041" spans="1:9" x14ac:dyDescent="0.3">
      <c r="A2041" s="3"/>
      <c r="B2041" s="9"/>
      <c r="C2041" s="9"/>
      <c r="E2041" s="14" t="str">
        <f t="shared" si="159"/>
        <v/>
      </c>
      <c r="F2041" s="15" t="str">
        <f t="shared" ca="1" si="160"/>
        <v/>
      </c>
      <c r="G2041" s="15" t="str">
        <f t="shared" ca="1" si="161"/>
        <v/>
      </c>
      <c r="H2041" s="15" t="str">
        <f t="shared" ca="1" si="162"/>
        <v/>
      </c>
      <c r="I2041" s="16" t="str">
        <f t="shared" ca="1" si="163"/>
        <v/>
      </c>
    </row>
    <row r="2042" spans="1:9" x14ac:dyDescent="0.3">
      <c r="A2042" s="3"/>
      <c r="B2042" s="9"/>
      <c r="C2042" s="9"/>
      <c r="E2042" s="14" t="str">
        <f t="shared" si="159"/>
        <v/>
      </c>
      <c r="F2042" s="15" t="str">
        <f t="shared" ca="1" si="160"/>
        <v/>
      </c>
      <c r="G2042" s="15" t="str">
        <f t="shared" ca="1" si="161"/>
        <v/>
      </c>
      <c r="H2042" s="15" t="str">
        <f t="shared" ca="1" si="162"/>
        <v/>
      </c>
      <c r="I2042" s="16" t="str">
        <f t="shared" ca="1" si="163"/>
        <v/>
      </c>
    </row>
    <row r="2043" spans="1:9" x14ac:dyDescent="0.3">
      <c r="A2043" s="3"/>
      <c r="B2043" s="9"/>
      <c r="C2043" s="9"/>
      <c r="E2043" s="14" t="str">
        <f t="shared" si="159"/>
        <v/>
      </c>
      <c r="F2043" s="15" t="str">
        <f t="shared" ca="1" si="160"/>
        <v/>
      </c>
      <c r="G2043" s="15" t="str">
        <f t="shared" ca="1" si="161"/>
        <v/>
      </c>
      <c r="H2043" s="15" t="str">
        <f t="shared" ca="1" si="162"/>
        <v/>
      </c>
      <c r="I2043" s="16" t="str">
        <f t="shared" ca="1" si="163"/>
        <v/>
      </c>
    </row>
    <row r="2044" spans="1:9" x14ac:dyDescent="0.3">
      <c r="A2044" s="3"/>
      <c r="B2044" s="9"/>
      <c r="C2044" s="9"/>
      <c r="E2044" s="14" t="str">
        <f t="shared" si="159"/>
        <v/>
      </c>
      <c r="F2044" s="15" t="str">
        <f t="shared" ca="1" si="160"/>
        <v/>
      </c>
      <c r="G2044" s="15" t="str">
        <f t="shared" ca="1" si="161"/>
        <v/>
      </c>
      <c r="H2044" s="15" t="str">
        <f t="shared" ca="1" si="162"/>
        <v/>
      </c>
      <c r="I2044" s="16" t="str">
        <f t="shared" ca="1" si="163"/>
        <v/>
      </c>
    </row>
    <row r="2045" spans="1:9" x14ac:dyDescent="0.3">
      <c r="A2045" s="3"/>
      <c r="B2045" s="9"/>
      <c r="C2045" s="9"/>
      <c r="E2045" s="14" t="str">
        <f t="shared" si="159"/>
        <v/>
      </c>
      <c r="F2045" s="15" t="str">
        <f t="shared" ca="1" si="160"/>
        <v/>
      </c>
      <c r="G2045" s="15" t="str">
        <f t="shared" ca="1" si="161"/>
        <v/>
      </c>
      <c r="H2045" s="15" t="str">
        <f t="shared" ca="1" si="162"/>
        <v/>
      </c>
      <c r="I2045" s="16" t="str">
        <f t="shared" ca="1" si="163"/>
        <v/>
      </c>
    </row>
    <row r="2046" spans="1:9" x14ac:dyDescent="0.3">
      <c r="A2046" s="3"/>
      <c r="B2046" s="9"/>
      <c r="C2046" s="9"/>
      <c r="E2046" s="14" t="str">
        <f t="shared" si="159"/>
        <v/>
      </c>
      <c r="F2046" s="15" t="str">
        <f t="shared" ca="1" si="160"/>
        <v/>
      </c>
      <c r="G2046" s="15" t="str">
        <f t="shared" ca="1" si="161"/>
        <v/>
      </c>
      <c r="H2046" s="15" t="str">
        <f t="shared" ca="1" si="162"/>
        <v/>
      </c>
      <c r="I2046" s="16" t="str">
        <f t="shared" ca="1" si="163"/>
        <v/>
      </c>
    </row>
    <row r="2047" spans="1:9" x14ac:dyDescent="0.3">
      <c r="A2047" s="3"/>
      <c r="B2047" s="9"/>
      <c r="C2047" s="9"/>
      <c r="E2047" s="14" t="str">
        <f t="shared" si="159"/>
        <v/>
      </c>
      <c r="F2047" s="15" t="str">
        <f t="shared" ca="1" si="160"/>
        <v/>
      </c>
      <c r="G2047" s="15" t="str">
        <f t="shared" ca="1" si="161"/>
        <v/>
      </c>
      <c r="H2047" s="15" t="str">
        <f t="shared" ca="1" si="162"/>
        <v/>
      </c>
      <c r="I2047" s="16" t="str">
        <f t="shared" ca="1" si="163"/>
        <v/>
      </c>
    </row>
    <row r="2048" spans="1:9" x14ac:dyDescent="0.3">
      <c r="A2048" s="3"/>
      <c r="B2048" s="9"/>
      <c r="C2048" s="9"/>
      <c r="E2048" s="14" t="str">
        <f t="shared" si="159"/>
        <v/>
      </c>
      <c r="F2048" s="15" t="str">
        <f t="shared" ca="1" si="160"/>
        <v/>
      </c>
      <c r="G2048" s="15" t="str">
        <f t="shared" ca="1" si="161"/>
        <v/>
      </c>
      <c r="H2048" s="15" t="str">
        <f t="shared" ca="1" si="162"/>
        <v/>
      </c>
      <c r="I2048" s="16" t="str">
        <f t="shared" ca="1" si="163"/>
        <v/>
      </c>
    </row>
    <row r="2049" spans="1:9" x14ac:dyDescent="0.3">
      <c r="A2049" s="3"/>
      <c r="B2049" s="9"/>
      <c r="C2049" s="9"/>
      <c r="E2049" s="14" t="str">
        <f t="shared" si="159"/>
        <v/>
      </c>
      <c r="F2049" s="15" t="str">
        <f t="shared" ca="1" si="160"/>
        <v/>
      </c>
      <c r="G2049" s="15" t="str">
        <f t="shared" ca="1" si="161"/>
        <v/>
      </c>
      <c r="H2049" s="15" t="str">
        <f t="shared" ca="1" si="162"/>
        <v/>
      </c>
      <c r="I2049" s="16" t="str">
        <f t="shared" ca="1" si="163"/>
        <v/>
      </c>
    </row>
    <row r="2050" spans="1:9" x14ac:dyDescent="0.3">
      <c r="A2050" s="3"/>
      <c r="B2050" s="9"/>
      <c r="C2050" s="9"/>
      <c r="E2050" s="14" t="str">
        <f t="shared" si="159"/>
        <v/>
      </c>
      <c r="F2050" s="15" t="str">
        <f t="shared" ca="1" si="160"/>
        <v/>
      </c>
      <c r="G2050" s="15" t="str">
        <f t="shared" ca="1" si="161"/>
        <v/>
      </c>
      <c r="H2050" s="15" t="str">
        <f t="shared" ca="1" si="162"/>
        <v/>
      </c>
      <c r="I2050" s="16" t="str">
        <f t="shared" ca="1" si="163"/>
        <v/>
      </c>
    </row>
    <row r="2051" spans="1:9" x14ac:dyDescent="0.3">
      <c r="A2051" s="3"/>
      <c r="B2051" s="9"/>
      <c r="C2051" s="9"/>
      <c r="E2051" s="14" t="str">
        <f t="shared" ref="E2051:E2114" si="164">IF(ISNUMBER(B2051),B2051/C2051,"")</f>
        <v/>
      </c>
      <c r="F2051" s="15" t="str">
        <f t="shared" ca="1" si="160"/>
        <v/>
      </c>
      <c r="G2051" s="15" t="str">
        <f t="shared" ca="1" si="161"/>
        <v/>
      </c>
      <c r="H2051" s="15" t="str">
        <f t="shared" ca="1" si="162"/>
        <v/>
      </c>
      <c r="I2051" s="16" t="str">
        <f t="shared" ca="1" si="163"/>
        <v/>
      </c>
    </row>
    <row r="2052" spans="1:9" x14ac:dyDescent="0.3">
      <c r="A2052" s="3"/>
      <c r="B2052" s="9"/>
      <c r="C2052" s="9"/>
      <c r="E2052" s="14" t="str">
        <f t="shared" si="164"/>
        <v/>
      </c>
      <c r="F2052" s="15" t="str">
        <f t="shared" ca="1" si="160"/>
        <v/>
      </c>
      <c r="G2052" s="15" t="str">
        <f t="shared" ca="1" si="161"/>
        <v/>
      </c>
      <c r="H2052" s="15" t="str">
        <f t="shared" ca="1" si="162"/>
        <v/>
      </c>
      <c r="I2052" s="16" t="str">
        <f t="shared" ca="1" si="163"/>
        <v/>
      </c>
    </row>
    <row r="2053" spans="1:9" x14ac:dyDescent="0.3">
      <c r="A2053" s="3"/>
      <c r="B2053" s="9"/>
      <c r="C2053" s="9"/>
      <c r="E2053" s="14" t="str">
        <f t="shared" si="164"/>
        <v/>
      </c>
      <c r="F2053" s="15" t="str">
        <f t="shared" ca="1" si="160"/>
        <v/>
      </c>
      <c r="G2053" s="15" t="str">
        <f t="shared" ca="1" si="161"/>
        <v/>
      </c>
      <c r="H2053" s="15" t="str">
        <f t="shared" ca="1" si="162"/>
        <v/>
      </c>
      <c r="I2053" s="16" t="str">
        <f t="shared" ca="1" si="163"/>
        <v/>
      </c>
    </row>
    <row r="2054" spans="1:9" x14ac:dyDescent="0.3">
      <c r="A2054" s="3"/>
      <c r="B2054" s="9"/>
      <c r="C2054" s="9"/>
      <c r="E2054" s="14" t="str">
        <f t="shared" si="164"/>
        <v/>
      </c>
      <c r="F2054" s="15" t="str">
        <f t="shared" ca="1" si="160"/>
        <v/>
      </c>
      <c r="G2054" s="15" t="str">
        <f t="shared" ca="1" si="161"/>
        <v/>
      </c>
      <c r="H2054" s="15" t="str">
        <f t="shared" ca="1" si="162"/>
        <v/>
      </c>
      <c r="I2054" s="16" t="str">
        <f t="shared" ca="1" si="163"/>
        <v/>
      </c>
    </row>
    <row r="2055" spans="1:9" x14ac:dyDescent="0.3">
      <c r="A2055" s="3"/>
      <c r="B2055" s="9"/>
      <c r="C2055" s="9"/>
      <c r="E2055" s="14" t="str">
        <f t="shared" si="164"/>
        <v/>
      </c>
      <c r="F2055" s="15" t="str">
        <f t="shared" ca="1" si="160"/>
        <v/>
      </c>
      <c r="G2055" s="15" t="str">
        <f t="shared" ca="1" si="161"/>
        <v/>
      </c>
      <c r="H2055" s="15" t="str">
        <f t="shared" ca="1" si="162"/>
        <v/>
      </c>
      <c r="I2055" s="16" t="str">
        <f t="shared" ca="1" si="163"/>
        <v/>
      </c>
    </row>
    <row r="2056" spans="1:9" x14ac:dyDescent="0.3">
      <c r="A2056" s="3"/>
      <c r="B2056" s="9"/>
      <c r="C2056" s="9"/>
      <c r="E2056" s="14" t="str">
        <f t="shared" si="164"/>
        <v/>
      </c>
      <c r="F2056" s="15" t="str">
        <f t="shared" ca="1" si="160"/>
        <v/>
      </c>
      <c r="G2056" s="15" t="str">
        <f t="shared" ca="1" si="161"/>
        <v/>
      </c>
      <c r="H2056" s="15" t="str">
        <f t="shared" ca="1" si="162"/>
        <v/>
      </c>
      <c r="I2056" s="16" t="str">
        <f t="shared" ca="1" si="163"/>
        <v/>
      </c>
    </row>
    <row r="2057" spans="1:9" x14ac:dyDescent="0.3">
      <c r="A2057" s="3"/>
      <c r="B2057" s="9"/>
      <c r="C2057" s="9"/>
      <c r="E2057" s="14" t="str">
        <f t="shared" si="164"/>
        <v/>
      </c>
      <c r="F2057" s="15" t="str">
        <f t="shared" ca="1" si="160"/>
        <v/>
      </c>
      <c r="G2057" s="15" t="str">
        <f t="shared" ca="1" si="161"/>
        <v/>
      </c>
      <c r="H2057" s="15" t="str">
        <f t="shared" ca="1" si="162"/>
        <v/>
      </c>
      <c r="I2057" s="16" t="str">
        <f t="shared" ca="1" si="163"/>
        <v/>
      </c>
    </row>
    <row r="2058" spans="1:9" x14ac:dyDescent="0.3">
      <c r="A2058" s="3"/>
      <c r="B2058" s="9"/>
      <c r="C2058" s="9"/>
      <c r="E2058" s="14" t="str">
        <f t="shared" si="164"/>
        <v/>
      </c>
      <c r="F2058" s="15" t="str">
        <f t="shared" ca="1" si="160"/>
        <v/>
      </c>
      <c r="G2058" s="15" t="str">
        <f t="shared" ca="1" si="161"/>
        <v/>
      </c>
      <c r="H2058" s="15" t="str">
        <f t="shared" ca="1" si="162"/>
        <v/>
      </c>
      <c r="I2058" s="16" t="str">
        <f t="shared" ca="1" si="163"/>
        <v/>
      </c>
    </row>
    <row r="2059" spans="1:9" x14ac:dyDescent="0.3">
      <c r="A2059" s="3"/>
      <c r="B2059" s="9"/>
      <c r="C2059" s="9"/>
      <c r="E2059" s="14" t="str">
        <f t="shared" si="164"/>
        <v/>
      </c>
      <c r="F2059" s="15" t="str">
        <f t="shared" ca="1" si="160"/>
        <v/>
      </c>
      <c r="G2059" s="15" t="str">
        <f t="shared" ca="1" si="161"/>
        <v/>
      </c>
      <c r="H2059" s="15" t="str">
        <f t="shared" ca="1" si="162"/>
        <v/>
      </c>
      <c r="I2059" s="16" t="str">
        <f t="shared" ca="1" si="163"/>
        <v/>
      </c>
    </row>
    <row r="2060" spans="1:9" x14ac:dyDescent="0.3">
      <c r="A2060" s="3"/>
      <c r="B2060" s="9"/>
      <c r="C2060" s="9"/>
      <c r="E2060" s="14" t="str">
        <f t="shared" si="164"/>
        <v/>
      </c>
      <c r="F2060" s="15" t="str">
        <f t="shared" ca="1" si="160"/>
        <v/>
      </c>
      <c r="G2060" s="15" t="str">
        <f t="shared" ca="1" si="161"/>
        <v/>
      </c>
      <c r="H2060" s="15" t="str">
        <f t="shared" ca="1" si="162"/>
        <v/>
      </c>
      <c r="I2060" s="16" t="str">
        <f t="shared" ca="1" si="163"/>
        <v/>
      </c>
    </row>
    <row r="2061" spans="1:9" x14ac:dyDescent="0.3">
      <c r="A2061" s="3"/>
      <c r="B2061" s="9"/>
      <c r="C2061" s="9"/>
      <c r="E2061" s="14" t="str">
        <f t="shared" si="164"/>
        <v/>
      </c>
      <c r="F2061" s="15" t="str">
        <f t="shared" ca="1" si="160"/>
        <v/>
      </c>
      <c r="G2061" s="15" t="str">
        <f t="shared" ca="1" si="161"/>
        <v/>
      </c>
      <c r="H2061" s="15" t="str">
        <f t="shared" ca="1" si="162"/>
        <v/>
      </c>
      <c r="I2061" s="16" t="str">
        <f t="shared" ca="1" si="163"/>
        <v/>
      </c>
    </row>
    <row r="2062" spans="1:9" x14ac:dyDescent="0.3">
      <c r="A2062" s="3"/>
      <c r="B2062" s="9"/>
      <c r="C2062" s="9"/>
      <c r="E2062" s="14" t="str">
        <f t="shared" si="164"/>
        <v/>
      </c>
      <c r="F2062" s="15" t="str">
        <f t="shared" ca="1" si="160"/>
        <v/>
      </c>
      <c r="G2062" s="15" t="str">
        <f t="shared" ca="1" si="161"/>
        <v/>
      </c>
      <c r="H2062" s="15" t="str">
        <f t="shared" ca="1" si="162"/>
        <v/>
      </c>
      <c r="I2062" s="16" t="str">
        <f t="shared" ca="1" si="163"/>
        <v/>
      </c>
    </row>
    <row r="2063" spans="1:9" x14ac:dyDescent="0.3">
      <c r="A2063" s="3"/>
      <c r="B2063" s="9"/>
      <c r="C2063" s="9"/>
      <c r="E2063" s="14" t="str">
        <f t="shared" si="164"/>
        <v/>
      </c>
      <c r="F2063" s="15" t="str">
        <f t="shared" ca="1" si="160"/>
        <v/>
      </c>
      <c r="G2063" s="15" t="str">
        <f t="shared" ca="1" si="161"/>
        <v/>
      </c>
      <c r="H2063" s="15" t="str">
        <f t="shared" ca="1" si="162"/>
        <v/>
      </c>
      <c r="I2063" s="16" t="str">
        <f t="shared" ca="1" si="163"/>
        <v/>
      </c>
    </row>
    <row r="2064" spans="1:9" x14ac:dyDescent="0.3">
      <c r="A2064" s="3"/>
      <c r="B2064" s="9"/>
      <c r="C2064" s="9"/>
      <c r="E2064" s="14" t="str">
        <f t="shared" si="164"/>
        <v/>
      </c>
      <c r="F2064" s="15" t="str">
        <f t="shared" ca="1" si="160"/>
        <v/>
      </c>
      <c r="G2064" s="15" t="str">
        <f t="shared" ca="1" si="161"/>
        <v/>
      </c>
      <c r="H2064" s="15" t="str">
        <f t="shared" ca="1" si="162"/>
        <v/>
      </c>
      <c r="I2064" s="16" t="str">
        <f t="shared" ca="1" si="163"/>
        <v/>
      </c>
    </row>
    <row r="2065" spans="1:9" x14ac:dyDescent="0.3">
      <c r="A2065" s="3"/>
      <c r="B2065" s="9"/>
      <c r="C2065" s="9"/>
      <c r="E2065" s="14" t="str">
        <f t="shared" si="164"/>
        <v/>
      </c>
      <c r="F2065" s="15" t="str">
        <f t="shared" ref="F2065:F2128" ca="1" si="165">IF(ISNUMBER(E2065),IF(ROW(E2065)&gt;$K$1,AVERAGE(OFFSET(E2065,0,0,-$K$1)),""),"")</f>
        <v/>
      </c>
      <c r="G2065" s="15" t="str">
        <f t="shared" ref="G2065:G2128" ca="1" si="166">IF(ISNUMBER(I2065),F2065+I2065*$M$1,"")</f>
        <v/>
      </c>
      <c r="H2065" s="15" t="str">
        <f t="shared" ref="H2065:H2128" ca="1" si="167">IF(ISNUMBER(I2065),F2065-I2065*$M$1,"")</f>
        <v/>
      </c>
      <c r="I2065" s="16" t="str">
        <f t="shared" ref="I2065:I2128" ca="1" si="168">IF(ISNUMBER(E2065),IF(ROW(E2065)&gt;$K$1,_xlfn.STDEV.P(OFFSET(E2065,0,0,-$K$1)),""),"")</f>
        <v/>
      </c>
    </row>
    <row r="2066" spans="1:9" x14ac:dyDescent="0.3">
      <c r="A2066" s="3"/>
      <c r="B2066" s="9"/>
      <c r="C2066" s="9"/>
      <c r="E2066" s="14" t="str">
        <f t="shared" si="164"/>
        <v/>
      </c>
      <c r="F2066" s="15" t="str">
        <f t="shared" ca="1" si="165"/>
        <v/>
      </c>
      <c r="G2066" s="15" t="str">
        <f t="shared" ca="1" si="166"/>
        <v/>
      </c>
      <c r="H2066" s="15" t="str">
        <f t="shared" ca="1" si="167"/>
        <v/>
      </c>
      <c r="I2066" s="16" t="str">
        <f t="shared" ca="1" si="168"/>
        <v/>
      </c>
    </row>
    <row r="2067" spans="1:9" x14ac:dyDescent="0.3">
      <c r="A2067" s="3"/>
      <c r="B2067" s="9"/>
      <c r="C2067" s="9"/>
      <c r="E2067" s="14" t="str">
        <f t="shared" si="164"/>
        <v/>
      </c>
      <c r="F2067" s="15" t="str">
        <f t="shared" ca="1" si="165"/>
        <v/>
      </c>
      <c r="G2067" s="15" t="str">
        <f t="shared" ca="1" si="166"/>
        <v/>
      </c>
      <c r="H2067" s="15" t="str">
        <f t="shared" ca="1" si="167"/>
        <v/>
      </c>
      <c r="I2067" s="16" t="str">
        <f t="shared" ca="1" si="168"/>
        <v/>
      </c>
    </row>
    <row r="2068" spans="1:9" x14ac:dyDescent="0.3">
      <c r="A2068" s="3"/>
      <c r="B2068" s="9"/>
      <c r="C2068" s="9"/>
      <c r="E2068" s="14" t="str">
        <f t="shared" si="164"/>
        <v/>
      </c>
      <c r="F2068" s="15" t="str">
        <f t="shared" ca="1" si="165"/>
        <v/>
      </c>
      <c r="G2068" s="15" t="str">
        <f t="shared" ca="1" si="166"/>
        <v/>
      </c>
      <c r="H2068" s="15" t="str">
        <f t="shared" ca="1" si="167"/>
        <v/>
      </c>
      <c r="I2068" s="16" t="str">
        <f t="shared" ca="1" si="168"/>
        <v/>
      </c>
    </row>
    <row r="2069" spans="1:9" x14ac:dyDescent="0.3">
      <c r="A2069" s="3"/>
      <c r="B2069" s="9"/>
      <c r="C2069" s="9"/>
      <c r="E2069" s="14" t="str">
        <f t="shared" si="164"/>
        <v/>
      </c>
      <c r="F2069" s="15" t="str">
        <f t="shared" ca="1" si="165"/>
        <v/>
      </c>
      <c r="G2069" s="15" t="str">
        <f t="shared" ca="1" si="166"/>
        <v/>
      </c>
      <c r="H2069" s="15" t="str">
        <f t="shared" ca="1" si="167"/>
        <v/>
      </c>
      <c r="I2069" s="16" t="str">
        <f t="shared" ca="1" si="168"/>
        <v/>
      </c>
    </row>
    <row r="2070" spans="1:9" x14ac:dyDescent="0.3">
      <c r="A2070" s="3"/>
      <c r="B2070" s="9"/>
      <c r="C2070" s="9"/>
      <c r="E2070" s="14" t="str">
        <f t="shared" si="164"/>
        <v/>
      </c>
      <c r="F2070" s="15" t="str">
        <f t="shared" ca="1" si="165"/>
        <v/>
      </c>
      <c r="G2070" s="15" t="str">
        <f t="shared" ca="1" si="166"/>
        <v/>
      </c>
      <c r="H2070" s="15" t="str">
        <f t="shared" ca="1" si="167"/>
        <v/>
      </c>
      <c r="I2070" s="16" t="str">
        <f t="shared" ca="1" si="168"/>
        <v/>
      </c>
    </row>
    <row r="2071" spans="1:9" x14ac:dyDescent="0.3">
      <c r="A2071" s="3"/>
      <c r="B2071" s="9"/>
      <c r="C2071" s="9"/>
      <c r="E2071" s="14" t="str">
        <f t="shared" si="164"/>
        <v/>
      </c>
      <c r="F2071" s="15" t="str">
        <f t="shared" ca="1" si="165"/>
        <v/>
      </c>
      <c r="G2071" s="15" t="str">
        <f t="shared" ca="1" si="166"/>
        <v/>
      </c>
      <c r="H2071" s="15" t="str">
        <f t="shared" ca="1" si="167"/>
        <v/>
      </c>
      <c r="I2071" s="16" t="str">
        <f t="shared" ca="1" si="168"/>
        <v/>
      </c>
    </row>
    <row r="2072" spans="1:9" x14ac:dyDescent="0.3">
      <c r="A2072" s="3"/>
      <c r="B2072" s="9"/>
      <c r="C2072" s="9"/>
      <c r="E2072" s="14" t="str">
        <f t="shared" si="164"/>
        <v/>
      </c>
      <c r="F2072" s="15" t="str">
        <f t="shared" ca="1" si="165"/>
        <v/>
      </c>
      <c r="G2072" s="15" t="str">
        <f t="shared" ca="1" si="166"/>
        <v/>
      </c>
      <c r="H2072" s="15" t="str">
        <f t="shared" ca="1" si="167"/>
        <v/>
      </c>
      <c r="I2072" s="16" t="str">
        <f t="shared" ca="1" si="168"/>
        <v/>
      </c>
    </row>
    <row r="2073" spans="1:9" x14ac:dyDescent="0.3">
      <c r="A2073" s="3"/>
      <c r="B2073" s="9"/>
      <c r="C2073" s="9"/>
      <c r="E2073" s="14" t="str">
        <f t="shared" si="164"/>
        <v/>
      </c>
      <c r="F2073" s="15" t="str">
        <f t="shared" ca="1" si="165"/>
        <v/>
      </c>
      <c r="G2073" s="15" t="str">
        <f t="shared" ca="1" si="166"/>
        <v/>
      </c>
      <c r="H2073" s="15" t="str">
        <f t="shared" ca="1" si="167"/>
        <v/>
      </c>
      <c r="I2073" s="16" t="str">
        <f t="shared" ca="1" si="168"/>
        <v/>
      </c>
    </row>
    <row r="2074" spans="1:9" x14ac:dyDescent="0.3">
      <c r="A2074" s="3"/>
      <c r="B2074" s="9"/>
      <c r="C2074" s="9"/>
      <c r="E2074" s="14" t="str">
        <f t="shared" si="164"/>
        <v/>
      </c>
      <c r="F2074" s="15" t="str">
        <f t="shared" ca="1" si="165"/>
        <v/>
      </c>
      <c r="G2074" s="15" t="str">
        <f t="shared" ca="1" si="166"/>
        <v/>
      </c>
      <c r="H2074" s="15" t="str">
        <f t="shared" ca="1" si="167"/>
        <v/>
      </c>
      <c r="I2074" s="16" t="str">
        <f t="shared" ca="1" si="168"/>
        <v/>
      </c>
    </row>
    <row r="2075" spans="1:9" x14ac:dyDescent="0.3">
      <c r="A2075" s="3"/>
      <c r="B2075" s="9"/>
      <c r="C2075" s="9"/>
      <c r="E2075" s="14" t="str">
        <f t="shared" si="164"/>
        <v/>
      </c>
      <c r="F2075" s="15" t="str">
        <f t="shared" ca="1" si="165"/>
        <v/>
      </c>
      <c r="G2075" s="15" t="str">
        <f t="shared" ca="1" si="166"/>
        <v/>
      </c>
      <c r="H2075" s="15" t="str">
        <f t="shared" ca="1" si="167"/>
        <v/>
      </c>
      <c r="I2075" s="16" t="str">
        <f t="shared" ca="1" si="168"/>
        <v/>
      </c>
    </row>
    <row r="2076" spans="1:9" x14ac:dyDescent="0.3">
      <c r="A2076" s="3"/>
      <c r="B2076" s="9"/>
      <c r="C2076" s="9"/>
      <c r="E2076" s="14" t="str">
        <f t="shared" si="164"/>
        <v/>
      </c>
      <c r="F2076" s="15" t="str">
        <f t="shared" ca="1" si="165"/>
        <v/>
      </c>
      <c r="G2076" s="15" t="str">
        <f t="shared" ca="1" si="166"/>
        <v/>
      </c>
      <c r="H2076" s="15" t="str">
        <f t="shared" ca="1" si="167"/>
        <v/>
      </c>
      <c r="I2076" s="16" t="str">
        <f t="shared" ca="1" si="168"/>
        <v/>
      </c>
    </row>
    <row r="2077" spans="1:9" x14ac:dyDescent="0.3">
      <c r="A2077" s="3"/>
      <c r="B2077" s="9"/>
      <c r="C2077" s="9"/>
      <c r="E2077" s="14" t="str">
        <f t="shared" si="164"/>
        <v/>
      </c>
      <c r="F2077" s="15" t="str">
        <f t="shared" ca="1" si="165"/>
        <v/>
      </c>
      <c r="G2077" s="15" t="str">
        <f t="shared" ca="1" si="166"/>
        <v/>
      </c>
      <c r="H2077" s="15" t="str">
        <f t="shared" ca="1" si="167"/>
        <v/>
      </c>
      <c r="I2077" s="16" t="str">
        <f t="shared" ca="1" si="168"/>
        <v/>
      </c>
    </row>
    <row r="2078" spans="1:9" x14ac:dyDescent="0.3">
      <c r="A2078" s="3"/>
      <c r="B2078" s="9"/>
      <c r="C2078" s="9"/>
      <c r="E2078" s="14" t="str">
        <f t="shared" si="164"/>
        <v/>
      </c>
      <c r="F2078" s="15" t="str">
        <f t="shared" ca="1" si="165"/>
        <v/>
      </c>
      <c r="G2078" s="15" t="str">
        <f t="shared" ca="1" si="166"/>
        <v/>
      </c>
      <c r="H2078" s="15" t="str">
        <f t="shared" ca="1" si="167"/>
        <v/>
      </c>
      <c r="I2078" s="16" t="str">
        <f t="shared" ca="1" si="168"/>
        <v/>
      </c>
    </row>
    <row r="2079" spans="1:9" x14ac:dyDescent="0.3">
      <c r="A2079" s="3"/>
      <c r="B2079" s="9"/>
      <c r="C2079" s="9"/>
      <c r="E2079" s="14" t="str">
        <f t="shared" si="164"/>
        <v/>
      </c>
      <c r="F2079" s="15" t="str">
        <f t="shared" ca="1" si="165"/>
        <v/>
      </c>
      <c r="G2079" s="15" t="str">
        <f t="shared" ca="1" si="166"/>
        <v/>
      </c>
      <c r="H2079" s="15" t="str">
        <f t="shared" ca="1" si="167"/>
        <v/>
      </c>
      <c r="I2079" s="16" t="str">
        <f t="shared" ca="1" si="168"/>
        <v/>
      </c>
    </row>
    <row r="2080" spans="1:9" x14ac:dyDescent="0.3">
      <c r="A2080" s="3"/>
      <c r="B2080" s="9"/>
      <c r="C2080" s="9"/>
      <c r="E2080" s="14" t="str">
        <f t="shared" si="164"/>
        <v/>
      </c>
      <c r="F2080" s="15" t="str">
        <f t="shared" ca="1" si="165"/>
        <v/>
      </c>
      <c r="G2080" s="15" t="str">
        <f t="shared" ca="1" si="166"/>
        <v/>
      </c>
      <c r="H2080" s="15" t="str">
        <f t="shared" ca="1" si="167"/>
        <v/>
      </c>
      <c r="I2080" s="16" t="str">
        <f t="shared" ca="1" si="168"/>
        <v/>
      </c>
    </row>
    <row r="2081" spans="1:9" x14ac:dyDescent="0.3">
      <c r="A2081" s="3"/>
      <c r="B2081" s="9"/>
      <c r="C2081" s="9"/>
      <c r="E2081" s="14" t="str">
        <f t="shared" si="164"/>
        <v/>
      </c>
      <c r="F2081" s="15" t="str">
        <f t="shared" ca="1" si="165"/>
        <v/>
      </c>
      <c r="G2081" s="15" t="str">
        <f t="shared" ca="1" si="166"/>
        <v/>
      </c>
      <c r="H2081" s="15" t="str">
        <f t="shared" ca="1" si="167"/>
        <v/>
      </c>
      <c r="I2081" s="16" t="str">
        <f t="shared" ca="1" si="168"/>
        <v/>
      </c>
    </row>
    <row r="2082" spans="1:9" x14ac:dyDescent="0.3">
      <c r="A2082" s="3"/>
      <c r="B2082" s="9"/>
      <c r="C2082" s="9"/>
      <c r="E2082" s="14" t="str">
        <f t="shared" si="164"/>
        <v/>
      </c>
      <c r="F2082" s="15" t="str">
        <f t="shared" ca="1" si="165"/>
        <v/>
      </c>
      <c r="G2082" s="15" t="str">
        <f t="shared" ca="1" si="166"/>
        <v/>
      </c>
      <c r="H2082" s="15" t="str">
        <f t="shared" ca="1" si="167"/>
        <v/>
      </c>
      <c r="I2082" s="16" t="str">
        <f t="shared" ca="1" si="168"/>
        <v/>
      </c>
    </row>
    <row r="2083" spans="1:9" x14ac:dyDescent="0.3">
      <c r="A2083" s="3"/>
      <c r="B2083" s="9"/>
      <c r="C2083" s="9"/>
      <c r="E2083" s="14" t="str">
        <f t="shared" si="164"/>
        <v/>
      </c>
      <c r="F2083" s="15" t="str">
        <f t="shared" ca="1" si="165"/>
        <v/>
      </c>
      <c r="G2083" s="15" t="str">
        <f t="shared" ca="1" si="166"/>
        <v/>
      </c>
      <c r="H2083" s="15" t="str">
        <f t="shared" ca="1" si="167"/>
        <v/>
      </c>
      <c r="I2083" s="16" t="str">
        <f t="shared" ca="1" si="168"/>
        <v/>
      </c>
    </row>
    <row r="2084" spans="1:9" x14ac:dyDescent="0.3">
      <c r="A2084" s="3"/>
      <c r="B2084" s="9"/>
      <c r="C2084" s="9"/>
      <c r="E2084" s="14" t="str">
        <f t="shared" si="164"/>
        <v/>
      </c>
      <c r="F2084" s="15" t="str">
        <f t="shared" ca="1" si="165"/>
        <v/>
      </c>
      <c r="G2084" s="15" t="str">
        <f t="shared" ca="1" si="166"/>
        <v/>
      </c>
      <c r="H2084" s="15" t="str">
        <f t="shared" ca="1" si="167"/>
        <v/>
      </c>
      <c r="I2084" s="16" t="str">
        <f t="shared" ca="1" si="168"/>
        <v/>
      </c>
    </row>
    <row r="2085" spans="1:9" x14ac:dyDescent="0.3">
      <c r="A2085" s="3"/>
      <c r="B2085" s="9"/>
      <c r="C2085" s="9"/>
      <c r="E2085" s="14" t="str">
        <f t="shared" si="164"/>
        <v/>
      </c>
      <c r="F2085" s="15" t="str">
        <f t="shared" ca="1" si="165"/>
        <v/>
      </c>
      <c r="G2085" s="15" t="str">
        <f t="shared" ca="1" si="166"/>
        <v/>
      </c>
      <c r="H2085" s="15" t="str">
        <f t="shared" ca="1" si="167"/>
        <v/>
      </c>
      <c r="I2085" s="16" t="str">
        <f t="shared" ca="1" si="168"/>
        <v/>
      </c>
    </row>
    <row r="2086" spans="1:9" x14ac:dyDescent="0.3">
      <c r="A2086" s="3"/>
      <c r="B2086" s="9"/>
      <c r="C2086" s="9"/>
      <c r="E2086" s="14" t="str">
        <f t="shared" si="164"/>
        <v/>
      </c>
      <c r="F2086" s="15" t="str">
        <f t="shared" ca="1" si="165"/>
        <v/>
      </c>
      <c r="G2086" s="15" t="str">
        <f t="shared" ca="1" si="166"/>
        <v/>
      </c>
      <c r="H2086" s="15" t="str">
        <f t="shared" ca="1" si="167"/>
        <v/>
      </c>
      <c r="I2086" s="16" t="str">
        <f t="shared" ca="1" si="168"/>
        <v/>
      </c>
    </row>
    <row r="2087" spans="1:9" x14ac:dyDescent="0.3">
      <c r="A2087" s="3"/>
      <c r="B2087" s="9"/>
      <c r="C2087" s="9"/>
      <c r="E2087" s="14" t="str">
        <f t="shared" si="164"/>
        <v/>
      </c>
      <c r="F2087" s="15" t="str">
        <f t="shared" ca="1" si="165"/>
        <v/>
      </c>
      <c r="G2087" s="15" t="str">
        <f t="shared" ca="1" si="166"/>
        <v/>
      </c>
      <c r="H2087" s="15" t="str">
        <f t="shared" ca="1" si="167"/>
        <v/>
      </c>
      <c r="I2087" s="16" t="str">
        <f t="shared" ca="1" si="168"/>
        <v/>
      </c>
    </row>
    <row r="2088" spans="1:9" x14ac:dyDescent="0.3">
      <c r="A2088" s="3"/>
      <c r="B2088" s="9"/>
      <c r="C2088" s="9"/>
      <c r="E2088" s="14" t="str">
        <f t="shared" si="164"/>
        <v/>
      </c>
      <c r="F2088" s="15" t="str">
        <f t="shared" ca="1" si="165"/>
        <v/>
      </c>
      <c r="G2088" s="15" t="str">
        <f t="shared" ca="1" si="166"/>
        <v/>
      </c>
      <c r="H2088" s="15" t="str">
        <f t="shared" ca="1" si="167"/>
        <v/>
      </c>
      <c r="I2088" s="16" t="str">
        <f t="shared" ca="1" si="168"/>
        <v/>
      </c>
    </row>
    <row r="2089" spans="1:9" x14ac:dyDescent="0.3">
      <c r="A2089" s="3"/>
      <c r="B2089" s="9"/>
      <c r="C2089" s="9"/>
      <c r="E2089" s="14" t="str">
        <f t="shared" si="164"/>
        <v/>
      </c>
      <c r="F2089" s="15" t="str">
        <f t="shared" ca="1" si="165"/>
        <v/>
      </c>
      <c r="G2089" s="15" t="str">
        <f t="shared" ca="1" si="166"/>
        <v/>
      </c>
      <c r="H2089" s="15" t="str">
        <f t="shared" ca="1" si="167"/>
        <v/>
      </c>
      <c r="I2089" s="16" t="str">
        <f t="shared" ca="1" si="168"/>
        <v/>
      </c>
    </row>
    <row r="2090" spans="1:9" x14ac:dyDescent="0.3">
      <c r="A2090" s="3"/>
      <c r="B2090" s="9"/>
      <c r="C2090" s="9"/>
      <c r="E2090" s="14" t="str">
        <f t="shared" si="164"/>
        <v/>
      </c>
      <c r="F2090" s="15" t="str">
        <f t="shared" ca="1" si="165"/>
        <v/>
      </c>
      <c r="G2090" s="15" t="str">
        <f t="shared" ca="1" si="166"/>
        <v/>
      </c>
      <c r="H2090" s="15" t="str">
        <f t="shared" ca="1" si="167"/>
        <v/>
      </c>
      <c r="I2090" s="16" t="str">
        <f t="shared" ca="1" si="168"/>
        <v/>
      </c>
    </row>
    <row r="2091" spans="1:9" x14ac:dyDescent="0.3">
      <c r="A2091" s="3"/>
      <c r="B2091" s="9"/>
      <c r="C2091" s="9"/>
      <c r="E2091" s="14" t="str">
        <f t="shared" si="164"/>
        <v/>
      </c>
      <c r="F2091" s="15" t="str">
        <f t="shared" ca="1" si="165"/>
        <v/>
      </c>
      <c r="G2091" s="15" t="str">
        <f t="shared" ca="1" si="166"/>
        <v/>
      </c>
      <c r="H2091" s="15" t="str">
        <f t="shared" ca="1" si="167"/>
        <v/>
      </c>
      <c r="I2091" s="16" t="str">
        <f t="shared" ca="1" si="168"/>
        <v/>
      </c>
    </row>
    <row r="2092" spans="1:9" x14ac:dyDescent="0.3">
      <c r="A2092" s="3"/>
      <c r="B2092" s="9"/>
      <c r="C2092" s="9"/>
      <c r="E2092" s="14" t="str">
        <f t="shared" si="164"/>
        <v/>
      </c>
      <c r="F2092" s="15" t="str">
        <f t="shared" ca="1" si="165"/>
        <v/>
      </c>
      <c r="G2092" s="15" t="str">
        <f t="shared" ca="1" si="166"/>
        <v/>
      </c>
      <c r="H2092" s="15" t="str">
        <f t="shared" ca="1" si="167"/>
        <v/>
      </c>
      <c r="I2092" s="16" t="str">
        <f t="shared" ca="1" si="168"/>
        <v/>
      </c>
    </row>
    <row r="2093" spans="1:9" x14ac:dyDescent="0.3">
      <c r="A2093" s="3"/>
      <c r="B2093" s="9"/>
      <c r="C2093" s="9"/>
      <c r="E2093" s="14" t="str">
        <f t="shared" si="164"/>
        <v/>
      </c>
      <c r="F2093" s="15" t="str">
        <f t="shared" ca="1" si="165"/>
        <v/>
      </c>
      <c r="G2093" s="15" t="str">
        <f t="shared" ca="1" si="166"/>
        <v/>
      </c>
      <c r="H2093" s="15" t="str">
        <f t="shared" ca="1" si="167"/>
        <v/>
      </c>
      <c r="I2093" s="16" t="str">
        <f t="shared" ca="1" si="168"/>
        <v/>
      </c>
    </row>
    <row r="2094" spans="1:9" x14ac:dyDescent="0.3">
      <c r="A2094" s="3"/>
      <c r="B2094" s="9"/>
      <c r="C2094" s="9"/>
      <c r="E2094" s="14" t="str">
        <f t="shared" si="164"/>
        <v/>
      </c>
      <c r="F2094" s="15" t="str">
        <f t="shared" ca="1" si="165"/>
        <v/>
      </c>
      <c r="G2094" s="15" t="str">
        <f t="shared" ca="1" si="166"/>
        <v/>
      </c>
      <c r="H2094" s="15" t="str">
        <f t="shared" ca="1" si="167"/>
        <v/>
      </c>
      <c r="I2094" s="16" t="str">
        <f t="shared" ca="1" si="168"/>
        <v/>
      </c>
    </row>
    <row r="2095" spans="1:9" x14ac:dyDescent="0.3">
      <c r="A2095" s="3"/>
      <c r="B2095" s="9"/>
      <c r="C2095" s="9"/>
      <c r="E2095" s="14" t="str">
        <f t="shared" si="164"/>
        <v/>
      </c>
      <c r="F2095" s="15" t="str">
        <f t="shared" ca="1" si="165"/>
        <v/>
      </c>
      <c r="G2095" s="15" t="str">
        <f t="shared" ca="1" si="166"/>
        <v/>
      </c>
      <c r="H2095" s="15" t="str">
        <f t="shared" ca="1" si="167"/>
        <v/>
      </c>
      <c r="I2095" s="16" t="str">
        <f t="shared" ca="1" si="168"/>
        <v/>
      </c>
    </row>
    <row r="2096" spans="1:9" x14ac:dyDescent="0.3">
      <c r="A2096" s="3"/>
      <c r="B2096" s="9"/>
      <c r="C2096" s="9"/>
      <c r="E2096" s="14" t="str">
        <f t="shared" si="164"/>
        <v/>
      </c>
      <c r="F2096" s="15" t="str">
        <f t="shared" ca="1" si="165"/>
        <v/>
      </c>
      <c r="G2096" s="15" t="str">
        <f t="shared" ca="1" si="166"/>
        <v/>
      </c>
      <c r="H2096" s="15" t="str">
        <f t="shared" ca="1" si="167"/>
        <v/>
      </c>
      <c r="I2096" s="16" t="str">
        <f t="shared" ca="1" si="168"/>
        <v/>
      </c>
    </row>
    <row r="2097" spans="1:9" x14ac:dyDescent="0.3">
      <c r="A2097" s="3"/>
      <c r="B2097" s="9"/>
      <c r="C2097" s="9"/>
      <c r="E2097" s="14" t="str">
        <f t="shared" si="164"/>
        <v/>
      </c>
      <c r="F2097" s="15" t="str">
        <f t="shared" ca="1" si="165"/>
        <v/>
      </c>
      <c r="G2097" s="15" t="str">
        <f t="shared" ca="1" si="166"/>
        <v/>
      </c>
      <c r="H2097" s="15" t="str">
        <f t="shared" ca="1" si="167"/>
        <v/>
      </c>
      <c r="I2097" s="16" t="str">
        <f t="shared" ca="1" si="168"/>
        <v/>
      </c>
    </row>
    <row r="2098" spans="1:9" x14ac:dyDescent="0.3">
      <c r="A2098" s="3"/>
      <c r="B2098" s="9"/>
      <c r="C2098" s="9"/>
      <c r="E2098" s="14" t="str">
        <f t="shared" si="164"/>
        <v/>
      </c>
      <c r="F2098" s="15" t="str">
        <f t="shared" ca="1" si="165"/>
        <v/>
      </c>
      <c r="G2098" s="15" t="str">
        <f t="shared" ca="1" si="166"/>
        <v/>
      </c>
      <c r="H2098" s="15" t="str">
        <f t="shared" ca="1" si="167"/>
        <v/>
      </c>
      <c r="I2098" s="16" t="str">
        <f t="shared" ca="1" si="168"/>
        <v/>
      </c>
    </row>
    <row r="2099" spans="1:9" x14ac:dyDescent="0.3">
      <c r="A2099" s="3"/>
      <c r="B2099" s="9"/>
      <c r="C2099" s="9"/>
      <c r="E2099" s="14" t="str">
        <f t="shared" si="164"/>
        <v/>
      </c>
      <c r="F2099" s="15" t="str">
        <f t="shared" ca="1" si="165"/>
        <v/>
      </c>
      <c r="G2099" s="15" t="str">
        <f t="shared" ca="1" si="166"/>
        <v/>
      </c>
      <c r="H2099" s="15" t="str">
        <f t="shared" ca="1" si="167"/>
        <v/>
      </c>
      <c r="I2099" s="16" t="str">
        <f t="shared" ca="1" si="168"/>
        <v/>
      </c>
    </row>
    <row r="2100" spans="1:9" x14ac:dyDescent="0.3">
      <c r="A2100" s="3"/>
      <c r="B2100" s="9"/>
      <c r="C2100" s="9"/>
      <c r="E2100" s="14" t="str">
        <f t="shared" si="164"/>
        <v/>
      </c>
      <c r="F2100" s="15" t="str">
        <f t="shared" ca="1" si="165"/>
        <v/>
      </c>
      <c r="G2100" s="15" t="str">
        <f t="shared" ca="1" si="166"/>
        <v/>
      </c>
      <c r="H2100" s="15" t="str">
        <f t="shared" ca="1" si="167"/>
        <v/>
      </c>
      <c r="I2100" s="16" t="str">
        <f t="shared" ca="1" si="168"/>
        <v/>
      </c>
    </row>
    <row r="2101" spans="1:9" x14ac:dyDescent="0.3">
      <c r="A2101" s="3"/>
      <c r="B2101" s="9"/>
      <c r="C2101" s="9"/>
      <c r="E2101" s="14" t="str">
        <f t="shared" si="164"/>
        <v/>
      </c>
      <c r="F2101" s="15" t="str">
        <f t="shared" ca="1" si="165"/>
        <v/>
      </c>
      <c r="G2101" s="15" t="str">
        <f t="shared" ca="1" si="166"/>
        <v/>
      </c>
      <c r="H2101" s="15" t="str">
        <f t="shared" ca="1" si="167"/>
        <v/>
      </c>
      <c r="I2101" s="16" t="str">
        <f t="shared" ca="1" si="168"/>
        <v/>
      </c>
    </row>
    <row r="2102" spans="1:9" x14ac:dyDescent="0.3">
      <c r="A2102" s="3"/>
      <c r="B2102" s="9"/>
      <c r="C2102" s="9"/>
      <c r="E2102" s="14" t="str">
        <f t="shared" si="164"/>
        <v/>
      </c>
      <c r="F2102" s="15" t="str">
        <f t="shared" ca="1" si="165"/>
        <v/>
      </c>
      <c r="G2102" s="15" t="str">
        <f t="shared" ca="1" si="166"/>
        <v/>
      </c>
      <c r="H2102" s="15" t="str">
        <f t="shared" ca="1" si="167"/>
        <v/>
      </c>
      <c r="I2102" s="16" t="str">
        <f t="shared" ca="1" si="168"/>
        <v/>
      </c>
    </row>
    <row r="2103" spans="1:9" x14ac:dyDescent="0.3">
      <c r="A2103" s="3"/>
      <c r="B2103" s="9"/>
      <c r="C2103" s="9"/>
      <c r="E2103" s="14" t="str">
        <f t="shared" si="164"/>
        <v/>
      </c>
      <c r="F2103" s="15" t="str">
        <f t="shared" ca="1" si="165"/>
        <v/>
      </c>
      <c r="G2103" s="15" t="str">
        <f t="shared" ca="1" si="166"/>
        <v/>
      </c>
      <c r="H2103" s="15" t="str">
        <f t="shared" ca="1" si="167"/>
        <v/>
      </c>
      <c r="I2103" s="16" t="str">
        <f t="shared" ca="1" si="168"/>
        <v/>
      </c>
    </row>
    <row r="2104" spans="1:9" x14ac:dyDescent="0.3">
      <c r="A2104" s="3"/>
      <c r="B2104" s="9"/>
      <c r="C2104" s="9"/>
      <c r="E2104" s="14" t="str">
        <f t="shared" si="164"/>
        <v/>
      </c>
      <c r="F2104" s="15" t="str">
        <f t="shared" ca="1" si="165"/>
        <v/>
      </c>
      <c r="G2104" s="15" t="str">
        <f t="shared" ca="1" si="166"/>
        <v/>
      </c>
      <c r="H2104" s="15" t="str">
        <f t="shared" ca="1" si="167"/>
        <v/>
      </c>
      <c r="I2104" s="16" t="str">
        <f t="shared" ca="1" si="168"/>
        <v/>
      </c>
    </row>
    <row r="2105" spans="1:9" x14ac:dyDescent="0.3">
      <c r="A2105" s="3"/>
      <c r="B2105" s="9"/>
      <c r="C2105" s="9"/>
      <c r="E2105" s="14" t="str">
        <f t="shared" si="164"/>
        <v/>
      </c>
      <c r="F2105" s="15" t="str">
        <f t="shared" ca="1" si="165"/>
        <v/>
      </c>
      <c r="G2105" s="15" t="str">
        <f t="shared" ca="1" si="166"/>
        <v/>
      </c>
      <c r="H2105" s="15" t="str">
        <f t="shared" ca="1" si="167"/>
        <v/>
      </c>
      <c r="I2105" s="16" t="str">
        <f t="shared" ca="1" si="168"/>
        <v/>
      </c>
    </row>
    <row r="2106" spans="1:9" x14ac:dyDescent="0.3">
      <c r="A2106" s="3"/>
      <c r="B2106" s="9"/>
      <c r="C2106" s="9"/>
      <c r="E2106" s="14" t="str">
        <f t="shared" si="164"/>
        <v/>
      </c>
      <c r="F2106" s="15" t="str">
        <f t="shared" ca="1" si="165"/>
        <v/>
      </c>
      <c r="G2106" s="15" t="str">
        <f t="shared" ca="1" si="166"/>
        <v/>
      </c>
      <c r="H2106" s="15" t="str">
        <f t="shared" ca="1" si="167"/>
        <v/>
      </c>
      <c r="I2106" s="16" t="str">
        <f t="shared" ca="1" si="168"/>
        <v/>
      </c>
    </row>
    <row r="2107" spans="1:9" x14ac:dyDescent="0.3">
      <c r="A2107" s="3"/>
      <c r="B2107" s="9"/>
      <c r="C2107" s="9"/>
      <c r="E2107" s="14" t="str">
        <f t="shared" si="164"/>
        <v/>
      </c>
      <c r="F2107" s="15" t="str">
        <f t="shared" ca="1" si="165"/>
        <v/>
      </c>
      <c r="G2107" s="15" t="str">
        <f t="shared" ca="1" si="166"/>
        <v/>
      </c>
      <c r="H2107" s="15" t="str">
        <f t="shared" ca="1" si="167"/>
        <v/>
      </c>
      <c r="I2107" s="16" t="str">
        <f t="shared" ca="1" si="168"/>
        <v/>
      </c>
    </row>
    <row r="2108" spans="1:9" x14ac:dyDescent="0.3">
      <c r="A2108" s="3"/>
      <c r="B2108" s="9"/>
      <c r="C2108" s="9"/>
      <c r="E2108" s="14" t="str">
        <f t="shared" si="164"/>
        <v/>
      </c>
      <c r="F2108" s="15" t="str">
        <f t="shared" ca="1" si="165"/>
        <v/>
      </c>
      <c r="G2108" s="15" t="str">
        <f t="shared" ca="1" si="166"/>
        <v/>
      </c>
      <c r="H2108" s="15" t="str">
        <f t="shared" ca="1" si="167"/>
        <v/>
      </c>
      <c r="I2108" s="16" t="str">
        <f t="shared" ca="1" si="168"/>
        <v/>
      </c>
    </row>
    <row r="2109" spans="1:9" x14ac:dyDescent="0.3">
      <c r="A2109" s="3"/>
      <c r="B2109" s="9"/>
      <c r="C2109" s="9"/>
      <c r="E2109" s="14" t="str">
        <f t="shared" si="164"/>
        <v/>
      </c>
      <c r="F2109" s="15" t="str">
        <f t="shared" ca="1" si="165"/>
        <v/>
      </c>
      <c r="G2109" s="15" t="str">
        <f t="shared" ca="1" si="166"/>
        <v/>
      </c>
      <c r="H2109" s="15" t="str">
        <f t="shared" ca="1" si="167"/>
        <v/>
      </c>
      <c r="I2109" s="16" t="str">
        <f t="shared" ca="1" si="168"/>
        <v/>
      </c>
    </row>
    <row r="2110" spans="1:9" x14ac:dyDescent="0.3">
      <c r="A2110" s="3"/>
      <c r="B2110" s="9"/>
      <c r="C2110" s="9"/>
      <c r="E2110" s="14" t="str">
        <f t="shared" si="164"/>
        <v/>
      </c>
      <c r="F2110" s="15" t="str">
        <f t="shared" ca="1" si="165"/>
        <v/>
      </c>
      <c r="G2110" s="15" t="str">
        <f t="shared" ca="1" si="166"/>
        <v/>
      </c>
      <c r="H2110" s="15" t="str">
        <f t="shared" ca="1" si="167"/>
        <v/>
      </c>
      <c r="I2110" s="16" t="str">
        <f t="shared" ca="1" si="168"/>
        <v/>
      </c>
    </row>
    <row r="2111" spans="1:9" x14ac:dyDescent="0.3">
      <c r="A2111" s="3"/>
      <c r="B2111" s="9"/>
      <c r="C2111" s="9"/>
      <c r="E2111" s="14" t="str">
        <f t="shared" si="164"/>
        <v/>
      </c>
      <c r="F2111" s="15" t="str">
        <f t="shared" ca="1" si="165"/>
        <v/>
      </c>
      <c r="G2111" s="15" t="str">
        <f t="shared" ca="1" si="166"/>
        <v/>
      </c>
      <c r="H2111" s="15" t="str">
        <f t="shared" ca="1" si="167"/>
        <v/>
      </c>
      <c r="I2111" s="16" t="str">
        <f t="shared" ca="1" si="168"/>
        <v/>
      </c>
    </row>
    <row r="2112" spans="1:9" x14ac:dyDescent="0.3">
      <c r="A2112" s="3"/>
      <c r="B2112" s="9"/>
      <c r="C2112" s="9"/>
      <c r="E2112" s="14" t="str">
        <f t="shared" si="164"/>
        <v/>
      </c>
      <c r="F2112" s="15" t="str">
        <f t="shared" ca="1" si="165"/>
        <v/>
      </c>
      <c r="G2112" s="15" t="str">
        <f t="shared" ca="1" si="166"/>
        <v/>
      </c>
      <c r="H2112" s="15" t="str">
        <f t="shared" ca="1" si="167"/>
        <v/>
      </c>
      <c r="I2112" s="16" t="str">
        <f t="shared" ca="1" si="168"/>
        <v/>
      </c>
    </row>
    <row r="2113" spans="1:9" x14ac:dyDescent="0.3">
      <c r="A2113" s="3"/>
      <c r="B2113" s="9"/>
      <c r="C2113" s="9"/>
      <c r="E2113" s="14" t="str">
        <f t="shared" si="164"/>
        <v/>
      </c>
      <c r="F2113" s="15" t="str">
        <f t="shared" ca="1" si="165"/>
        <v/>
      </c>
      <c r="G2113" s="15" t="str">
        <f t="shared" ca="1" si="166"/>
        <v/>
      </c>
      <c r="H2113" s="15" t="str">
        <f t="shared" ca="1" si="167"/>
        <v/>
      </c>
      <c r="I2113" s="16" t="str">
        <f t="shared" ca="1" si="168"/>
        <v/>
      </c>
    </row>
    <row r="2114" spans="1:9" x14ac:dyDescent="0.3">
      <c r="A2114" s="3"/>
      <c r="B2114" s="9"/>
      <c r="C2114" s="9"/>
      <c r="E2114" s="14" t="str">
        <f t="shared" si="164"/>
        <v/>
      </c>
      <c r="F2114" s="15" t="str">
        <f t="shared" ca="1" si="165"/>
        <v/>
      </c>
      <c r="G2114" s="15" t="str">
        <f t="shared" ca="1" si="166"/>
        <v/>
      </c>
      <c r="H2114" s="15" t="str">
        <f t="shared" ca="1" si="167"/>
        <v/>
      </c>
      <c r="I2114" s="16" t="str">
        <f t="shared" ca="1" si="168"/>
        <v/>
      </c>
    </row>
    <row r="2115" spans="1:9" x14ac:dyDescent="0.3">
      <c r="A2115" s="3"/>
      <c r="B2115" s="9"/>
      <c r="C2115" s="9"/>
      <c r="E2115" s="14" t="str">
        <f t="shared" ref="E2115:E2178" si="169">IF(ISNUMBER(B2115),B2115/C2115,"")</f>
        <v/>
      </c>
      <c r="F2115" s="15" t="str">
        <f t="shared" ca="1" si="165"/>
        <v/>
      </c>
      <c r="G2115" s="15" t="str">
        <f t="shared" ca="1" si="166"/>
        <v/>
      </c>
      <c r="H2115" s="15" t="str">
        <f t="shared" ca="1" si="167"/>
        <v/>
      </c>
      <c r="I2115" s="16" t="str">
        <f t="shared" ca="1" si="168"/>
        <v/>
      </c>
    </row>
    <row r="2116" spans="1:9" x14ac:dyDescent="0.3">
      <c r="A2116" s="3"/>
      <c r="B2116" s="9"/>
      <c r="C2116" s="9"/>
      <c r="E2116" s="14" t="str">
        <f t="shared" si="169"/>
        <v/>
      </c>
      <c r="F2116" s="15" t="str">
        <f t="shared" ca="1" si="165"/>
        <v/>
      </c>
      <c r="G2116" s="15" t="str">
        <f t="shared" ca="1" si="166"/>
        <v/>
      </c>
      <c r="H2116" s="15" t="str">
        <f t="shared" ca="1" si="167"/>
        <v/>
      </c>
      <c r="I2116" s="16" t="str">
        <f t="shared" ca="1" si="168"/>
        <v/>
      </c>
    </row>
    <row r="2117" spans="1:9" x14ac:dyDescent="0.3">
      <c r="A2117" s="3"/>
      <c r="B2117" s="9"/>
      <c r="C2117" s="9"/>
      <c r="E2117" s="14" t="str">
        <f t="shared" si="169"/>
        <v/>
      </c>
      <c r="F2117" s="15" t="str">
        <f t="shared" ca="1" si="165"/>
        <v/>
      </c>
      <c r="G2117" s="15" t="str">
        <f t="shared" ca="1" si="166"/>
        <v/>
      </c>
      <c r="H2117" s="15" t="str">
        <f t="shared" ca="1" si="167"/>
        <v/>
      </c>
      <c r="I2117" s="16" t="str">
        <f t="shared" ca="1" si="168"/>
        <v/>
      </c>
    </row>
    <row r="2118" spans="1:9" x14ac:dyDescent="0.3">
      <c r="A2118" s="3"/>
      <c r="B2118" s="9"/>
      <c r="C2118" s="9"/>
      <c r="E2118" s="14" t="str">
        <f t="shared" si="169"/>
        <v/>
      </c>
      <c r="F2118" s="15" t="str">
        <f t="shared" ca="1" si="165"/>
        <v/>
      </c>
      <c r="G2118" s="15" t="str">
        <f t="shared" ca="1" si="166"/>
        <v/>
      </c>
      <c r="H2118" s="15" t="str">
        <f t="shared" ca="1" si="167"/>
        <v/>
      </c>
      <c r="I2118" s="16" t="str">
        <f t="shared" ca="1" si="168"/>
        <v/>
      </c>
    </row>
    <row r="2119" spans="1:9" x14ac:dyDescent="0.3">
      <c r="A2119" s="3"/>
      <c r="B2119" s="9"/>
      <c r="C2119" s="9"/>
      <c r="E2119" s="14" t="str">
        <f t="shared" si="169"/>
        <v/>
      </c>
      <c r="F2119" s="15" t="str">
        <f t="shared" ca="1" si="165"/>
        <v/>
      </c>
      <c r="G2119" s="15" t="str">
        <f t="shared" ca="1" si="166"/>
        <v/>
      </c>
      <c r="H2119" s="15" t="str">
        <f t="shared" ca="1" si="167"/>
        <v/>
      </c>
      <c r="I2119" s="16" t="str">
        <f t="shared" ca="1" si="168"/>
        <v/>
      </c>
    </row>
    <row r="2120" spans="1:9" x14ac:dyDescent="0.3">
      <c r="A2120" s="3"/>
      <c r="B2120" s="9"/>
      <c r="C2120" s="9"/>
      <c r="E2120" s="14" t="str">
        <f t="shared" si="169"/>
        <v/>
      </c>
      <c r="F2120" s="15" t="str">
        <f t="shared" ca="1" si="165"/>
        <v/>
      </c>
      <c r="G2120" s="15" t="str">
        <f t="shared" ca="1" si="166"/>
        <v/>
      </c>
      <c r="H2120" s="15" t="str">
        <f t="shared" ca="1" si="167"/>
        <v/>
      </c>
      <c r="I2120" s="16" t="str">
        <f t="shared" ca="1" si="168"/>
        <v/>
      </c>
    </row>
    <row r="2121" spans="1:9" x14ac:dyDescent="0.3">
      <c r="A2121" s="3"/>
      <c r="B2121" s="9"/>
      <c r="C2121" s="9"/>
      <c r="E2121" s="14" t="str">
        <f t="shared" si="169"/>
        <v/>
      </c>
      <c r="F2121" s="15" t="str">
        <f t="shared" ca="1" si="165"/>
        <v/>
      </c>
      <c r="G2121" s="15" t="str">
        <f t="shared" ca="1" si="166"/>
        <v/>
      </c>
      <c r="H2121" s="15" t="str">
        <f t="shared" ca="1" si="167"/>
        <v/>
      </c>
      <c r="I2121" s="16" t="str">
        <f t="shared" ca="1" si="168"/>
        <v/>
      </c>
    </row>
    <row r="2122" spans="1:9" x14ac:dyDescent="0.3">
      <c r="A2122" s="3"/>
      <c r="B2122" s="9"/>
      <c r="C2122" s="9"/>
      <c r="E2122" s="14" t="str">
        <f t="shared" si="169"/>
        <v/>
      </c>
      <c r="F2122" s="15" t="str">
        <f t="shared" ca="1" si="165"/>
        <v/>
      </c>
      <c r="G2122" s="15" t="str">
        <f t="shared" ca="1" si="166"/>
        <v/>
      </c>
      <c r="H2122" s="15" t="str">
        <f t="shared" ca="1" si="167"/>
        <v/>
      </c>
      <c r="I2122" s="16" t="str">
        <f t="shared" ca="1" si="168"/>
        <v/>
      </c>
    </row>
    <row r="2123" spans="1:9" x14ac:dyDescent="0.3">
      <c r="A2123" s="3"/>
      <c r="B2123" s="9"/>
      <c r="C2123" s="9"/>
      <c r="E2123" s="14" t="str">
        <f t="shared" si="169"/>
        <v/>
      </c>
      <c r="F2123" s="15" t="str">
        <f t="shared" ca="1" si="165"/>
        <v/>
      </c>
      <c r="G2123" s="15" t="str">
        <f t="shared" ca="1" si="166"/>
        <v/>
      </c>
      <c r="H2123" s="15" t="str">
        <f t="shared" ca="1" si="167"/>
        <v/>
      </c>
      <c r="I2123" s="16" t="str">
        <f t="shared" ca="1" si="168"/>
        <v/>
      </c>
    </row>
    <row r="2124" spans="1:9" x14ac:dyDescent="0.3">
      <c r="A2124" s="3"/>
      <c r="B2124" s="9"/>
      <c r="C2124" s="9"/>
      <c r="E2124" s="14" t="str">
        <f t="shared" si="169"/>
        <v/>
      </c>
      <c r="F2124" s="15" t="str">
        <f t="shared" ca="1" si="165"/>
        <v/>
      </c>
      <c r="G2124" s="15" t="str">
        <f t="shared" ca="1" si="166"/>
        <v/>
      </c>
      <c r="H2124" s="15" t="str">
        <f t="shared" ca="1" si="167"/>
        <v/>
      </c>
      <c r="I2124" s="16" t="str">
        <f t="shared" ca="1" si="168"/>
        <v/>
      </c>
    </row>
    <row r="2125" spans="1:9" x14ac:dyDescent="0.3">
      <c r="A2125" s="3"/>
      <c r="B2125" s="9"/>
      <c r="C2125" s="9"/>
      <c r="E2125" s="14" t="str">
        <f t="shared" si="169"/>
        <v/>
      </c>
      <c r="F2125" s="15" t="str">
        <f t="shared" ca="1" si="165"/>
        <v/>
      </c>
      <c r="G2125" s="15" t="str">
        <f t="shared" ca="1" si="166"/>
        <v/>
      </c>
      <c r="H2125" s="15" t="str">
        <f t="shared" ca="1" si="167"/>
        <v/>
      </c>
      <c r="I2125" s="16" t="str">
        <f t="shared" ca="1" si="168"/>
        <v/>
      </c>
    </row>
    <row r="2126" spans="1:9" x14ac:dyDescent="0.3">
      <c r="A2126" s="3"/>
      <c r="B2126" s="9"/>
      <c r="C2126" s="9"/>
      <c r="E2126" s="14" t="str">
        <f t="shared" si="169"/>
        <v/>
      </c>
      <c r="F2126" s="15" t="str">
        <f t="shared" ca="1" si="165"/>
        <v/>
      </c>
      <c r="G2126" s="15" t="str">
        <f t="shared" ca="1" si="166"/>
        <v/>
      </c>
      <c r="H2126" s="15" t="str">
        <f t="shared" ca="1" si="167"/>
        <v/>
      </c>
      <c r="I2126" s="16" t="str">
        <f t="shared" ca="1" si="168"/>
        <v/>
      </c>
    </row>
    <row r="2127" spans="1:9" x14ac:dyDescent="0.3">
      <c r="A2127" s="3"/>
      <c r="B2127" s="9"/>
      <c r="C2127" s="9"/>
      <c r="E2127" s="14" t="str">
        <f t="shared" si="169"/>
        <v/>
      </c>
      <c r="F2127" s="15" t="str">
        <f t="shared" ca="1" si="165"/>
        <v/>
      </c>
      <c r="G2127" s="15" t="str">
        <f t="shared" ca="1" si="166"/>
        <v/>
      </c>
      <c r="H2127" s="15" t="str">
        <f t="shared" ca="1" si="167"/>
        <v/>
      </c>
      <c r="I2127" s="16" t="str">
        <f t="shared" ca="1" si="168"/>
        <v/>
      </c>
    </row>
    <row r="2128" spans="1:9" x14ac:dyDescent="0.3">
      <c r="A2128" s="3"/>
      <c r="B2128" s="9"/>
      <c r="C2128" s="9"/>
      <c r="E2128" s="14" t="str">
        <f t="shared" si="169"/>
        <v/>
      </c>
      <c r="F2128" s="15" t="str">
        <f t="shared" ca="1" si="165"/>
        <v/>
      </c>
      <c r="G2128" s="15" t="str">
        <f t="shared" ca="1" si="166"/>
        <v/>
      </c>
      <c r="H2128" s="15" t="str">
        <f t="shared" ca="1" si="167"/>
        <v/>
      </c>
      <c r="I2128" s="16" t="str">
        <f t="shared" ca="1" si="168"/>
        <v/>
      </c>
    </row>
    <row r="2129" spans="1:9" x14ac:dyDescent="0.3">
      <c r="A2129" s="3"/>
      <c r="B2129" s="9"/>
      <c r="C2129" s="9"/>
      <c r="E2129" s="14" t="str">
        <f t="shared" si="169"/>
        <v/>
      </c>
      <c r="F2129" s="15" t="str">
        <f t="shared" ref="F2129:F2192" ca="1" si="170">IF(ISNUMBER(E2129),IF(ROW(E2129)&gt;$K$1,AVERAGE(OFFSET(E2129,0,0,-$K$1)),""),"")</f>
        <v/>
      </c>
      <c r="G2129" s="15" t="str">
        <f t="shared" ref="G2129:G2192" ca="1" si="171">IF(ISNUMBER(I2129),F2129+I2129*$M$1,"")</f>
        <v/>
      </c>
      <c r="H2129" s="15" t="str">
        <f t="shared" ref="H2129:H2192" ca="1" si="172">IF(ISNUMBER(I2129),F2129-I2129*$M$1,"")</f>
        <v/>
      </c>
      <c r="I2129" s="16" t="str">
        <f t="shared" ref="I2129:I2192" ca="1" si="173">IF(ISNUMBER(E2129),IF(ROW(E2129)&gt;$K$1,_xlfn.STDEV.P(OFFSET(E2129,0,0,-$K$1)),""),"")</f>
        <v/>
      </c>
    </row>
    <row r="2130" spans="1:9" x14ac:dyDescent="0.3">
      <c r="A2130" s="3"/>
      <c r="B2130" s="9"/>
      <c r="C2130" s="9"/>
      <c r="E2130" s="14" t="str">
        <f t="shared" si="169"/>
        <v/>
      </c>
      <c r="F2130" s="15" t="str">
        <f t="shared" ca="1" si="170"/>
        <v/>
      </c>
      <c r="G2130" s="15" t="str">
        <f t="shared" ca="1" si="171"/>
        <v/>
      </c>
      <c r="H2130" s="15" t="str">
        <f t="shared" ca="1" si="172"/>
        <v/>
      </c>
      <c r="I2130" s="16" t="str">
        <f t="shared" ca="1" si="173"/>
        <v/>
      </c>
    </row>
    <row r="2131" spans="1:9" x14ac:dyDescent="0.3">
      <c r="A2131" s="3"/>
      <c r="B2131" s="9"/>
      <c r="C2131" s="9"/>
      <c r="E2131" s="14" t="str">
        <f t="shared" si="169"/>
        <v/>
      </c>
      <c r="F2131" s="15" t="str">
        <f t="shared" ca="1" si="170"/>
        <v/>
      </c>
      <c r="G2131" s="15" t="str">
        <f t="shared" ca="1" si="171"/>
        <v/>
      </c>
      <c r="H2131" s="15" t="str">
        <f t="shared" ca="1" si="172"/>
        <v/>
      </c>
      <c r="I2131" s="16" t="str">
        <f t="shared" ca="1" si="173"/>
        <v/>
      </c>
    </row>
    <row r="2132" spans="1:9" x14ac:dyDescent="0.3">
      <c r="A2132" s="3"/>
      <c r="B2132" s="9"/>
      <c r="C2132" s="9"/>
      <c r="E2132" s="14" t="str">
        <f t="shared" si="169"/>
        <v/>
      </c>
      <c r="F2132" s="15" t="str">
        <f t="shared" ca="1" si="170"/>
        <v/>
      </c>
      <c r="G2132" s="15" t="str">
        <f t="shared" ca="1" si="171"/>
        <v/>
      </c>
      <c r="H2132" s="15" t="str">
        <f t="shared" ca="1" si="172"/>
        <v/>
      </c>
      <c r="I2132" s="16" t="str">
        <f t="shared" ca="1" si="173"/>
        <v/>
      </c>
    </row>
    <row r="2133" spans="1:9" x14ac:dyDescent="0.3">
      <c r="A2133" s="3"/>
      <c r="B2133" s="9"/>
      <c r="C2133" s="9"/>
      <c r="E2133" s="14" t="str">
        <f t="shared" si="169"/>
        <v/>
      </c>
      <c r="F2133" s="15" t="str">
        <f t="shared" ca="1" si="170"/>
        <v/>
      </c>
      <c r="G2133" s="15" t="str">
        <f t="shared" ca="1" si="171"/>
        <v/>
      </c>
      <c r="H2133" s="15" t="str">
        <f t="shared" ca="1" si="172"/>
        <v/>
      </c>
      <c r="I2133" s="16" t="str">
        <f t="shared" ca="1" si="173"/>
        <v/>
      </c>
    </row>
    <row r="2134" spans="1:9" x14ac:dyDescent="0.3">
      <c r="A2134" s="3"/>
      <c r="B2134" s="9"/>
      <c r="C2134" s="9"/>
      <c r="E2134" s="14" t="str">
        <f t="shared" si="169"/>
        <v/>
      </c>
      <c r="F2134" s="15" t="str">
        <f t="shared" ca="1" si="170"/>
        <v/>
      </c>
      <c r="G2134" s="15" t="str">
        <f t="shared" ca="1" si="171"/>
        <v/>
      </c>
      <c r="H2134" s="15" t="str">
        <f t="shared" ca="1" si="172"/>
        <v/>
      </c>
      <c r="I2134" s="16" t="str">
        <f t="shared" ca="1" si="173"/>
        <v/>
      </c>
    </row>
    <row r="2135" spans="1:9" x14ac:dyDescent="0.3">
      <c r="A2135" s="3"/>
      <c r="B2135" s="9"/>
      <c r="C2135" s="9"/>
      <c r="E2135" s="14" t="str">
        <f t="shared" si="169"/>
        <v/>
      </c>
      <c r="F2135" s="15" t="str">
        <f t="shared" ca="1" si="170"/>
        <v/>
      </c>
      <c r="G2135" s="15" t="str">
        <f t="shared" ca="1" si="171"/>
        <v/>
      </c>
      <c r="H2135" s="15" t="str">
        <f t="shared" ca="1" si="172"/>
        <v/>
      </c>
      <c r="I2135" s="16" t="str">
        <f t="shared" ca="1" si="173"/>
        <v/>
      </c>
    </row>
    <row r="2136" spans="1:9" x14ac:dyDescent="0.3">
      <c r="A2136" s="3"/>
      <c r="B2136" s="9"/>
      <c r="C2136" s="9"/>
      <c r="E2136" s="14" t="str">
        <f t="shared" si="169"/>
        <v/>
      </c>
      <c r="F2136" s="15" t="str">
        <f t="shared" ca="1" si="170"/>
        <v/>
      </c>
      <c r="G2136" s="15" t="str">
        <f t="shared" ca="1" si="171"/>
        <v/>
      </c>
      <c r="H2136" s="15" t="str">
        <f t="shared" ca="1" si="172"/>
        <v/>
      </c>
      <c r="I2136" s="16" t="str">
        <f t="shared" ca="1" si="173"/>
        <v/>
      </c>
    </row>
    <row r="2137" spans="1:9" x14ac:dyDescent="0.3">
      <c r="A2137" s="3"/>
      <c r="B2137" s="9"/>
      <c r="C2137" s="9"/>
      <c r="E2137" s="14" t="str">
        <f t="shared" si="169"/>
        <v/>
      </c>
      <c r="F2137" s="15" t="str">
        <f t="shared" ca="1" si="170"/>
        <v/>
      </c>
      <c r="G2137" s="15" t="str">
        <f t="shared" ca="1" si="171"/>
        <v/>
      </c>
      <c r="H2137" s="15" t="str">
        <f t="shared" ca="1" si="172"/>
        <v/>
      </c>
      <c r="I2137" s="16" t="str">
        <f t="shared" ca="1" si="173"/>
        <v/>
      </c>
    </row>
    <row r="2138" spans="1:9" x14ac:dyDescent="0.3">
      <c r="A2138" s="3"/>
      <c r="B2138" s="9"/>
      <c r="C2138" s="9"/>
      <c r="E2138" s="14" t="str">
        <f t="shared" si="169"/>
        <v/>
      </c>
      <c r="F2138" s="15" t="str">
        <f t="shared" ca="1" si="170"/>
        <v/>
      </c>
      <c r="G2138" s="15" t="str">
        <f t="shared" ca="1" si="171"/>
        <v/>
      </c>
      <c r="H2138" s="15" t="str">
        <f t="shared" ca="1" si="172"/>
        <v/>
      </c>
      <c r="I2138" s="16" t="str">
        <f t="shared" ca="1" si="173"/>
        <v/>
      </c>
    </row>
    <row r="2139" spans="1:9" x14ac:dyDescent="0.3">
      <c r="A2139" s="3"/>
      <c r="B2139" s="9"/>
      <c r="C2139" s="9"/>
      <c r="E2139" s="14" t="str">
        <f t="shared" si="169"/>
        <v/>
      </c>
      <c r="F2139" s="15" t="str">
        <f t="shared" ca="1" si="170"/>
        <v/>
      </c>
      <c r="G2139" s="15" t="str">
        <f t="shared" ca="1" si="171"/>
        <v/>
      </c>
      <c r="H2139" s="15" t="str">
        <f t="shared" ca="1" si="172"/>
        <v/>
      </c>
      <c r="I2139" s="16" t="str">
        <f t="shared" ca="1" si="173"/>
        <v/>
      </c>
    </row>
    <row r="2140" spans="1:9" x14ac:dyDescent="0.3">
      <c r="A2140" s="3"/>
      <c r="B2140" s="9"/>
      <c r="C2140" s="9"/>
      <c r="E2140" s="14" t="str">
        <f t="shared" si="169"/>
        <v/>
      </c>
      <c r="F2140" s="15" t="str">
        <f t="shared" ca="1" si="170"/>
        <v/>
      </c>
      <c r="G2140" s="15" t="str">
        <f t="shared" ca="1" si="171"/>
        <v/>
      </c>
      <c r="H2140" s="15" t="str">
        <f t="shared" ca="1" si="172"/>
        <v/>
      </c>
      <c r="I2140" s="16" t="str">
        <f t="shared" ca="1" si="173"/>
        <v/>
      </c>
    </row>
    <row r="2141" spans="1:9" x14ac:dyDescent="0.3">
      <c r="A2141" s="3"/>
      <c r="B2141" s="9"/>
      <c r="C2141" s="9"/>
      <c r="E2141" s="14" t="str">
        <f t="shared" si="169"/>
        <v/>
      </c>
      <c r="F2141" s="15" t="str">
        <f t="shared" ca="1" si="170"/>
        <v/>
      </c>
      <c r="G2141" s="15" t="str">
        <f t="shared" ca="1" si="171"/>
        <v/>
      </c>
      <c r="H2141" s="15" t="str">
        <f t="shared" ca="1" si="172"/>
        <v/>
      </c>
      <c r="I2141" s="16" t="str">
        <f t="shared" ca="1" si="173"/>
        <v/>
      </c>
    </row>
    <row r="2142" spans="1:9" x14ac:dyDescent="0.3">
      <c r="A2142" s="3"/>
      <c r="B2142" s="9"/>
      <c r="C2142" s="9"/>
      <c r="E2142" s="14" t="str">
        <f t="shared" si="169"/>
        <v/>
      </c>
      <c r="F2142" s="15" t="str">
        <f t="shared" ca="1" si="170"/>
        <v/>
      </c>
      <c r="G2142" s="15" t="str">
        <f t="shared" ca="1" si="171"/>
        <v/>
      </c>
      <c r="H2142" s="15" t="str">
        <f t="shared" ca="1" si="172"/>
        <v/>
      </c>
      <c r="I2142" s="16" t="str">
        <f t="shared" ca="1" si="173"/>
        <v/>
      </c>
    </row>
    <row r="2143" spans="1:9" x14ac:dyDescent="0.3">
      <c r="A2143" s="3"/>
      <c r="B2143" s="9"/>
      <c r="C2143" s="9"/>
      <c r="E2143" s="14" t="str">
        <f t="shared" si="169"/>
        <v/>
      </c>
      <c r="F2143" s="15" t="str">
        <f t="shared" ca="1" si="170"/>
        <v/>
      </c>
      <c r="G2143" s="15" t="str">
        <f t="shared" ca="1" si="171"/>
        <v/>
      </c>
      <c r="H2143" s="15" t="str">
        <f t="shared" ca="1" si="172"/>
        <v/>
      </c>
      <c r="I2143" s="16" t="str">
        <f t="shared" ca="1" si="173"/>
        <v/>
      </c>
    </row>
    <row r="2144" spans="1:9" x14ac:dyDescent="0.3">
      <c r="A2144" s="3"/>
      <c r="B2144" s="9"/>
      <c r="C2144" s="9"/>
      <c r="E2144" s="14" t="str">
        <f t="shared" si="169"/>
        <v/>
      </c>
      <c r="F2144" s="15" t="str">
        <f t="shared" ca="1" si="170"/>
        <v/>
      </c>
      <c r="G2144" s="15" t="str">
        <f t="shared" ca="1" si="171"/>
        <v/>
      </c>
      <c r="H2144" s="15" t="str">
        <f t="shared" ca="1" si="172"/>
        <v/>
      </c>
      <c r="I2144" s="16" t="str">
        <f t="shared" ca="1" si="173"/>
        <v/>
      </c>
    </row>
    <row r="2145" spans="1:9" x14ac:dyDescent="0.3">
      <c r="A2145" s="3"/>
      <c r="B2145" s="9"/>
      <c r="C2145" s="9"/>
      <c r="E2145" s="14" t="str">
        <f t="shared" si="169"/>
        <v/>
      </c>
      <c r="F2145" s="15" t="str">
        <f t="shared" ca="1" si="170"/>
        <v/>
      </c>
      <c r="G2145" s="15" t="str">
        <f t="shared" ca="1" si="171"/>
        <v/>
      </c>
      <c r="H2145" s="15" t="str">
        <f t="shared" ca="1" si="172"/>
        <v/>
      </c>
      <c r="I2145" s="16" t="str">
        <f t="shared" ca="1" si="173"/>
        <v/>
      </c>
    </row>
    <row r="2146" spans="1:9" x14ac:dyDescent="0.3">
      <c r="A2146" s="3"/>
      <c r="B2146" s="9"/>
      <c r="C2146" s="9"/>
      <c r="E2146" s="14" t="str">
        <f t="shared" si="169"/>
        <v/>
      </c>
      <c r="F2146" s="15" t="str">
        <f t="shared" ca="1" si="170"/>
        <v/>
      </c>
      <c r="G2146" s="15" t="str">
        <f t="shared" ca="1" si="171"/>
        <v/>
      </c>
      <c r="H2146" s="15" t="str">
        <f t="shared" ca="1" si="172"/>
        <v/>
      </c>
      <c r="I2146" s="16" t="str">
        <f t="shared" ca="1" si="173"/>
        <v/>
      </c>
    </row>
    <row r="2147" spans="1:9" x14ac:dyDescent="0.3">
      <c r="A2147" s="3"/>
      <c r="B2147" s="9"/>
      <c r="C2147" s="9"/>
      <c r="E2147" s="14" t="str">
        <f t="shared" si="169"/>
        <v/>
      </c>
      <c r="F2147" s="15" t="str">
        <f t="shared" ca="1" si="170"/>
        <v/>
      </c>
      <c r="G2147" s="15" t="str">
        <f t="shared" ca="1" si="171"/>
        <v/>
      </c>
      <c r="H2147" s="15" t="str">
        <f t="shared" ca="1" si="172"/>
        <v/>
      </c>
      <c r="I2147" s="16" t="str">
        <f t="shared" ca="1" si="173"/>
        <v/>
      </c>
    </row>
    <row r="2148" spans="1:9" x14ac:dyDescent="0.3">
      <c r="A2148" s="3"/>
      <c r="B2148" s="9"/>
      <c r="C2148" s="9"/>
      <c r="E2148" s="14" t="str">
        <f t="shared" si="169"/>
        <v/>
      </c>
      <c r="F2148" s="15" t="str">
        <f t="shared" ca="1" si="170"/>
        <v/>
      </c>
      <c r="G2148" s="15" t="str">
        <f t="shared" ca="1" si="171"/>
        <v/>
      </c>
      <c r="H2148" s="15" t="str">
        <f t="shared" ca="1" si="172"/>
        <v/>
      </c>
      <c r="I2148" s="16" t="str">
        <f t="shared" ca="1" si="173"/>
        <v/>
      </c>
    </row>
    <row r="2149" spans="1:9" x14ac:dyDescent="0.3">
      <c r="A2149" s="3"/>
      <c r="B2149" s="9"/>
      <c r="C2149" s="9"/>
      <c r="E2149" s="14" t="str">
        <f t="shared" si="169"/>
        <v/>
      </c>
      <c r="F2149" s="15" t="str">
        <f t="shared" ca="1" si="170"/>
        <v/>
      </c>
      <c r="G2149" s="15" t="str">
        <f t="shared" ca="1" si="171"/>
        <v/>
      </c>
      <c r="H2149" s="15" t="str">
        <f t="shared" ca="1" si="172"/>
        <v/>
      </c>
      <c r="I2149" s="16" t="str">
        <f t="shared" ca="1" si="173"/>
        <v/>
      </c>
    </row>
    <row r="2150" spans="1:9" x14ac:dyDescent="0.3">
      <c r="A2150" s="3"/>
      <c r="B2150" s="9"/>
      <c r="C2150" s="9"/>
      <c r="E2150" s="14" t="str">
        <f t="shared" si="169"/>
        <v/>
      </c>
      <c r="F2150" s="15" t="str">
        <f t="shared" ca="1" si="170"/>
        <v/>
      </c>
      <c r="G2150" s="15" t="str">
        <f t="shared" ca="1" si="171"/>
        <v/>
      </c>
      <c r="H2150" s="15" t="str">
        <f t="shared" ca="1" si="172"/>
        <v/>
      </c>
      <c r="I2150" s="16" t="str">
        <f t="shared" ca="1" si="173"/>
        <v/>
      </c>
    </row>
    <row r="2151" spans="1:9" x14ac:dyDescent="0.3">
      <c r="A2151" s="3"/>
      <c r="B2151" s="9"/>
      <c r="C2151" s="9"/>
      <c r="E2151" s="14" t="str">
        <f t="shared" si="169"/>
        <v/>
      </c>
      <c r="F2151" s="15" t="str">
        <f t="shared" ca="1" si="170"/>
        <v/>
      </c>
      <c r="G2151" s="15" t="str">
        <f t="shared" ca="1" si="171"/>
        <v/>
      </c>
      <c r="H2151" s="15" t="str">
        <f t="shared" ca="1" si="172"/>
        <v/>
      </c>
      <c r="I2151" s="16" t="str">
        <f t="shared" ca="1" si="173"/>
        <v/>
      </c>
    </row>
    <row r="2152" spans="1:9" x14ac:dyDescent="0.3">
      <c r="A2152" s="3"/>
      <c r="B2152" s="9"/>
      <c r="C2152" s="9"/>
      <c r="E2152" s="14" t="str">
        <f t="shared" si="169"/>
        <v/>
      </c>
      <c r="F2152" s="15" t="str">
        <f t="shared" ca="1" si="170"/>
        <v/>
      </c>
      <c r="G2152" s="15" t="str">
        <f t="shared" ca="1" si="171"/>
        <v/>
      </c>
      <c r="H2152" s="15" t="str">
        <f t="shared" ca="1" si="172"/>
        <v/>
      </c>
      <c r="I2152" s="16" t="str">
        <f t="shared" ca="1" si="173"/>
        <v/>
      </c>
    </row>
    <row r="2153" spans="1:9" x14ac:dyDescent="0.3">
      <c r="A2153" s="3"/>
      <c r="B2153" s="9"/>
      <c r="C2153" s="9"/>
      <c r="E2153" s="14" t="str">
        <f t="shared" si="169"/>
        <v/>
      </c>
      <c r="F2153" s="15" t="str">
        <f t="shared" ca="1" si="170"/>
        <v/>
      </c>
      <c r="G2153" s="15" t="str">
        <f t="shared" ca="1" si="171"/>
        <v/>
      </c>
      <c r="H2153" s="15" t="str">
        <f t="shared" ca="1" si="172"/>
        <v/>
      </c>
      <c r="I2153" s="16" t="str">
        <f t="shared" ca="1" si="173"/>
        <v/>
      </c>
    </row>
    <row r="2154" spans="1:9" x14ac:dyDescent="0.3">
      <c r="A2154" s="3"/>
      <c r="B2154" s="9"/>
      <c r="C2154" s="9"/>
      <c r="E2154" s="14" t="str">
        <f t="shared" si="169"/>
        <v/>
      </c>
      <c r="F2154" s="15" t="str">
        <f t="shared" ca="1" si="170"/>
        <v/>
      </c>
      <c r="G2154" s="15" t="str">
        <f t="shared" ca="1" si="171"/>
        <v/>
      </c>
      <c r="H2154" s="15" t="str">
        <f t="shared" ca="1" si="172"/>
        <v/>
      </c>
      <c r="I2154" s="16" t="str">
        <f t="shared" ca="1" si="173"/>
        <v/>
      </c>
    </row>
    <row r="2155" spans="1:9" x14ac:dyDescent="0.3">
      <c r="A2155" s="3"/>
      <c r="B2155" s="9"/>
      <c r="C2155" s="9"/>
      <c r="E2155" s="14" t="str">
        <f t="shared" si="169"/>
        <v/>
      </c>
      <c r="F2155" s="15" t="str">
        <f t="shared" ca="1" si="170"/>
        <v/>
      </c>
      <c r="G2155" s="15" t="str">
        <f t="shared" ca="1" si="171"/>
        <v/>
      </c>
      <c r="H2155" s="15" t="str">
        <f t="shared" ca="1" si="172"/>
        <v/>
      </c>
      <c r="I2155" s="16" t="str">
        <f t="shared" ca="1" si="173"/>
        <v/>
      </c>
    </row>
    <row r="2156" spans="1:9" x14ac:dyDescent="0.3">
      <c r="A2156" s="3"/>
      <c r="B2156" s="9"/>
      <c r="C2156" s="9"/>
      <c r="E2156" s="14" t="str">
        <f t="shared" si="169"/>
        <v/>
      </c>
      <c r="F2156" s="15" t="str">
        <f t="shared" ca="1" si="170"/>
        <v/>
      </c>
      <c r="G2156" s="15" t="str">
        <f t="shared" ca="1" si="171"/>
        <v/>
      </c>
      <c r="H2156" s="15" t="str">
        <f t="shared" ca="1" si="172"/>
        <v/>
      </c>
      <c r="I2156" s="16" t="str">
        <f t="shared" ca="1" si="173"/>
        <v/>
      </c>
    </row>
    <row r="2157" spans="1:9" x14ac:dyDescent="0.3">
      <c r="A2157" s="3"/>
      <c r="B2157" s="9"/>
      <c r="C2157" s="9"/>
      <c r="E2157" s="14" t="str">
        <f t="shared" si="169"/>
        <v/>
      </c>
      <c r="F2157" s="15" t="str">
        <f t="shared" ca="1" si="170"/>
        <v/>
      </c>
      <c r="G2157" s="15" t="str">
        <f t="shared" ca="1" si="171"/>
        <v/>
      </c>
      <c r="H2157" s="15" t="str">
        <f t="shared" ca="1" si="172"/>
        <v/>
      </c>
      <c r="I2157" s="16" t="str">
        <f t="shared" ca="1" si="173"/>
        <v/>
      </c>
    </row>
    <row r="2158" spans="1:9" x14ac:dyDescent="0.3">
      <c r="A2158" s="3"/>
      <c r="B2158" s="9"/>
      <c r="C2158" s="9"/>
      <c r="E2158" s="14" t="str">
        <f t="shared" si="169"/>
        <v/>
      </c>
      <c r="F2158" s="15" t="str">
        <f t="shared" ca="1" si="170"/>
        <v/>
      </c>
      <c r="G2158" s="15" t="str">
        <f t="shared" ca="1" si="171"/>
        <v/>
      </c>
      <c r="H2158" s="15" t="str">
        <f t="shared" ca="1" si="172"/>
        <v/>
      </c>
      <c r="I2158" s="16" t="str">
        <f t="shared" ca="1" si="173"/>
        <v/>
      </c>
    </row>
    <row r="2159" spans="1:9" x14ac:dyDescent="0.3">
      <c r="A2159" s="3"/>
      <c r="B2159" s="9"/>
      <c r="C2159" s="9"/>
      <c r="E2159" s="14" t="str">
        <f t="shared" si="169"/>
        <v/>
      </c>
      <c r="F2159" s="15" t="str">
        <f t="shared" ca="1" si="170"/>
        <v/>
      </c>
      <c r="G2159" s="15" t="str">
        <f t="shared" ca="1" si="171"/>
        <v/>
      </c>
      <c r="H2159" s="15" t="str">
        <f t="shared" ca="1" si="172"/>
        <v/>
      </c>
      <c r="I2159" s="16" t="str">
        <f t="shared" ca="1" si="173"/>
        <v/>
      </c>
    </row>
    <row r="2160" spans="1:9" x14ac:dyDescent="0.3">
      <c r="A2160" s="3"/>
      <c r="B2160" s="9"/>
      <c r="C2160" s="9"/>
      <c r="E2160" s="14" t="str">
        <f t="shared" si="169"/>
        <v/>
      </c>
      <c r="F2160" s="15" t="str">
        <f t="shared" ca="1" si="170"/>
        <v/>
      </c>
      <c r="G2160" s="15" t="str">
        <f t="shared" ca="1" si="171"/>
        <v/>
      </c>
      <c r="H2160" s="15" t="str">
        <f t="shared" ca="1" si="172"/>
        <v/>
      </c>
      <c r="I2160" s="16" t="str">
        <f t="shared" ca="1" si="173"/>
        <v/>
      </c>
    </row>
    <row r="2161" spans="1:9" x14ac:dyDescent="0.3">
      <c r="A2161" s="3"/>
      <c r="B2161" s="9"/>
      <c r="C2161" s="9"/>
      <c r="E2161" s="14" t="str">
        <f t="shared" si="169"/>
        <v/>
      </c>
      <c r="F2161" s="15" t="str">
        <f t="shared" ca="1" si="170"/>
        <v/>
      </c>
      <c r="G2161" s="15" t="str">
        <f t="shared" ca="1" si="171"/>
        <v/>
      </c>
      <c r="H2161" s="15" t="str">
        <f t="shared" ca="1" si="172"/>
        <v/>
      </c>
      <c r="I2161" s="16" t="str">
        <f t="shared" ca="1" si="173"/>
        <v/>
      </c>
    </row>
    <row r="2162" spans="1:9" x14ac:dyDescent="0.3">
      <c r="A2162" s="3"/>
      <c r="B2162" s="9"/>
      <c r="C2162" s="9"/>
      <c r="E2162" s="14" t="str">
        <f t="shared" si="169"/>
        <v/>
      </c>
      <c r="F2162" s="15" t="str">
        <f t="shared" ca="1" si="170"/>
        <v/>
      </c>
      <c r="G2162" s="15" t="str">
        <f t="shared" ca="1" si="171"/>
        <v/>
      </c>
      <c r="H2162" s="15" t="str">
        <f t="shared" ca="1" si="172"/>
        <v/>
      </c>
      <c r="I2162" s="16" t="str">
        <f t="shared" ca="1" si="173"/>
        <v/>
      </c>
    </row>
    <row r="2163" spans="1:9" x14ac:dyDescent="0.3">
      <c r="A2163" s="3"/>
      <c r="B2163" s="9"/>
      <c r="C2163" s="9"/>
      <c r="E2163" s="14" t="str">
        <f t="shared" si="169"/>
        <v/>
      </c>
      <c r="F2163" s="15" t="str">
        <f t="shared" ca="1" si="170"/>
        <v/>
      </c>
      <c r="G2163" s="15" t="str">
        <f t="shared" ca="1" si="171"/>
        <v/>
      </c>
      <c r="H2163" s="15" t="str">
        <f t="shared" ca="1" si="172"/>
        <v/>
      </c>
      <c r="I2163" s="16" t="str">
        <f t="shared" ca="1" si="173"/>
        <v/>
      </c>
    </row>
    <row r="2164" spans="1:9" x14ac:dyDescent="0.3">
      <c r="A2164" s="3"/>
      <c r="B2164" s="9"/>
      <c r="C2164" s="9"/>
      <c r="E2164" s="14" t="str">
        <f t="shared" si="169"/>
        <v/>
      </c>
      <c r="F2164" s="15" t="str">
        <f t="shared" ca="1" si="170"/>
        <v/>
      </c>
      <c r="G2164" s="15" t="str">
        <f t="shared" ca="1" si="171"/>
        <v/>
      </c>
      <c r="H2164" s="15" t="str">
        <f t="shared" ca="1" si="172"/>
        <v/>
      </c>
      <c r="I2164" s="16" t="str">
        <f t="shared" ca="1" si="173"/>
        <v/>
      </c>
    </row>
    <row r="2165" spans="1:9" x14ac:dyDescent="0.3">
      <c r="A2165" s="3"/>
      <c r="B2165" s="9"/>
      <c r="C2165" s="9"/>
      <c r="E2165" s="14" t="str">
        <f t="shared" si="169"/>
        <v/>
      </c>
      <c r="F2165" s="15" t="str">
        <f t="shared" ca="1" si="170"/>
        <v/>
      </c>
      <c r="G2165" s="15" t="str">
        <f t="shared" ca="1" si="171"/>
        <v/>
      </c>
      <c r="H2165" s="15" t="str">
        <f t="shared" ca="1" si="172"/>
        <v/>
      </c>
      <c r="I2165" s="16" t="str">
        <f t="shared" ca="1" si="173"/>
        <v/>
      </c>
    </row>
    <row r="2166" spans="1:9" x14ac:dyDescent="0.3">
      <c r="A2166" s="3"/>
      <c r="B2166" s="9"/>
      <c r="C2166" s="9"/>
      <c r="E2166" s="14" t="str">
        <f t="shared" si="169"/>
        <v/>
      </c>
      <c r="F2166" s="15" t="str">
        <f t="shared" ca="1" si="170"/>
        <v/>
      </c>
      <c r="G2166" s="15" t="str">
        <f t="shared" ca="1" si="171"/>
        <v/>
      </c>
      <c r="H2166" s="15" t="str">
        <f t="shared" ca="1" si="172"/>
        <v/>
      </c>
      <c r="I2166" s="16" t="str">
        <f t="shared" ca="1" si="173"/>
        <v/>
      </c>
    </row>
    <row r="2167" spans="1:9" x14ac:dyDescent="0.3">
      <c r="A2167" s="3"/>
      <c r="B2167" s="9"/>
      <c r="C2167" s="9"/>
      <c r="E2167" s="14" t="str">
        <f t="shared" si="169"/>
        <v/>
      </c>
      <c r="F2167" s="15" t="str">
        <f t="shared" ca="1" si="170"/>
        <v/>
      </c>
      <c r="G2167" s="15" t="str">
        <f t="shared" ca="1" si="171"/>
        <v/>
      </c>
      <c r="H2167" s="15" t="str">
        <f t="shared" ca="1" si="172"/>
        <v/>
      </c>
      <c r="I2167" s="16" t="str">
        <f t="shared" ca="1" si="173"/>
        <v/>
      </c>
    </row>
    <row r="2168" spans="1:9" x14ac:dyDescent="0.3">
      <c r="A2168" s="3"/>
      <c r="B2168" s="9"/>
      <c r="C2168" s="9"/>
      <c r="E2168" s="14" t="str">
        <f t="shared" si="169"/>
        <v/>
      </c>
      <c r="F2168" s="15" t="str">
        <f t="shared" ca="1" si="170"/>
        <v/>
      </c>
      <c r="G2168" s="15" t="str">
        <f t="shared" ca="1" si="171"/>
        <v/>
      </c>
      <c r="H2168" s="15" t="str">
        <f t="shared" ca="1" si="172"/>
        <v/>
      </c>
      <c r="I2168" s="16" t="str">
        <f t="shared" ca="1" si="173"/>
        <v/>
      </c>
    </row>
    <row r="2169" spans="1:9" x14ac:dyDescent="0.3">
      <c r="A2169" s="3"/>
      <c r="B2169" s="9"/>
      <c r="C2169" s="9"/>
      <c r="E2169" s="14" t="str">
        <f t="shared" si="169"/>
        <v/>
      </c>
      <c r="F2169" s="15" t="str">
        <f t="shared" ca="1" si="170"/>
        <v/>
      </c>
      <c r="G2169" s="15" t="str">
        <f t="shared" ca="1" si="171"/>
        <v/>
      </c>
      <c r="H2169" s="15" t="str">
        <f t="shared" ca="1" si="172"/>
        <v/>
      </c>
      <c r="I2169" s="16" t="str">
        <f t="shared" ca="1" si="173"/>
        <v/>
      </c>
    </row>
    <row r="2170" spans="1:9" x14ac:dyDescent="0.3">
      <c r="A2170" s="3"/>
      <c r="B2170" s="9"/>
      <c r="C2170" s="9"/>
      <c r="E2170" s="14" t="str">
        <f t="shared" si="169"/>
        <v/>
      </c>
      <c r="F2170" s="15" t="str">
        <f t="shared" ca="1" si="170"/>
        <v/>
      </c>
      <c r="G2170" s="15" t="str">
        <f t="shared" ca="1" si="171"/>
        <v/>
      </c>
      <c r="H2170" s="15" t="str">
        <f t="shared" ca="1" si="172"/>
        <v/>
      </c>
      <c r="I2170" s="16" t="str">
        <f t="shared" ca="1" si="173"/>
        <v/>
      </c>
    </row>
    <row r="2171" spans="1:9" x14ac:dyDescent="0.3">
      <c r="A2171" s="3"/>
      <c r="B2171" s="9"/>
      <c r="C2171" s="9"/>
      <c r="E2171" s="14" t="str">
        <f t="shared" si="169"/>
        <v/>
      </c>
      <c r="F2171" s="15" t="str">
        <f t="shared" ca="1" si="170"/>
        <v/>
      </c>
      <c r="G2171" s="15" t="str">
        <f t="shared" ca="1" si="171"/>
        <v/>
      </c>
      <c r="H2171" s="15" t="str">
        <f t="shared" ca="1" si="172"/>
        <v/>
      </c>
      <c r="I2171" s="16" t="str">
        <f t="shared" ca="1" si="173"/>
        <v/>
      </c>
    </row>
    <row r="2172" spans="1:9" x14ac:dyDescent="0.3">
      <c r="A2172" s="3"/>
      <c r="B2172" s="9"/>
      <c r="C2172" s="9"/>
      <c r="E2172" s="14" t="str">
        <f t="shared" si="169"/>
        <v/>
      </c>
      <c r="F2172" s="15" t="str">
        <f t="shared" ca="1" si="170"/>
        <v/>
      </c>
      <c r="G2172" s="15" t="str">
        <f t="shared" ca="1" si="171"/>
        <v/>
      </c>
      <c r="H2172" s="15" t="str">
        <f t="shared" ca="1" si="172"/>
        <v/>
      </c>
      <c r="I2172" s="16" t="str">
        <f t="shared" ca="1" si="173"/>
        <v/>
      </c>
    </row>
    <row r="2173" spans="1:9" x14ac:dyDescent="0.3">
      <c r="A2173" s="3"/>
      <c r="B2173" s="9"/>
      <c r="C2173" s="9"/>
      <c r="E2173" s="14" t="str">
        <f t="shared" si="169"/>
        <v/>
      </c>
      <c r="F2173" s="15" t="str">
        <f t="shared" ca="1" si="170"/>
        <v/>
      </c>
      <c r="G2173" s="15" t="str">
        <f t="shared" ca="1" si="171"/>
        <v/>
      </c>
      <c r="H2173" s="15" t="str">
        <f t="shared" ca="1" si="172"/>
        <v/>
      </c>
      <c r="I2173" s="16" t="str">
        <f t="shared" ca="1" si="173"/>
        <v/>
      </c>
    </row>
    <row r="2174" spans="1:9" x14ac:dyDescent="0.3">
      <c r="A2174" s="3"/>
      <c r="B2174" s="9"/>
      <c r="C2174" s="9"/>
      <c r="E2174" s="14" t="str">
        <f t="shared" si="169"/>
        <v/>
      </c>
      <c r="F2174" s="15" t="str">
        <f t="shared" ca="1" si="170"/>
        <v/>
      </c>
      <c r="G2174" s="15" t="str">
        <f t="shared" ca="1" si="171"/>
        <v/>
      </c>
      <c r="H2174" s="15" t="str">
        <f t="shared" ca="1" si="172"/>
        <v/>
      </c>
      <c r="I2174" s="16" t="str">
        <f t="shared" ca="1" si="173"/>
        <v/>
      </c>
    </row>
    <row r="2175" spans="1:9" x14ac:dyDescent="0.3">
      <c r="A2175" s="3"/>
      <c r="B2175" s="9"/>
      <c r="C2175" s="9"/>
      <c r="E2175" s="14" t="str">
        <f t="shared" si="169"/>
        <v/>
      </c>
      <c r="F2175" s="15" t="str">
        <f t="shared" ca="1" si="170"/>
        <v/>
      </c>
      <c r="G2175" s="15" t="str">
        <f t="shared" ca="1" si="171"/>
        <v/>
      </c>
      <c r="H2175" s="15" t="str">
        <f t="shared" ca="1" si="172"/>
        <v/>
      </c>
      <c r="I2175" s="16" t="str">
        <f t="shared" ca="1" si="173"/>
        <v/>
      </c>
    </row>
    <row r="2176" spans="1:9" x14ac:dyDescent="0.3">
      <c r="A2176" s="3"/>
      <c r="B2176" s="9"/>
      <c r="C2176" s="9"/>
      <c r="E2176" s="14" t="str">
        <f t="shared" si="169"/>
        <v/>
      </c>
      <c r="F2176" s="15" t="str">
        <f t="shared" ca="1" si="170"/>
        <v/>
      </c>
      <c r="G2176" s="15" t="str">
        <f t="shared" ca="1" si="171"/>
        <v/>
      </c>
      <c r="H2176" s="15" t="str">
        <f t="shared" ca="1" si="172"/>
        <v/>
      </c>
      <c r="I2176" s="16" t="str">
        <f t="shared" ca="1" si="173"/>
        <v/>
      </c>
    </row>
    <row r="2177" spans="1:9" x14ac:dyDescent="0.3">
      <c r="A2177" s="3"/>
      <c r="B2177" s="9"/>
      <c r="C2177" s="9"/>
      <c r="E2177" s="14" t="str">
        <f t="shared" si="169"/>
        <v/>
      </c>
      <c r="F2177" s="15" t="str">
        <f t="shared" ca="1" si="170"/>
        <v/>
      </c>
      <c r="G2177" s="15" t="str">
        <f t="shared" ca="1" si="171"/>
        <v/>
      </c>
      <c r="H2177" s="15" t="str">
        <f t="shared" ca="1" si="172"/>
        <v/>
      </c>
      <c r="I2177" s="16" t="str">
        <f t="shared" ca="1" si="173"/>
        <v/>
      </c>
    </row>
    <row r="2178" spans="1:9" x14ac:dyDescent="0.3">
      <c r="A2178" s="3"/>
      <c r="B2178" s="9"/>
      <c r="C2178" s="9"/>
      <c r="E2178" s="14" t="str">
        <f t="shared" si="169"/>
        <v/>
      </c>
      <c r="F2178" s="15" t="str">
        <f t="shared" ca="1" si="170"/>
        <v/>
      </c>
      <c r="G2178" s="15" t="str">
        <f t="shared" ca="1" si="171"/>
        <v/>
      </c>
      <c r="H2178" s="15" t="str">
        <f t="shared" ca="1" si="172"/>
        <v/>
      </c>
      <c r="I2178" s="16" t="str">
        <f t="shared" ca="1" si="173"/>
        <v/>
      </c>
    </row>
    <row r="2179" spans="1:9" x14ac:dyDescent="0.3">
      <c r="A2179" s="3"/>
      <c r="B2179" s="9"/>
      <c r="C2179" s="9"/>
      <c r="E2179" s="14" t="str">
        <f t="shared" ref="E2179:E2242" si="174">IF(ISNUMBER(B2179),B2179/C2179,"")</f>
        <v/>
      </c>
      <c r="F2179" s="15" t="str">
        <f t="shared" ca="1" si="170"/>
        <v/>
      </c>
      <c r="G2179" s="15" t="str">
        <f t="shared" ca="1" si="171"/>
        <v/>
      </c>
      <c r="H2179" s="15" t="str">
        <f t="shared" ca="1" si="172"/>
        <v/>
      </c>
      <c r="I2179" s="16" t="str">
        <f t="shared" ca="1" si="173"/>
        <v/>
      </c>
    </row>
    <row r="2180" spans="1:9" x14ac:dyDescent="0.3">
      <c r="A2180" s="3"/>
      <c r="B2180" s="9"/>
      <c r="C2180" s="9"/>
      <c r="E2180" s="14" t="str">
        <f t="shared" si="174"/>
        <v/>
      </c>
      <c r="F2180" s="15" t="str">
        <f t="shared" ca="1" si="170"/>
        <v/>
      </c>
      <c r="G2180" s="15" t="str">
        <f t="shared" ca="1" si="171"/>
        <v/>
      </c>
      <c r="H2180" s="15" t="str">
        <f t="shared" ca="1" si="172"/>
        <v/>
      </c>
      <c r="I2180" s="16" t="str">
        <f t="shared" ca="1" si="173"/>
        <v/>
      </c>
    </row>
    <row r="2181" spans="1:9" x14ac:dyDescent="0.3">
      <c r="A2181" s="3"/>
      <c r="B2181" s="9"/>
      <c r="C2181" s="9"/>
      <c r="E2181" s="14" t="str">
        <f t="shared" si="174"/>
        <v/>
      </c>
      <c r="F2181" s="15" t="str">
        <f t="shared" ca="1" si="170"/>
        <v/>
      </c>
      <c r="G2181" s="15" t="str">
        <f t="shared" ca="1" si="171"/>
        <v/>
      </c>
      <c r="H2181" s="15" t="str">
        <f t="shared" ca="1" si="172"/>
        <v/>
      </c>
      <c r="I2181" s="16" t="str">
        <f t="shared" ca="1" si="173"/>
        <v/>
      </c>
    </row>
    <row r="2182" spans="1:9" x14ac:dyDescent="0.3">
      <c r="A2182" s="3"/>
      <c r="B2182" s="9"/>
      <c r="C2182" s="9"/>
      <c r="E2182" s="14" t="str">
        <f t="shared" si="174"/>
        <v/>
      </c>
      <c r="F2182" s="15" t="str">
        <f t="shared" ca="1" si="170"/>
        <v/>
      </c>
      <c r="G2182" s="15" t="str">
        <f t="shared" ca="1" si="171"/>
        <v/>
      </c>
      <c r="H2182" s="15" t="str">
        <f t="shared" ca="1" si="172"/>
        <v/>
      </c>
      <c r="I2182" s="16" t="str">
        <f t="shared" ca="1" si="173"/>
        <v/>
      </c>
    </row>
    <row r="2183" spans="1:9" x14ac:dyDescent="0.3">
      <c r="A2183" s="3"/>
      <c r="B2183" s="9"/>
      <c r="C2183" s="9"/>
      <c r="E2183" s="14" t="str">
        <f t="shared" si="174"/>
        <v/>
      </c>
      <c r="F2183" s="15" t="str">
        <f t="shared" ca="1" si="170"/>
        <v/>
      </c>
      <c r="G2183" s="15" t="str">
        <f t="shared" ca="1" si="171"/>
        <v/>
      </c>
      <c r="H2183" s="15" t="str">
        <f t="shared" ca="1" si="172"/>
        <v/>
      </c>
      <c r="I2183" s="16" t="str">
        <f t="shared" ca="1" si="173"/>
        <v/>
      </c>
    </row>
    <row r="2184" spans="1:9" x14ac:dyDescent="0.3">
      <c r="A2184" s="3"/>
      <c r="B2184" s="9"/>
      <c r="C2184" s="9"/>
      <c r="E2184" s="14" t="str">
        <f t="shared" si="174"/>
        <v/>
      </c>
      <c r="F2184" s="15" t="str">
        <f t="shared" ca="1" si="170"/>
        <v/>
      </c>
      <c r="G2184" s="15" t="str">
        <f t="shared" ca="1" si="171"/>
        <v/>
      </c>
      <c r="H2184" s="15" t="str">
        <f t="shared" ca="1" si="172"/>
        <v/>
      </c>
      <c r="I2184" s="16" t="str">
        <f t="shared" ca="1" si="173"/>
        <v/>
      </c>
    </row>
    <row r="2185" spans="1:9" x14ac:dyDescent="0.3">
      <c r="A2185" s="3"/>
      <c r="B2185" s="9"/>
      <c r="C2185" s="9"/>
      <c r="E2185" s="14" t="str">
        <f t="shared" si="174"/>
        <v/>
      </c>
      <c r="F2185" s="15" t="str">
        <f t="shared" ca="1" si="170"/>
        <v/>
      </c>
      <c r="G2185" s="15" t="str">
        <f t="shared" ca="1" si="171"/>
        <v/>
      </c>
      <c r="H2185" s="15" t="str">
        <f t="shared" ca="1" si="172"/>
        <v/>
      </c>
      <c r="I2185" s="16" t="str">
        <f t="shared" ca="1" si="173"/>
        <v/>
      </c>
    </row>
    <row r="2186" spans="1:9" x14ac:dyDescent="0.3">
      <c r="A2186" s="3"/>
      <c r="B2186" s="9"/>
      <c r="C2186" s="9"/>
      <c r="E2186" s="14" t="str">
        <f t="shared" si="174"/>
        <v/>
      </c>
      <c r="F2186" s="15" t="str">
        <f t="shared" ca="1" si="170"/>
        <v/>
      </c>
      <c r="G2186" s="15" t="str">
        <f t="shared" ca="1" si="171"/>
        <v/>
      </c>
      <c r="H2186" s="15" t="str">
        <f t="shared" ca="1" si="172"/>
        <v/>
      </c>
      <c r="I2186" s="16" t="str">
        <f t="shared" ca="1" si="173"/>
        <v/>
      </c>
    </row>
    <row r="2187" spans="1:9" x14ac:dyDescent="0.3">
      <c r="A2187" s="3"/>
      <c r="B2187" s="9"/>
      <c r="C2187" s="9"/>
      <c r="E2187" s="14" t="str">
        <f t="shared" si="174"/>
        <v/>
      </c>
      <c r="F2187" s="15" t="str">
        <f t="shared" ca="1" si="170"/>
        <v/>
      </c>
      <c r="G2187" s="15" t="str">
        <f t="shared" ca="1" si="171"/>
        <v/>
      </c>
      <c r="H2187" s="15" t="str">
        <f t="shared" ca="1" si="172"/>
        <v/>
      </c>
      <c r="I2187" s="16" t="str">
        <f t="shared" ca="1" si="173"/>
        <v/>
      </c>
    </row>
    <row r="2188" spans="1:9" x14ac:dyDescent="0.3">
      <c r="A2188" s="3"/>
      <c r="B2188" s="9"/>
      <c r="C2188" s="9"/>
      <c r="E2188" s="14" t="str">
        <f t="shared" si="174"/>
        <v/>
      </c>
      <c r="F2188" s="15" t="str">
        <f t="shared" ca="1" si="170"/>
        <v/>
      </c>
      <c r="G2188" s="15" t="str">
        <f t="shared" ca="1" si="171"/>
        <v/>
      </c>
      <c r="H2188" s="15" t="str">
        <f t="shared" ca="1" si="172"/>
        <v/>
      </c>
      <c r="I2188" s="16" t="str">
        <f t="shared" ca="1" si="173"/>
        <v/>
      </c>
    </row>
    <row r="2189" spans="1:9" x14ac:dyDescent="0.3">
      <c r="A2189" s="3"/>
      <c r="B2189" s="9"/>
      <c r="C2189" s="9"/>
      <c r="E2189" s="14" t="str">
        <f t="shared" si="174"/>
        <v/>
      </c>
      <c r="F2189" s="15" t="str">
        <f t="shared" ca="1" si="170"/>
        <v/>
      </c>
      <c r="G2189" s="15" t="str">
        <f t="shared" ca="1" si="171"/>
        <v/>
      </c>
      <c r="H2189" s="15" t="str">
        <f t="shared" ca="1" si="172"/>
        <v/>
      </c>
      <c r="I2189" s="16" t="str">
        <f t="shared" ca="1" si="173"/>
        <v/>
      </c>
    </row>
    <row r="2190" spans="1:9" x14ac:dyDescent="0.3">
      <c r="A2190" s="3"/>
      <c r="B2190" s="9"/>
      <c r="C2190" s="9"/>
      <c r="E2190" s="14" t="str">
        <f t="shared" si="174"/>
        <v/>
      </c>
      <c r="F2190" s="15" t="str">
        <f t="shared" ca="1" si="170"/>
        <v/>
      </c>
      <c r="G2190" s="15" t="str">
        <f t="shared" ca="1" si="171"/>
        <v/>
      </c>
      <c r="H2190" s="15" t="str">
        <f t="shared" ca="1" si="172"/>
        <v/>
      </c>
      <c r="I2190" s="16" t="str">
        <f t="shared" ca="1" si="173"/>
        <v/>
      </c>
    </row>
    <row r="2191" spans="1:9" x14ac:dyDescent="0.3">
      <c r="A2191" s="3"/>
      <c r="B2191" s="9"/>
      <c r="C2191" s="9"/>
      <c r="E2191" s="14" t="str">
        <f t="shared" si="174"/>
        <v/>
      </c>
      <c r="F2191" s="15" t="str">
        <f t="shared" ca="1" si="170"/>
        <v/>
      </c>
      <c r="G2191" s="15" t="str">
        <f t="shared" ca="1" si="171"/>
        <v/>
      </c>
      <c r="H2191" s="15" t="str">
        <f t="shared" ca="1" si="172"/>
        <v/>
      </c>
      <c r="I2191" s="16" t="str">
        <f t="shared" ca="1" si="173"/>
        <v/>
      </c>
    </row>
    <row r="2192" spans="1:9" x14ac:dyDescent="0.3">
      <c r="A2192" s="3"/>
      <c r="B2192" s="9"/>
      <c r="C2192" s="9"/>
      <c r="E2192" s="14" t="str">
        <f t="shared" si="174"/>
        <v/>
      </c>
      <c r="F2192" s="15" t="str">
        <f t="shared" ca="1" si="170"/>
        <v/>
      </c>
      <c r="G2192" s="15" t="str">
        <f t="shared" ca="1" si="171"/>
        <v/>
      </c>
      <c r="H2192" s="15" t="str">
        <f t="shared" ca="1" si="172"/>
        <v/>
      </c>
      <c r="I2192" s="16" t="str">
        <f t="shared" ca="1" si="173"/>
        <v/>
      </c>
    </row>
    <row r="2193" spans="1:9" x14ac:dyDescent="0.3">
      <c r="A2193" s="3"/>
      <c r="B2193" s="9"/>
      <c r="C2193" s="9"/>
      <c r="E2193" s="14" t="str">
        <f t="shared" si="174"/>
        <v/>
      </c>
      <c r="F2193" s="15" t="str">
        <f t="shared" ref="F2193:F2256" ca="1" si="175">IF(ISNUMBER(E2193),IF(ROW(E2193)&gt;$K$1,AVERAGE(OFFSET(E2193,0,0,-$K$1)),""),"")</f>
        <v/>
      </c>
      <c r="G2193" s="15" t="str">
        <f t="shared" ref="G2193:G2256" ca="1" si="176">IF(ISNUMBER(I2193),F2193+I2193*$M$1,"")</f>
        <v/>
      </c>
      <c r="H2193" s="15" t="str">
        <f t="shared" ref="H2193:H2256" ca="1" si="177">IF(ISNUMBER(I2193),F2193-I2193*$M$1,"")</f>
        <v/>
      </c>
      <c r="I2193" s="16" t="str">
        <f t="shared" ref="I2193:I2256" ca="1" si="178">IF(ISNUMBER(E2193),IF(ROW(E2193)&gt;$K$1,_xlfn.STDEV.P(OFFSET(E2193,0,0,-$K$1)),""),"")</f>
        <v/>
      </c>
    </row>
    <row r="2194" spans="1:9" x14ac:dyDescent="0.3">
      <c r="A2194" s="3"/>
      <c r="B2194" s="9"/>
      <c r="C2194" s="9"/>
      <c r="E2194" s="14" t="str">
        <f t="shared" si="174"/>
        <v/>
      </c>
      <c r="F2194" s="15" t="str">
        <f t="shared" ca="1" si="175"/>
        <v/>
      </c>
      <c r="G2194" s="15" t="str">
        <f t="shared" ca="1" si="176"/>
        <v/>
      </c>
      <c r="H2194" s="15" t="str">
        <f t="shared" ca="1" si="177"/>
        <v/>
      </c>
      <c r="I2194" s="16" t="str">
        <f t="shared" ca="1" si="178"/>
        <v/>
      </c>
    </row>
    <row r="2195" spans="1:9" x14ac:dyDescent="0.3">
      <c r="A2195" s="3"/>
      <c r="B2195" s="9"/>
      <c r="C2195" s="9"/>
      <c r="E2195" s="14" t="str">
        <f t="shared" si="174"/>
        <v/>
      </c>
      <c r="F2195" s="15" t="str">
        <f t="shared" ca="1" si="175"/>
        <v/>
      </c>
      <c r="G2195" s="15" t="str">
        <f t="shared" ca="1" si="176"/>
        <v/>
      </c>
      <c r="H2195" s="15" t="str">
        <f t="shared" ca="1" si="177"/>
        <v/>
      </c>
      <c r="I2195" s="16" t="str">
        <f t="shared" ca="1" si="178"/>
        <v/>
      </c>
    </row>
    <row r="2196" spans="1:9" x14ac:dyDescent="0.3">
      <c r="A2196" s="3"/>
      <c r="B2196" s="9"/>
      <c r="C2196" s="9"/>
      <c r="E2196" s="14" t="str">
        <f t="shared" si="174"/>
        <v/>
      </c>
      <c r="F2196" s="15" t="str">
        <f t="shared" ca="1" si="175"/>
        <v/>
      </c>
      <c r="G2196" s="15" t="str">
        <f t="shared" ca="1" si="176"/>
        <v/>
      </c>
      <c r="H2196" s="15" t="str">
        <f t="shared" ca="1" si="177"/>
        <v/>
      </c>
      <c r="I2196" s="16" t="str">
        <f t="shared" ca="1" si="178"/>
        <v/>
      </c>
    </row>
    <row r="2197" spans="1:9" x14ac:dyDescent="0.3">
      <c r="A2197" s="3"/>
      <c r="B2197" s="9"/>
      <c r="C2197" s="9"/>
      <c r="E2197" s="14" t="str">
        <f t="shared" si="174"/>
        <v/>
      </c>
      <c r="F2197" s="15" t="str">
        <f t="shared" ca="1" si="175"/>
        <v/>
      </c>
      <c r="G2197" s="15" t="str">
        <f t="shared" ca="1" si="176"/>
        <v/>
      </c>
      <c r="H2197" s="15" t="str">
        <f t="shared" ca="1" si="177"/>
        <v/>
      </c>
      <c r="I2197" s="16" t="str">
        <f t="shared" ca="1" si="178"/>
        <v/>
      </c>
    </row>
    <row r="2198" spans="1:9" x14ac:dyDescent="0.3">
      <c r="A2198" s="3"/>
      <c r="B2198" s="9"/>
      <c r="C2198" s="9"/>
      <c r="E2198" s="14" t="str">
        <f t="shared" si="174"/>
        <v/>
      </c>
      <c r="F2198" s="15" t="str">
        <f t="shared" ca="1" si="175"/>
        <v/>
      </c>
      <c r="G2198" s="15" t="str">
        <f t="shared" ca="1" si="176"/>
        <v/>
      </c>
      <c r="H2198" s="15" t="str">
        <f t="shared" ca="1" si="177"/>
        <v/>
      </c>
      <c r="I2198" s="16" t="str">
        <f t="shared" ca="1" si="178"/>
        <v/>
      </c>
    </row>
    <row r="2199" spans="1:9" x14ac:dyDescent="0.3">
      <c r="A2199" s="3"/>
      <c r="B2199" s="9"/>
      <c r="C2199" s="9"/>
      <c r="E2199" s="14" t="str">
        <f t="shared" si="174"/>
        <v/>
      </c>
      <c r="F2199" s="15" t="str">
        <f t="shared" ca="1" si="175"/>
        <v/>
      </c>
      <c r="G2199" s="15" t="str">
        <f t="shared" ca="1" si="176"/>
        <v/>
      </c>
      <c r="H2199" s="15" t="str">
        <f t="shared" ca="1" si="177"/>
        <v/>
      </c>
      <c r="I2199" s="16" t="str">
        <f t="shared" ca="1" si="178"/>
        <v/>
      </c>
    </row>
    <row r="2200" spans="1:9" x14ac:dyDescent="0.3">
      <c r="A2200" s="3"/>
      <c r="B2200" s="9"/>
      <c r="C2200" s="9"/>
      <c r="E2200" s="14" t="str">
        <f t="shared" si="174"/>
        <v/>
      </c>
      <c r="F2200" s="15" t="str">
        <f t="shared" ca="1" si="175"/>
        <v/>
      </c>
      <c r="G2200" s="15" t="str">
        <f t="shared" ca="1" si="176"/>
        <v/>
      </c>
      <c r="H2200" s="15" t="str">
        <f t="shared" ca="1" si="177"/>
        <v/>
      </c>
      <c r="I2200" s="16" t="str">
        <f t="shared" ca="1" si="178"/>
        <v/>
      </c>
    </row>
    <row r="2201" spans="1:9" x14ac:dyDescent="0.3">
      <c r="A2201" s="3"/>
      <c r="B2201" s="9"/>
      <c r="C2201" s="9"/>
      <c r="E2201" s="14" t="str">
        <f t="shared" si="174"/>
        <v/>
      </c>
      <c r="F2201" s="15" t="str">
        <f t="shared" ca="1" si="175"/>
        <v/>
      </c>
      <c r="G2201" s="15" t="str">
        <f t="shared" ca="1" si="176"/>
        <v/>
      </c>
      <c r="H2201" s="15" t="str">
        <f t="shared" ca="1" si="177"/>
        <v/>
      </c>
      <c r="I2201" s="16" t="str">
        <f t="shared" ca="1" si="178"/>
        <v/>
      </c>
    </row>
    <row r="2202" spans="1:9" x14ac:dyDescent="0.3">
      <c r="A2202" s="3"/>
      <c r="B2202" s="9"/>
      <c r="C2202" s="9"/>
      <c r="E2202" s="14" t="str">
        <f t="shared" si="174"/>
        <v/>
      </c>
      <c r="F2202" s="15" t="str">
        <f t="shared" ca="1" si="175"/>
        <v/>
      </c>
      <c r="G2202" s="15" t="str">
        <f t="shared" ca="1" si="176"/>
        <v/>
      </c>
      <c r="H2202" s="15" t="str">
        <f t="shared" ca="1" si="177"/>
        <v/>
      </c>
      <c r="I2202" s="16" t="str">
        <f t="shared" ca="1" si="178"/>
        <v/>
      </c>
    </row>
    <row r="2203" spans="1:9" x14ac:dyDescent="0.3">
      <c r="A2203" s="3"/>
      <c r="B2203" s="9"/>
      <c r="C2203" s="9"/>
      <c r="E2203" s="14" t="str">
        <f t="shared" si="174"/>
        <v/>
      </c>
      <c r="F2203" s="15" t="str">
        <f t="shared" ca="1" si="175"/>
        <v/>
      </c>
      <c r="G2203" s="15" t="str">
        <f t="shared" ca="1" si="176"/>
        <v/>
      </c>
      <c r="H2203" s="15" t="str">
        <f t="shared" ca="1" si="177"/>
        <v/>
      </c>
      <c r="I2203" s="16" t="str">
        <f t="shared" ca="1" si="178"/>
        <v/>
      </c>
    </row>
    <row r="2204" spans="1:9" x14ac:dyDescent="0.3">
      <c r="A2204" s="3"/>
      <c r="B2204" s="9"/>
      <c r="C2204" s="9"/>
      <c r="E2204" s="14" t="str">
        <f t="shared" si="174"/>
        <v/>
      </c>
      <c r="F2204" s="15" t="str">
        <f t="shared" ca="1" si="175"/>
        <v/>
      </c>
      <c r="G2204" s="15" t="str">
        <f t="shared" ca="1" si="176"/>
        <v/>
      </c>
      <c r="H2204" s="15" t="str">
        <f t="shared" ca="1" si="177"/>
        <v/>
      </c>
      <c r="I2204" s="16" t="str">
        <f t="shared" ca="1" si="178"/>
        <v/>
      </c>
    </row>
    <row r="2205" spans="1:9" x14ac:dyDescent="0.3">
      <c r="A2205" s="3"/>
      <c r="B2205" s="9"/>
      <c r="C2205" s="9"/>
      <c r="E2205" s="14" t="str">
        <f t="shared" si="174"/>
        <v/>
      </c>
      <c r="F2205" s="15" t="str">
        <f t="shared" ca="1" si="175"/>
        <v/>
      </c>
      <c r="G2205" s="15" t="str">
        <f t="shared" ca="1" si="176"/>
        <v/>
      </c>
      <c r="H2205" s="15" t="str">
        <f t="shared" ca="1" si="177"/>
        <v/>
      </c>
      <c r="I2205" s="16" t="str">
        <f t="shared" ca="1" si="178"/>
        <v/>
      </c>
    </row>
    <row r="2206" spans="1:9" x14ac:dyDescent="0.3">
      <c r="A2206" s="3"/>
      <c r="B2206" s="9"/>
      <c r="C2206" s="9"/>
      <c r="E2206" s="14" t="str">
        <f t="shared" si="174"/>
        <v/>
      </c>
      <c r="F2206" s="15" t="str">
        <f t="shared" ca="1" si="175"/>
        <v/>
      </c>
      <c r="G2206" s="15" t="str">
        <f t="shared" ca="1" si="176"/>
        <v/>
      </c>
      <c r="H2206" s="15" t="str">
        <f t="shared" ca="1" si="177"/>
        <v/>
      </c>
      <c r="I2206" s="16" t="str">
        <f t="shared" ca="1" si="178"/>
        <v/>
      </c>
    </row>
    <row r="2207" spans="1:9" x14ac:dyDescent="0.3">
      <c r="A2207" s="3"/>
      <c r="B2207" s="9"/>
      <c r="C2207" s="9"/>
      <c r="E2207" s="14" t="str">
        <f t="shared" si="174"/>
        <v/>
      </c>
      <c r="F2207" s="15" t="str">
        <f t="shared" ca="1" si="175"/>
        <v/>
      </c>
      <c r="G2207" s="15" t="str">
        <f t="shared" ca="1" si="176"/>
        <v/>
      </c>
      <c r="H2207" s="15" t="str">
        <f t="shared" ca="1" si="177"/>
        <v/>
      </c>
      <c r="I2207" s="16" t="str">
        <f t="shared" ca="1" si="178"/>
        <v/>
      </c>
    </row>
    <row r="2208" spans="1:9" x14ac:dyDescent="0.3">
      <c r="A2208" s="3"/>
      <c r="B2208" s="9"/>
      <c r="C2208" s="9"/>
      <c r="E2208" s="14" t="str">
        <f t="shared" si="174"/>
        <v/>
      </c>
      <c r="F2208" s="15" t="str">
        <f t="shared" ca="1" si="175"/>
        <v/>
      </c>
      <c r="G2208" s="15" t="str">
        <f t="shared" ca="1" si="176"/>
        <v/>
      </c>
      <c r="H2208" s="15" t="str">
        <f t="shared" ca="1" si="177"/>
        <v/>
      </c>
      <c r="I2208" s="16" t="str">
        <f t="shared" ca="1" si="178"/>
        <v/>
      </c>
    </row>
    <row r="2209" spans="1:9" x14ac:dyDescent="0.3">
      <c r="A2209" s="3"/>
      <c r="B2209" s="9"/>
      <c r="C2209" s="9"/>
      <c r="E2209" s="14" t="str">
        <f t="shared" si="174"/>
        <v/>
      </c>
      <c r="F2209" s="15" t="str">
        <f t="shared" ca="1" si="175"/>
        <v/>
      </c>
      <c r="G2209" s="15" t="str">
        <f t="shared" ca="1" si="176"/>
        <v/>
      </c>
      <c r="H2209" s="15" t="str">
        <f t="shared" ca="1" si="177"/>
        <v/>
      </c>
      <c r="I2209" s="16" t="str">
        <f t="shared" ca="1" si="178"/>
        <v/>
      </c>
    </row>
    <row r="2210" spans="1:9" x14ac:dyDescent="0.3">
      <c r="A2210" s="3"/>
      <c r="B2210" s="9"/>
      <c r="C2210" s="9"/>
      <c r="E2210" s="14" t="str">
        <f t="shared" si="174"/>
        <v/>
      </c>
      <c r="F2210" s="15" t="str">
        <f t="shared" ca="1" si="175"/>
        <v/>
      </c>
      <c r="G2210" s="15" t="str">
        <f t="shared" ca="1" si="176"/>
        <v/>
      </c>
      <c r="H2210" s="15" t="str">
        <f t="shared" ca="1" si="177"/>
        <v/>
      </c>
      <c r="I2210" s="16" t="str">
        <f t="shared" ca="1" si="178"/>
        <v/>
      </c>
    </row>
    <row r="2211" spans="1:9" x14ac:dyDescent="0.3">
      <c r="A2211" s="3"/>
      <c r="B2211" s="9"/>
      <c r="C2211" s="9"/>
      <c r="E2211" s="14" t="str">
        <f t="shared" si="174"/>
        <v/>
      </c>
      <c r="F2211" s="15" t="str">
        <f t="shared" ca="1" si="175"/>
        <v/>
      </c>
      <c r="G2211" s="15" t="str">
        <f t="shared" ca="1" si="176"/>
        <v/>
      </c>
      <c r="H2211" s="15" t="str">
        <f t="shared" ca="1" si="177"/>
        <v/>
      </c>
      <c r="I2211" s="16" t="str">
        <f t="shared" ca="1" si="178"/>
        <v/>
      </c>
    </row>
    <row r="2212" spans="1:9" x14ac:dyDescent="0.3">
      <c r="A2212" s="3"/>
      <c r="B2212" s="9"/>
      <c r="C2212" s="9"/>
      <c r="E2212" s="14" t="str">
        <f t="shared" si="174"/>
        <v/>
      </c>
      <c r="F2212" s="15" t="str">
        <f t="shared" ca="1" si="175"/>
        <v/>
      </c>
      <c r="G2212" s="15" t="str">
        <f t="shared" ca="1" si="176"/>
        <v/>
      </c>
      <c r="H2212" s="15" t="str">
        <f t="shared" ca="1" si="177"/>
        <v/>
      </c>
      <c r="I2212" s="16" t="str">
        <f t="shared" ca="1" si="178"/>
        <v/>
      </c>
    </row>
    <row r="2213" spans="1:9" x14ac:dyDescent="0.3">
      <c r="A2213" s="3"/>
      <c r="B2213" s="9"/>
      <c r="C2213" s="9"/>
      <c r="E2213" s="14" t="str">
        <f t="shared" si="174"/>
        <v/>
      </c>
      <c r="F2213" s="15" t="str">
        <f t="shared" ca="1" si="175"/>
        <v/>
      </c>
      <c r="G2213" s="15" t="str">
        <f t="shared" ca="1" si="176"/>
        <v/>
      </c>
      <c r="H2213" s="15" t="str">
        <f t="shared" ca="1" si="177"/>
        <v/>
      </c>
      <c r="I2213" s="16" t="str">
        <f t="shared" ca="1" si="178"/>
        <v/>
      </c>
    </row>
    <row r="2214" spans="1:9" x14ac:dyDescent="0.3">
      <c r="A2214" s="3"/>
      <c r="B2214" s="9"/>
      <c r="C2214" s="9"/>
      <c r="E2214" s="14" t="str">
        <f t="shared" si="174"/>
        <v/>
      </c>
      <c r="F2214" s="15" t="str">
        <f t="shared" ca="1" si="175"/>
        <v/>
      </c>
      <c r="G2214" s="15" t="str">
        <f t="shared" ca="1" si="176"/>
        <v/>
      </c>
      <c r="H2214" s="15" t="str">
        <f t="shared" ca="1" si="177"/>
        <v/>
      </c>
      <c r="I2214" s="16" t="str">
        <f t="shared" ca="1" si="178"/>
        <v/>
      </c>
    </row>
    <row r="2215" spans="1:9" x14ac:dyDescent="0.3">
      <c r="A2215" s="3"/>
      <c r="B2215" s="9"/>
      <c r="C2215" s="9"/>
      <c r="E2215" s="14" t="str">
        <f t="shared" si="174"/>
        <v/>
      </c>
      <c r="F2215" s="15" t="str">
        <f t="shared" ca="1" si="175"/>
        <v/>
      </c>
      <c r="G2215" s="15" t="str">
        <f t="shared" ca="1" si="176"/>
        <v/>
      </c>
      <c r="H2215" s="15" t="str">
        <f t="shared" ca="1" si="177"/>
        <v/>
      </c>
      <c r="I2215" s="16" t="str">
        <f t="shared" ca="1" si="178"/>
        <v/>
      </c>
    </row>
    <row r="2216" spans="1:9" x14ac:dyDescent="0.3">
      <c r="A2216" s="3"/>
      <c r="B2216" s="9"/>
      <c r="C2216" s="9"/>
      <c r="E2216" s="14" t="str">
        <f t="shared" si="174"/>
        <v/>
      </c>
      <c r="F2216" s="15" t="str">
        <f t="shared" ca="1" si="175"/>
        <v/>
      </c>
      <c r="G2216" s="15" t="str">
        <f t="shared" ca="1" si="176"/>
        <v/>
      </c>
      <c r="H2216" s="15" t="str">
        <f t="shared" ca="1" si="177"/>
        <v/>
      </c>
      <c r="I2216" s="16" t="str">
        <f t="shared" ca="1" si="178"/>
        <v/>
      </c>
    </row>
    <row r="2217" spans="1:9" x14ac:dyDescent="0.3">
      <c r="A2217" s="3"/>
      <c r="B2217" s="9"/>
      <c r="C2217" s="9"/>
      <c r="E2217" s="14" t="str">
        <f t="shared" si="174"/>
        <v/>
      </c>
      <c r="F2217" s="15" t="str">
        <f t="shared" ca="1" si="175"/>
        <v/>
      </c>
      <c r="G2217" s="15" t="str">
        <f t="shared" ca="1" si="176"/>
        <v/>
      </c>
      <c r="H2217" s="15" t="str">
        <f t="shared" ca="1" si="177"/>
        <v/>
      </c>
      <c r="I2217" s="16" t="str">
        <f t="shared" ca="1" si="178"/>
        <v/>
      </c>
    </row>
    <row r="2218" spans="1:9" x14ac:dyDescent="0.3">
      <c r="A2218" s="3"/>
      <c r="B2218" s="9"/>
      <c r="C2218" s="9"/>
      <c r="E2218" s="14" t="str">
        <f t="shared" si="174"/>
        <v/>
      </c>
      <c r="F2218" s="15" t="str">
        <f t="shared" ca="1" si="175"/>
        <v/>
      </c>
      <c r="G2218" s="15" t="str">
        <f t="shared" ca="1" si="176"/>
        <v/>
      </c>
      <c r="H2218" s="15" t="str">
        <f t="shared" ca="1" si="177"/>
        <v/>
      </c>
      <c r="I2218" s="16" t="str">
        <f t="shared" ca="1" si="178"/>
        <v/>
      </c>
    </row>
    <row r="2219" spans="1:9" x14ac:dyDescent="0.3">
      <c r="A2219" s="3"/>
      <c r="B2219" s="9"/>
      <c r="C2219" s="9"/>
      <c r="E2219" s="14" t="str">
        <f t="shared" si="174"/>
        <v/>
      </c>
      <c r="F2219" s="15" t="str">
        <f t="shared" ca="1" si="175"/>
        <v/>
      </c>
      <c r="G2219" s="15" t="str">
        <f t="shared" ca="1" si="176"/>
        <v/>
      </c>
      <c r="H2219" s="15" t="str">
        <f t="shared" ca="1" si="177"/>
        <v/>
      </c>
      <c r="I2219" s="16" t="str">
        <f t="shared" ca="1" si="178"/>
        <v/>
      </c>
    </row>
    <row r="2220" spans="1:9" x14ac:dyDescent="0.3">
      <c r="A2220" s="3"/>
      <c r="B2220" s="9"/>
      <c r="C2220" s="9"/>
      <c r="E2220" s="14" t="str">
        <f t="shared" si="174"/>
        <v/>
      </c>
      <c r="F2220" s="15" t="str">
        <f t="shared" ca="1" si="175"/>
        <v/>
      </c>
      <c r="G2220" s="15" t="str">
        <f t="shared" ca="1" si="176"/>
        <v/>
      </c>
      <c r="H2220" s="15" t="str">
        <f t="shared" ca="1" si="177"/>
        <v/>
      </c>
      <c r="I2220" s="16" t="str">
        <f t="shared" ca="1" si="178"/>
        <v/>
      </c>
    </row>
    <row r="2221" spans="1:9" x14ac:dyDescent="0.3">
      <c r="A2221" s="3"/>
      <c r="B2221" s="9"/>
      <c r="C2221" s="9"/>
      <c r="E2221" s="14" t="str">
        <f t="shared" si="174"/>
        <v/>
      </c>
      <c r="F2221" s="15" t="str">
        <f t="shared" ca="1" si="175"/>
        <v/>
      </c>
      <c r="G2221" s="15" t="str">
        <f t="shared" ca="1" si="176"/>
        <v/>
      </c>
      <c r="H2221" s="15" t="str">
        <f t="shared" ca="1" si="177"/>
        <v/>
      </c>
      <c r="I2221" s="16" t="str">
        <f t="shared" ca="1" si="178"/>
        <v/>
      </c>
    </row>
    <row r="2222" spans="1:9" x14ac:dyDescent="0.3">
      <c r="A2222" s="3"/>
      <c r="B2222" s="9"/>
      <c r="C2222" s="9"/>
      <c r="E2222" s="14" t="str">
        <f t="shared" si="174"/>
        <v/>
      </c>
      <c r="F2222" s="15" t="str">
        <f t="shared" ca="1" si="175"/>
        <v/>
      </c>
      <c r="G2222" s="15" t="str">
        <f t="shared" ca="1" si="176"/>
        <v/>
      </c>
      <c r="H2222" s="15" t="str">
        <f t="shared" ca="1" si="177"/>
        <v/>
      </c>
      <c r="I2222" s="16" t="str">
        <f t="shared" ca="1" si="178"/>
        <v/>
      </c>
    </row>
    <row r="2223" spans="1:9" x14ac:dyDescent="0.3">
      <c r="A2223" s="3"/>
      <c r="B2223" s="9"/>
      <c r="C2223" s="9"/>
      <c r="E2223" s="14" t="str">
        <f t="shared" si="174"/>
        <v/>
      </c>
      <c r="F2223" s="15" t="str">
        <f t="shared" ca="1" si="175"/>
        <v/>
      </c>
      <c r="G2223" s="15" t="str">
        <f t="shared" ca="1" si="176"/>
        <v/>
      </c>
      <c r="H2223" s="15" t="str">
        <f t="shared" ca="1" si="177"/>
        <v/>
      </c>
      <c r="I2223" s="16" t="str">
        <f t="shared" ca="1" si="178"/>
        <v/>
      </c>
    </row>
    <row r="2224" spans="1:9" x14ac:dyDescent="0.3">
      <c r="A2224" s="3"/>
      <c r="B2224" s="9"/>
      <c r="C2224" s="9"/>
      <c r="E2224" s="14" t="str">
        <f t="shared" si="174"/>
        <v/>
      </c>
      <c r="F2224" s="15" t="str">
        <f t="shared" ca="1" si="175"/>
        <v/>
      </c>
      <c r="G2224" s="15" t="str">
        <f t="shared" ca="1" si="176"/>
        <v/>
      </c>
      <c r="H2224" s="15" t="str">
        <f t="shared" ca="1" si="177"/>
        <v/>
      </c>
      <c r="I2224" s="16" t="str">
        <f t="shared" ca="1" si="178"/>
        <v/>
      </c>
    </row>
    <row r="2225" spans="1:9" x14ac:dyDescent="0.3">
      <c r="A2225" s="3"/>
      <c r="B2225" s="9"/>
      <c r="C2225" s="9"/>
      <c r="E2225" s="14" t="str">
        <f t="shared" si="174"/>
        <v/>
      </c>
      <c r="F2225" s="15" t="str">
        <f t="shared" ca="1" si="175"/>
        <v/>
      </c>
      <c r="G2225" s="15" t="str">
        <f t="shared" ca="1" si="176"/>
        <v/>
      </c>
      <c r="H2225" s="15" t="str">
        <f t="shared" ca="1" si="177"/>
        <v/>
      </c>
      <c r="I2225" s="16" t="str">
        <f t="shared" ca="1" si="178"/>
        <v/>
      </c>
    </row>
    <row r="2226" spans="1:9" x14ac:dyDescent="0.3">
      <c r="A2226" s="3"/>
      <c r="B2226" s="9"/>
      <c r="C2226" s="9"/>
      <c r="E2226" s="14" t="str">
        <f t="shared" si="174"/>
        <v/>
      </c>
      <c r="F2226" s="15" t="str">
        <f t="shared" ca="1" si="175"/>
        <v/>
      </c>
      <c r="G2226" s="15" t="str">
        <f t="shared" ca="1" si="176"/>
        <v/>
      </c>
      <c r="H2226" s="15" t="str">
        <f t="shared" ca="1" si="177"/>
        <v/>
      </c>
      <c r="I2226" s="16" t="str">
        <f t="shared" ca="1" si="178"/>
        <v/>
      </c>
    </row>
    <row r="2227" spans="1:9" x14ac:dyDescent="0.3">
      <c r="A2227" s="3"/>
      <c r="B2227" s="9"/>
      <c r="C2227" s="9"/>
      <c r="E2227" s="14" t="str">
        <f t="shared" si="174"/>
        <v/>
      </c>
      <c r="F2227" s="15" t="str">
        <f t="shared" ca="1" si="175"/>
        <v/>
      </c>
      <c r="G2227" s="15" t="str">
        <f t="shared" ca="1" si="176"/>
        <v/>
      </c>
      <c r="H2227" s="15" t="str">
        <f t="shared" ca="1" si="177"/>
        <v/>
      </c>
      <c r="I2227" s="16" t="str">
        <f t="shared" ca="1" si="178"/>
        <v/>
      </c>
    </row>
    <row r="2228" spans="1:9" x14ac:dyDescent="0.3">
      <c r="A2228" s="3"/>
      <c r="B2228" s="9"/>
      <c r="C2228" s="9"/>
      <c r="E2228" s="14" t="str">
        <f t="shared" si="174"/>
        <v/>
      </c>
      <c r="F2228" s="15" t="str">
        <f t="shared" ca="1" si="175"/>
        <v/>
      </c>
      <c r="G2228" s="15" t="str">
        <f t="shared" ca="1" si="176"/>
        <v/>
      </c>
      <c r="H2228" s="15" t="str">
        <f t="shared" ca="1" si="177"/>
        <v/>
      </c>
      <c r="I2228" s="16" t="str">
        <f t="shared" ca="1" si="178"/>
        <v/>
      </c>
    </row>
    <row r="2229" spans="1:9" x14ac:dyDescent="0.3">
      <c r="A2229" s="3"/>
      <c r="B2229" s="9"/>
      <c r="C2229" s="9"/>
      <c r="E2229" s="14" t="str">
        <f t="shared" si="174"/>
        <v/>
      </c>
      <c r="F2229" s="15" t="str">
        <f t="shared" ca="1" si="175"/>
        <v/>
      </c>
      <c r="G2229" s="15" t="str">
        <f t="shared" ca="1" si="176"/>
        <v/>
      </c>
      <c r="H2229" s="15" t="str">
        <f t="shared" ca="1" si="177"/>
        <v/>
      </c>
      <c r="I2229" s="16" t="str">
        <f t="shared" ca="1" si="178"/>
        <v/>
      </c>
    </row>
    <row r="2230" spans="1:9" x14ac:dyDescent="0.3">
      <c r="A2230" s="3"/>
      <c r="B2230" s="9"/>
      <c r="C2230" s="9"/>
      <c r="E2230" s="14" t="str">
        <f t="shared" si="174"/>
        <v/>
      </c>
      <c r="F2230" s="15" t="str">
        <f t="shared" ca="1" si="175"/>
        <v/>
      </c>
      <c r="G2230" s="15" t="str">
        <f t="shared" ca="1" si="176"/>
        <v/>
      </c>
      <c r="H2230" s="15" t="str">
        <f t="shared" ca="1" si="177"/>
        <v/>
      </c>
      <c r="I2230" s="16" t="str">
        <f t="shared" ca="1" si="178"/>
        <v/>
      </c>
    </row>
    <row r="2231" spans="1:9" x14ac:dyDescent="0.3">
      <c r="A2231" s="3"/>
      <c r="B2231" s="9"/>
      <c r="C2231" s="9"/>
      <c r="E2231" s="14" t="str">
        <f t="shared" si="174"/>
        <v/>
      </c>
      <c r="F2231" s="15" t="str">
        <f t="shared" ca="1" si="175"/>
        <v/>
      </c>
      <c r="G2231" s="15" t="str">
        <f t="shared" ca="1" si="176"/>
        <v/>
      </c>
      <c r="H2231" s="15" t="str">
        <f t="shared" ca="1" si="177"/>
        <v/>
      </c>
      <c r="I2231" s="16" t="str">
        <f t="shared" ca="1" si="178"/>
        <v/>
      </c>
    </row>
    <row r="2232" spans="1:9" x14ac:dyDescent="0.3">
      <c r="A2232" s="3"/>
      <c r="B2232" s="9"/>
      <c r="C2232" s="9"/>
      <c r="E2232" s="14" t="str">
        <f t="shared" si="174"/>
        <v/>
      </c>
      <c r="F2232" s="15" t="str">
        <f t="shared" ca="1" si="175"/>
        <v/>
      </c>
      <c r="G2232" s="15" t="str">
        <f t="shared" ca="1" si="176"/>
        <v/>
      </c>
      <c r="H2232" s="15" t="str">
        <f t="shared" ca="1" si="177"/>
        <v/>
      </c>
      <c r="I2232" s="16" t="str">
        <f t="shared" ca="1" si="178"/>
        <v/>
      </c>
    </row>
    <row r="2233" spans="1:9" x14ac:dyDescent="0.3">
      <c r="A2233" s="3"/>
      <c r="B2233" s="9"/>
      <c r="C2233" s="9"/>
      <c r="E2233" s="14" t="str">
        <f t="shared" si="174"/>
        <v/>
      </c>
      <c r="F2233" s="15" t="str">
        <f t="shared" ca="1" si="175"/>
        <v/>
      </c>
      <c r="G2233" s="15" t="str">
        <f t="shared" ca="1" si="176"/>
        <v/>
      </c>
      <c r="H2233" s="15" t="str">
        <f t="shared" ca="1" si="177"/>
        <v/>
      </c>
      <c r="I2233" s="16" t="str">
        <f t="shared" ca="1" si="178"/>
        <v/>
      </c>
    </row>
    <row r="2234" spans="1:9" x14ac:dyDescent="0.3">
      <c r="A2234" s="3"/>
      <c r="B2234" s="9"/>
      <c r="C2234" s="9"/>
      <c r="E2234" s="14" t="str">
        <f t="shared" si="174"/>
        <v/>
      </c>
      <c r="F2234" s="15" t="str">
        <f t="shared" ca="1" si="175"/>
        <v/>
      </c>
      <c r="G2234" s="15" t="str">
        <f t="shared" ca="1" si="176"/>
        <v/>
      </c>
      <c r="H2234" s="15" t="str">
        <f t="shared" ca="1" si="177"/>
        <v/>
      </c>
      <c r="I2234" s="16" t="str">
        <f t="shared" ca="1" si="178"/>
        <v/>
      </c>
    </row>
    <row r="2235" spans="1:9" x14ac:dyDescent="0.3">
      <c r="A2235" s="3"/>
      <c r="B2235" s="9"/>
      <c r="C2235" s="9"/>
      <c r="E2235" s="14" t="str">
        <f t="shared" si="174"/>
        <v/>
      </c>
      <c r="F2235" s="15" t="str">
        <f t="shared" ca="1" si="175"/>
        <v/>
      </c>
      <c r="G2235" s="15" t="str">
        <f t="shared" ca="1" si="176"/>
        <v/>
      </c>
      <c r="H2235" s="15" t="str">
        <f t="shared" ca="1" si="177"/>
        <v/>
      </c>
      <c r="I2235" s="16" t="str">
        <f t="shared" ca="1" si="178"/>
        <v/>
      </c>
    </row>
    <row r="2236" spans="1:9" x14ac:dyDescent="0.3">
      <c r="A2236" s="3"/>
      <c r="B2236" s="9"/>
      <c r="C2236" s="9"/>
      <c r="E2236" s="14" t="str">
        <f t="shared" si="174"/>
        <v/>
      </c>
      <c r="F2236" s="15" t="str">
        <f t="shared" ca="1" si="175"/>
        <v/>
      </c>
      <c r="G2236" s="15" t="str">
        <f t="shared" ca="1" si="176"/>
        <v/>
      </c>
      <c r="H2236" s="15" t="str">
        <f t="shared" ca="1" si="177"/>
        <v/>
      </c>
      <c r="I2236" s="16" t="str">
        <f t="shared" ca="1" si="178"/>
        <v/>
      </c>
    </row>
    <row r="2237" spans="1:9" x14ac:dyDescent="0.3">
      <c r="A2237" s="3"/>
      <c r="B2237" s="9"/>
      <c r="C2237" s="9"/>
      <c r="E2237" s="14" t="str">
        <f t="shared" si="174"/>
        <v/>
      </c>
      <c r="F2237" s="15" t="str">
        <f t="shared" ca="1" si="175"/>
        <v/>
      </c>
      <c r="G2237" s="15" t="str">
        <f t="shared" ca="1" si="176"/>
        <v/>
      </c>
      <c r="H2237" s="15" t="str">
        <f t="shared" ca="1" si="177"/>
        <v/>
      </c>
      <c r="I2237" s="16" t="str">
        <f t="shared" ca="1" si="178"/>
        <v/>
      </c>
    </row>
    <row r="2238" spans="1:9" x14ac:dyDescent="0.3">
      <c r="A2238" s="3"/>
      <c r="B2238" s="9"/>
      <c r="C2238" s="9"/>
      <c r="E2238" s="14" t="str">
        <f t="shared" si="174"/>
        <v/>
      </c>
      <c r="F2238" s="15" t="str">
        <f t="shared" ca="1" si="175"/>
        <v/>
      </c>
      <c r="G2238" s="15" t="str">
        <f t="shared" ca="1" si="176"/>
        <v/>
      </c>
      <c r="H2238" s="15" t="str">
        <f t="shared" ca="1" si="177"/>
        <v/>
      </c>
      <c r="I2238" s="16" t="str">
        <f t="shared" ca="1" si="178"/>
        <v/>
      </c>
    </row>
    <row r="2239" spans="1:9" x14ac:dyDescent="0.3">
      <c r="A2239" s="3"/>
      <c r="B2239" s="9"/>
      <c r="C2239" s="9"/>
      <c r="E2239" s="14" t="str">
        <f t="shared" si="174"/>
        <v/>
      </c>
      <c r="F2239" s="15" t="str">
        <f t="shared" ca="1" si="175"/>
        <v/>
      </c>
      <c r="G2239" s="15" t="str">
        <f t="shared" ca="1" si="176"/>
        <v/>
      </c>
      <c r="H2239" s="15" t="str">
        <f t="shared" ca="1" si="177"/>
        <v/>
      </c>
      <c r="I2239" s="16" t="str">
        <f t="shared" ca="1" si="178"/>
        <v/>
      </c>
    </row>
    <row r="2240" spans="1:9" x14ac:dyDescent="0.3">
      <c r="A2240" s="3"/>
      <c r="B2240" s="9"/>
      <c r="C2240" s="9"/>
      <c r="E2240" s="14" t="str">
        <f t="shared" si="174"/>
        <v/>
      </c>
      <c r="F2240" s="15" t="str">
        <f t="shared" ca="1" si="175"/>
        <v/>
      </c>
      <c r="G2240" s="15" t="str">
        <f t="shared" ca="1" si="176"/>
        <v/>
      </c>
      <c r="H2240" s="15" t="str">
        <f t="shared" ca="1" si="177"/>
        <v/>
      </c>
      <c r="I2240" s="16" t="str">
        <f t="shared" ca="1" si="178"/>
        <v/>
      </c>
    </row>
    <row r="2241" spans="1:9" x14ac:dyDescent="0.3">
      <c r="A2241" s="3"/>
      <c r="B2241" s="9"/>
      <c r="C2241" s="9"/>
      <c r="E2241" s="14" t="str">
        <f t="shared" si="174"/>
        <v/>
      </c>
      <c r="F2241" s="15" t="str">
        <f t="shared" ca="1" si="175"/>
        <v/>
      </c>
      <c r="G2241" s="15" t="str">
        <f t="shared" ca="1" si="176"/>
        <v/>
      </c>
      <c r="H2241" s="15" t="str">
        <f t="shared" ca="1" si="177"/>
        <v/>
      </c>
      <c r="I2241" s="16" t="str">
        <f t="shared" ca="1" si="178"/>
        <v/>
      </c>
    </row>
    <row r="2242" spans="1:9" x14ac:dyDescent="0.3">
      <c r="A2242" s="3"/>
      <c r="B2242" s="9"/>
      <c r="C2242" s="9"/>
      <c r="E2242" s="14" t="str">
        <f t="shared" si="174"/>
        <v/>
      </c>
      <c r="F2242" s="15" t="str">
        <f t="shared" ca="1" si="175"/>
        <v/>
      </c>
      <c r="G2242" s="15" t="str">
        <f t="shared" ca="1" si="176"/>
        <v/>
      </c>
      <c r="H2242" s="15" t="str">
        <f t="shared" ca="1" si="177"/>
        <v/>
      </c>
      <c r="I2242" s="16" t="str">
        <f t="shared" ca="1" si="178"/>
        <v/>
      </c>
    </row>
    <row r="2243" spans="1:9" x14ac:dyDescent="0.3">
      <c r="A2243" s="3"/>
      <c r="B2243" s="9"/>
      <c r="C2243" s="9"/>
      <c r="E2243" s="14" t="str">
        <f t="shared" ref="E2243:E2306" si="179">IF(ISNUMBER(B2243),B2243/C2243,"")</f>
        <v/>
      </c>
      <c r="F2243" s="15" t="str">
        <f t="shared" ca="1" si="175"/>
        <v/>
      </c>
      <c r="G2243" s="15" t="str">
        <f t="shared" ca="1" si="176"/>
        <v/>
      </c>
      <c r="H2243" s="15" t="str">
        <f t="shared" ca="1" si="177"/>
        <v/>
      </c>
      <c r="I2243" s="16" t="str">
        <f t="shared" ca="1" si="178"/>
        <v/>
      </c>
    </row>
    <row r="2244" spans="1:9" x14ac:dyDescent="0.3">
      <c r="A2244" s="3"/>
      <c r="B2244" s="9"/>
      <c r="C2244" s="9"/>
      <c r="E2244" s="14" t="str">
        <f t="shared" si="179"/>
        <v/>
      </c>
      <c r="F2244" s="15" t="str">
        <f t="shared" ca="1" si="175"/>
        <v/>
      </c>
      <c r="G2244" s="15" t="str">
        <f t="shared" ca="1" si="176"/>
        <v/>
      </c>
      <c r="H2244" s="15" t="str">
        <f t="shared" ca="1" si="177"/>
        <v/>
      </c>
      <c r="I2244" s="16" t="str">
        <f t="shared" ca="1" si="178"/>
        <v/>
      </c>
    </row>
    <row r="2245" spans="1:9" x14ac:dyDescent="0.3">
      <c r="A2245" s="3"/>
      <c r="B2245" s="9"/>
      <c r="C2245" s="9"/>
      <c r="E2245" s="14" t="str">
        <f t="shared" si="179"/>
        <v/>
      </c>
      <c r="F2245" s="15" t="str">
        <f t="shared" ca="1" si="175"/>
        <v/>
      </c>
      <c r="G2245" s="15" t="str">
        <f t="shared" ca="1" si="176"/>
        <v/>
      </c>
      <c r="H2245" s="15" t="str">
        <f t="shared" ca="1" si="177"/>
        <v/>
      </c>
      <c r="I2245" s="16" t="str">
        <f t="shared" ca="1" si="178"/>
        <v/>
      </c>
    </row>
    <row r="2246" spans="1:9" x14ac:dyDescent="0.3">
      <c r="A2246" s="3"/>
      <c r="B2246" s="9"/>
      <c r="C2246" s="9"/>
      <c r="E2246" s="14" t="str">
        <f t="shared" si="179"/>
        <v/>
      </c>
      <c r="F2246" s="15" t="str">
        <f t="shared" ca="1" si="175"/>
        <v/>
      </c>
      <c r="G2246" s="15" t="str">
        <f t="shared" ca="1" si="176"/>
        <v/>
      </c>
      <c r="H2246" s="15" t="str">
        <f t="shared" ca="1" si="177"/>
        <v/>
      </c>
      <c r="I2246" s="16" t="str">
        <f t="shared" ca="1" si="178"/>
        <v/>
      </c>
    </row>
    <row r="2247" spans="1:9" x14ac:dyDescent="0.3">
      <c r="A2247" s="3"/>
      <c r="B2247" s="9"/>
      <c r="C2247" s="9"/>
      <c r="E2247" s="14" t="str">
        <f t="shared" si="179"/>
        <v/>
      </c>
      <c r="F2247" s="15" t="str">
        <f t="shared" ca="1" si="175"/>
        <v/>
      </c>
      <c r="G2247" s="15" t="str">
        <f t="shared" ca="1" si="176"/>
        <v/>
      </c>
      <c r="H2247" s="15" t="str">
        <f t="shared" ca="1" si="177"/>
        <v/>
      </c>
      <c r="I2247" s="16" t="str">
        <f t="shared" ca="1" si="178"/>
        <v/>
      </c>
    </row>
    <row r="2248" spans="1:9" x14ac:dyDescent="0.3">
      <c r="A2248" s="3"/>
      <c r="B2248" s="9"/>
      <c r="C2248" s="9"/>
      <c r="E2248" s="14" t="str">
        <f t="shared" si="179"/>
        <v/>
      </c>
      <c r="F2248" s="15" t="str">
        <f t="shared" ca="1" si="175"/>
        <v/>
      </c>
      <c r="G2248" s="15" t="str">
        <f t="shared" ca="1" si="176"/>
        <v/>
      </c>
      <c r="H2248" s="15" t="str">
        <f t="shared" ca="1" si="177"/>
        <v/>
      </c>
      <c r="I2248" s="16" t="str">
        <f t="shared" ca="1" si="178"/>
        <v/>
      </c>
    </row>
    <row r="2249" spans="1:9" x14ac:dyDescent="0.3">
      <c r="A2249" s="3"/>
      <c r="B2249" s="9"/>
      <c r="C2249" s="9"/>
      <c r="E2249" s="14" t="str">
        <f t="shared" si="179"/>
        <v/>
      </c>
      <c r="F2249" s="15" t="str">
        <f t="shared" ca="1" si="175"/>
        <v/>
      </c>
      <c r="G2249" s="15" t="str">
        <f t="shared" ca="1" si="176"/>
        <v/>
      </c>
      <c r="H2249" s="15" t="str">
        <f t="shared" ca="1" si="177"/>
        <v/>
      </c>
      <c r="I2249" s="16" t="str">
        <f t="shared" ca="1" si="178"/>
        <v/>
      </c>
    </row>
    <row r="2250" spans="1:9" x14ac:dyDescent="0.3">
      <c r="A2250" s="3"/>
      <c r="B2250" s="9"/>
      <c r="C2250" s="9"/>
      <c r="E2250" s="14" t="str">
        <f t="shared" si="179"/>
        <v/>
      </c>
      <c r="F2250" s="15" t="str">
        <f t="shared" ca="1" si="175"/>
        <v/>
      </c>
      <c r="G2250" s="15" t="str">
        <f t="shared" ca="1" si="176"/>
        <v/>
      </c>
      <c r="H2250" s="15" t="str">
        <f t="shared" ca="1" si="177"/>
        <v/>
      </c>
      <c r="I2250" s="16" t="str">
        <f t="shared" ca="1" si="178"/>
        <v/>
      </c>
    </row>
    <row r="2251" spans="1:9" x14ac:dyDescent="0.3">
      <c r="A2251" s="3"/>
      <c r="B2251" s="9"/>
      <c r="C2251" s="9"/>
      <c r="E2251" s="14" t="str">
        <f t="shared" si="179"/>
        <v/>
      </c>
      <c r="F2251" s="15" t="str">
        <f t="shared" ca="1" si="175"/>
        <v/>
      </c>
      <c r="G2251" s="15" t="str">
        <f t="shared" ca="1" si="176"/>
        <v/>
      </c>
      <c r="H2251" s="15" t="str">
        <f t="shared" ca="1" si="177"/>
        <v/>
      </c>
      <c r="I2251" s="16" t="str">
        <f t="shared" ca="1" si="178"/>
        <v/>
      </c>
    </row>
    <row r="2252" spans="1:9" x14ac:dyDescent="0.3">
      <c r="A2252" s="3"/>
      <c r="B2252" s="9"/>
      <c r="C2252" s="9"/>
      <c r="E2252" s="14" t="str">
        <f t="shared" si="179"/>
        <v/>
      </c>
      <c r="F2252" s="15" t="str">
        <f t="shared" ca="1" si="175"/>
        <v/>
      </c>
      <c r="G2252" s="15" t="str">
        <f t="shared" ca="1" si="176"/>
        <v/>
      </c>
      <c r="H2252" s="15" t="str">
        <f t="shared" ca="1" si="177"/>
        <v/>
      </c>
      <c r="I2252" s="16" t="str">
        <f t="shared" ca="1" si="178"/>
        <v/>
      </c>
    </row>
    <row r="2253" spans="1:9" x14ac:dyDescent="0.3">
      <c r="A2253" s="3"/>
      <c r="B2253" s="9"/>
      <c r="C2253" s="9"/>
      <c r="E2253" s="14" t="str">
        <f t="shared" si="179"/>
        <v/>
      </c>
      <c r="F2253" s="15" t="str">
        <f t="shared" ca="1" si="175"/>
        <v/>
      </c>
      <c r="G2253" s="15" t="str">
        <f t="shared" ca="1" si="176"/>
        <v/>
      </c>
      <c r="H2253" s="15" t="str">
        <f t="shared" ca="1" si="177"/>
        <v/>
      </c>
      <c r="I2253" s="16" t="str">
        <f t="shared" ca="1" si="178"/>
        <v/>
      </c>
    </row>
    <row r="2254" spans="1:9" x14ac:dyDescent="0.3">
      <c r="A2254" s="3"/>
      <c r="B2254" s="9"/>
      <c r="C2254" s="9"/>
      <c r="E2254" s="14" t="str">
        <f t="shared" si="179"/>
        <v/>
      </c>
      <c r="F2254" s="15" t="str">
        <f t="shared" ca="1" si="175"/>
        <v/>
      </c>
      <c r="G2254" s="15" t="str">
        <f t="shared" ca="1" si="176"/>
        <v/>
      </c>
      <c r="H2254" s="15" t="str">
        <f t="shared" ca="1" si="177"/>
        <v/>
      </c>
      <c r="I2254" s="16" t="str">
        <f t="shared" ca="1" si="178"/>
        <v/>
      </c>
    </row>
    <row r="2255" spans="1:9" x14ac:dyDescent="0.3">
      <c r="A2255" s="3"/>
      <c r="B2255" s="9"/>
      <c r="C2255" s="9"/>
      <c r="E2255" s="14" t="str">
        <f t="shared" si="179"/>
        <v/>
      </c>
      <c r="F2255" s="15" t="str">
        <f t="shared" ca="1" si="175"/>
        <v/>
      </c>
      <c r="G2255" s="15" t="str">
        <f t="shared" ca="1" si="176"/>
        <v/>
      </c>
      <c r="H2255" s="15" t="str">
        <f t="shared" ca="1" si="177"/>
        <v/>
      </c>
      <c r="I2255" s="16" t="str">
        <f t="shared" ca="1" si="178"/>
        <v/>
      </c>
    </row>
    <row r="2256" spans="1:9" x14ac:dyDescent="0.3">
      <c r="A2256" s="3"/>
      <c r="B2256" s="9"/>
      <c r="C2256" s="9"/>
      <c r="E2256" s="14" t="str">
        <f t="shared" si="179"/>
        <v/>
      </c>
      <c r="F2256" s="15" t="str">
        <f t="shared" ca="1" si="175"/>
        <v/>
      </c>
      <c r="G2256" s="15" t="str">
        <f t="shared" ca="1" si="176"/>
        <v/>
      </c>
      <c r="H2256" s="15" t="str">
        <f t="shared" ca="1" si="177"/>
        <v/>
      </c>
      <c r="I2256" s="16" t="str">
        <f t="shared" ca="1" si="178"/>
        <v/>
      </c>
    </row>
    <row r="2257" spans="1:9" x14ac:dyDescent="0.3">
      <c r="A2257" s="3"/>
      <c r="B2257" s="9"/>
      <c r="C2257" s="9"/>
      <c r="E2257" s="14" t="str">
        <f t="shared" si="179"/>
        <v/>
      </c>
      <c r="F2257" s="15" t="str">
        <f t="shared" ref="F2257:F2320" ca="1" si="180">IF(ISNUMBER(E2257),IF(ROW(E2257)&gt;$K$1,AVERAGE(OFFSET(E2257,0,0,-$K$1)),""),"")</f>
        <v/>
      </c>
      <c r="G2257" s="15" t="str">
        <f t="shared" ref="G2257:G2320" ca="1" si="181">IF(ISNUMBER(I2257),F2257+I2257*$M$1,"")</f>
        <v/>
      </c>
      <c r="H2257" s="15" t="str">
        <f t="shared" ref="H2257:H2320" ca="1" si="182">IF(ISNUMBER(I2257),F2257-I2257*$M$1,"")</f>
        <v/>
      </c>
      <c r="I2257" s="16" t="str">
        <f t="shared" ref="I2257:I2320" ca="1" si="183">IF(ISNUMBER(E2257),IF(ROW(E2257)&gt;$K$1,_xlfn.STDEV.P(OFFSET(E2257,0,0,-$K$1)),""),"")</f>
        <v/>
      </c>
    </row>
    <row r="2258" spans="1:9" x14ac:dyDescent="0.3">
      <c r="A2258" s="3"/>
      <c r="B2258" s="9"/>
      <c r="C2258" s="9"/>
      <c r="E2258" s="14" t="str">
        <f t="shared" si="179"/>
        <v/>
      </c>
      <c r="F2258" s="15" t="str">
        <f t="shared" ca="1" si="180"/>
        <v/>
      </c>
      <c r="G2258" s="15" t="str">
        <f t="shared" ca="1" si="181"/>
        <v/>
      </c>
      <c r="H2258" s="15" t="str">
        <f t="shared" ca="1" si="182"/>
        <v/>
      </c>
      <c r="I2258" s="16" t="str">
        <f t="shared" ca="1" si="183"/>
        <v/>
      </c>
    </row>
    <row r="2259" spans="1:9" x14ac:dyDescent="0.3">
      <c r="A2259" s="3"/>
      <c r="B2259" s="9"/>
      <c r="C2259" s="9"/>
      <c r="E2259" s="14" t="str">
        <f t="shared" si="179"/>
        <v/>
      </c>
      <c r="F2259" s="15" t="str">
        <f t="shared" ca="1" si="180"/>
        <v/>
      </c>
      <c r="G2259" s="15" t="str">
        <f t="shared" ca="1" si="181"/>
        <v/>
      </c>
      <c r="H2259" s="15" t="str">
        <f t="shared" ca="1" si="182"/>
        <v/>
      </c>
      <c r="I2259" s="16" t="str">
        <f t="shared" ca="1" si="183"/>
        <v/>
      </c>
    </row>
    <row r="2260" spans="1:9" x14ac:dyDescent="0.3">
      <c r="A2260" s="3"/>
      <c r="B2260" s="9"/>
      <c r="C2260" s="9"/>
      <c r="E2260" s="14" t="str">
        <f t="shared" si="179"/>
        <v/>
      </c>
      <c r="F2260" s="15" t="str">
        <f t="shared" ca="1" si="180"/>
        <v/>
      </c>
      <c r="G2260" s="15" t="str">
        <f t="shared" ca="1" si="181"/>
        <v/>
      </c>
      <c r="H2260" s="15" t="str">
        <f t="shared" ca="1" si="182"/>
        <v/>
      </c>
      <c r="I2260" s="16" t="str">
        <f t="shared" ca="1" si="183"/>
        <v/>
      </c>
    </row>
    <row r="2261" spans="1:9" x14ac:dyDescent="0.3">
      <c r="A2261" s="3"/>
      <c r="B2261" s="9"/>
      <c r="C2261" s="9"/>
      <c r="E2261" s="14" t="str">
        <f t="shared" si="179"/>
        <v/>
      </c>
      <c r="F2261" s="15" t="str">
        <f t="shared" ca="1" si="180"/>
        <v/>
      </c>
      <c r="G2261" s="15" t="str">
        <f t="shared" ca="1" si="181"/>
        <v/>
      </c>
      <c r="H2261" s="15" t="str">
        <f t="shared" ca="1" si="182"/>
        <v/>
      </c>
      <c r="I2261" s="16" t="str">
        <f t="shared" ca="1" si="183"/>
        <v/>
      </c>
    </row>
    <row r="2262" spans="1:9" x14ac:dyDescent="0.3">
      <c r="A2262" s="3"/>
      <c r="B2262" s="9"/>
      <c r="C2262" s="9"/>
      <c r="E2262" s="14" t="str">
        <f t="shared" si="179"/>
        <v/>
      </c>
      <c r="F2262" s="15" t="str">
        <f t="shared" ca="1" si="180"/>
        <v/>
      </c>
      <c r="G2262" s="15" t="str">
        <f t="shared" ca="1" si="181"/>
        <v/>
      </c>
      <c r="H2262" s="15" t="str">
        <f t="shared" ca="1" si="182"/>
        <v/>
      </c>
      <c r="I2262" s="16" t="str">
        <f t="shared" ca="1" si="183"/>
        <v/>
      </c>
    </row>
    <row r="2263" spans="1:9" x14ac:dyDescent="0.3">
      <c r="A2263" s="3"/>
      <c r="B2263" s="9"/>
      <c r="C2263" s="9"/>
      <c r="E2263" s="14" t="str">
        <f t="shared" si="179"/>
        <v/>
      </c>
      <c r="F2263" s="15" t="str">
        <f t="shared" ca="1" si="180"/>
        <v/>
      </c>
      <c r="G2263" s="15" t="str">
        <f t="shared" ca="1" si="181"/>
        <v/>
      </c>
      <c r="H2263" s="15" t="str">
        <f t="shared" ca="1" si="182"/>
        <v/>
      </c>
      <c r="I2263" s="16" t="str">
        <f t="shared" ca="1" si="183"/>
        <v/>
      </c>
    </row>
    <row r="2264" spans="1:9" x14ac:dyDescent="0.3">
      <c r="A2264" s="3"/>
      <c r="B2264" s="9"/>
      <c r="C2264" s="9"/>
      <c r="E2264" s="14" t="str">
        <f t="shared" si="179"/>
        <v/>
      </c>
      <c r="F2264" s="15" t="str">
        <f t="shared" ca="1" si="180"/>
        <v/>
      </c>
      <c r="G2264" s="15" t="str">
        <f t="shared" ca="1" si="181"/>
        <v/>
      </c>
      <c r="H2264" s="15" t="str">
        <f t="shared" ca="1" si="182"/>
        <v/>
      </c>
      <c r="I2264" s="16" t="str">
        <f t="shared" ca="1" si="183"/>
        <v/>
      </c>
    </row>
    <row r="2265" spans="1:9" x14ac:dyDescent="0.3">
      <c r="A2265" s="3"/>
      <c r="B2265" s="9"/>
      <c r="C2265" s="9"/>
      <c r="E2265" s="14" t="str">
        <f t="shared" si="179"/>
        <v/>
      </c>
      <c r="F2265" s="15" t="str">
        <f t="shared" ca="1" si="180"/>
        <v/>
      </c>
      <c r="G2265" s="15" t="str">
        <f t="shared" ca="1" si="181"/>
        <v/>
      </c>
      <c r="H2265" s="15" t="str">
        <f t="shared" ca="1" si="182"/>
        <v/>
      </c>
      <c r="I2265" s="16" t="str">
        <f t="shared" ca="1" si="183"/>
        <v/>
      </c>
    </row>
    <row r="2266" spans="1:9" x14ac:dyDescent="0.3">
      <c r="A2266" s="3"/>
      <c r="B2266" s="9"/>
      <c r="C2266" s="9"/>
      <c r="E2266" s="14" t="str">
        <f t="shared" si="179"/>
        <v/>
      </c>
      <c r="F2266" s="15" t="str">
        <f t="shared" ca="1" si="180"/>
        <v/>
      </c>
      <c r="G2266" s="15" t="str">
        <f t="shared" ca="1" si="181"/>
        <v/>
      </c>
      <c r="H2266" s="15" t="str">
        <f t="shared" ca="1" si="182"/>
        <v/>
      </c>
      <c r="I2266" s="16" t="str">
        <f t="shared" ca="1" si="183"/>
        <v/>
      </c>
    </row>
    <row r="2267" spans="1:9" x14ac:dyDescent="0.3">
      <c r="A2267" s="3"/>
      <c r="B2267" s="9"/>
      <c r="C2267" s="9"/>
      <c r="E2267" s="14" t="str">
        <f t="shared" si="179"/>
        <v/>
      </c>
      <c r="F2267" s="15" t="str">
        <f t="shared" ca="1" si="180"/>
        <v/>
      </c>
      <c r="G2267" s="15" t="str">
        <f t="shared" ca="1" si="181"/>
        <v/>
      </c>
      <c r="H2267" s="15" t="str">
        <f t="shared" ca="1" si="182"/>
        <v/>
      </c>
      <c r="I2267" s="16" t="str">
        <f t="shared" ca="1" si="183"/>
        <v/>
      </c>
    </row>
    <row r="2268" spans="1:9" x14ac:dyDescent="0.3">
      <c r="A2268" s="3"/>
      <c r="B2268" s="9"/>
      <c r="C2268" s="9"/>
      <c r="E2268" s="14" t="str">
        <f t="shared" si="179"/>
        <v/>
      </c>
      <c r="F2268" s="15" t="str">
        <f t="shared" ca="1" si="180"/>
        <v/>
      </c>
      <c r="G2268" s="15" t="str">
        <f t="shared" ca="1" si="181"/>
        <v/>
      </c>
      <c r="H2268" s="15" t="str">
        <f t="shared" ca="1" si="182"/>
        <v/>
      </c>
      <c r="I2268" s="16" t="str">
        <f t="shared" ca="1" si="183"/>
        <v/>
      </c>
    </row>
    <row r="2269" spans="1:9" x14ac:dyDescent="0.3">
      <c r="A2269" s="3"/>
      <c r="B2269" s="9"/>
      <c r="C2269" s="9"/>
      <c r="E2269" s="14" t="str">
        <f t="shared" si="179"/>
        <v/>
      </c>
      <c r="F2269" s="15" t="str">
        <f t="shared" ca="1" si="180"/>
        <v/>
      </c>
      <c r="G2269" s="15" t="str">
        <f t="shared" ca="1" si="181"/>
        <v/>
      </c>
      <c r="H2269" s="15" t="str">
        <f t="shared" ca="1" si="182"/>
        <v/>
      </c>
      <c r="I2269" s="16" t="str">
        <f t="shared" ca="1" si="183"/>
        <v/>
      </c>
    </row>
    <row r="2270" spans="1:9" x14ac:dyDescent="0.3">
      <c r="A2270" s="3"/>
      <c r="B2270" s="9"/>
      <c r="C2270" s="9"/>
      <c r="E2270" s="14" t="str">
        <f t="shared" si="179"/>
        <v/>
      </c>
      <c r="F2270" s="15" t="str">
        <f t="shared" ca="1" si="180"/>
        <v/>
      </c>
      <c r="G2270" s="15" t="str">
        <f t="shared" ca="1" si="181"/>
        <v/>
      </c>
      <c r="H2270" s="15" t="str">
        <f t="shared" ca="1" si="182"/>
        <v/>
      </c>
      <c r="I2270" s="16" t="str">
        <f t="shared" ca="1" si="183"/>
        <v/>
      </c>
    </row>
    <row r="2271" spans="1:9" x14ac:dyDescent="0.3">
      <c r="A2271" s="3"/>
      <c r="B2271" s="9"/>
      <c r="C2271" s="9"/>
      <c r="E2271" s="14" t="str">
        <f t="shared" si="179"/>
        <v/>
      </c>
      <c r="F2271" s="15" t="str">
        <f t="shared" ca="1" si="180"/>
        <v/>
      </c>
      <c r="G2271" s="15" t="str">
        <f t="shared" ca="1" si="181"/>
        <v/>
      </c>
      <c r="H2271" s="15" t="str">
        <f t="shared" ca="1" si="182"/>
        <v/>
      </c>
      <c r="I2271" s="16" t="str">
        <f t="shared" ca="1" si="183"/>
        <v/>
      </c>
    </row>
    <row r="2272" spans="1:9" x14ac:dyDescent="0.3">
      <c r="A2272" s="3"/>
      <c r="B2272" s="9"/>
      <c r="C2272" s="9"/>
      <c r="E2272" s="14" t="str">
        <f t="shared" si="179"/>
        <v/>
      </c>
      <c r="F2272" s="15" t="str">
        <f t="shared" ca="1" si="180"/>
        <v/>
      </c>
      <c r="G2272" s="15" t="str">
        <f t="shared" ca="1" si="181"/>
        <v/>
      </c>
      <c r="H2272" s="15" t="str">
        <f t="shared" ca="1" si="182"/>
        <v/>
      </c>
      <c r="I2272" s="16" t="str">
        <f t="shared" ca="1" si="183"/>
        <v/>
      </c>
    </row>
    <row r="2273" spans="1:9" x14ac:dyDescent="0.3">
      <c r="A2273" s="3"/>
      <c r="B2273" s="9"/>
      <c r="C2273" s="9"/>
      <c r="E2273" s="14" t="str">
        <f t="shared" si="179"/>
        <v/>
      </c>
      <c r="F2273" s="15" t="str">
        <f t="shared" ca="1" si="180"/>
        <v/>
      </c>
      <c r="G2273" s="15" t="str">
        <f t="shared" ca="1" si="181"/>
        <v/>
      </c>
      <c r="H2273" s="15" t="str">
        <f t="shared" ca="1" si="182"/>
        <v/>
      </c>
      <c r="I2273" s="16" t="str">
        <f t="shared" ca="1" si="183"/>
        <v/>
      </c>
    </row>
    <row r="2274" spans="1:9" x14ac:dyDescent="0.3">
      <c r="A2274" s="3"/>
      <c r="B2274" s="9"/>
      <c r="C2274" s="9"/>
      <c r="E2274" s="14" t="str">
        <f t="shared" si="179"/>
        <v/>
      </c>
      <c r="F2274" s="15" t="str">
        <f t="shared" ca="1" si="180"/>
        <v/>
      </c>
      <c r="G2274" s="15" t="str">
        <f t="shared" ca="1" si="181"/>
        <v/>
      </c>
      <c r="H2274" s="15" t="str">
        <f t="shared" ca="1" si="182"/>
        <v/>
      </c>
      <c r="I2274" s="16" t="str">
        <f t="shared" ca="1" si="183"/>
        <v/>
      </c>
    </row>
    <row r="2275" spans="1:9" x14ac:dyDescent="0.3">
      <c r="A2275" s="3"/>
      <c r="B2275" s="9"/>
      <c r="C2275" s="9"/>
      <c r="E2275" s="14" t="str">
        <f t="shared" si="179"/>
        <v/>
      </c>
      <c r="F2275" s="15" t="str">
        <f t="shared" ca="1" si="180"/>
        <v/>
      </c>
      <c r="G2275" s="15" t="str">
        <f t="shared" ca="1" si="181"/>
        <v/>
      </c>
      <c r="H2275" s="15" t="str">
        <f t="shared" ca="1" si="182"/>
        <v/>
      </c>
      <c r="I2275" s="16" t="str">
        <f t="shared" ca="1" si="183"/>
        <v/>
      </c>
    </row>
    <row r="2276" spans="1:9" x14ac:dyDescent="0.3">
      <c r="A2276" s="3"/>
      <c r="B2276" s="9"/>
      <c r="C2276" s="9"/>
      <c r="E2276" s="14" t="str">
        <f t="shared" si="179"/>
        <v/>
      </c>
      <c r="F2276" s="15" t="str">
        <f t="shared" ca="1" si="180"/>
        <v/>
      </c>
      <c r="G2276" s="15" t="str">
        <f t="shared" ca="1" si="181"/>
        <v/>
      </c>
      <c r="H2276" s="15" t="str">
        <f t="shared" ca="1" si="182"/>
        <v/>
      </c>
      <c r="I2276" s="16" t="str">
        <f t="shared" ca="1" si="183"/>
        <v/>
      </c>
    </row>
    <row r="2277" spans="1:9" x14ac:dyDescent="0.3">
      <c r="A2277" s="3"/>
      <c r="B2277" s="9"/>
      <c r="C2277" s="9"/>
      <c r="E2277" s="14" t="str">
        <f t="shared" si="179"/>
        <v/>
      </c>
      <c r="F2277" s="15" t="str">
        <f t="shared" ca="1" si="180"/>
        <v/>
      </c>
      <c r="G2277" s="15" t="str">
        <f t="shared" ca="1" si="181"/>
        <v/>
      </c>
      <c r="H2277" s="15" t="str">
        <f t="shared" ca="1" si="182"/>
        <v/>
      </c>
      <c r="I2277" s="16" t="str">
        <f t="shared" ca="1" si="183"/>
        <v/>
      </c>
    </row>
    <row r="2278" spans="1:9" x14ac:dyDescent="0.3">
      <c r="A2278" s="3"/>
      <c r="B2278" s="9"/>
      <c r="C2278" s="9"/>
      <c r="E2278" s="14" t="str">
        <f t="shared" si="179"/>
        <v/>
      </c>
      <c r="F2278" s="15" t="str">
        <f t="shared" ca="1" si="180"/>
        <v/>
      </c>
      <c r="G2278" s="15" t="str">
        <f t="shared" ca="1" si="181"/>
        <v/>
      </c>
      <c r="H2278" s="15" t="str">
        <f t="shared" ca="1" si="182"/>
        <v/>
      </c>
      <c r="I2278" s="16" t="str">
        <f t="shared" ca="1" si="183"/>
        <v/>
      </c>
    </row>
    <row r="2279" spans="1:9" x14ac:dyDescent="0.3">
      <c r="A2279" s="3"/>
      <c r="B2279" s="9"/>
      <c r="C2279" s="9"/>
      <c r="E2279" s="14" t="str">
        <f t="shared" si="179"/>
        <v/>
      </c>
      <c r="F2279" s="15" t="str">
        <f t="shared" ca="1" si="180"/>
        <v/>
      </c>
      <c r="G2279" s="15" t="str">
        <f t="shared" ca="1" si="181"/>
        <v/>
      </c>
      <c r="H2279" s="15" t="str">
        <f t="shared" ca="1" si="182"/>
        <v/>
      </c>
      <c r="I2279" s="16" t="str">
        <f t="shared" ca="1" si="183"/>
        <v/>
      </c>
    </row>
    <row r="2280" spans="1:9" x14ac:dyDescent="0.3">
      <c r="A2280" s="3"/>
      <c r="B2280" s="9"/>
      <c r="C2280" s="9"/>
      <c r="E2280" s="14" t="str">
        <f t="shared" si="179"/>
        <v/>
      </c>
      <c r="F2280" s="15" t="str">
        <f t="shared" ca="1" si="180"/>
        <v/>
      </c>
      <c r="G2280" s="15" t="str">
        <f t="shared" ca="1" si="181"/>
        <v/>
      </c>
      <c r="H2280" s="15" t="str">
        <f t="shared" ca="1" si="182"/>
        <v/>
      </c>
      <c r="I2280" s="16" t="str">
        <f t="shared" ca="1" si="183"/>
        <v/>
      </c>
    </row>
    <row r="2281" spans="1:9" x14ac:dyDescent="0.3">
      <c r="A2281" s="3"/>
      <c r="B2281" s="9"/>
      <c r="C2281" s="9"/>
      <c r="E2281" s="14" t="str">
        <f t="shared" si="179"/>
        <v/>
      </c>
      <c r="F2281" s="15" t="str">
        <f t="shared" ca="1" si="180"/>
        <v/>
      </c>
      <c r="G2281" s="15" t="str">
        <f t="shared" ca="1" si="181"/>
        <v/>
      </c>
      <c r="H2281" s="15" t="str">
        <f t="shared" ca="1" si="182"/>
        <v/>
      </c>
      <c r="I2281" s="16" t="str">
        <f t="shared" ca="1" si="183"/>
        <v/>
      </c>
    </row>
    <row r="2282" spans="1:9" x14ac:dyDescent="0.3">
      <c r="A2282" s="3"/>
      <c r="B2282" s="9"/>
      <c r="C2282" s="9"/>
      <c r="E2282" s="14" t="str">
        <f t="shared" si="179"/>
        <v/>
      </c>
      <c r="F2282" s="15" t="str">
        <f t="shared" ca="1" si="180"/>
        <v/>
      </c>
      <c r="G2282" s="15" t="str">
        <f t="shared" ca="1" si="181"/>
        <v/>
      </c>
      <c r="H2282" s="15" t="str">
        <f t="shared" ca="1" si="182"/>
        <v/>
      </c>
      <c r="I2282" s="16" t="str">
        <f t="shared" ca="1" si="183"/>
        <v/>
      </c>
    </row>
    <row r="2283" spans="1:9" x14ac:dyDescent="0.3">
      <c r="A2283" s="3"/>
      <c r="B2283" s="9"/>
      <c r="C2283" s="9"/>
      <c r="E2283" s="14" t="str">
        <f t="shared" si="179"/>
        <v/>
      </c>
      <c r="F2283" s="15" t="str">
        <f t="shared" ca="1" si="180"/>
        <v/>
      </c>
      <c r="G2283" s="15" t="str">
        <f t="shared" ca="1" si="181"/>
        <v/>
      </c>
      <c r="H2283" s="15" t="str">
        <f t="shared" ca="1" si="182"/>
        <v/>
      </c>
      <c r="I2283" s="16" t="str">
        <f t="shared" ca="1" si="183"/>
        <v/>
      </c>
    </row>
    <row r="2284" spans="1:9" x14ac:dyDescent="0.3">
      <c r="A2284" s="3"/>
      <c r="B2284" s="9"/>
      <c r="C2284" s="9"/>
      <c r="E2284" s="14" t="str">
        <f t="shared" si="179"/>
        <v/>
      </c>
      <c r="F2284" s="15" t="str">
        <f t="shared" ca="1" si="180"/>
        <v/>
      </c>
      <c r="G2284" s="15" t="str">
        <f t="shared" ca="1" si="181"/>
        <v/>
      </c>
      <c r="H2284" s="15" t="str">
        <f t="shared" ca="1" si="182"/>
        <v/>
      </c>
      <c r="I2284" s="16" t="str">
        <f t="shared" ca="1" si="183"/>
        <v/>
      </c>
    </row>
    <row r="2285" spans="1:9" x14ac:dyDescent="0.3">
      <c r="A2285" s="3"/>
      <c r="B2285" s="9"/>
      <c r="C2285" s="9"/>
      <c r="E2285" s="14" t="str">
        <f t="shared" si="179"/>
        <v/>
      </c>
      <c r="F2285" s="15" t="str">
        <f t="shared" ca="1" si="180"/>
        <v/>
      </c>
      <c r="G2285" s="15" t="str">
        <f t="shared" ca="1" si="181"/>
        <v/>
      </c>
      <c r="H2285" s="15" t="str">
        <f t="shared" ca="1" si="182"/>
        <v/>
      </c>
      <c r="I2285" s="16" t="str">
        <f t="shared" ca="1" si="183"/>
        <v/>
      </c>
    </row>
    <row r="2286" spans="1:9" x14ac:dyDescent="0.3">
      <c r="A2286" s="3"/>
      <c r="B2286" s="9"/>
      <c r="C2286" s="9"/>
      <c r="E2286" s="14" t="str">
        <f t="shared" si="179"/>
        <v/>
      </c>
      <c r="F2286" s="15" t="str">
        <f t="shared" ca="1" si="180"/>
        <v/>
      </c>
      <c r="G2286" s="15" t="str">
        <f t="shared" ca="1" si="181"/>
        <v/>
      </c>
      <c r="H2286" s="15" t="str">
        <f t="shared" ca="1" si="182"/>
        <v/>
      </c>
      <c r="I2286" s="16" t="str">
        <f t="shared" ca="1" si="183"/>
        <v/>
      </c>
    </row>
    <row r="2287" spans="1:9" x14ac:dyDescent="0.3">
      <c r="A2287" s="3"/>
      <c r="B2287" s="9"/>
      <c r="C2287" s="9"/>
      <c r="E2287" s="14" t="str">
        <f t="shared" si="179"/>
        <v/>
      </c>
      <c r="F2287" s="15" t="str">
        <f t="shared" ca="1" si="180"/>
        <v/>
      </c>
      <c r="G2287" s="15" t="str">
        <f t="shared" ca="1" si="181"/>
        <v/>
      </c>
      <c r="H2287" s="15" t="str">
        <f t="shared" ca="1" si="182"/>
        <v/>
      </c>
      <c r="I2287" s="16" t="str">
        <f t="shared" ca="1" si="183"/>
        <v/>
      </c>
    </row>
    <row r="2288" spans="1:9" x14ac:dyDescent="0.3">
      <c r="A2288" s="3"/>
      <c r="B2288" s="9"/>
      <c r="C2288" s="9"/>
      <c r="E2288" s="14" t="str">
        <f t="shared" si="179"/>
        <v/>
      </c>
      <c r="F2288" s="15" t="str">
        <f t="shared" ca="1" si="180"/>
        <v/>
      </c>
      <c r="G2288" s="15" t="str">
        <f t="shared" ca="1" si="181"/>
        <v/>
      </c>
      <c r="H2288" s="15" t="str">
        <f t="shared" ca="1" si="182"/>
        <v/>
      </c>
      <c r="I2288" s="16" t="str">
        <f t="shared" ca="1" si="183"/>
        <v/>
      </c>
    </row>
    <row r="2289" spans="1:9" x14ac:dyDescent="0.3">
      <c r="A2289" s="3"/>
      <c r="B2289" s="9"/>
      <c r="C2289" s="9"/>
      <c r="E2289" s="14" t="str">
        <f t="shared" si="179"/>
        <v/>
      </c>
      <c r="F2289" s="15" t="str">
        <f t="shared" ca="1" si="180"/>
        <v/>
      </c>
      <c r="G2289" s="15" t="str">
        <f t="shared" ca="1" si="181"/>
        <v/>
      </c>
      <c r="H2289" s="15" t="str">
        <f t="shared" ca="1" si="182"/>
        <v/>
      </c>
      <c r="I2289" s="16" t="str">
        <f t="shared" ca="1" si="183"/>
        <v/>
      </c>
    </row>
    <row r="2290" spans="1:9" x14ac:dyDescent="0.3">
      <c r="A2290" s="3"/>
      <c r="B2290" s="9"/>
      <c r="C2290" s="9"/>
      <c r="E2290" s="14" t="str">
        <f t="shared" si="179"/>
        <v/>
      </c>
      <c r="F2290" s="15" t="str">
        <f t="shared" ca="1" si="180"/>
        <v/>
      </c>
      <c r="G2290" s="15" t="str">
        <f t="shared" ca="1" si="181"/>
        <v/>
      </c>
      <c r="H2290" s="15" t="str">
        <f t="shared" ca="1" si="182"/>
        <v/>
      </c>
      <c r="I2290" s="16" t="str">
        <f t="shared" ca="1" si="183"/>
        <v/>
      </c>
    </row>
    <row r="2291" spans="1:9" x14ac:dyDescent="0.3">
      <c r="A2291" s="3"/>
      <c r="B2291" s="9"/>
      <c r="C2291" s="9"/>
      <c r="E2291" s="14" t="str">
        <f t="shared" si="179"/>
        <v/>
      </c>
      <c r="F2291" s="15" t="str">
        <f t="shared" ca="1" si="180"/>
        <v/>
      </c>
      <c r="G2291" s="15" t="str">
        <f t="shared" ca="1" si="181"/>
        <v/>
      </c>
      <c r="H2291" s="15" t="str">
        <f t="shared" ca="1" si="182"/>
        <v/>
      </c>
      <c r="I2291" s="16" t="str">
        <f t="shared" ca="1" si="183"/>
        <v/>
      </c>
    </row>
    <row r="2292" spans="1:9" x14ac:dyDescent="0.3">
      <c r="A2292" s="3"/>
      <c r="B2292" s="9"/>
      <c r="C2292" s="9"/>
      <c r="E2292" s="14" t="str">
        <f t="shared" si="179"/>
        <v/>
      </c>
      <c r="F2292" s="15" t="str">
        <f t="shared" ca="1" si="180"/>
        <v/>
      </c>
      <c r="G2292" s="15" t="str">
        <f t="shared" ca="1" si="181"/>
        <v/>
      </c>
      <c r="H2292" s="15" t="str">
        <f t="shared" ca="1" si="182"/>
        <v/>
      </c>
      <c r="I2292" s="16" t="str">
        <f t="shared" ca="1" si="183"/>
        <v/>
      </c>
    </row>
    <row r="2293" spans="1:9" x14ac:dyDescent="0.3">
      <c r="A2293" s="3"/>
      <c r="B2293" s="9"/>
      <c r="C2293" s="9"/>
      <c r="E2293" s="14" t="str">
        <f t="shared" si="179"/>
        <v/>
      </c>
      <c r="F2293" s="15" t="str">
        <f t="shared" ca="1" si="180"/>
        <v/>
      </c>
      <c r="G2293" s="15" t="str">
        <f t="shared" ca="1" si="181"/>
        <v/>
      </c>
      <c r="H2293" s="15" t="str">
        <f t="shared" ca="1" si="182"/>
        <v/>
      </c>
      <c r="I2293" s="16" t="str">
        <f t="shared" ca="1" si="183"/>
        <v/>
      </c>
    </row>
    <row r="2294" spans="1:9" x14ac:dyDescent="0.3">
      <c r="A2294" s="3"/>
      <c r="B2294" s="9"/>
      <c r="C2294" s="9"/>
      <c r="E2294" s="14" t="str">
        <f t="shared" si="179"/>
        <v/>
      </c>
      <c r="F2294" s="15" t="str">
        <f t="shared" ca="1" si="180"/>
        <v/>
      </c>
      <c r="G2294" s="15" t="str">
        <f t="shared" ca="1" si="181"/>
        <v/>
      </c>
      <c r="H2294" s="15" t="str">
        <f t="shared" ca="1" si="182"/>
        <v/>
      </c>
      <c r="I2294" s="16" t="str">
        <f t="shared" ca="1" si="183"/>
        <v/>
      </c>
    </row>
    <row r="2295" spans="1:9" x14ac:dyDescent="0.3">
      <c r="A2295" s="3"/>
      <c r="B2295" s="9"/>
      <c r="C2295" s="9"/>
      <c r="E2295" s="14" t="str">
        <f t="shared" si="179"/>
        <v/>
      </c>
      <c r="F2295" s="15" t="str">
        <f t="shared" ca="1" si="180"/>
        <v/>
      </c>
      <c r="G2295" s="15" t="str">
        <f t="shared" ca="1" si="181"/>
        <v/>
      </c>
      <c r="H2295" s="15" t="str">
        <f t="shared" ca="1" si="182"/>
        <v/>
      </c>
      <c r="I2295" s="16" t="str">
        <f t="shared" ca="1" si="183"/>
        <v/>
      </c>
    </row>
    <row r="2296" spans="1:9" x14ac:dyDescent="0.3">
      <c r="A2296" s="3"/>
      <c r="B2296" s="9"/>
      <c r="C2296" s="9"/>
      <c r="E2296" s="14" t="str">
        <f t="shared" si="179"/>
        <v/>
      </c>
      <c r="F2296" s="15" t="str">
        <f t="shared" ca="1" si="180"/>
        <v/>
      </c>
      <c r="G2296" s="15" t="str">
        <f t="shared" ca="1" si="181"/>
        <v/>
      </c>
      <c r="H2296" s="15" t="str">
        <f t="shared" ca="1" si="182"/>
        <v/>
      </c>
      <c r="I2296" s="16" t="str">
        <f t="shared" ca="1" si="183"/>
        <v/>
      </c>
    </row>
    <row r="2297" spans="1:9" x14ac:dyDescent="0.3">
      <c r="A2297" s="3"/>
      <c r="B2297" s="9"/>
      <c r="C2297" s="9"/>
      <c r="E2297" s="14" t="str">
        <f t="shared" si="179"/>
        <v/>
      </c>
      <c r="F2297" s="15" t="str">
        <f t="shared" ca="1" si="180"/>
        <v/>
      </c>
      <c r="G2297" s="15" t="str">
        <f t="shared" ca="1" si="181"/>
        <v/>
      </c>
      <c r="H2297" s="15" t="str">
        <f t="shared" ca="1" si="182"/>
        <v/>
      </c>
      <c r="I2297" s="16" t="str">
        <f t="shared" ca="1" si="183"/>
        <v/>
      </c>
    </row>
    <row r="2298" spans="1:9" x14ac:dyDescent="0.3">
      <c r="A2298" s="3"/>
      <c r="B2298" s="9"/>
      <c r="C2298" s="9"/>
      <c r="E2298" s="14" t="str">
        <f t="shared" si="179"/>
        <v/>
      </c>
      <c r="F2298" s="15" t="str">
        <f t="shared" ca="1" si="180"/>
        <v/>
      </c>
      <c r="G2298" s="15" t="str">
        <f t="shared" ca="1" si="181"/>
        <v/>
      </c>
      <c r="H2298" s="15" t="str">
        <f t="shared" ca="1" si="182"/>
        <v/>
      </c>
      <c r="I2298" s="16" t="str">
        <f t="shared" ca="1" si="183"/>
        <v/>
      </c>
    </row>
    <row r="2299" spans="1:9" x14ac:dyDescent="0.3">
      <c r="A2299" s="3"/>
      <c r="B2299" s="9"/>
      <c r="C2299" s="9"/>
      <c r="E2299" s="14" t="str">
        <f t="shared" si="179"/>
        <v/>
      </c>
      <c r="F2299" s="15" t="str">
        <f t="shared" ca="1" si="180"/>
        <v/>
      </c>
      <c r="G2299" s="15" t="str">
        <f t="shared" ca="1" si="181"/>
        <v/>
      </c>
      <c r="H2299" s="15" t="str">
        <f t="shared" ca="1" si="182"/>
        <v/>
      </c>
      <c r="I2299" s="16" t="str">
        <f t="shared" ca="1" si="183"/>
        <v/>
      </c>
    </row>
    <row r="2300" spans="1:9" x14ac:dyDescent="0.3">
      <c r="A2300" s="3"/>
      <c r="B2300" s="9"/>
      <c r="C2300" s="9"/>
      <c r="E2300" s="14" t="str">
        <f t="shared" si="179"/>
        <v/>
      </c>
      <c r="F2300" s="15" t="str">
        <f t="shared" ca="1" si="180"/>
        <v/>
      </c>
      <c r="G2300" s="15" t="str">
        <f t="shared" ca="1" si="181"/>
        <v/>
      </c>
      <c r="H2300" s="15" t="str">
        <f t="shared" ca="1" si="182"/>
        <v/>
      </c>
      <c r="I2300" s="16" t="str">
        <f t="shared" ca="1" si="183"/>
        <v/>
      </c>
    </row>
    <row r="2301" spans="1:9" x14ac:dyDescent="0.3">
      <c r="A2301" s="3"/>
      <c r="B2301" s="9"/>
      <c r="C2301" s="9"/>
      <c r="E2301" s="14" t="str">
        <f t="shared" si="179"/>
        <v/>
      </c>
      <c r="F2301" s="15" t="str">
        <f t="shared" ca="1" si="180"/>
        <v/>
      </c>
      <c r="G2301" s="15" t="str">
        <f t="shared" ca="1" si="181"/>
        <v/>
      </c>
      <c r="H2301" s="15" t="str">
        <f t="shared" ca="1" si="182"/>
        <v/>
      </c>
      <c r="I2301" s="16" t="str">
        <f t="shared" ca="1" si="183"/>
        <v/>
      </c>
    </row>
    <row r="2302" spans="1:9" x14ac:dyDescent="0.3">
      <c r="A2302" s="3"/>
      <c r="B2302" s="9"/>
      <c r="C2302" s="9"/>
      <c r="E2302" s="14" t="str">
        <f t="shared" si="179"/>
        <v/>
      </c>
      <c r="F2302" s="15" t="str">
        <f t="shared" ca="1" si="180"/>
        <v/>
      </c>
      <c r="G2302" s="15" t="str">
        <f t="shared" ca="1" si="181"/>
        <v/>
      </c>
      <c r="H2302" s="15" t="str">
        <f t="shared" ca="1" si="182"/>
        <v/>
      </c>
      <c r="I2302" s="16" t="str">
        <f t="shared" ca="1" si="183"/>
        <v/>
      </c>
    </row>
    <row r="2303" spans="1:9" x14ac:dyDescent="0.3">
      <c r="A2303" s="3"/>
      <c r="B2303" s="9"/>
      <c r="C2303" s="9"/>
      <c r="E2303" s="14" t="str">
        <f t="shared" si="179"/>
        <v/>
      </c>
      <c r="F2303" s="15" t="str">
        <f t="shared" ca="1" si="180"/>
        <v/>
      </c>
      <c r="G2303" s="15" t="str">
        <f t="shared" ca="1" si="181"/>
        <v/>
      </c>
      <c r="H2303" s="15" t="str">
        <f t="shared" ca="1" si="182"/>
        <v/>
      </c>
      <c r="I2303" s="16" t="str">
        <f t="shared" ca="1" si="183"/>
        <v/>
      </c>
    </row>
    <row r="2304" spans="1:9" x14ac:dyDescent="0.3">
      <c r="A2304" s="3"/>
      <c r="B2304" s="9"/>
      <c r="C2304" s="9"/>
      <c r="E2304" s="14" t="str">
        <f t="shared" si="179"/>
        <v/>
      </c>
      <c r="F2304" s="15" t="str">
        <f t="shared" ca="1" si="180"/>
        <v/>
      </c>
      <c r="G2304" s="15" t="str">
        <f t="shared" ca="1" si="181"/>
        <v/>
      </c>
      <c r="H2304" s="15" t="str">
        <f t="shared" ca="1" si="182"/>
        <v/>
      </c>
      <c r="I2304" s="16" t="str">
        <f t="shared" ca="1" si="183"/>
        <v/>
      </c>
    </row>
    <row r="2305" spans="1:9" x14ac:dyDescent="0.3">
      <c r="A2305" s="3"/>
      <c r="B2305" s="9"/>
      <c r="C2305" s="9"/>
      <c r="E2305" s="14" t="str">
        <f t="shared" si="179"/>
        <v/>
      </c>
      <c r="F2305" s="15" t="str">
        <f t="shared" ca="1" si="180"/>
        <v/>
      </c>
      <c r="G2305" s="15" t="str">
        <f t="shared" ca="1" si="181"/>
        <v/>
      </c>
      <c r="H2305" s="15" t="str">
        <f t="shared" ca="1" si="182"/>
        <v/>
      </c>
      <c r="I2305" s="16" t="str">
        <f t="shared" ca="1" si="183"/>
        <v/>
      </c>
    </row>
    <row r="2306" spans="1:9" x14ac:dyDescent="0.3">
      <c r="A2306" s="3"/>
      <c r="B2306" s="9"/>
      <c r="C2306" s="9"/>
      <c r="E2306" s="14" t="str">
        <f t="shared" si="179"/>
        <v/>
      </c>
      <c r="F2306" s="15" t="str">
        <f t="shared" ca="1" si="180"/>
        <v/>
      </c>
      <c r="G2306" s="15" t="str">
        <f t="shared" ca="1" si="181"/>
        <v/>
      </c>
      <c r="H2306" s="15" t="str">
        <f t="shared" ca="1" si="182"/>
        <v/>
      </c>
      <c r="I2306" s="16" t="str">
        <f t="shared" ca="1" si="183"/>
        <v/>
      </c>
    </row>
    <row r="2307" spans="1:9" x14ac:dyDescent="0.3">
      <c r="A2307" s="3"/>
      <c r="B2307" s="9"/>
      <c r="C2307" s="9"/>
      <c r="E2307" s="14" t="str">
        <f t="shared" ref="E2307:E2370" si="184">IF(ISNUMBER(B2307),B2307/C2307,"")</f>
        <v/>
      </c>
      <c r="F2307" s="15" t="str">
        <f t="shared" ca="1" si="180"/>
        <v/>
      </c>
      <c r="G2307" s="15" t="str">
        <f t="shared" ca="1" si="181"/>
        <v/>
      </c>
      <c r="H2307" s="15" t="str">
        <f t="shared" ca="1" si="182"/>
        <v/>
      </c>
      <c r="I2307" s="16" t="str">
        <f t="shared" ca="1" si="183"/>
        <v/>
      </c>
    </row>
    <row r="2308" spans="1:9" x14ac:dyDescent="0.3">
      <c r="A2308" s="3"/>
      <c r="B2308" s="9"/>
      <c r="C2308" s="9"/>
      <c r="E2308" s="14" t="str">
        <f t="shared" si="184"/>
        <v/>
      </c>
      <c r="F2308" s="15" t="str">
        <f t="shared" ca="1" si="180"/>
        <v/>
      </c>
      <c r="G2308" s="15" t="str">
        <f t="shared" ca="1" si="181"/>
        <v/>
      </c>
      <c r="H2308" s="15" t="str">
        <f t="shared" ca="1" si="182"/>
        <v/>
      </c>
      <c r="I2308" s="16" t="str">
        <f t="shared" ca="1" si="183"/>
        <v/>
      </c>
    </row>
    <row r="2309" spans="1:9" x14ac:dyDescent="0.3">
      <c r="A2309" s="3"/>
      <c r="B2309" s="9"/>
      <c r="C2309" s="9"/>
      <c r="E2309" s="14" t="str">
        <f t="shared" si="184"/>
        <v/>
      </c>
      <c r="F2309" s="15" t="str">
        <f t="shared" ca="1" si="180"/>
        <v/>
      </c>
      <c r="G2309" s="15" t="str">
        <f t="shared" ca="1" si="181"/>
        <v/>
      </c>
      <c r="H2309" s="15" t="str">
        <f t="shared" ca="1" si="182"/>
        <v/>
      </c>
      <c r="I2309" s="16" t="str">
        <f t="shared" ca="1" si="183"/>
        <v/>
      </c>
    </row>
    <row r="2310" spans="1:9" x14ac:dyDescent="0.3">
      <c r="A2310" s="3"/>
      <c r="B2310" s="9"/>
      <c r="C2310" s="9"/>
      <c r="E2310" s="14" t="str">
        <f t="shared" si="184"/>
        <v/>
      </c>
      <c r="F2310" s="15" t="str">
        <f t="shared" ca="1" si="180"/>
        <v/>
      </c>
      <c r="G2310" s="15" t="str">
        <f t="shared" ca="1" si="181"/>
        <v/>
      </c>
      <c r="H2310" s="15" t="str">
        <f t="shared" ca="1" si="182"/>
        <v/>
      </c>
      <c r="I2310" s="16" t="str">
        <f t="shared" ca="1" si="183"/>
        <v/>
      </c>
    </row>
    <row r="2311" spans="1:9" x14ac:dyDescent="0.3">
      <c r="A2311" s="3"/>
      <c r="B2311" s="9"/>
      <c r="C2311" s="9"/>
      <c r="E2311" s="14" t="str">
        <f t="shared" si="184"/>
        <v/>
      </c>
      <c r="F2311" s="15" t="str">
        <f t="shared" ca="1" si="180"/>
        <v/>
      </c>
      <c r="G2311" s="15" t="str">
        <f t="shared" ca="1" si="181"/>
        <v/>
      </c>
      <c r="H2311" s="15" t="str">
        <f t="shared" ca="1" si="182"/>
        <v/>
      </c>
      <c r="I2311" s="16" t="str">
        <f t="shared" ca="1" si="183"/>
        <v/>
      </c>
    </row>
    <row r="2312" spans="1:9" x14ac:dyDescent="0.3">
      <c r="A2312" s="3"/>
      <c r="B2312" s="9"/>
      <c r="C2312" s="9"/>
      <c r="E2312" s="14" t="str">
        <f t="shared" si="184"/>
        <v/>
      </c>
      <c r="F2312" s="15" t="str">
        <f t="shared" ca="1" si="180"/>
        <v/>
      </c>
      <c r="G2312" s="15" t="str">
        <f t="shared" ca="1" si="181"/>
        <v/>
      </c>
      <c r="H2312" s="15" t="str">
        <f t="shared" ca="1" si="182"/>
        <v/>
      </c>
      <c r="I2312" s="16" t="str">
        <f t="shared" ca="1" si="183"/>
        <v/>
      </c>
    </row>
    <row r="2313" spans="1:9" x14ac:dyDescent="0.3">
      <c r="A2313" s="3"/>
      <c r="B2313" s="9"/>
      <c r="C2313" s="9"/>
      <c r="E2313" s="14" t="str">
        <f t="shared" si="184"/>
        <v/>
      </c>
      <c r="F2313" s="15" t="str">
        <f t="shared" ca="1" si="180"/>
        <v/>
      </c>
      <c r="G2313" s="15" t="str">
        <f t="shared" ca="1" si="181"/>
        <v/>
      </c>
      <c r="H2313" s="15" t="str">
        <f t="shared" ca="1" si="182"/>
        <v/>
      </c>
      <c r="I2313" s="16" t="str">
        <f t="shared" ca="1" si="183"/>
        <v/>
      </c>
    </row>
    <row r="2314" spans="1:9" x14ac:dyDescent="0.3">
      <c r="A2314" s="3"/>
      <c r="B2314" s="9"/>
      <c r="C2314" s="9"/>
      <c r="E2314" s="14" t="str">
        <f t="shared" si="184"/>
        <v/>
      </c>
      <c r="F2314" s="15" t="str">
        <f t="shared" ca="1" si="180"/>
        <v/>
      </c>
      <c r="G2314" s="15" t="str">
        <f t="shared" ca="1" si="181"/>
        <v/>
      </c>
      <c r="H2314" s="15" t="str">
        <f t="shared" ca="1" si="182"/>
        <v/>
      </c>
      <c r="I2314" s="16" t="str">
        <f t="shared" ca="1" si="183"/>
        <v/>
      </c>
    </row>
    <row r="2315" spans="1:9" x14ac:dyDescent="0.3">
      <c r="A2315" s="3"/>
      <c r="B2315" s="9"/>
      <c r="C2315" s="9"/>
      <c r="E2315" s="14" t="str">
        <f t="shared" si="184"/>
        <v/>
      </c>
      <c r="F2315" s="15" t="str">
        <f t="shared" ca="1" si="180"/>
        <v/>
      </c>
      <c r="G2315" s="15" t="str">
        <f t="shared" ca="1" si="181"/>
        <v/>
      </c>
      <c r="H2315" s="15" t="str">
        <f t="shared" ca="1" si="182"/>
        <v/>
      </c>
      <c r="I2315" s="16" t="str">
        <f t="shared" ca="1" si="183"/>
        <v/>
      </c>
    </row>
    <row r="2316" spans="1:9" x14ac:dyDescent="0.3">
      <c r="A2316" s="3"/>
      <c r="B2316" s="9"/>
      <c r="C2316" s="9"/>
      <c r="E2316" s="14" t="str">
        <f t="shared" si="184"/>
        <v/>
      </c>
      <c r="F2316" s="15" t="str">
        <f t="shared" ca="1" si="180"/>
        <v/>
      </c>
      <c r="G2316" s="15" t="str">
        <f t="shared" ca="1" si="181"/>
        <v/>
      </c>
      <c r="H2316" s="15" t="str">
        <f t="shared" ca="1" si="182"/>
        <v/>
      </c>
      <c r="I2316" s="16" t="str">
        <f t="shared" ca="1" si="183"/>
        <v/>
      </c>
    </row>
    <row r="2317" spans="1:9" x14ac:dyDescent="0.3">
      <c r="A2317" s="3"/>
      <c r="B2317" s="9"/>
      <c r="C2317" s="9"/>
      <c r="E2317" s="14" t="str">
        <f t="shared" si="184"/>
        <v/>
      </c>
      <c r="F2317" s="15" t="str">
        <f t="shared" ca="1" si="180"/>
        <v/>
      </c>
      <c r="G2317" s="15" t="str">
        <f t="shared" ca="1" si="181"/>
        <v/>
      </c>
      <c r="H2317" s="15" t="str">
        <f t="shared" ca="1" si="182"/>
        <v/>
      </c>
      <c r="I2317" s="16" t="str">
        <f t="shared" ca="1" si="183"/>
        <v/>
      </c>
    </row>
    <row r="2318" spans="1:9" x14ac:dyDescent="0.3">
      <c r="A2318" s="3"/>
      <c r="B2318" s="9"/>
      <c r="C2318" s="9"/>
      <c r="E2318" s="14" t="str">
        <f t="shared" si="184"/>
        <v/>
      </c>
      <c r="F2318" s="15" t="str">
        <f t="shared" ca="1" si="180"/>
        <v/>
      </c>
      <c r="G2318" s="15" t="str">
        <f t="shared" ca="1" si="181"/>
        <v/>
      </c>
      <c r="H2318" s="15" t="str">
        <f t="shared" ca="1" si="182"/>
        <v/>
      </c>
      <c r="I2318" s="16" t="str">
        <f t="shared" ca="1" si="183"/>
        <v/>
      </c>
    </row>
    <row r="2319" spans="1:9" x14ac:dyDescent="0.3">
      <c r="A2319" s="3"/>
      <c r="B2319" s="9"/>
      <c r="C2319" s="9"/>
      <c r="E2319" s="14" t="str">
        <f t="shared" si="184"/>
        <v/>
      </c>
      <c r="F2319" s="15" t="str">
        <f t="shared" ca="1" si="180"/>
        <v/>
      </c>
      <c r="G2319" s="15" t="str">
        <f t="shared" ca="1" si="181"/>
        <v/>
      </c>
      <c r="H2319" s="15" t="str">
        <f t="shared" ca="1" si="182"/>
        <v/>
      </c>
      <c r="I2319" s="16" t="str">
        <f t="shared" ca="1" si="183"/>
        <v/>
      </c>
    </row>
    <row r="2320" spans="1:9" x14ac:dyDescent="0.3">
      <c r="A2320" s="3"/>
      <c r="B2320" s="9"/>
      <c r="C2320" s="9"/>
      <c r="E2320" s="14" t="str">
        <f t="shared" si="184"/>
        <v/>
      </c>
      <c r="F2320" s="15" t="str">
        <f t="shared" ca="1" si="180"/>
        <v/>
      </c>
      <c r="G2320" s="15" t="str">
        <f t="shared" ca="1" si="181"/>
        <v/>
      </c>
      <c r="H2320" s="15" t="str">
        <f t="shared" ca="1" si="182"/>
        <v/>
      </c>
      <c r="I2320" s="16" t="str">
        <f t="shared" ca="1" si="183"/>
        <v/>
      </c>
    </row>
    <row r="2321" spans="1:9" x14ac:dyDescent="0.3">
      <c r="A2321" s="3"/>
      <c r="B2321" s="9"/>
      <c r="C2321" s="9"/>
      <c r="E2321" s="14" t="str">
        <f t="shared" si="184"/>
        <v/>
      </c>
      <c r="F2321" s="15" t="str">
        <f t="shared" ref="F2321:F2384" ca="1" si="185">IF(ISNUMBER(E2321),IF(ROW(E2321)&gt;$K$1,AVERAGE(OFFSET(E2321,0,0,-$K$1)),""),"")</f>
        <v/>
      </c>
      <c r="G2321" s="15" t="str">
        <f t="shared" ref="G2321:G2384" ca="1" si="186">IF(ISNUMBER(I2321),F2321+I2321*$M$1,"")</f>
        <v/>
      </c>
      <c r="H2321" s="15" t="str">
        <f t="shared" ref="H2321:H2384" ca="1" si="187">IF(ISNUMBER(I2321),F2321-I2321*$M$1,"")</f>
        <v/>
      </c>
      <c r="I2321" s="16" t="str">
        <f t="shared" ref="I2321:I2384" ca="1" si="188">IF(ISNUMBER(E2321),IF(ROW(E2321)&gt;$K$1,_xlfn.STDEV.P(OFFSET(E2321,0,0,-$K$1)),""),"")</f>
        <v/>
      </c>
    </row>
    <row r="2322" spans="1:9" x14ac:dyDescent="0.3">
      <c r="A2322" s="3"/>
      <c r="B2322" s="9"/>
      <c r="C2322" s="9"/>
      <c r="E2322" s="14" t="str">
        <f t="shared" si="184"/>
        <v/>
      </c>
      <c r="F2322" s="15" t="str">
        <f t="shared" ca="1" si="185"/>
        <v/>
      </c>
      <c r="G2322" s="15" t="str">
        <f t="shared" ca="1" si="186"/>
        <v/>
      </c>
      <c r="H2322" s="15" t="str">
        <f t="shared" ca="1" si="187"/>
        <v/>
      </c>
      <c r="I2322" s="16" t="str">
        <f t="shared" ca="1" si="188"/>
        <v/>
      </c>
    </row>
    <row r="2323" spans="1:9" x14ac:dyDescent="0.3">
      <c r="A2323" s="3"/>
      <c r="B2323" s="9"/>
      <c r="C2323" s="9"/>
      <c r="E2323" s="14" t="str">
        <f t="shared" si="184"/>
        <v/>
      </c>
      <c r="F2323" s="15" t="str">
        <f t="shared" ca="1" si="185"/>
        <v/>
      </c>
      <c r="G2323" s="15" t="str">
        <f t="shared" ca="1" si="186"/>
        <v/>
      </c>
      <c r="H2323" s="15" t="str">
        <f t="shared" ca="1" si="187"/>
        <v/>
      </c>
      <c r="I2323" s="16" t="str">
        <f t="shared" ca="1" si="188"/>
        <v/>
      </c>
    </row>
    <row r="2324" spans="1:9" x14ac:dyDescent="0.3">
      <c r="A2324" s="3"/>
      <c r="B2324" s="9"/>
      <c r="C2324" s="9"/>
      <c r="E2324" s="14" t="str">
        <f t="shared" si="184"/>
        <v/>
      </c>
      <c r="F2324" s="15" t="str">
        <f t="shared" ca="1" si="185"/>
        <v/>
      </c>
      <c r="G2324" s="15" t="str">
        <f t="shared" ca="1" si="186"/>
        <v/>
      </c>
      <c r="H2324" s="15" t="str">
        <f t="shared" ca="1" si="187"/>
        <v/>
      </c>
      <c r="I2324" s="16" t="str">
        <f t="shared" ca="1" si="188"/>
        <v/>
      </c>
    </row>
    <row r="2325" spans="1:9" x14ac:dyDescent="0.3">
      <c r="A2325" s="3"/>
      <c r="B2325" s="9"/>
      <c r="C2325" s="9"/>
      <c r="E2325" s="14" t="str">
        <f t="shared" si="184"/>
        <v/>
      </c>
      <c r="F2325" s="15" t="str">
        <f t="shared" ca="1" si="185"/>
        <v/>
      </c>
      <c r="G2325" s="15" t="str">
        <f t="shared" ca="1" si="186"/>
        <v/>
      </c>
      <c r="H2325" s="15" t="str">
        <f t="shared" ca="1" si="187"/>
        <v/>
      </c>
      <c r="I2325" s="16" t="str">
        <f t="shared" ca="1" si="188"/>
        <v/>
      </c>
    </row>
    <row r="2326" spans="1:9" x14ac:dyDescent="0.3">
      <c r="A2326" s="3"/>
      <c r="B2326" s="9"/>
      <c r="C2326" s="9"/>
      <c r="E2326" s="14" t="str">
        <f t="shared" si="184"/>
        <v/>
      </c>
      <c r="F2326" s="15" t="str">
        <f t="shared" ca="1" si="185"/>
        <v/>
      </c>
      <c r="G2326" s="15" t="str">
        <f t="shared" ca="1" si="186"/>
        <v/>
      </c>
      <c r="H2326" s="15" t="str">
        <f t="shared" ca="1" si="187"/>
        <v/>
      </c>
      <c r="I2326" s="16" t="str">
        <f t="shared" ca="1" si="188"/>
        <v/>
      </c>
    </row>
    <row r="2327" spans="1:9" x14ac:dyDescent="0.3">
      <c r="A2327" s="3"/>
      <c r="B2327" s="9"/>
      <c r="C2327" s="9"/>
      <c r="E2327" s="14" t="str">
        <f t="shared" si="184"/>
        <v/>
      </c>
      <c r="F2327" s="15" t="str">
        <f t="shared" ca="1" si="185"/>
        <v/>
      </c>
      <c r="G2327" s="15" t="str">
        <f t="shared" ca="1" si="186"/>
        <v/>
      </c>
      <c r="H2327" s="15" t="str">
        <f t="shared" ca="1" si="187"/>
        <v/>
      </c>
      <c r="I2327" s="16" t="str">
        <f t="shared" ca="1" si="188"/>
        <v/>
      </c>
    </row>
    <row r="2328" spans="1:9" x14ac:dyDescent="0.3">
      <c r="A2328" s="3"/>
      <c r="B2328" s="9"/>
      <c r="C2328" s="9"/>
      <c r="E2328" s="14" t="str">
        <f t="shared" si="184"/>
        <v/>
      </c>
      <c r="F2328" s="15" t="str">
        <f t="shared" ca="1" si="185"/>
        <v/>
      </c>
      <c r="G2328" s="15" t="str">
        <f t="shared" ca="1" si="186"/>
        <v/>
      </c>
      <c r="H2328" s="15" t="str">
        <f t="shared" ca="1" si="187"/>
        <v/>
      </c>
      <c r="I2328" s="16" t="str">
        <f t="shared" ca="1" si="188"/>
        <v/>
      </c>
    </row>
    <row r="2329" spans="1:9" x14ac:dyDescent="0.3">
      <c r="A2329" s="3"/>
      <c r="B2329" s="9"/>
      <c r="C2329" s="9"/>
      <c r="E2329" s="14" t="str">
        <f t="shared" si="184"/>
        <v/>
      </c>
      <c r="F2329" s="15" t="str">
        <f t="shared" ca="1" si="185"/>
        <v/>
      </c>
      <c r="G2329" s="15" t="str">
        <f t="shared" ca="1" si="186"/>
        <v/>
      </c>
      <c r="H2329" s="15" t="str">
        <f t="shared" ca="1" si="187"/>
        <v/>
      </c>
      <c r="I2329" s="16" t="str">
        <f t="shared" ca="1" si="188"/>
        <v/>
      </c>
    </row>
    <row r="2330" spans="1:9" x14ac:dyDescent="0.3">
      <c r="A2330" s="3"/>
      <c r="B2330" s="9"/>
      <c r="C2330" s="9"/>
      <c r="E2330" s="14" t="str">
        <f t="shared" si="184"/>
        <v/>
      </c>
      <c r="F2330" s="15" t="str">
        <f t="shared" ca="1" si="185"/>
        <v/>
      </c>
      <c r="G2330" s="15" t="str">
        <f t="shared" ca="1" si="186"/>
        <v/>
      </c>
      <c r="H2330" s="15" t="str">
        <f t="shared" ca="1" si="187"/>
        <v/>
      </c>
      <c r="I2330" s="16" t="str">
        <f t="shared" ca="1" si="188"/>
        <v/>
      </c>
    </row>
    <row r="2331" spans="1:9" x14ac:dyDescent="0.3">
      <c r="A2331" s="3"/>
      <c r="B2331" s="9"/>
      <c r="C2331" s="9"/>
      <c r="E2331" s="14" t="str">
        <f t="shared" si="184"/>
        <v/>
      </c>
      <c r="F2331" s="15" t="str">
        <f t="shared" ca="1" si="185"/>
        <v/>
      </c>
      <c r="G2331" s="15" t="str">
        <f t="shared" ca="1" si="186"/>
        <v/>
      </c>
      <c r="H2331" s="15" t="str">
        <f t="shared" ca="1" si="187"/>
        <v/>
      </c>
      <c r="I2331" s="16" t="str">
        <f t="shared" ca="1" si="188"/>
        <v/>
      </c>
    </row>
    <row r="2332" spans="1:9" x14ac:dyDescent="0.3">
      <c r="A2332" s="3"/>
      <c r="B2332" s="9"/>
      <c r="C2332" s="9"/>
      <c r="E2332" s="14" t="str">
        <f t="shared" si="184"/>
        <v/>
      </c>
      <c r="F2332" s="15" t="str">
        <f t="shared" ca="1" si="185"/>
        <v/>
      </c>
      <c r="G2332" s="15" t="str">
        <f t="shared" ca="1" si="186"/>
        <v/>
      </c>
      <c r="H2332" s="15" t="str">
        <f t="shared" ca="1" si="187"/>
        <v/>
      </c>
      <c r="I2332" s="16" t="str">
        <f t="shared" ca="1" si="188"/>
        <v/>
      </c>
    </row>
    <row r="2333" spans="1:9" x14ac:dyDescent="0.3">
      <c r="A2333" s="3"/>
      <c r="B2333" s="9"/>
      <c r="C2333" s="9"/>
      <c r="E2333" s="14" t="str">
        <f t="shared" si="184"/>
        <v/>
      </c>
      <c r="F2333" s="15" t="str">
        <f t="shared" ca="1" si="185"/>
        <v/>
      </c>
      <c r="G2333" s="15" t="str">
        <f t="shared" ca="1" si="186"/>
        <v/>
      </c>
      <c r="H2333" s="15" t="str">
        <f t="shared" ca="1" si="187"/>
        <v/>
      </c>
      <c r="I2333" s="16" t="str">
        <f t="shared" ca="1" si="188"/>
        <v/>
      </c>
    </row>
    <row r="2334" spans="1:9" x14ac:dyDescent="0.3">
      <c r="A2334" s="3"/>
      <c r="B2334" s="9"/>
      <c r="C2334" s="9"/>
      <c r="E2334" s="14" t="str">
        <f t="shared" si="184"/>
        <v/>
      </c>
      <c r="F2334" s="15" t="str">
        <f t="shared" ca="1" si="185"/>
        <v/>
      </c>
      <c r="G2334" s="15" t="str">
        <f t="shared" ca="1" si="186"/>
        <v/>
      </c>
      <c r="H2334" s="15" t="str">
        <f t="shared" ca="1" si="187"/>
        <v/>
      </c>
      <c r="I2334" s="16" t="str">
        <f t="shared" ca="1" si="188"/>
        <v/>
      </c>
    </row>
    <row r="2335" spans="1:9" x14ac:dyDescent="0.3">
      <c r="A2335" s="3"/>
      <c r="B2335" s="9"/>
      <c r="C2335" s="9"/>
      <c r="E2335" s="14" t="str">
        <f t="shared" si="184"/>
        <v/>
      </c>
      <c r="F2335" s="15" t="str">
        <f t="shared" ca="1" si="185"/>
        <v/>
      </c>
      <c r="G2335" s="15" t="str">
        <f t="shared" ca="1" si="186"/>
        <v/>
      </c>
      <c r="H2335" s="15" t="str">
        <f t="shared" ca="1" si="187"/>
        <v/>
      </c>
      <c r="I2335" s="16" t="str">
        <f t="shared" ca="1" si="188"/>
        <v/>
      </c>
    </row>
    <row r="2336" spans="1:9" x14ac:dyDescent="0.3">
      <c r="A2336" s="3"/>
      <c r="B2336" s="9"/>
      <c r="C2336" s="9"/>
      <c r="E2336" s="14" t="str">
        <f t="shared" si="184"/>
        <v/>
      </c>
      <c r="F2336" s="15" t="str">
        <f t="shared" ca="1" si="185"/>
        <v/>
      </c>
      <c r="G2336" s="15" t="str">
        <f t="shared" ca="1" si="186"/>
        <v/>
      </c>
      <c r="H2336" s="15" t="str">
        <f t="shared" ca="1" si="187"/>
        <v/>
      </c>
      <c r="I2336" s="16" t="str">
        <f t="shared" ca="1" si="188"/>
        <v/>
      </c>
    </row>
    <row r="2337" spans="1:9" x14ac:dyDescent="0.3">
      <c r="A2337" s="3"/>
      <c r="B2337" s="9"/>
      <c r="C2337" s="9"/>
      <c r="E2337" s="14" t="str">
        <f t="shared" si="184"/>
        <v/>
      </c>
      <c r="F2337" s="15" t="str">
        <f t="shared" ca="1" si="185"/>
        <v/>
      </c>
      <c r="G2337" s="15" t="str">
        <f t="shared" ca="1" si="186"/>
        <v/>
      </c>
      <c r="H2337" s="15" t="str">
        <f t="shared" ca="1" si="187"/>
        <v/>
      </c>
      <c r="I2337" s="16" t="str">
        <f t="shared" ca="1" si="188"/>
        <v/>
      </c>
    </row>
    <row r="2338" spans="1:9" x14ac:dyDescent="0.3">
      <c r="A2338" s="3"/>
      <c r="B2338" s="9"/>
      <c r="C2338" s="9"/>
      <c r="E2338" s="14" t="str">
        <f t="shared" si="184"/>
        <v/>
      </c>
      <c r="F2338" s="15" t="str">
        <f t="shared" ca="1" si="185"/>
        <v/>
      </c>
      <c r="G2338" s="15" t="str">
        <f t="shared" ca="1" si="186"/>
        <v/>
      </c>
      <c r="H2338" s="15" t="str">
        <f t="shared" ca="1" si="187"/>
        <v/>
      </c>
      <c r="I2338" s="16" t="str">
        <f t="shared" ca="1" si="188"/>
        <v/>
      </c>
    </row>
    <row r="2339" spans="1:9" x14ac:dyDescent="0.3">
      <c r="A2339" s="3"/>
      <c r="B2339" s="9"/>
      <c r="C2339" s="9"/>
      <c r="E2339" s="14" t="str">
        <f t="shared" si="184"/>
        <v/>
      </c>
      <c r="F2339" s="15" t="str">
        <f t="shared" ca="1" si="185"/>
        <v/>
      </c>
      <c r="G2339" s="15" t="str">
        <f t="shared" ca="1" si="186"/>
        <v/>
      </c>
      <c r="H2339" s="15" t="str">
        <f t="shared" ca="1" si="187"/>
        <v/>
      </c>
      <c r="I2339" s="16" t="str">
        <f t="shared" ca="1" si="188"/>
        <v/>
      </c>
    </row>
    <row r="2340" spans="1:9" x14ac:dyDescent="0.3">
      <c r="A2340" s="3"/>
      <c r="B2340" s="9"/>
      <c r="C2340" s="9"/>
      <c r="E2340" s="14" t="str">
        <f t="shared" si="184"/>
        <v/>
      </c>
      <c r="F2340" s="15" t="str">
        <f t="shared" ca="1" si="185"/>
        <v/>
      </c>
      <c r="G2340" s="15" t="str">
        <f t="shared" ca="1" si="186"/>
        <v/>
      </c>
      <c r="H2340" s="15" t="str">
        <f t="shared" ca="1" si="187"/>
        <v/>
      </c>
      <c r="I2340" s="16" t="str">
        <f t="shared" ca="1" si="188"/>
        <v/>
      </c>
    </row>
    <row r="2341" spans="1:9" x14ac:dyDescent="0.3">
      <c r="A2341" s="3"/>
      <c r="B2341" s="9"/>
      <c r="C2341" s="9"/>
      <c r="E2341" s="14" t="str">
        <f t="shared" si="184"/>
        <v/>
      </c>
      <c r="F2341" s="15" t="str">
        <f t="shared" ca="1" si="185"/>
        <v/>
      </c>
      <c r="G2341" s="15" t="str">
        <f t="shared" ca="1" si="186"/>
        <v/>
      </c>
      <c r="H2341" s="15" t="str">
        <f t="shared" ca="1" si="187"/>
        <v/>
      </c>
      <c r="I2341" s="16" t="str">
        <f t="shared" ca="1" si="188"/>
        <v/>
      </c>
    </row>
    <row r="2342" spans="1:9" x14ac:dyDescent="0.3">
      <c r="A2342" s="3"/>
      <c r="B2342" s="9"/>
      <c r="C2342" s="9"/>
      <c r="E2342" s="14" t="str">
        <f t="shared" si="184"/>
        <v/>
      </c>
      <c r="F2342" s="15" t="str">
        <f t="shared" ca="1" si="185"/>
        <v/>
      </c>
      <c r="G2342" s="15" t="str">
        <f t="shared" ca="1" si="186"/>
        <v/>
      </c>
      <c r="H2342" s="15" t="str">
        <f t="shared" ca="1" si="187"/>
        <v/>
      </c>
      <c r="I2342" s="16" t="str">
        <f t="shared" ca="1" si="188"/>
        <v/>
      </c>
    </row>
    <row r="2343" spans="1:9" x14ac:dyDescent="0.3">
      <c r="A2343" s="3"/>
      <c r="B2343" s="9"/>
      <c r="C2343" s="9"/>
      <c r="E2343" s="14" t="str">
        <f t="shared" si="184"/>
        <v/>
      </c>
      <c r="F2343" s="15" t="str">
        <f t="shared" ca="1" si="185"/>
        <v/>
      </c>
      <c r="G2343" s="15" t="str">
        <f t="shared" ca="1" si="186"/>
        <v/>
      </c>
      <c r="H2343" s="15" t="str">
        <f t="shared" ca="1" si="187"/>
        <v/>
      </c>
      <c r="I2343" s="16" t="str">
        <f t="shared" ca="1" si="188"/>
        <v/>
      </c>
    </row>
    <row r="2344" spans="1:9" x14ac:dyDescent="0.3">
      <c r="A2344" s="3"/>
      <c r="B2344" s="9"/>
      <c r="C2344" s="9"/>
      <c r="E2344" s="14" t="str">
        <f t="shared" si="184"/>
        <v/>
      </c>
      <c r="F2344" s="15" t="str">
        <f t="shared" ca="1" si="185"/>
        <v/>
      </c>
      <c r="G2344" s="15" t="str">
        <f t="shared" ca="1" si="186"/>
        <v/>
      </c>
      <c r="H2344" s="15" t="str">
        <f t="shared" ca="1" si="187"/>
        <v/>
      </c>
      <c r="I2344" s="16" t="str">
        <f t="shared" ca="1" si="188"/>
        <v/>
      </c>
    </row>
    <row r="2345" spans="1:9" x14ac:dyDescent="0.3">
      <c r="A2345" s="3"/>
      <c r="B2345" s="9"/>
      <c r="C2345" s="9"/>
      <c r="E2345" s="14" t="str">
        <f t="shared" si="184"/>
        <v/>
      </c>
      <c r="F2345" s="15" t="str">
        <f t="shared" ca="1" si="185"/>
        <v/>
      </c>
      <c r="G2345" s="15" t="str">
        <f t="shared" ca="1" si="186"/>
        <v/>
      </c>
      <c r="H2345" s="15" t="str">
        <f t="shared" ca="1" si="187"/>
        <v/>
      </c>
      <c r="I2345" s="16" t="str">
        <f t="shared" ca="1" si="188"/>
        <v/>
      </c>
    </row>
    <row r="2346" spans="1:9" x14ac:dyDescent="0.3">
      <c r="A2346" s="3"/>
      <c r="B2346" s="9"/>
      <c r="C2346" s="9"/>
      <c r="E2346" s="14" t="str">
        <f t="shared" si="184"/>
        <v/>
      </c>
      <c r="F2346" s="15" t="str">
        <f t="shared" ca="1" si="185"/>
        <v/>
      </c>
      <c r="G2346" s="15" t="str">
        <f t="shared" ca="1" si="186"/>
        <v/>
      </c>
      <c r="H2346" s="15" t="str">
        <f t="shared" ca="1" si="187"/>
        <v/>
      </c>
      <c r="I2346" s="16" t="str">
        <f t="shared" ca="1" si="188"/>
        <v/>
      </c>
    </row>
    <row r="2347" spans="1:9" x14ac:dyDescent="0.3">
      <c r="A2347" s="3"/>
      <c r="B2347" s="9"/>
      <c r="C2347" s="9"/>
      <c r="E2347" s="14" t="str">
        <f t="shared" si="184"/>
        <v/>
      </c>
      <c r="F2347" s="15" t="str">
        <f t="shared" ca="1" si="185"/>
        <v/>
      </c>
      <c r="G2347" s="15" t="str">
        <f t="shared" ca="1" si="186"/>
        <v/>
      </c>
      <c r="H2347" s="15" t="str">
        <f t="shared" ca="1" si="187"/>
        <v/>
      </c>
      <c r="I2347" s="16" t="str">
        <f t="shared" ca="1" si="188"/>
        <v/>
      </c>
    </row>
    <row r="2348" spans="1:9" x14ac:dyDescent="0.3">
      <c r="A2348" s="3"/>
      <c r="B2348" s="9"/>
      <c r="C2348" s="9"/>
      <c r="E2348" s="14" t="str">
        <f t="shared" si="184"/>
        <v/>
      </c>
      <c r="F2348" s="15" t="str">
        <f t="shared" ca="1" si="185"/>
        <v/>
      </c>
      <c r="G2348" s="15" t="str">
        <f t="shared" ca="1" si="186"/>
        <v/>
      </c>
      <c r="H2348" s="15" t="str">
        <f t="shared" ca="1" si="187"/>
        <v/>
      </c>
      <c r="I2348" s="16" t="str">
        <f t="shared" ca="1" si="188"/>
        <v/>
      </c>
    </row>
    <row r="2349" spans="1:9" x14ac:dyDescent="0.3">
      <c r="A2349" s="3"/>
      <c r="B2349" s="9"/>
      <c r="C2349" s="9"/>
      <c r="E2349" s="14" t="str">
        <f t="shared" si="184"/>
        <v/>
      </c>
      <c r="F2349" s="15" t="str">
        <f t="shared" ca="1" si="185"/>
        <v/>
      </c>
      <c r="G2349" s="15" t="str">
        <f t="shared" ca="1" si="186"/>
        <v/>
      </c>
      <c r="H2349" s="15" t="str">
        <f t="shared" ca="1" si="187"/>
        <v/>
      </c>
      <c r="I2349" s="16" t="str">
        <f t="shared" ca="1" si="188"/>
        <v/>
      </c>
    </row>
    <row r="2350" spans="1:9" x14ac:dyDescent="0.3">
      <c r="A2350" s="3"/>
      <c r="B2350" s="9"/>
      <c r="C2350" s="9"/>
      <c r="E2350" s="14" t="str">
        <f t="shared" si="184"/>
        <v/>
      </c>
      <c r="F2350" s="15" t="str">
        <f t="shared" ca="1" si="185"/>
        <v/>
      </c>
      <c r="G2350" s="15" t="str">
        <f t="shared" ca="1" si="186"/>
        <v/>
      </c>
      <c r="H2350" s="15" t="str">
        <f t="shared" ca="1" si="187"/>
        <v/>
      </c>
      <c r="I2350" s="16" t="str">
        <f t="shared" ca="1" si="188"/>
        <v/>
      </c>
    </row>
    <row r="2351" spans="1:9" x14ac:dyDescent="0.3">
      <c r="A2351" s="3"/>
      <c r="B2351" s="9"/>
      <c r="C2351" s="9"/>
      <c r="E2351" s="14" t="str">
        <f t="shared" si="184"/>
        <v/>
      </c>
      <c r="F2351" s="15" t="str">
        <f t="shared" ca="1" si="185"/>
        <v/>
      </c>
      <c r="G2351" s="15" t="str">
        <f t="shared" ca="1" si="186"/>
        <v/>
      </c>
      <c r="H2351" s="15" t="str">
        <f t="shared" ca="1" si="187"/>
        <v/>
      </c>
      <c r="I2351" s="16" t="str">
        <f t="shared" ca="1" si="188"/>
        <v/>
      </c>
    </row>
    <row r="2352" spans="1:9" x14ac:dyDescent="0.3">
      <c r="A2352" s="3"/>
      <c r="B2352" s="9"/>
      <c r="C2352" s="9"/>
      <c r="E2352" s="14" t="str">
        <f t="shared" si="184"/>
        <v/>
      </c>
      <c r="F2352" s="15" t="str">
        <f t="shared" ca="1" si="185"/>
        <v/>
      </c>
      <c r="G2352" s="15" t="str">
        <f t="shared" ca="1" si="186"/>
        <v/>
      </c>
      <c r="H2352" s="15" t="str">
        <f t="shared" ca="1" si="187"/>
        <v/>
      </c>
      <c r="I2352" s="16" t="str">
        <f t="shared" ca="1" si="188"/>
        <v/>
      </c>
    </row>
    <row r="2353" spans="1:9" x14ac:dyDescent="0.3">
      <c r="A2353" s="3"/>
      <c r="B2353" s="9"/>
      <c r="C2353" s="9"/>
      <c r="E2353" s="14" t="str">
        <f t="shared" si="184"/>
        <v/>
      </c>
      <c r="F2353" s="15" t="str">
        <f t="shared" ca="1" si="185"/>
        <v/>
      </c>
      <c r="G2353" s="15" t="str">
        <f t="shared" ca="1" si="186"/>
        <v/>
      </c>
      <c r="H2353" s="15" t="str">
        <f t="shared" ca="1" si="187"/>
        <v/>
      </c>
      <c r="I2353" s="16" t="str">
        <f t="shared" ca="1" si="188"/>
        <v/>
      </c>
    </row>
    <row r="2354" spans="1:9" x14ac:dyDescent="0.3">
      <c r="A2354" s="3"/>
      <c r="B2354" s="9"/>
      <c r="C2354" s="9"/>
      <c r="E2354" s="14" t="str">
        <f t="shared" si="184"/>
        <v/>
      </c>
      <c r="F2354" s="15" t="str">
        <f t="shared" ca="1" si="185"/>
        <v/>
      </c>
      <c r="G2354" s="15" t="str">
        <f t="shared" ca="1" si="186"/>
        <v/>
      </c>
      <c r="H2354" s="15" t="str">
        <f t="shared" ca="1" si="187"/>
        <v/>
      </c>
      <c r="I2354" s="16" t="str">
        <f t="shared" ca="1" si="188"/>
        <v/>
      </c>
    </row>
    <row r="2355" spans="1:9" x14ac:dyDescent="0.3">
      <c r="A2355" s="3"/>
      <c r="B2355" s="9"/>
      <c r="C2355" s="9"/>
      <c r="E2355" s="14" t="str">
        <f t="shared" si="184"/>
        <v/>
      </c>
      <c r="F2355" s="15" t="str">
        <f t="shared" ca="1" si="185"/>
        <v/>
      </c>
      <c r="G2355" s="15" t="str">
        <f t="shared" ca="1" si="186"/>
        <v/>
      </c>
      <c r="H2355" s="15" t="str">
        <f t="shared" ca="1" si="187"/>
        <v/>
      </c>
      <c r="I2355" s="16" t="str">
        <f t="shared" ca="1" si="188"/>
        <v/>
      </c>
    </row>
    <row r="2356" spans="1:9" x14ac:dyDescent="0.3">
      <c r="A2356" s="3"/>
      <c r="B2356" s="9"/>
      <c r="C2356" s="9"/>
      <c r="E2356" s="14" t="str">
        <f t="shared" si="184"/>
        <v/>
      </c>
      <c r="F2356" s="15" t="str">
        <f t="shared" ca="1" si="185"/>
        <v/>
      </c>
      <c r="G2356" s="15" t="str">
        <f t="shared" ca="1" si="186"/>
        <v/>
      </c>
      <c r="H2356" s="15" t="str">
        <f t="shared" ca="1" si="187"/>
        <v/>
      </c>
      <c r="I2356" s="16" t="str">
        <f t="shared" ca="1" si="188"/>
        <v/>
      </c>
    </row>
    <row r="2357" spans="1:9" x14ac:dyDescent="0.3">
      <c r="A2357" s="3"/>
      <c r="B2357" s="9"/>
      <c r="C2357" s="9"/>
      <c r="E2357" s="14" t="str">
        <f t="shared" si="184"/>
        <v/>
      </c>
      <c r="F2357" s="15" t="str">
        <f t="shared" ca="1" si="185"/>
        <v/>
      </c>
      <c r="G2357" s="15" t="str">
        <f t="shared" ca="1" si="186"/>
        <v/>
      </c>
      <c r="H2357" s="15" t="str">
        <f t="shared" ca="1" si="187"/>
        <v/>
      </c>
      <c r="I2357" s="16" t="str">
        <f t="shared" ca="1" si="188"/>
        <v/>
      </c>
    </row>
    <row r="2358" spans="1:9" x14ac:dyDescent="0.3">
      <c r="A2358" s="3"/>
      <c r="B2358" s="9"/>
      <c r="C2358" s="9"/>
      <c r="E2358" s="14" t="str">
        <f t="shared" si="184"/>
        <v/>
      </c>
      <c r="F2358" s="15" t="str">
        <f t="shared" ca="1" si="185"/>
        <v/>
      </c>
      <c r="G2358" s="15" t="str">
        <f t="shared" ca="1" si="186"/>
        <v/>
      </c>
      <c r="H2358" s="15" t="str">
        <f t="shared" ca="1" si="187"/>
        <v/>
      </c>
      <c r="I2358" s="16" t="str">
        <f t="shared" ca="1" si="188"/>
        <v/>
      </c>
    </row>
    <row r="2359" spans="1:9" x14ac:dyDescent="0.3">
      <c r="A2359" s="3"/>
      <c r="B2359" s="9"/>
      <c r="C2359" s="9"/>
      <c r="E2359" s="14" t="str">
        <f t="shared" si="184"/>
        <v/>
      </c>
      <c r="F2359" s="15" t="str">
        <f t="shared" ca="1" si="185"/>
        <v/>
      </c>
      <c r="G2359" s="15" t="str">
        <f t="shared" ca="1" si="186"/>
        <v/>
      </c>
      <c r="H2359" s="15" t="str">
        <f t="shared" ca="1" si="187"/>
        <v/>
      </c>
      <c r="I2359" s="16" t="str">
        <f t="shared" ca="1" si="188"/>
        <v/>
      </c>
    </row>
    <row r="2360" spans="1:9" x14ac:dyDescent="0.3">
      <c r="A2360" s="3"/>
      <c r="B2360" s="9"/>
      <c r="C2360" s="9"/>
      <c r="E2360" s="14" t="str">
        <f t="shared" si="184"/>
        <v/>
      </c>
      <c r="F2360" s="15" t="str">
        <f t="shared" ca="1" si="185"/>
        <v/>
      </c>
      <c r="G2360" s="15" t="str">
        <f t="shared" ca="1" si="186"/>
        <v/>
      </c>
      <c r="H2360" s="15" t="str">
        <f t="shared" ca="1" si="187"/>
        <v/>
      </c>
      <c r="I2360" s="16" t="str">
        <f t="shared" ca="1" si="188"/>
        <v/>
      </c>
    </row>
    <row r="2361" spans="1:9" x14ac:dyDescent="0.3">
      <c r="A2361" s="3"/>
      <c r="B2361" s="9"/>
      <c r="C2361" s="9"/>
      <c r="E2361" s="14" t="str">
        <f t="shared" si="184"/>
        <v/>
      </c>
      <c r="F2361" s="15" t="str">
        <f t="shared" ca="1" si="185"/>
        <v/>
      </c>
      <c r="G2361" s="15" t="str">
        <f t="shared" ca="1" si="186"/>
        <v/>
      </c>
      <c r="H2361" s="15" t="str">
        <f t="shared" ca="1" si="187"/>
        <v/>
      </c>
      <c r="I2361" s="16" t="str">
        <f t="shared" ca="1" si="188"/>
        <v/>
      </c>
    </row>
    <row r="2362" spans="1:9" x14ac:dyDescent="0.3">
      <c r="A2362" s="3"/>
      <c r="B2362" s="9"/>
      <c r="C2362" s="9"/>
      <c r="E2362" s="14" t="str">
        <f t="shared" si="184"/>
        <v/>
      </c>
      <c r="F2362" s="15" t="str">
        <f t="shared" ca="1" si="185"/>
        <v/>
      </c>
      <c r="G2362" s="15" t="str">
        <f t="shared" ca="1" si="186"/>
        <v/>
      </c>
      <c r="H2362" s="15" t="str">
        <f t="shared" ca="1" si="187"/>
        <v/>
      </c>
      <c r="I2362" s="16" t="str">
        <f t="shared" ca="1" si="188"/>
        <v/>
      </c>
    </row>
    <row r="2363" spans="1:9" x14ac:dyDescent="0.3">
      <c r="A2363" s="3"/>
      <c r="B2363" s="9"/>
      <c r="C2363" s="9"/>
      <c r="E2363" s="14" t="str">
        <f t="shared" si="184"/>
        <v/>
      </c>
      <c r="F2363" s="15" t="str">
        <f t="shared" ca="1" si="185"/>
        <v/>
      </c>
      <c r="G2363" s="15" t="str">
        <f t="shared" ca="1" si="186"/>
        <v/>
      </c>
      <c r="H2363" s="15" t="str">
        <f t="shared" ca="1" si="187"/>
        <v/>
      </c>
      <c r="I2363" s="16" t="str">
        <f t="shared" ca="1" si="188"/>
        <v/>
      </c>
    </row>
    <row r="2364" spans="1:9" x14ac:dyDescent="0.3">
      <c r="A2364" s="3"/>
      <c r="B2364" s="9"/>
      <c r="C2364" s="9"/>
      <c r="E2364" s="14" t="str">
        <f t="shared" si="184"/>
        <v/>
      </c>
      <c r="F2364" s="15" t="str">
        <f t="shared" ca="1" si="185"/>
        <v/>
      </c>
      <c r="G2364" s="15" t="str">
        <f t="shared" ca="1" si="186"/>
        <v/>
      </c>
      <c r="H2364" s="15" t="str">
        <f t="shared" ca="1" si="187"/>
        <v/>
      </c>
      <c r="I2364" s="16" t="str">
        <f t="shared" ca="1" si="188"/>
        <v/>
      </c>
    </row>
    <row r="2365" spans="1:9" x14ac:dyDescent="0.3">
      <c r="A2365" s="3"/>
      <c r="B2365" s="9"/>
      <c r="C2365" s="9"/>
      <c r="E2365" s="14" t="str">
        <f t="shared" si="184"/>
        <v/>
      </c>
      <c r="F2365" s="15" t="str">
        <f t="shared" ca="1" si="185"/>
        <v/>
      </c>
      <c r="G2365" s="15" t="str">
        <f t="shared" ca="1" si="186"/>
        <v/>
      </c>
      <c r="H2365" s="15" t="str">
        <f t="shared" ca="1" si="187"/>
        <v/>
      </c>
      <c r="I2365" s="16" t="str">
        <f t="shared" ca="1" si="188"/>
        <v/>
      </c>
    </row>
    <row r="2366" spans="1:9" x14ac:dyDescent="0.3">
      <c r="A2366" s="3"/>
      <c r="B2366" s="9"/>
      <c r="C2366" s="9"/>
      <c r="E2366" s="14" t="str">
        <f t="shared" si="184"/>
        <v/>
      </c>
      <c r="F2366" s="15" t="str">
        <f t="shared" ca="1" si="185"/>
        <v/>
      </c>
      <c r="G2366" s="15" t="str">
        <f t="shared" ca="1" si="186"/>
        <v/>
      </c>
      <c r="H2366" s="15" t="str">
        <f t="shared" ca="1" si="187"/>
        <v/>
      </c>
      <c r="I2366" s="16" t="str">
        <f t="shared" ca="1" si="188"/>
        <v/>
      </c>
    </row>
    <row r="2367" spans="1:9" x14ac:dyDescent="0.3">
      <c r="A2367" s="3"/>
      <c r="B2367" s="9"/>
      <c r="C2367" s="9"/>
      <c r="E2367" s="14" t="str">
        <f t="shared" si="184"/>
        <v/>
      </c>
      <c r="F2367" s="15" t="str">
        <f t="shared" ca="1" si="185"/>
        <v/>
      </c>
      <c r="G2367" s="15" t="str">
        <f t="shared" ca="1" si="186"/>
        <v/>
      </c>
      <c r="H2367" s="15" t="str">
        <f t="shared" ca="1" si="187"/>
        <v/>
      </c>
      <c r="I2367" s="16" t="str">
        <f t="shared" ca="1" si="188"/>
        <v/>
      </c>
    </row>
    <row r="2368" spans="1:9" x14ac:dyDescent="0.3">
      <c r="A2368" s="3"/>
      <c r="B2368" s="9"/>
      <c r="C2368" s="9"/>
      <c r="E2368" s="14" t="str">
        <f t="shared" si="184"/>
        <v/>
      </c>
      <c r="F2368" s="15" t="str">
        <f t="shared" ca="1" si="185"/>
        <v/>
      </c>
      <c r="G2368" s="15" t="str">
        <f t="shared" ca="1" si="186"/>
        <v/>
      </c>
      <c r="H2368" s="15" t="str">
        <f t="shared" ca="1" si="187"/>
        <v/>
      </c>
      <c r="I2368" s="16" t="str">
        <f t="shared" ca="1" si="188"/>
        <v/>
      </c>
    </row>
    <row r="2369" spans="1:9" x14ac:dyDescent="0.3">
      <c r="A2369" s="3"/>
      <c r="B2369" s="9"/>
      <c r="C2369" s="9"/>
      <c r="E2369" s="14" t="str">
        <f t="shared" si="184"/>
        <v/>
      </c>
      <c r="F2369" s="15" t="str">
        <f t="shared" ca="1" si="185"/>
        <v/>
      </c>
      <c r="G2369" s="15" t="str">
        <f t="shared" ca="1" si="186"/>
        <v/>
      </c>
      <c r="H2369" s="15" t="str">
        <f t="shared" ca="1" si="187"/>
        <v/>
      </c>
      <c r="I2369" s="16" t="str">
        <f t="shared" ca="1" si="188"/>
        <v/>
      </c>
    </row>
    <row r="2370" spans="1:9" x14ac:dyDescent="0.3">
      <c r="A2370" s="3"/>
      <c r="B2370" s="9"/>
      <c r="C2370" s="9"/>
      <c r="E2370" s="14" t="str">
        <f t="shared" si="184"/>
        <v/>
      </c>
      <c r="F2370" s="15" t="str">
        <f t="shared" ca="1" si="185"/>
        <v/>
      </c>
      <c r="G2370" s="15" t="str">
        <f t="shared" ca="1" si="186"/>
        <v/>
      </c>
      <c r="H2370" s="15" t="str">
        <f t="shared" ca="1" si="187"/>
        <v/>
      </c>
      <c r="I2370" s="16" t="str">
        <f t="shared" ca="1" si="188"/>
        <v/>
      </c>
    </row>
    <row r="2371" spans="1:9" x14ac:dyDescent="0.3">
      <c r="A2371" s="3"/>
      <c r="B2371" s="9"/>
      <c r="C2371" s="9"/>
      <c r="E2371" s="14" t="str">
        <f t="shared" ref="E2371:E2434" si="189">IF(ISNUMBER(B2371),B2371/C2371,"")</f>
        <v/>
      </c>
      <c r="F2371" s="15" t="str">
        <f t="shared" ca="1" si="185"/>
        <v/>
      </c>
      <c r="G2371" s="15" t="str">
        <f t="shared" ca="1" si="186"/>
        <v/>
      </c>
      <c r="H2371" s="15" t="str">
        <f t="shared" ca="1" si="187"/>
        <v/>
      </c>
      <c r="I2371" s="16" t="str">
        <f t="shared" ca="1" si="188"/>
        <v/>
      </c>
    </row>
    <row r="2372" spans="1:9" x14ac:dyDescent="0.3">
      <c r="A2372" s="3"/>
      <c r="B2372" s="9"/>
      <c r="C2372" s="9"/>
      <c r="E2372" s="14" t="str">
        <f t="shared" si="189"/>
        <v/>
      </c>
      <c r="F2372" s="15" t="str">
        <f t="shared" ca="1" si="185"/>
        <v/>
      </c>
      <c r="G2372" s="15" t="str">
        <f t="shared" ca="1" si="186"/>
        <v/>
      </c>
      <c r="H2372" s="15" t="str">
        <f t="shared" ca="1" si="187"/>
        <v/>
      </c>
      <c r="I2372" s="16" t="str">
        <f t="shared" ca="1" si="188"/>
        <v/>
      </c>
    </row>
    <row r="2373" spans="1:9" x14ac:dyDescent="0.3">
      <c r="A2373" s="3"/>
      <c r="B2373" s="9"/>
      <c r="C2373" s="9"/>
      <c r="E2373" s="14" t="str">
        <f t="shared" si="189"/>
        <v/>
      </c>
      <c r="F2373" s="15" t="str">
        <f t="shared" ca="1" si="185"/>
        <v/>
      </c>
      <c r="G2373" s="15" t="str">
        <f t="shared" ca="1" si="186"/>
        <v/>
      </c>
      <c r="H2373" s="15" t="str">
        <f t="shared" ca="1" si="187"/>
        <v/>
      </c>
      <c r="I2373" s="16" t="str">
        <f t="shared" ca="1" si="188"/>
        <v/>
      </c>
    </row>
    <row r="2374" spans="1:9" x14ac:dyDescent="0.3">
      <c r="A2374" s="3"/>
      <c r="B2374" s="9"/>
      <c r="C2374" s="9"/>
      <c r="E2374" s="14" t="str">
        <f t="shared" si="189"/>
        <v/>
      </c>
      <c r="F2374" s="15" t="str">
        <f t="shared" ca="1" si="185"/>
        <v/>
      </c>
      <c r="G2374" s="15" t="str">
        <f t="shared" ca="1" si="186"/>
        <v/>
      </c>
      <c r="H2374" s="15" t="str">
        <f t="shared" ca="1" si="187"/>
        <v/>
      </c>
      <c r="I2374" s="16" t="str">
        <f t="shared" ca="1" si="188"/>
        <v/>
      </c>
    </row>
    <row r="2375" spans="1:9" x14ac:dyDescent="0.3">
      <c r="A2375" s="3"/>
      <c r="B2375" s="9"/>
      <c r="C2375" s="9"/>
      <c r="E2375" s="14" t="str">
        <f t="shared" si="189"/>
        <v/>
      </c>
      <c r="F2375" s="15" t="str">
        <f t="shared" ca="1" si="185"/>
        <v/>
      </c>
      <c r="G2375" s="15" t="str">
        <f t="shared" ca="1" si="186"/>
        <v/>
      </c>
      <c r="H2375" s="15" t="str">
        <f t="shared" ca="1" si="187"/>
        <v/>
      </c>
      <c r="I2375" s="16" t="str">
        <f t="shared" ca="1" si="188"/>
        <v/>
      </c>
    </row>
    <row r="2376" spans="1:9" x14ac:dyDescent="0.3">
      <c r="A2376" s="3"/>
      <c r="B2376" s="9"/>
      <c r="C2376" s="9"/>
      <c r="E2376" s="14" t="str">
        <f t="shared" si="189"/>
        <v/>
      </c>
      <c r="F2376" s="15" t="str">
        <f t="shared" ca="1" si="185"/>
        <v/>
      </c>
      <c r="G2376" s="15" t="str">
        <f t="shared" ca="1" si="186"/>
        <v/>
      </c>
      <c r="H2376" s="15" t="str">
        <f t="shared" ca="1" si="187"/>
        <v/>
      </c>
      <c r="I2376" s="16" t="str">
        <f t="shared" ca="1" si="188"/>
        <v/>
      </c>
    </row>
    <row r="2377" spans="1:9" x14ac:dyDescent="0.3">
      <c r="A2377" s="3"/>
      <c r="B2377" s="9"/>
      <c r="C2377" s="9"/>
      <c r="E2377" s="14" t="str">
        <f t="shared" si="189"/>
        <v/>
      </c>
      <c r="F2377" s="15" t="str">
        <f t="shared" ca="1" si="185"/>
        <v/>
      </c>
      <c r="G2377" s="15" t="str">
        <f t="shared" ca="1" si="186"/>
        <v/>
      </c>
      <c r="H2377" s="15" t="str">
        <f t="shared" ca="1" si="187"/>
        <v/>
      </c>
      <c r="I2377" s="16" t="str">
        <f t="shared" ca="1" si="188"/>
        <v/>
      </c>
    </row>
    <row r="2378" spans="1:9" x14ac:dyDescent="0.3">
      <c r="A2378" s="3"/>
      <c r="B2378" s="9"/>
      <c r="C2378" s="9"/>
      <c r="E2378" s="14" t="str">
        <f t="shared" si="189"/>
        <v/>
      </c>
      <c r="F2378" s="15" t="str">
        <f t="shared" ca="1" si="185"/>
        <v/>
      </c>
      <c r="G2378" s="15" t="str">
        <f t="shared" ca="1" si="186"/>
        <v/>
      </c>
      <c r="H2378" s="15" t="str">
        <f t="shared" ca="1" si="187"/>
        <v/>
      </c>
      <c r="I2378" s="16" t="str">
        <f t="shared" ca="1" si="188"/>
        <v/>
      </c>
    </row>
    <row r="2379" spans="1:9" x14ac:dyDescent="0.3">
      <c r="A2379" s="3"/>
      <c r="B2379" s="9"/>
      <c r="C2379" s="9"/>
      <c r="E2379" s="14" t="str">
        <f t="shared" si="189"/>
        <v/>
      </c>
      <c r="F2379" s="15" t="str">
        <f t="shared" ca="1" si="185"/>
        <v/>
      </c>
      <c r="G2379" s="15" t="str">
        <f t="shared" ca="1" si="186"/>
        <v/>
      </c>
      <c r="H2379" s="15" t="str">
        <f t="shared" ca="1" si="187"/>
        <v/>
      </c>
      <c r="I2379" s="16" t="str">
        <f t="shared" ca="1" si="188"/>
        <v/>
      </c>
    </row>
    <row r="2380" spans="1:9" x14ac:dyDescent="0.3">
      <c r="A2380" s="3"/>
      <c r="B2380" s="9"/>
      <c r="C2380" s="9"/>
      <c r="E2380" s="14" t="str">
        <f t="shared" si="189"/>
        <v/>
      </c>
      <c r="F2380" s="15" t="str">
        <f t="shared" ca="1" si="185"/>
        <v/>
      </c>
      <c r="G2380" s="15" t="str">
        <f t="shared" ca="1" si="186"/>
        <v/>
      </c>
      <c r="H2380" s="15" t="str">
        <f t="shared" ca="1" si="187"/>
        <v/>
      </c>
      <c r="I2380" s="16" t="str">
        <f t="shared" ca="1" si="188"/>
        <v/>
      </c>
    </row>
    <row r="2381" spans="1:9" x14ac:dyDescent="0.3">
      <c r="A2381" s="3"/>
      <c r="B2381" s="9"/>
      <c r="C2381" s="9"/>
      <c r="E2381" s="14" t="str">
        <f t="shared" si="189"/>
        <v/>
      </c>
      <c r="F2381" s="15" t="str">
        <f t="shared" ca="1" si="185"/>
        <v/>
      </c>
      <c r="G2381" s="15" t="str">
        <f t="shared" ca="1" si="186"/>
        <v/>
      </c>
      <c r="H2381" s="15" t="str">
        <f t="shared" ca="1" si="187"/>
        <v/>
      </c>
      <c r="I2381" s="16" t="str">
        <f t="shared" ca="1" si="188"/>
        <v/>
      </c>
    </row>
    <row r="2382" spans="1:9" x14ac:dyDescent="0.3">
      <c r="A2382" s="3"/>
      <c r="B2382" s="9"/>
      <c r="C2382" s="9"/>
      <c r="E2382" s="14" t="str">
        <f t="shared" si="189"/>
        <v/>
      </c>
      <c r="F2382" s="15" t="str">
        <f t="shared" ca="1" si="185"/>
        <v/>
      </c>
      <c r="G2382" s="15" t="str">
        <f t="shared" ca="1" si="186"/>
        <v/>
      </c>
      <c r="H2382" s="15" t="str">
        <f t="shared" ca="1" si="187"/>
        <v/>
      </c>
      <c r="I2382" s="16" t="str">
        <f t="shared" ca="1" si="188"/>
        <v/>
      </c>
    </row>
    <row r="2383" spans="1:9" x14ac:dyDescent="0.3">
      <c r="A2383" s="3"/>
      <c r="B2383" s="9"/>
      <c r="C2383" s="9"/>
      <c r="E2383" s="14" t="str">
        <f t="shared" si="189"/>
        <v/>
      </c>
      <c r="F2383" s="15" t="str">
        <f t="shared" ca="1" si="185"/>
        <v/>
      </c>
      <c r="G2383" s="15" t="str">
        <f t="shared" ca="1" si="186"/>
        <v/>
      </c>
      <c r="H2383" s="15" t="str">
        <f t="shared" ca="1" si="187"/>
        <v/>
      </c>
      <c r="I2383" s="16" t="str">
        <f t="shared" ca="1" si="188"/>
        <v/>
      </c>
    </row>
    <row r="2384" spans="1:9" x14ac:dyDescent="0.3">
      <c r="A2384" s="3"/>
      <c r="B2384" s="9"/>
      <c r="C2384" s="9"/>
      <c r="E2384" s="14" t="str">
        <f t="shared" si="189"/>
        <v/>
      </c>
      <c r="F2384" s="15" t="str">
        <f t="shared" ca="1" si="185"/>
        <v/>
      </c>
      <c r="G2384" s="15" t="str">
        <f t="shared" ca="1" si="186"/>
        <v/>
      </c>
      <c r="H2384" s="15" t="str">
        <f t="shared" ca="1" si="187"/>
        <v/>
      </c>
      <c r="I2384" s="16" t="str">
        <f t="shared" ca="1" si="188"/>
        <v/>
      </c>
    </row>
    <row r="2385" spans="1:9" x14ac:dyDescent="0.3">
      <c r="A2385" s="3"/>
      <c r="B2385" s="9"/>
      <c r="C2385" s="9"/>
      <c r="E2385" s="14" t="str">
        <f t="shared" si="189"/>
        <v/>
      </c>
      <c r="F2385" s="15" t="str">
        <f t="shared" ref="F2385:F2448" ca="1" si="190">IF(ISNUMBER(E2385),IF(ROW(E2385)&gt;$K$1,AVERAGE(OFFSET(E2385,0,0,-$K$1)),""),"")</f>
        <v/>
      </c>
      <c r="G2385" s="15" t="str">
        <f t="shared" ref="G2385:G2448" ca="1" si="191">IF(ISNUMBER(I2385),F2385+I2385*$M$1,"")</f>
        <v/>
      </c>
      <c r="H2385" s="15" t="str">
        <f t="shared" ref="H2385:H2448" ca="1" si="192">IF(ISNUMBER(I2385),F2385-I2385*$M$1,"")</f>
        <v/>
      </c>
      <c r="I2385" s="16" t="str">
        <f t="shared" ref="I2385:I2448" ca="1" si="193">IF(ISNUMBER(E2385),IF(ROW(E2385)&gt;$K$1,_xlfn.STDEV.P(OFFSET(E2385,0,0,-$K$1)),""),"")</f>
        <v/>
      </c>
    </row>
    <row r="2386" spans="1:9" x14ac:dyDescent="0.3">
      <c r="A2386" s="3"/>
      <c r="B2386" s="9"/>
      <c r="C2386" s="9"/>
      <c r="E2386" s="14" t="str">
        <f t="shared" si="189"/>
        <v/>
      </c>
      <c r="F2386" s="15" t="str">
        <f t="shared" ca="1" si="190"/>
        <v/>
      </c>
      <c r="G2386" s="15" t="str">
        <f t="shared" ca="1" si="191"/>
        <v/>
      </c>
      <c r="H2386" s="15" t="str">
        <f t="shared" ca="1" si="192"/>
        <v/>
      </c>
      <c r="I2386" s="16" t="str">
        <f t="shared" ca="1" si="193"/>
        <v/>
      </c>
    </row>
    <row r="2387" spans="1:9" x14ac:dyDescent="0.3">
      <c r="A2387" s="3"/>
      <c r="B2387" s="9"/>
      <c r="C2387" s="9"/>
      <c r="E2387" s="14" t="str">
        <f t="shared" si="189"/>
        <v/>
      </c>
      <c r="F2387" s="15" t="str">
        <f t="shared" ca="1" si="190"/>
        <v/>
      </c>
      <c r="G2387" s="15" t="str">
        <f t="shared" ca="1" si="191"/>
        <v/>
      </c>
      <c r="H2387" s="15" t="str">
        <f t="shared" ca="1" si="192"/>
        <v/>
      </c>
      <c r="I2387" s="16" t="str">
        <f t="shared" ca="1" si="193"/>
        <v/>
      </c>
    </row>
    <row r="2388" spans="1:9" x14ac:dyDescent="0.3">
      <c r="A2388" s="3"/>
      <c r="B2388" s="9"/>
      <c r="C2388" s="9"/>
      <c r="E2388" s="14" t="str">
        <f t="shared" si="189"/>
        <v/>
      </c>
      <c r="F2388" s="15" t="str">
        <f t="shared" ca="1" si="190"/>
        <v/>
      </c>
      <c r="G2388" s="15" t="str">
        <f t="shared" ca="1" si="191"/>
        <v/>
      </c>
      <c r="H2388" s="15" t="str">
        <f t="shared" ca="1" si="192"/>
        <v/>
      </c>
      <c r="I2388" s="16" t="str">
        <f t="shared" ca="1" si="193"/>
        <v/>
      </c>
    </row>
    <row r="2389" spans="1:9" x14ac:dyDescent="0.3">
      <c r="A2389" s="3"/>
      <c r="B2389" s="9"/>
      <c r="C2389" s="9"/>
      <c r="E2389" s="14" t="str">
        <f t="shared" si="189"/>
        <v/>
      </c>
      <c r="F2389" s="15" t="str">
        <f t="shared" ca="1" si="190"/>
        <v/>
      </c>
      <c r="G2389" s="15" t="str">
        <f t="shared" ca="1" si="191"/>
        <v/>
      </c>
      <c r="H2389" s="15" t="str">
        <f t="shared" ca="1" si="192"/>
        <v/>
      </c>
      <c r="I2389" s="16" t="str">
        <f t="shared" ca="1" si="193"/>
        <v/>
      </c>
    </row>
    <row r="2390" spans="1:9" x14ac:dyDescent="0.3">
      <c r="A2390" s="3"/>
      <c r="B2390" s="9"/>
      <c r="C2390" s="9"/>
      <c r="E2390" s="14" t="str">
        <f t="shared" si="189"/>
        <v/>
      </c>
      <c r="F2390" s="15" t="str">
        <f t="shared" ca="1" si="190"/>
        <v/>
      </c>
      <c r="G2390" s="15" t="str">
        <f t="shared" ca="1" si="191"/>
        <v/>
      </c>
      <c r="H2390" s="15" t="str">
        <f t="shared" ca="1" si="192"/>
        <v/>
      </c>
      <c r="I2390" s="16" t="str">
        <f t="shared" ca="1" si="193"/>
        <v/>
      </c>
    </row>
    <row r="2391" spans="1:9" x14ac:dyDescent="0.3">
      <c r="A2391" s="3"/>
      <c r="B2391" s="9"/>
      <c r="C2391" s="9"/>
      <c r="E2391" s="14" t="str">
        <f t="shared" si="189"/>
        <v/>
      </c>
      <c r="F2391" s="15" t="str">
        <f t="shared" ca="1" si="190"/>
        <v/>
      </c>
      <c r="G2391" s="15" t="str">
        <f t="shared" ca="1" si="191"/>
        <v/>
      </c>
      <c r="H2391" s="15" t="str">
        <f t="shared" ca="1" si="192"/>
        <v/>
      </c>
      <c r="I2391" s="16" t="str">
        <f t="shared" ca="1" si="193"/>
        <v/>
      </c>
    </row>
    <row r="2392" spans="1:9" x14ac:dyDescent="0.3">
      <c r="A2392" s="3"/>
      <c r="B2392" s="9"/>
      <c r="C2392" s="9"/>
      <c r="E2392" s="14" t="str">
        <f t="shared" si="189"/>
        <v/>
      </c>
      <c r="F2392" s="15" t="str">
        <f t="shared" ca="1" si="190"/>
        <v/>
      </c>
      <c r="G2392" s="15" t="str">
        <f t="shared" ca="1" si="191"/>
        <v/>
      </c>
      <c r="H2392" s="15" t="str">
        <f t="shared" ca="1" si="192"/>
        <v/>
      </c>
      <c r="I2392" s="16" t="str">
        <f t="shared" ca="1" si="193"/>
        <v/>
      </c>
    </row>
    <row r="2393" spans="1:9" x14ac:dyDescent="0.3">
      <c r="A2393" s="3"/>
      <c r="B2393" s="9"/>
      <c r="C2393" s="9"/>
      <c r="E2393" s="14" t="str">
        <f t="shared" si="189"/>
        <v/>
      </c>
      <c r="F2393" s="15" t="str">
        <f t="shared" ca="1" si="190"/>
        <v/>
      </c>
      <c r="G2393" s="15" t="str">
        <f t="shared" ca="1" si="191"/>
        <v/>
      </c>
      <c r="H2393" s="15" t="str">
        <f t="shared" ca="1" si="192"/>
        <v/>
      </c>
      <c r="I2393" s="16" t="str">
        <f t="shared" ca="1" si="193"/>
        <v/>
      </c>
    </row>
    <row r="2394" spans="1:9" x14ac:dyDescent="0.3">
      <c r="A2394" s="3"/>
      <c r="B2394" s="9"/>
      <c r="C2394" s="9"/>
      <c r="E2394" s="14" t="str">
        <f t="shared" si="189"/>
        <v/>
      </c>
      <c r="F2394" s="15" t="str">
        <f t="shared" ca="1" si="190"/>
        <v/>
      </c>
      <c r="G2394" s="15" t="str">
        <f t="shared" ca="1" si="191"/>
        <v/>
      </c>
      <c r="H2394" s="15" t="str">
        <f t="shared" ca="1" si="192"/>
        <v/>
      </c>
      <c r="I2394" s="16" t="str">
        <f t="shared" ca="1" si="193"/>
        <v/>
      </c>
    </row>
    <row r="2395" spans="1:9" x14ac:dyDescent="0.3">
      <c r="A2395" s="3"/>
      <c r="B2395" s="9"/>
      <c r="C2395" s="9"/>
      <c r="E2395" s="14" t="str">
        <f t="shared" si="189"/>
        <v/>
      </c>
      <c r="F2395" s="15" t="str">
        <f t="shared" ca="1" si="190"/>
        <v/>
      </c>
      <c r="G2395" s="15" t="str">
        <f t="shared" ca="1" si="191"/>
        <v/>
      </c>
      <c r="H2395" s="15" t="str">
        <f t="shared" ca="1" si="192"/>
        <v/>
      </c>
      <c r="I2395" s="16" t="str">
        <f t="shared" ca="1" si="193"/>
        <v/>
      </c>
    </row>
    <row r="2396" spans="1:9" x14ac:dyDescent="0.3">
      <c r="A2396" s="3"/>
      <c r="B2396" s="9"/>
      <c r="C2396" s="9"/>
      <c r="E2396" s="14" t="str">
        <f t="shared" si="189"/>
        <v/>
      </c>
      <c r="F2396" s="15" t="str">
        <f t="shared" ca="1" si="190"/>
        <v/>
      </c>
      <c r="G2396" s="15" t="str">
        <f t="shared" ca="1" si="191"/>
        <v/>
      </c>
      <c r="H2396" s="15" t="str">
        <f t="shared" ca="1" si="192"/>
        <v/>
      </c>
      <c r="I2396" s="16" t="str">
        <f t="shared" ca="1" si="193"/>
        <v/>
      </c>
    </row>
    <row r="2397" spans="1:9" x14ac:dyDescent="0.3">
      <c r="A2397" s="3"/>
      <c r="B2397" s="9"/>
      <c r="C2397" s="9"/>
      <c r="E2397" s="14" t="str">
        <f t="shared" si="189"/>
        <v/>
      </c>
      <c r="F2397" s="15" t="str">
        <f t="shared" ca="1" si="190"/>
        <v/>
      </c>
      <c r="G2397" s="15" t="str">
        <f t="shared" ca="1" si="191"/>
        <v/>
      </c>
      <c r="H2397" s="15" t="str">
        <f t="shared" ca="1" si="192"/>
        <v/>
      </c>
      <c r="I2397" s="16" t="str">
        <f t="shared" ca="1" si="193"/>
        <v/>
      </c>
    </row>
    <row r="2398" spans="1:9" x14ac:dyDescent="0.3">
      <c r="A2398" s="3"/>
      <c r="B2398" s="9"/>
      <c r="C2398" s="9"/>
      <c r="E2398" s="14" t="str">
        <f t="shared" si="189"/>
        <v/>
      </c>
      <c r="F2398" s="15" t="str">
        <f t="shared" ca="1" si="190"/>
        <v/>
      </c>
      <c r="G2398" s="15" t="str">
        <f t="shared" ca="1" si="191"/>
        <v/>
      </c>
      <c r="H2398" s="15" t="str">
        <f t="shared" ca="1" si="192"/>
        <v/>
      </c>
      <c r="I2398" s="16" t="str">
        <f t="shared" ca="1" si="193"/>
        <v/>
      </c>
    </row>
    <row r="2399" spans="1:9" x14ac:dyDescent="0.3">
      <c r="A2399" s="3"/>
      <c r="B2399" s="9"/>
      <c r="C2399" s="9"/>
      <c r="E2399" s="14" t="str">
        <f t="shared" si="189"/>
        <v/>
      </c>
      <c r="F2399" s="15" t="str">
        <f t="shared" ca="1" si="190"/>
        <v/>
      </c>
      <c r="G2399" s="15" t="str">
        <f t="shared" ca="1" si="191"/>
        <v/>
      </c>
      <c r="H2399" s="15" t="str">
        <f t="shared" ca="1" si="192"/>
        <v/>
      </c>
      <c r="I2399" s="16" t="str">
        <f t="shared" ca="1" si="193"/>
        <v/>
      </c>
    </row>
    <row r="2400" spans="1:9" x14ac:dyDescent="0.3">
      <c r="A2400" s="3"/>
      <c r="B2400" s="9"/>
      <c r="C2400" s="9"/>
      <c r="E2400" s="14" t="str">
        <f t="shared" si="189"/>
        <v/>
      </c>
      <c r="F2400" s="15" t="str">
        <f t="shared" ca="1" si="190"/>
        <v/>
      </c>
      <c r="G2400" s="15" t="str">
        <f t="shared" ca="1" si="191"/>
        <v/>
      </c>
      <c r="H2400" s="15" t="str">
        <f t="shared" ca="1" si="192"/>
        <v/>
      </c>
      <c r="I2400" s="16" t="str">
        <f t="shared" ca="1" si="193"/>
        <v/>
      </c>
    </row>
    <row r="2401" spans="1:9" x14ac:dyDescent="0.3">
      <c r="A2401" s="3"/>
      <c r="B2401" s="9"/>
      <c r="C2401" s="9"/>
      <c r="E2401" s="14" t="str">
        <f t="shared" si="189"/>
        <v/>
      </c>
      <c r="F2401" s="15" t="str">
        <f t="shared" ca="1" si="190"/>
        <v/>
      </c>
      <c r="G2401" s="15" t="str">
        <f t="shared" ca="1" si="191"/>
        <v/>
      </c>
      <c r="H2401" s="15" t="str">
        <f t="shared" ca="1" si="192"/>
        <v/>
      </c>
      <c r="I2401" s="16" t="str">
        <f t="shared" ca="1" si="193"/>
        <v/>
      </c>
    </row>
    <row r="2402" spans="1:9" x14ac:dyDescent="0.3">
      <c r="A2402" s="3"/>
      <c r="B2402" s="9"/>
      <c r="C2402" s="9"/>
      <c r="E2402" s="14" t="str">
        <f t="shared" si="189"/>
        <v/>
      </c>
      <c r="F2402" s="15" t="str">
        <f t="shared" ca="1" si="190"/>
        <v/>
      </c>
      <c r="G2402" s="15" t="str">
        <f t="shared" ca="1" si="191"/>
        <v/>
      </c>
      <c r="H2402" s="15" t="str">
        <f t="shared" ca="1" si="192"/>
        <v/>
      </c>
      <c r="I2402" s="16" t="str">
        <f t="shared" ca="1" si="193"/>
        <v/>
      </c>
    </row>
    <row r="2403" spans="1:9" x14ac:dyDescent="0.3">
      <c r="A2403" s="3"/>
      <c r="B2403" s="9"/>
      <c r="C2403" s="9"/>
      <c r="E2403" s="14" t="str">
        <f t="shared" si="189"/>
        <v/>
      </c>
      <c r="F2403" s="15" t="str">
        <f t="shared" ca="1" si="190"/>
        <v/>
      </c>
      <c r="G2403" s="15" t="str">
        <f t="shared" ca="1" si="191"/>
        <v/>
      </c>
      <c r="H2403" s="15" t="str">
        <f t="shared" ca="1" si="192"/>
        <v/>
      </c>
      <c r="I2403" s="16" t="str">
        <f t="shared" ca="1" si="193"/>
        <v/>
      </c>
    </row>
    <row r="2404" spans="1:9" x14ac:dyDescent="0.3">
      <c r="A2404" s="3"/>
      <c r="B2404" s="9"/>
      <c r="C2404" s="9"/>
      <c r="E2404" s="14" t="str">
        <f t="shared" si="189"/>
        <v/>
      </c>
      <c r="F2404" s="15" t="str">
        <f t="shared" ca="1" si="190"/>
        <v/>
      </c>
      <c r="G2404" s="15" t="str">
        <f t="shared" ca="1" si="191"/>
        <v/>
      </c>
      <c r="H2404" s="15" t="str">
        <f t="shared" ca="1" si="192"/>
        <v/>
      </c>
      <c r="I2404" s="16" t="str">
        <f t="shared" ca="1" si="193"/>
        <v/>
      </c>
    </row>
    <row r="2405" spans="1:9" x14ac:dyDescent="0.3">
      <c r="A2405" s="3"/>
      <c r="B2405" s="9"/>
      <c r="C2405" s="9"/>
      <c r="E2405" s="14" t="str">
        <f t="shared" si="189"/>
        <v/>
      </c>
      <c r="F2405" s="15" t="str">
        <f t="shared" ca="1" si="190"/>
        <v/>
      </c>
      <c r="G2405" s="15" t="str">
        <f t="shared" ca="1" si="191"/>
        <v/>
      </c>
      <c r="H2405" s="15" t="str">
        <f t="shared" ca="1" si="192"/>
        <v/>
      </c>
      <c r="I2405" s="16" t="str">
        <f t="shared" ca="1" si="193"/>
        <v/>
      </c>
    </row>
    <row r="2406" spans="1:9" x14ac:dyDescent="0.3">
      <c r="A2406" s="3"/>
      <c r="B2406" s="9"/>
      <c r="C2406" s="9"/>
      <c r="E2406" s="14" t="str">
        <f t="shared" si="189"/>
        <v/>
      </c>
      <c r="F2406" s="15" t="str">
        <f t="shared" ca="1" si="190"/>
        <v/>
      </c>
      <c r="G2406" s="15" t="str">
        <f t="shared" ca="1" si="191"/>
        <v/>
      </c>
      <c r="H2406" s="15" t="str">
        <f t="shared" ca="1" si="192"/>
        <v/>
      </c>
      <c r="I2406" s="16" t="str">
        <f t="shared" ca="1" si="193"/>
        <v/>
      </c>
    </row>
    <row r="2407" spans="1:9" x14ac:dyDescent="0.3">
      <c r="A2407" s="3"/>
      <c r="B2407" s="9"/>
      <c r="C2407" s="9"/>
      <c r="E2407" s="14" t="str">
        <f t="shared" si="189"/>
        <v/>
      </c>
      <c r="F2407" s="15" t="str">
        <f t="shared" ca="1" si="190"/>
        <v/>
      </c>
      <c r="G2407" s="15" t="str">
        <f t="shared" ca="1" si="191"/>
        <v/>
      </c>
      <c r="H2407" s="15" t="str">
        <f t="shared" ca="1" si="192"/>
        <v/>
      </c>
      <c r="I2407" s="16" t="str">
        <f t="shared" ca="1" si="193"/>
        <v/>
      </c>
    </row>
    <row r="2408" spans="1:9" x14ac:dyDescent="0.3">
      <c r="A2408" s="3"/>
      <c r="B2408" s="9"/>
      <c r="C2408" s="9"/>
      <c r="E2408" s="14" t="str">
        <f t="shared" si="189"/>
        <v/>
      </c>
      <c r="F2408" s="15" t="str">
        <f t="shared" ca="1" si="190"/>
        <v/>
      </c>
      <c r="G2408" s="15" t="str">
        <f t="shared" ca="1" si="191"/>
        <v/>
      </c>
      <c r="H2408" s="15" t="str">
        <f t="shared" ca="1" si="192"/>
        <v/>
      </c>
      <c r="I2408" s="16" t="str">
        <f t="shared" ca="1" si="193"/>
        <v/>
      </c>
    </row>
    <row r="2409" spans="1:9" x14ac:dyDescent="0.3">
      <c r="A2409" s="3"/>
      <c r="B2409" s="9"/>
      <c r="C2409" s="9"/>
      <c r="E2409" s="14" t="str">
        <f t="shared" si="189"/>
        <v/>
      </c>
      <c r="F2409" s="15" t="str">
        <f t="shared" ca="1" si="190"/>
        <v/>
      </c>
      <c r="G2409" s="15" t="str">
        <f t="shared" ca="1" si="191"/>
        <v/>
      </c>
      <c r="H2409" s="15" t="str">
        <f t="shared" ca="1" si="192"/>
        <v/>
      </c>
      <c r="I2409" s="16" t="str">
        <f t="shared" ca="1" si="193"/>
        <v/>
      </c>
    </row>
    <row r="2410" spans="1:9" x14ac:dyDescent="0.3">
      <c r="A2410" s="3"/>
      <c r="B2410" s="9"/>
      <c r="C2410" s="9"/>
      <c r="E2410" s="14" t="str">
        <f t="shared" si="189"/>
        <v/>
      </c>
      <c r="F2410" s="15" t="str">
        <f t="shared" ca="1" si="190"/>
        <v/>
      </c>
      <c r="G2410" s="15" t="str">
        <f t="shared" ca="1" si="191"/>
        <v/>
      </c>
      <c r="H2410" s="15" t="str">
        <f t="shared" ca="1" si="192"/>
        <v/>
      </c>
      <c r="I2410" s="16" t="str">
        <f t="shared" ca="1" si="193"/>
        <v/>
      </c>
    </row>
    <row r="2411" spans="1:9" x14ac:dyDescent="0.3">
      <c r="A2411" s="3"/>
      <c r="B2411" s="9"/>
      <c r="C2411" s="9"/>
      <c r="E2411" s="14" t="str">
        <f t="shared" si="189"/>
        <v/>
      </c>
      <c r="F2411" s="15" t="str">
        <f t="shared" ca="1" si="190"/>
        <v/>
      </c>
      <c r="G2411" s="15" t="str">
        <f t="shared" ca="1" si="191"/>
        <v/>
      </c>
      <c r="H2411" s="15" t="str">
        <f t="shared" ca="1" si="192"/>
        <v/>
      </c>
      <c r="I2411" s="16" t="str">
        <f t="shared" ca="1" si="193"/>
        <v/>
      </c>
    </row>
    <row r="2412" spans="1:9" x14ac:dyDescent="0.3">
      <c r="A2412" s="3"/>
      <c r="B2412" s="9"/>
      <c r="C2412" s="9"/>
      <c r="E2412" s="14" t="str">
        <f t="shared" si="189"/>
        <v/>
      </c>
      <c r="F2412" s="15" t="str">
        <f t="shared" ca="1" si="190"/>
        <v/>
      </c>
      <c r="G2412" s="15" t="str">
        <f t="shared" ca="1" si="191"/>
        <v/>
      </c>
      <c r="H2412" s="15" t="str">
        <f t="shared" ca="1" si="192"/>
        <v/>
      </c>
      <c r="I2412" s="16" t="str">
        <f t="shared" ca="1" si="193"/>
        <v/>
      </c>
    </row>
    <row r="2413" spans="1:9" x14ac:dyDescent="0.3">
      <c r="A2413" s="3"/>
      <c r="B2413" s="9"/>
      <c r="C2413" s="9"/>
      <c r="E2413" s="14" t="str">
        <f t="shared" si="189"/>
        <v/>
      </c>
      <c r="F2413" s="15" t="str">
        <f t="shared" ca="1" si="190"/>
        <v/>
      </c>
      <c r="G2413" s="15" t="str">
        <f t="shared" ca="1" si="191"/>
        <v/>
      </c>
      <c r="H2413" s="15" t="str">
        <f t="shared" ca="1" si="192"/>
        <v/>
      </c>
      <c r="I2413" s="16" t="str">
        <f t="shared" ca="1" si="193"/>
        <v/>
      </c>
    </row>
    <row r="2414" spans="1:9" x14ac:dyDescent="0.3">
      <c r="A2414" s="3"/>
      <c r="B2414" s="9"/>
      <c r="C2414" s="9"/>
      <c r="E2414" s="14" t="str">
        <f t="shared" si="189"/>
        <v/>
      </c>
      <c r="F2414" s="15" t="str">
        <f t="shared" ca="1" si="190"/>
        <v/>
      </c>
      <c r="G2414" s="15" t="str">
        <f t="shared" ca="1" si="191"/>
        <v/>
      </c>
      <c r="H2414" s="15" t="str">
        <f t="shared" ca="1" si="192"/>
        <v/>
      </c>
      <c r="I2414" s="16" t="str">
        <f t="shared" ca="1" si="193"/>
        <v/>
      </c>
    </row>
    <row r="2415" spans="1:9" x14ac:dyDescent="0.3">
      <c r="A2415" s="3"/>
      <c r="B2415" s="9"/>
      <c r="C2415" s="9"/>
      <c r="E2415" s="14" t="str">
        <f t="shared" si="189"/>
        <v/>
      </c>
      <c r="F2415" s="15" t="str">
        <f t="shared" ca="1" si="190"/>
        <v/>
      </c>
      <c r="G2415" s="15" t="str">
        <f t="shared" ca="1" si="191"/>
        <v/>
      </c>
      <c r="H2415" s="15" t="str">
        <f t="shared" ca="1" si="192"/>
        <v/>
      </c>
      <c r="I2415" s="16" t="str">
        <f t="shared" ca="1" si="193"/>
        <v/>
      </c>
    </row>
    <row r="2416" spans="1:9" x14ac:dyDescent="0.3">
      <c r="A2416" s="3"/>
      <c r="B2416" s="9"/>
      <c r="C2416" s="9"/>
      <c r="E2416" s="14" t="str">
        <f t="shared" si="189"/>
        <v/>
      </c>
      <c r="F2416" s="15" t="str">
        <f t="shared" ca="1" si="190"/>
        <v/>
      </c>
      <c r="G2416" s="15" t="str">
        <f t="shared" ca="1" si="191"/>
        <v/>
      </c>
      <c r="H2416" s="15" t="str">
        <f t="shared" ca="1" si="192"/>
        <v/>
      </c>
      <c r="I2416" s="16" t="str">
        <f t="shared" ca="1" si="193"/>
        <v/>
      </c>
    </row>
    <row r="2417" spans="1:9" x14ac:dyDescent="0.3">
      <c r="A2417" s="3"/>
      <c r="B2417" s="9"/>
      <c r="C2417" s="9"/>
      <c r="E2417" s="14" t="str">
        <f t="shared" si="189"/>
        <v/>
      </c>
      <c r="F2417" s="15" t="str">
        <f t="shared" ca="1" si="190"/>
        <v/>
      </c>
      <c r="G2417" s="15" t="str">
        <f t="shared" ca="1" si="191"/>
        <v/>
      </c>
      <c r="H2417" s="15" t="str">
        <f t="shared" ca="1" si="192"/>
        <v/>
      </c>
      <c r="I2417" s="16" t="str">
        <f t="shared" ca="1" si="193"/>
        <v/>
      </c>
    </row>
    <row r="2418" spans="1:9" x14ac:dyDescent="0.3">
      <c r="A2418" s="3"/>
      <c r="B2418" s="9"/>
      <c r="C2418" s="9"/>
      <c r="E2418" s="14" t="str">
        <f t="shared" si="189"/>
        <v/>
      </c>
      <c r="F2418" s="15" t="str">
        <f t="shared" ca="1" si="190"/>
        <v/>
      </c>
      <c r="G2418" s="15" t="str">
        <f t="shared" ca="1" si="191"/>
        <v/>
      </c>
      <c r="H2418" s="15" t="str">
        <f t="shared" ca="1" si="192"/>
        <v/>
      </c>
      <c r="I2418" s="16" t="str">
        <f t="shared" ca="1" si="193"/>
        <v/>
      </c>
    </row>
    <row r="2419" spans="1:9" x14ac:dyDescent="0.3">
      <c r="A2419" s="3"/>
      <c r="B2419" s="9"/>
      <c r="C2419" s="9"/>
      <c r="E2419" s="14" t="str">
        <f t="shared" si="189"/>
        <v/>
      </c>
      <c r="F2419" s="15" t="str">
        <f t="shared" ca="1" si="190"/>
        <v/>
      </c>
      <c r="G2419" s="15" t="str">
        <f t="shared" ca="1" si="191"/>
        <v/>
      </c>
      <c r="H2419" s="15" t="str">
        <f t="shared" ca="1" si="192"/>
        <v/>
      </c>
      <c r="I2419" s="16" t="str">
        <f t="shared" ca="1" si="193"/>
        <v/>
      </c>
    </row>
    <row r="2420" spans="1:9" x14ac:dyDescent="0.3">
      <c r="A2420" s="3"/>
      <c r="B2420" s="9"/>
      <c r="C2420" s="9"/>
      <c r="E2420" s="14" t="str">
        <f t="shared" si="189"/>
        <v/>
      </c>
      <c r="F2420" s="15" t="str">
        <f t="shared" ca="1" si="190"/>
        <v/>
      </c>
      <c r="G2420" s="15" t="str">
        <f t="shared" ca="1" si="191"/>
        <v/>
      </c>
      <c r="H2420" s="15" t="str">
        <f t="shared" ca="1" si="192"/>
        <v/>
      </c>
      <c r="I2420" s="16" t="str">
        <f t="shared" ca="1" si="193"/>
        <v/>
      </c>
    </row>
    <row r="2421" spans="1:9" x14ac:dyDescent="0.3">
      <c r="A2421" s="3"/>
      <c r="B2421" s="9"/>
      <c r="C2421" s="9"/>
      <c r="E2421" s="14" t="str">
        <f t="shared" si="189"/>
        <v/>
      </c>
      <c r="F2421" s="15" t="str">
        <f t="shared" ca="1" si="190"/>
        <v/>
      </c>
      <c r="G2421" s="15" t="str">
        <f t="shared" ca="1" si="191"/>
        <v/>
      </c>
      <c r="H2421" s="15" t="str">
        <f t="shared" ca="1" si="192"/>
        <v/>
      </c>
      <c r="I2421" s="16" t="str">
        <f t="shared" ca="1" si="193"/>
        <v/>
      </c>
    </row>
    <row r="2422" spans="1:9" x14ac:dyDescent="0.3">
      <c r="A2422" s="3"/>
      <c r="B2422" s="9"/>
      <c r="C2422" s="9"/>
      <c r="E2422" s="14" t="str">
        <f t="shared" si="189"/>
        <v/>
      </c>
      <c r="F2422" s="15" t="str">
        <f t="shared" ca="1" si="190"/>
        <v/>
      </c>
      <c r="G2422" s="15" t="str">
        <f t="shared" ca="1" si="191"/>
        <v/>
      </c>
      <c r="H2422" s="15" t="str">
        <f t="shared" ca="1" si="192"/>
        <v/>
      </c>
      <c r="I2422" s="16" t="str">
        <f t="shared" ca="1" si="193"/>
        <v/>
      </c>
    </row>
    <row r="2423" spans="1:9" x14ac:dyDescent="0.3">
      <c r="A2423" s="3"/>
      <c r="B2423" s="9"/>
      <c r="C2423" s="9"/>
      <c r="E2423" s="14" t="str">
        <f t="shared" si="189"/>
        <v/>
      </c>
      <c r="F2423" s="15" t="str">
        <f t="shared" ca="1" si="190"/>
        <v/>
      </c>
      <c r="G2423" s="15" t="str">
        <f t="shared" ca="1" si="191"/>
        <v/>
      </c>
      <c r="H2423" s="15" t="str">
        <f t="shared" ca="1" si="192"/>
        <v/>
      </c>
      <c r="I2423" s="16" t="str">
        <f t="shared" ca="1" si="193"/>
        <v/>
      </c>
    </row>
    <row r="2424" spans="1:9" x14ac:dyDescent="0.3">
      <c r="A2424" s="3"/>
      <c r="B2424" s="9"/>
      <c r="C2424" s="9"/>
      <c r="E2424" s="14" t="str">
        <f t="shared" si="189"/>
        <v/>
      </c>
      <c r="F2424" s="15" t="str">
        <f t="shared" ca="1" si="190"/>
        <v/>
      </c>
      <c r="G2424" s="15" t="str">
        <f t="shared" ca="1" si="191"/>
        <v/>
      </c>
      <c r="H2424" s="15" t="str">
        <f t="shared" ca="1" si="192"/>
        <v/>
      </c>
      <c r="I2424" s="16" t="str">
        <f t="shared" ca="1" si="193"/>
        <v/>
      </c>
    </row>
    <row r="2425" spans="1:9" x14ac:dyDescent="0.3">
      <c r="A2425" s="3"/>
      <c r="B2425" s="9"/>
      <c r="C2425" s="9"/>
      <c r="E2425" s="14" t="str">
        <f t="shared" si="189"/>
        <v/>
      </c>
      <c r="F2425" s="15" t="str">
        <f t="shared" ca="1" si="190"/>
        <v/>
      </c>
      <c r="G2425" s="15" t="str">
        <f t="shared" ca="1" si="191"/>
        <v/>
      </c>
      <c r="H2425" s="15" t="str">
        <f t="shared" ca="1" si="192"/>
        <v/>
      </c>
      <c r="I2425" s="16" t="str">
        <f t="shared" ca="1" si="193"/>
        <v/>
      </c>
    </row>
    <row r="2426" spans="1:9" x14ac:dyDescent="0.3">
      <c r="A2426" s="3"/>
      <c r="B2426" s="9"/>
      <c r="C2426" s="9"/>
      <c r="E2426" s="14" t="str">
        <f t="shared" si="189"/>
        <v/>
      </c>
      <c r="F2426" s="15" t="str">
        <f t="shared" ca="1" si="190"/>
        <v/>
      </c>
      <c r="G2426" s="15" t="str">
        <f t="shared" ca="1" si="191"/>
        <v/>
      </c>
      <c r="H2426" s="15" t="str">
        <f t="shared" ca="1" si="192"/>
        <v/>
      </c>
      <c r="I2426" s="16" t="str">
        <f t="shared" ca="1" si="193"/>
        <v/>
      </c>
    </row>
    <row r="2427" spans="1:9" x14ac:dyDescent="0.3">
      <c r="A2427" s="3"/>
      <c r="B2427" s="9"/>
      <c r="C2427" s="9"/>
      <c r="E2427" s="14" t="str">
        <f t="shared" si="189"/>
        <v/>
      </c>
      <c r="F2427" s="15" t="str">
        <f t="shared" ca="1" si="190"/>
        <v/>
      </c>
      <c r="G2427" s="15" t="str">
        <f t="shared" ca="1" si="191"/>
        <v/>
      </c>
      <c r="H2427" s="15" t="str">
        <f t="shared" ca="1" si="192"/>
        <v/>
      </c>
      <c r="I2427" s="16" t="str">
        <f t="shared" ca="1" si="193"/>
        <v/>
      </c>
    </row>
    <row r="2428" spans="1:9" x14ac:dyDescent="0.3">
      <c r="A2428" s="3"/>
      <c r="B2428" s="9"/>
      <c r="C2428" s="9"/>
      <c r="E2428" s="14" t="str">
        <f t="shared" si="189"/>
        <v/>
      </c>
      <c r="F2428" s="15" t="str">
        <f t="shared" ca="1" si="190"/>
        <v/>
      </c>
      <c r="G2428" s="15" t="str">
        <f t="shared" ca="1" si="191"/>
        <v/>
      </c>
      <c r="H2428" s="15" t="str">
        <f t="shared" ca="1" si="192"/>
        <v/>
      </c>
      <c r="I2428" s="16" t="str">
        <f t="shared" ca="1" si="193"/>
        <v/>
      </c>
    </row>
    <row r="2429" spans="1:9" x14ac:dyDescent="0.3">
      <c r="A2429" s="3"/>
      <c r="B2429" s="9"/>
      <c r="C2429" s="9"/>
      <c r="E2429" s="14" t="str">
        <f t="shared" si="189"/>
        <v/>
      </c>
      <c r="F2429" s="15" t="str">
        <f t="shared" ca="1" si="190"/>
        <v/>
      </c>
      <c r="G2429" s="15" t="str">
        <f t="shared" ca="1" si="191"/>
        <v/>
      </c>
      <c r="H2429" s="15" t="str">
        <f t="shared" ca="1" si="192"/>
        <v/>
      </c>
      <c r="I2429" s="16" t="str">
        <f t="shared" ca="1" si="193"/>
        <v/>
      </c>
    </row>
    <row r="2430" spans="1:9" x14ac:dyDescent="0.3">
      <c r="A2430" s="3"/>
      <c r="B2430" s="9"/>
      <c r="C2430" s="9"/>
      <c r="E2430" s="14" t="str">
        <f t="shared" si="189"/>
        <v/>
      </c>
      <c r="F2430" s="15" t="str">
        <f t="shared" ca="1" si="190"/>
        <v/>
      </c>
      <c r="G2430" s="15" t="str">
        <f t="shared" ca="1" si="191"/>
        <v/>
      </c>
      <c r="H2430" s="15" t="str">
        <f t="shared" ca="1" si="192"/>
        <v/>
      </c>
      <c r="I2430" s="16" t="str">
        <f t="shared" ca="1" si="193"/>
        <v/>
      </c>
    </row>
    <row r="2431" spans="1:9" x14ac:dyDescent="0.3">
      <c r="A2431" s="3"/>
      <c r="B2431" s="9"/>
      <c r="C2431" s="9"/>
      <c r="E2431" s="14" t="str">
        <f t="shared" si="189"/>
        <v/>
      </c>
      <c r="F2431" s="15" t="str">
        <f t="shared" ca="1" si="190"/>
        <v/>
      </c>
      <c r="G2431" s="15" t="str">
        <f t="shared" ca="1" si="191"/>
        <v/>
      </c>
      <c r="H2431" s="15" t="str">
        <f t="shared" ca="1" si="192"/>
        <v/>
      </c>
      <c r="I2431" s="16" t="str">
        <f t="shared" ca="1" si="193"/>
        <v/>
      </c>
    </row>
    <row r="2432" spans="1:9" x14ac:dyDescent="0.3">
      <c r="A2432" s="3"/>
      <c r="B2432" s="9"/>
      <c r="C2432" s="9"/>
      <c r="E2432" s="14" t="str">
        <f t="shared" si="189"/>
        <v/>
      </c>
      <c r="F2432" s="15" t="str">
        <f t="shared" ca="1" si="190"/>
        <v/>
      </c>
      <c r="G2432" s="15" t="str">
        <f t="shared" ca="1" si="191"/>
        <v/>
      </c>
      <c r="H2432" s="15" t="str">
        <f t="shared" ca="1" si="192"/>
        <v/>
      </c>
      <c r="I2432" s="16" t="str">
        <f t="shared" ca="1" si="193"/>
        <v/>
      </c>
    </row>
    <row r="2433" spans="1:9" x14ac:dyDescent="0.3">
      <c r="A2433" s="3"/>
      <c r="B2433" s="9"/>
      <c r="C2433" s="9"/>
      <c r="E2433" s="14" t="str">
        <f t="shared" si="189"/>
        <v/>
      </c>
      <c r="F2433" s="15" t="str">
        <f t="shared" ca="1" si="190"/>
        <v/>
      </c>
      <c r="G2433" s="15" t="str">
        <f t="shared" ca="1" si="191"/>
        <v/>
      </c>
      <c r="H2433" s="15" t="str">
        <f t="shared" ca="1" si="192"/>
        <v/>
      </c>
      <c r="I2433" s="16" t="str">
        <f t="shared" ca="1" si="193"/>
        <v/>
      </c>
    </row>
    <row r="2434" spans="1:9" x14ac:dyDescent="0.3">
      <c r="A2434" s="3"/>
      <c r="B2434" s="9"/>
      <c r="C2434" s="9"/>
      <c r="E2434" s="14" t="str">
        <f t="shared" si="189"/>
        <v/>
      </c>
      <c r="F2434" s="15" t="str">
        <f t="shared" ca="1" si="190"/>
        <v/>
      </c>
      <c r="G2434" s="15" t="str">
        <f t="shared" ca="1" si="191"/>
        <v/>
      </c>
      <c r="H2434" s="15" t="str">
        <f t="shared" ca="1" si="192"/>
        <v/>
      </c>
      <c r="I2434" s="16" t="str">
        <f t="shared" ca="1" si="193"/>
        <v/>
      </c>
    </row>
    <row r="2435" spans="1:9" x14ac:dyDescent="0.3">
      <c r="A2435" s="3"/>
      <c r="B2435" s="9"/>
      <c r="C2435" s="9"/>
      <c r="E2435" s="14" t="str">
        <f t="shared" ref="E2435:E2498" si="194">IF(ISNUMBER(B2435),B2435/C2435,"")</f>
        <v/>
      </c>
      <c r="F2435" s="15" t="str">
        <f t="shared" ca="1" si="190"/>
        <v/>
      </c>
      <c r="G2435" s="15" t="str">
        <f t="shared" ca="1" si="191"/>
        <v/>
      </c>
      <c r="H2435" s="15" t="str">
        <f t="shared" ca="1" si="192"/>
        <v/>
      </c>
      <c r="I2435" s="16" t="str">
        <f t="shared" ca="1" si="193"/>
        <v/>
      </c>
    </row>
    <row r="2436" spans="1:9" x14ac:dyDescent="0.3">
      <c r="A2436" s="3"/>
      <c r="B2436" s="9"/>
      <c r="C2436" s="9"/>
      <c r="E2436" s="14" t="str">
        <f t="shared" si="194"/>
        <v/>
      </c>
      <c r="F2436" s="15" t="str">
        <f t="shared" ca="1" si="190"/>
        <v/>
      </c>
      <c r="G2436" s="15" t="str">
        <f t="shared" ca="1" si="191"/>
        <v/>
      </c>
      <c r="H2436" s="15" t="str">
        <f t="shared" ca="1" si="192"/>
        <v/>
      </c>
      <c r="I2436" s="16" t="str">
        <f t="shared" ca="1" si="193"/>
        <v/>
      </c>
    </row>
    <row r="2437" spans="1:9" x14ac:dyDescent="0.3">
      <c r="A2437" s="3"/>
      <c r="B2437" s="9"/>
      <c r="C2437" s="9"/>
      <c r="E2437" s="14" t="str">
        <f t="shared" si="194"/>
        <v/>
      </c>
      <c r="F2437" s="15" t="str">
        <f t="shared" ca="1" si="190"/>
        <v/>
      </c>
      <c r="G2437" s="15" t="str">
        <f t="shared" ca="1" si="191"/>
        <v/>
      </c>
      <c r="H2437" s="15" t="str">
        <f t="shared" ca="1" si="192"/>
        <v/>
      </c>
      <c r="I2437" s="16" t="str">
        <f t="shared" ca="1" si="193"/>
        <v/>
      </c>
    </row>
    <row r="2438" spans="1:9" x14ac:dyDescent="0.3">
      <c r="A2438" s="3"/>
      <c r="B2438" s="9"/>
      <c r="C2438" s="9"/>
      <c r="E2438" s="14" t="str">
        <f t="shared" si="194"/>
        <v/>
      </c>
      <c r="F2438" s="15" t="str">
        <f t="shared" ca="1" si="190"/>
        <v/>
      </c>
      <c r="G2438" s="15" t="str">
        <f t="shared" ca="1" si="191"/>
        <v/>
      </c>
      <c r="H2438" s="15" t="str">
        <f t="shared" ca="1" si="192"/>
        <v/>
      </c>
      <c r="I2438" s="16" t="str">
        <f t="shared" ca="1" si="193"/>
        <v/>
      </c>
    </row>
    <row r="2439" spans="1:9" x14ac:dyDescent="0.3">
      <c r="A2439" s="3"/>
      <c r="B2439" s="9"/>
      <c r="C2439" s="9"/>
      <c r="E2439" s="14" t="str">
        <f t="shared" si="194"/>
        <v/>
      </c>
      <c r="F2439" s="15" t="str">
        <f t="shared" ca="1" si="190"/>
        <v/>
      </c>
      <c r="G2439" s="15" t="str">
        <f t="shared" ca="1" si="191"/>
        <v/>
      </c>
      <c r="H2439" s="15" t="str">
        <f t="shared" ca="1" si="192"/>
        <v/>
      </c>
      <c r="I2439" s="16" t="str">
        <f t="shared" ca="1" si="193"/>
        <v/>
      </c>
    </row>
    <row r="2440" spans="1:9" x14ac:dyDescent="0.3">
      <c r="A2440" s="3"/>
      <c r="B2440" s="9"/>
      <c r="C2440" s="9"/>
      <c r="E2440" s="14" t="str">
        <f t="shared" si="194"/>
        <v/>
      </c>
      <c r="F2440" s="15" t="str">
        <f t="shared" ca="1" si="190"/>
        <v/>
      </c>
      <c r="G2440" s="15" t="str">
        <f t="shared" ca="1" si="191"/>
        <v/>
      </c>
      <c r="H2440" s="15" t="str">
        <f t="shared" ca="1" si="192"/>
        <v/>
      </c>
      <c r="I2440" s="16" t="str">
        <f t="shared" ca="1" si="193"/>
        <v/>
      </c>
    </row>
    <row r="2441" spans="1:9" x14ac:dyDescent="0.3">
      <c r="A2441" s="3"/>
      <c r="B2441" s="9"/>
      <c r="C2441" s="9"/>
      <c r="E2441" s="14" t="str">
        <f t="shared" si="194"/>
        <v/>
      </c>
      <c r="F2441" s="15" t="str">
        <f t="shared" ca="1" si="190"/>
        <v/>
      </c>
      <c r="G2441" s="15" t="str">
        <f t="shared" ca="1" si="191"/>
        <v/>
      </c>
      <c r="H2441" s="15" t="str">
        <f t="shared" ca="1" si="192"/>
        <v/>
      </c>
      <c r="I2441" s="16" t="str">
        <f t="shared" ca="1" si="193"/>
        <v/>
      </c>
    </row>
    <row r="2442" spans="1:9" x14ac:dyDescent="0.3">
      <c r="A2442" s="3"/>
      <c r="B2442" s="9"/>
      <c r="C2442" s="9"/>
      <c r="E2442" s="14" t="str">
        <f t="shared" si="194"/>
        <v/>
      </c>
      <c r="F2442" s="15" t="str">
        <f t="shared" ca="1" si="190"/>
        <v/>
      </c>
      <c r="G2442" s="15" t="str">
        <f t="shared" ca="1" si="191"/>
        <v/>
      </c>
      <c r="H2442" s="15" t="str">
        <f t="shared" ca="1" si="192"/>
        <v/>
      </c>
      <c r="I2442" s="16" t="str">
        <f t="shared" ca="1" si="193"/>
        <v/>
      </c>
    </row>
    <row r="2443" spans="1:9" x14ac:dyDescent="0.3">
      <c r="A2443" s="3"/>
      <c r="B2443" s="9"/>
      <c r="C2443" s="9"/>
      <c r="E2443" s="14" t="str">
        <f t="shared" si="194"/>
        <v/>
      </c>
      <c r="F2443" s="15" t="str">
        <f t="shared" ca="1" si="190"/>
        <v/>
      </c>
      <c r="G2443" s="15" t="str">
        <f t="shared" ca="1" si="191"/>
        <v/>
      </c>
      <c r="H2443" s="15" t="str">
        <f t="shared" ca="1" si="192"/>
        <v/>
      </c>
      <c r="I2443" s="16" t="str">
        <f t="shared" ca="1" si="193"/>
        <v/>
      </c>
    </row>
    <row r="2444" spans="1:9" x14ac:dyDescent="0.3">
      <c r="A2444" s="3"/>
      <c r="B2444" s="9"/>
      <c r="C2444" s="9"/>
      <c r="E2444" s="14" t="str">
        <f t="shared" si="194"/>
        <v/>
      </c>
      <c r="F2444" s="15" t="str">
        <f t="shared" ca="1" si="190"/>
        <v/>
      </c>
      <c r="G2444" s="15" t="str">
        <f t="shared" ca="1" si="191"/>
        <v/>
      </c>
      <c r="H2444" s="15" t="str">
        <f t="shared" ca="1" si="192"/>
        <v/>
      </c>
      <c r="I2444" s="16" t="str">
        <f t="shared" ca="1" si="193"/>
        <v/>
      </c>
    </row>
    <row r="2445" spans="1:9" x14ac:dyDescent="0.3">
      <c r="A2445" s="3"/>
      <c r="B2445" s="9"/>
      <c r="C2445" s="9"/>
      <c r="E2445" s="14" t="str">
        <f t="shared" si="194"/>
        <v/>
      </c>
      <c r="F2445" s="15" t="str">
        <f t="shared" ca="1" si="190"/>
        <v/>
      </c>
      <c r="G2445" s="15" t="str">
        <f t="shared" ca="1" si="191"/>
        <v/>
      </c>
      <c r="H2445" s="15" t="str">
        <f t="shared" ca="1" si="192"/>
        <v/>
      </c>
      <c r="I2445" s="16" t="str">
        <f t="shared" ca="1" si="193"/>
        <v/>
      </c>
    </row>
    <row r="2446" spans="1:9" x14ac:dyDescent="0.3">
      <c r="A2446" s="3"/>
      <c r="B2446" s="9"/>
      <c r="C2446" s="9"/>
      <c r="E2446" s="14" t="str">
        <f t="shared" si="194"/>
        <v/>
      </c>
      <c r="F2446" s="15" t="str">
        <f t="shared" ca="1" si="190"/>
        <v/>
      </c>
      <c r="G2446" s="15" t="str">
        <f t="shared" ca="1" si="191"/>
        <v/>
      </c>
      <c r="H2446" s="15" t="str">
        <f t="shared" ca="1" si="192"/>
        <v/>
      </c>
      <c r="I2446" s="16" t="str">
        <f t="shared" ca="1" si="193"/>
        <v/>
      </c>
    </row>
    <row r="2447" spans="1:9" x14ac:dyDescent="0.3">
      <c r="A2447" s="3"/>
      <c r="B2447" s="9"/>
      <c r="C2447" s="9"/>
      <c r="E2447" s="14" t="str">
        <f t="shared" si="194"/>
        <v/>
      </c>
      <c r="F2447" s="15" t="str">
        <f t="shared" ca="1" si="190"/>
        <v/>
      </c>
      <c r="G2447" s="15" t="str">
        <f t="shared" ca="1" si="191"/>
        <v/>
      </c>
      <c r="H2447" s="15" t="str">
        <f t="shared" ca="1" si="192"/>
        <v/>
      </c>
      <c r="I2447" s="16" t="str">
        <f t="shared" ca="1" si="193"/>
        <v/>
      </c>
    </row>
    <row r="2448" spans="1:9" x14ac:dyDescent="0.3">
      <c r="A2448" s="3"/>
      <c r="B2448" s="9"/>
      <c r="C2448" s="9"/>
      <c r="E2448" s="14" t="str">
        <f t="shared" si="194"/>
        <v/>
      </c>
      <c r="F2448" s="15" t="str">
        <f t="shared" ca="1" si="190"/>
        <v/>
      </c>
      <c r="G2448" s="15" t="str">
        <f t="shared" ca="1" si="191"/>
        <v/>
      </c>
      <c r="H2448" s="15" t="str">
        <f t="shared" ca="1" si="192"/>
        <v/>
      </c>
      <c r="I2448" s="16" t="str">
        <f t="shared" ca="1" si="193"/>
        <v/>
      </c>
    </row>
    <row r="2449" spans="1:9" x14ac:dyDescent="0.3">
      <c r="A2449" s="3"/>
      <c r="B2449" s="9"/>
      <c r="C2449" s="9"/>
      <c r="E2449" s="14" t="str">
        <f t="shared" si="194"/>
        <v/>
      </c>
      <c r="F2449" s="15" t="str">
        <f t="shared" ref="F2449:F2512" ca="1" si="195">IF(ISNUMBER(E2449),IF(ROW(E2449)&gt;$K$1,AVERAGE(OFFSET(E2449,0,0,-$K$1)),""),"")</f>
        <v/>
      </c>
      <c r="G2449" s="15" t="str">
        <f t="shared" ref="G2449:G2512" ca="1" si="196">IF(ISNUMBER(I2449),F2449+I2449*$M$1,"")</f>
        <v/>
      </c>
      <c r="H2449" s="15" t="str">
        <f t="shared" ref="H2449:H2512" ca="1" si="197">IF(ISNUMBER(I2449),F2449-I2449*$M$1,"")</f>
        <v/>
      </c>
      <c r="I2449" s="16" t="str">
        <f t="shared" ref="I2449:I2512" ca="1" si="198">IF(ISNUMBER(E2449),IF(ROW(E2449)&gt;$K$1,_xlfn.STDEV.P(OFFSET(E2449,0,0,-$K$1)),""),"")</f>
        <v/>
      </c>
    </row>
    <row r="2450" spans="1:9" x14ac:dyDescent="0.3">
      <c r="A2450" s="3"/>
      <c r="B2450" s="9"/>
      <c r="C2450" s="9"/>
      <c r="E2450" s="14" t="str">
        <f t="shared" si="194"/>
        <v/>
      </c>
      <c r="F2450" s="15" t="str">
        <f t="shared" ca="1" si="195"/>
        <v/>
      </c>
      <c r="G2450" s="15" t="str">
        <f t="shared" ca="1" si="196"/>
        <v/>
      </c>
      <c r="H2450" s="15" t="str">
        <f t="shared" ca="1" si="197"/>
        <v/>
      </c>
      <c r="I2450" s="16" t="str">
        <f t="shared" ca="1" si="198"/>
        <v/>
      </c>
    </row>
    <row r="2451" spans="1:9" x14ac:dyDescent="0.3">
      <c r="A2451" s="3"/>
      <c r="B2451" s="9"/>
      <c r="C2451" s="9"/>
      <c r="E2451" s="14" t="str">
        <f t="shared" si="194"/>
        <v/>
      </c>
      <c r="F2451" s="15" t="str">
        <f t="shared" ca="1" si="195"/>
        <v/>
      </c>
      <c r="G2451" s="15" t="str">
        <f t="shared" ca="1" si="196"/>
        <v/>
      </c>
      <c r="H2451" s="15" t="str">
        <f t="shared" ca="1" si="197"/>
        <v/>
      </c>
      <c r="I2451" s="16" t="str">
        <f t="shared" ca="1" si="198"/>
        <v/>
      </c>
    </row>
    <row r="2452" spans="1:9" x14ac:dyDescent="0.3">
      <c r="A2452" s="3"/>
      <c r="B2452" s="9"/>
      <c r="C2452" s="9"/>
      <c r="E2452" s="14" t="str">
        <f t="shared" si="194"/>
        <v/>
      </c>
      <c r="F2452" s="15" t="str">
        <f t="shared" ca="1" si="195"/>
        <v/>
      </c>
      <c r="G2452" s="15" t="str">
        <f t="shared" ca="1" si="196"/>
        <v/>
      </c>
      <c r="H2452" s="15" t="str">
        <f t="shared" ca="1" si="197"/>
        <v/>
      </c>
      <c r="I2452" s="16" t="str">
        <f t="shared" ca="1" si="198"/>
        <v/>
      </c>
    </row>
    <row r="2453" spans="1:9" x14ac:dyDescent="0.3">
      <c r="A2453" s="3"/>
      <c r="B2453" s="9"/>
      <c r="C2453" s="9"/>
      <c r="E2453" s="14" t="str">
        <f t="shared" si="194"/>
        <v/>
      </c>
      <c r="F2453" s="15" t="str">
        <f t="shared" ca="1" si="195"/>
        <v/>
      </c>
      <c r="G2453" s="15" t="str">
        <f t="shared" ca="1" si="196"/>
        <v/>
      </c>
      <c r="H2453" s="15" t="str">
        <f t="shared" ca="1" si="197"/>
        <v/>
      </c>
      <c r="I2453" s="16" t="str">
        <f t="shared" ca="1" si="198"/>
        <v/>
      </c>
    </row>
    <row r="2454" spans="1:9" x14ac:dyDescent="0.3">
      <c r="A2454" s="3"/>
      <c r="B2454" s="9"/>
      <c r="C2454" s="9"/>
      <c r="E2454" s="14" t="str">
        <f t="shared" si="194"/>
        <v/>
      </c>
      <c r="F2454" s="15" t="str">
        <f t="shared" ca="1" si="195"/>
        <v/>
      </c>
      <c r="G2454" s="15" t="str">
        <f t="shared" ca="1" si="196"/>
        <v/>
      </c>
      <c r="H2454" s="15" t="str">
        <f t="shared" ca="1" si="197"/>
        <v/>
      </c>
      <c r="I2454" s="16" t="str">
        <f t="shared" ca="1" si="198"/>
        <v/>
      </c>
    </row>
    <row r="2455" spans="1:9" x14ac:dyDescent="0.3">
      <c r="A2455" s="3"/>
      <c r="B2455" s="9"/>
      <c r="C2455" s="9"/>
      <c r="E2455" s="14" t="str">
        <f t="shared" si="194"/>
        <v/>
      </c>
      <c r="F2455" s="15" t="str">
        <f t="shared" ca="1" si="195"/>
        <v/>
      </c>
      <c r="G2455" s="15" t="str">
        <f t="shared" ca="1" si="196"/>
        <v/>
      </c>
      <c r="H2455" s="15" t="str">
        <f t="shared" ca="1" si="197"/>
        <v/>
      </c>
      <c r="I2455" s="16" t="str">
        <f t="shared" ca="1" si="198"/>
        <v/>
      </c>
    </row>
    <row r="2456" spans="1:9" x14ac:dyDescent="0.3">
      <c r="A2456" s="3"/>
      <c r="B2456" s="9"/>
      <c r="C2456" s="9"/>
      <c r="E2456" s="14" t="str">
        <f t="shared" si="194"/>
        <v/>
      </c>
      <c r="F2456" s="15" t="str">
        <f t="shared" ca="1" si="195"/>
        <v/>
      </c>
      <c r="G2456" s="15" t="str">
        <f t="shared" ca="1" si="196"/>
        <v/>
      </c>
      <c r="H2456" s="15" t="str">
        <f t="shared" ca="1" si="197"/>
        <v/>
      </c>
      <c r="I2456" s="16" t="str">
        <f t="shared" ca="1" si="198"/>
        <v/>
      </c>
    </row>
    <row r="2457" spans="1:9" x14ac:dyDescent="0.3">
      <c r="A2457" s="3"/>
      <c r="B2457" s="9"/>
      <c r="C2457" s="9"/>
      <c r="E2457" s="14" t="str">
        <f t="shared" si="194"/>
        <v/>
      </c>
      <c r="F2457" s="15" t="str">
        <f t="shared" ca="1" si="195"/>
        <v/>
      </c>
      <c r="G2457" s="15" t="str">
        <f t="shared" ca="1" si="196"/>
        <v/>
      </c>
      <c r="H2457" s="15" t="str">
        <f t="shared" ca="1" si="197"/>
        <v/>
      </c>
      <c r="I2457" s="16" t="str">
        <f t="shared" ca="1" si="198"/>
        <v/>
      </c>
    </row>
    <row r="2458" spans="1:9" x14ac:dyDescent="0.3">
      <c r="A2458" s="3"/>
      <c r="B2458" s="9"/>
      <c r="C2458" s="9"/>
      <c r="E2458" s="14" t="str">
        <f t="shared" si="194"/>
        <v/>
      </c>
      <c r="F2458" s="15" t="str">
        <f t="shared" ca="1" si="195"/>
        <v/>
      </c>
      <c r="G2458" s="15" t="str">
        <f t="shared" ca="1" si="196"/>
        <v/>
      </c>
      <c r="H2458" s="15" t="str">
        <f t="shared" ca="1" si="197"/>
        <v/>
      </c>
      <c r="I2458" s="16" t="str">
        <f t="shared" ca="1" si="198"/>
        <v/>
      </c>
    </row>
    <row r="2459" spans="1:9" x14ac:dyDescent="0.3">
      <c r="A2459" s="3"/>
      <c r="B2459" s="9"/>
      <c r="C2459" s="9"/>
      <c r="E2459" s="14" t="str">
        <f t="shared" si="194"/>
        <v/>
      </c>
      <c r="F2459" s="15" t="str">
        <f t="shared" ca="1" si="195"/>
        <v/>
      </c>
      <c r="G2459" s="15" t="str">
        <f t="shared" ca="1" si="196"/>
        <v/>
      </c>
      <c r="H2459" s="15" t="str">
        <f t="shared" ca="1" si="197"/>
        <v/>
      </c>
      <c r="I2459" s="16" t="str">
        <f t="shared" ca="1" si="198"/>
        <v/>
      </c>
    </row>
    <row r="2460" spans="1:9" x14ac:dyDescent="0.3">
      <c r="A2460" s="3"/>
      <c r="B2460" s="9"/>
      <c r="C2460" s="9"/>
      <c r="E2460" s="14" t="str">
        <f t="shared" si="194"/>
        <v/>
      </c>
      <c r="F2460" s="15" t="str">
        <f t="shared" ca="1" si="195"/>
        <v/>
      </c>
      <c r="G2460" s="15" t="str">
        <f t="shared" ca="1" si="196"/>
        <v/>
      </c>
      <c r="H2460" s="15" t="str">
        <f t="shared" ca="1" si="197"/>
        <v/>
      </c>
      <c r="I2460" s="16" t="str">
        <f t="shared" ca="1" si="198"/>
        <v/>
      </c>
    </row>
    <row r="2461" spans="1:9" x14ac:dyDescent="0.3">
      <c r="A2461" s="3"/>
      <c r="B2461" s="9"/>
      <c r="C2461" s="9"/>
      <c r="E2461" s="14" t="str">
        <f t="shared" si="194"/>
        <v/>
      </c>
      <c r="F2461" s="15" t="str">
        <f t="shared" ca="1" si="195"/>
        <v/>
      </c>
      <c r="G2461" s="15" t="str">
        <f t="shared" ca="1" si="196"/>
        <v/>
      </c>
      <c r="H2461" s="15" t="str">
        <f t="shared" ca="1" si="197"/>
        <v/>
      </c>
      <c r="I2461" s="16" t="str">
        <f t="shared" ca="1" si="198"/>
        <v/>
      </c>
    </row>
    <row r="2462" spans="1:9" x14ac:dyDescent="0.3">
      <c r="A2462" s="3"/>
      <c r="B2462" s="9"/>
      <c r="C2462" s="9"/>
      <c r="E2462" s="14" t="str">
        <f t="shared" si="194"/>
        <v/>
      </c>
      <c r="F2462" s="15" t="str">
        <f t="shared" ca="1" si="195"/>
        <v/>
      </c>
      <c r="G2462" s="15" t="str">
        <f t="shared" ca="1" si="196"/>
        <v/>
      </c>
      <c r="H2462" s="15" t="str">
        <f t="shared" ca="1" si="197"/>
        <v/>
      </c>
      <c r="I2462" s="16" t="str">
        <f t="shared" ca="1" si="198"/>
        <v/>
      </c>
    </row>
    <row r="2463" spans="1:9" x14ac:dyDescent="0.3">
      <c r="A2463" s="3"/>
      <c r="B2463" s="9"/>
      <c r="C2463" s="9"/>
      <c r="E2463" s="14" t="str">
        <f t="shared" si="194"/>
        <v/>
      </c>
      <c r="F2463" s="15" t="str">
        <f t="shared" ca="1" si="195"/>
        <v/>
      </c>
      <c r="G2463" s="15" t="str">
        <f t="shared" ca="1" si="196"/>
        <v/>
      </c>
      <c r="H2463" s="15" t="str">
        <f t="shared" ca="1" si="197"/>
        <v/>
      </c>
      <c r="I2463" s="16" t="str">
        <f t="shared" ca="1" si="198"/>
        <v/>
      </c>
    </row>
    <row r="2464" spans="1:9" x14ac:dyDescent="0.3">
      <c r="A2464" s="3"/>
      <c r="B2464" s="9"/>
      <c r="C2464" s="9"/>
      <c r="E2464" s="14" t="str">
        <f t="shared" si="194"/>
        <v/>
      </c>
      <c r="F2464" s="15" t="str">
        <f t="shared" ca="1" si="195"/>
        <v/>
      </c>
      <c r="G2464" s="15" t="str">
        <f t="shared" ca="1" si="196"/>
        <v/>
      </c>
      <c r="H2464" s="15" t="str">
        <f t="shared" ca="1" si="197"/>
        <v/>
      </c>
      <c r="I2464" s="16" t="str">
        <f t="shared" ca="1" si="198"/>
        <v/>
      </c>
    </row>
    <row r="2465" spans="1:9" x14ac:dyDescent="0.3">
      <c r="A2465" s="3"/>
      <c r="B2465" s="9"/>
      <c r="C2465" s="9"/>
      <c r="E2465" s="14" t="str">
        <f t="shared" si="194"/>
        <v/>
      </c>
      <c r="F2465" s="15" t="str">
        <f t="shared" ca="1" si="195"/>
        <v/>
      </c>
      <c r="G2465" s="15" t="str">
        <f t="shared" ca="1" si="196"/>
        <v/>
      </c>
      <c r="H2465" s="15" t="str">
        <f t="shared" ca="1" si="197"/>
        <v/>
      </c>
      <c r="I2465" s="16" t="str">
        <f t="shared" ca="1" si="198"/>
        <v/>
      </c>
    </row>
    <row r="2466" spans="1:9" x14ac:dyDescent="0.3">
      <c r="A2466" s="3"/>
      <c r="B2466" s="9"/>
      <c r="C2466" s="9"/>
      <c r="E2466" s="14" t="str">
        <f t="shared" si="194"/>
        <v/>
      </c>
      <c r="F2466" s="15" t="str">
        <f t="shared" ca="1" si="195"/>
        <v/>
      </c>
      <c r="G2466" s="15" t="str">
        <f t="shared" ca="1" si="196"/>
        <v/>
      </c>
      <c r="H2466" s="15" t="str">
        <f t="shared" ca="1" si="197"/>
        <v/>
      </c>
      <c r="I2466" s="16" t="str">
        <f t="shared" ca="1" si="198"/>
        <v/>
      </c>
    </row>
    <row r="2467" spans="1:9" x14ac:dyDescent="0.3">
      <c r="A2467" s="3"/>
      <c r="B2467" s="9"/>
      <c r="C2467" s="9"/>
      <c r="E2467" s="14" t="str">
        <f t="shared" si="194"/>
        <v/>
      </c>
      <c r="F2467" s="15" t="str">
        <f t="shared" ca="1" si="195"/>
        <v/>
      </c>
      <c r="G2467" s="15" t="str">
        <f t="shared" ca="1" si="196"/>
        <v/>
      </c>
      <c r="H2467" s="15" t="str">
        <f t="shared" ca="1" si="197"/>
        <v/>
      </c>
      <c r="I2467" s="16" t="str">
        <f t="shared" ca="1" si="198"/>
        <v/>
      </c>
    </row>
    <row r="2468" spans="1:9" x14ac:dyDescent="0.3">
      <c r="A2468" s="3"/>
      <c r="B2468" s="9"/>
      <c r="C2468" s="9"/>
      <c r="E2468" s="14" t="str">
        <f t="shared" si="194"/>
        <v/>
      </c>
      <c r="F2468" s="15" t="str">
        <f t="shared" ca="1" si="195"/>
        <v/>
      </c>
      <c r="G2468" s="15" t="str">
        <f t="shared" ca="1" si="196"/>
        <v/>
      </c>
      <c r="H2468" s="15" t="str">
        <f t="shared" ca="1" si="197"/>
        <v/>
      </c>
      <c r="I2468" s="16" t="str">
        <f t="shared" ca="1" si="198"/>
        <v/>
      </c>
    </row>
    <row r="2469" spans="1:9" x14ac:dyDescent="0.3">
      <c r="A2469" s="3"/>
      <c r="B2469" s="9"/>
      <c r="C2469" s="9"/>
      <c r="E2469" s="14" t="str">
        <f t="shared" si="194"/>
        <v/>
      </c>
      <c r="F2469" s="15" t="str">
        <f t="shared" ca="1" si="195"/>
        <v/>
      </c>
      <c r="G2469" s="15" t="str">
        <f t="shared" ca="1" si="196"/>
        <v/>
      </c>
      <c r="H2469" s="15" t="str">
        <f t="shared" ca="1" si="197"/>
        <v/>
      </c>
      <c r="I2469" s="16" t="str">
        <f t="shared" ca="1" si="198"/>
        <v/>
      </c>
    </row>
    <row r="2470" spans="1:9" x14ac:dyDescent="0.3">
      <c r="A2470" s="3"/>
      <c r="B2470" s="9"/>
      <c r="C2470" s="9"/>
      <c r="E2470" s="14" t="str">
        <f t="shared" si="194"/>
        <v/>
      </c>
      <c r="F2470" s="15" t="str">
        <f t="shared" ca="1" si="195"/>
        <v/>
      </c>
      <c r="G2470" s="15" t="str">
        <f t="shared" ca="1" si="196"/>
        <v/>
      </c>
      <c r="H2470" s="15" t="str">
        <f t="shared" ca="1" si="197"/>
        <v/>
      </c>
      <c r="I2470" s="16" t="str">
        <f t="shared" ca="1" si="198"/>
        <v/>
      </c>
    </row>
    <row r="2471" spans="1:9" x14ac:dyDescent="0.3">
      <c r="A2471" s="3"/>
      <c r="B2471" s="9"/>
      <c r="C2471" s="9"/>
      <c r="E2471" s="14" t="str">
        <f t="shared" si="194"/>
        <v/>
      </c>
      <c r="F2471" s="15" t="str">
        <f t="shared" ca="1" si="195"/>
        <v/>
      </c>
      <c r="G2471" s="15" t="str">
        <f t="shared" ca="1" si="196"/>
        <v/>
      </c>
      <c r="H2471" s="15" t="str">
        <f t="shared" ca="1" si="197"/>
        <v/>
      </c>
      <c r="I2471" s="16" t="str">
        <f t="shared" ca="1" si="198"/>
        <v/>
      </c>
    </row>
    <row r="2472" spans="1:9" x14ac:dyDescent="0.3">
      <c r="A2472" s="3"/>
      <c r="B2472" s="9"/>
      <c r="C2472" s="9"/>
      <c r="E2472" s="14" t="str">
        <f t="shared" si="194"/>
        <v/>
      </c>
      <c r="F2472" s="15" t="str">
        <f t="shared" ca="1" si="195"/>
        <v/>
      </c>
      <c r="G2472" s="15" t="str">
        <f t="shared" ca="1" si="196"/>
        <v/>
      </c>
      <c r="H2472" s="15" t="str">
        <f t="shared" ca="1" si="197"/>
        <v/>
      </c>
      <c r="I2472" s="16" t="str">
        <f t="shared" ca="1" si="198"/>
        <v/>
      </c>
    </row>
    <row r="2473" spans="1:9" x14ac:dyDescent="0.3">
      <c r="A2473" s="3"/>
      <c r="B2473" s="9"/>
      <c r="C2473" s="9"/>
      <c r="E2473" s="14" t="str">
        <f t="shared" si="194"/>
        <v/>
      </c>
      <c r="F2473" s="15" t="str">
        <f t="shared" ca="1" si="195"/>
        <v/>
      </c>
      <c r="G2473" s="15" t="str">
        <f t="shared" ca="1" si="196"/>
        <v/>
      </c>
      <c r="H2473" s="15" t="str">
        <f t="shared" ca="1" si="197"/>
        <v/>
      </c>
      <c r="I2473" s="16" t="str">
        <f t="shared" ca="1" si="198"/>
        <v/>
      </c>
    </row>
    <row r="2474" spans="1:9" x14ac:dyDescent="0.3">
      <c r="A2474" s="3"/>
      <c r="B2474" s="9"/>
      <c r="C2474" s="9"/>
      <c r="E2474" s="14" t="str">
        <f t="shared" si="194"/>
        <v/>
      </c>
      <c r="F2474" s="15" t="str">
        <f t="shared" ca="1" si="195"/>
        <v/>
      </c>
      <c r="G2474" s="15" t="str">
        <f t="shared" ca="1" si="196"/>
        <v/>
      </c>
      <c r="H2474" s="15" t="str">
        <f t="shared" ca="1" si="197"/>
        <v/>
      </c>
      <c r="I2474" s="16" t="str">
        <f t="shared" ca="1" si="198"/>
        <v/>
      </c>
    </row>
    <row r="2475" spans="1:9" x14ac:dyDescent="0.3">
      <c r="A2475" s="3"/>
      <c r="B2475" s="9"/>
      <c r="C2475" s="9"/>
      <c r="E2475" s="14" t="str">
        <f t="shared" si="194"/>
        <v/>
      </c>
      <c r="F2475" s="15" t="str">
        <f t="shared" ca="1" si="195"/>
        <v/>
      </c>
      <c r="G2475" s="15" t="str">
        <f t="shared" ca="1" si="196"/>
        <v/>
      </c>
      <c r="H2475" s="15" t="str">
        <f t="shared" ca="1" si="197"/>
        <v/>
      </c>
      <c r="I2475" s="16" t="str">
        <f t="shared" ca="1" si="198"/>
        <v/>
      </c>
    </row>
    <row r="2476" spans="1:9" x14ac:dyDescent="0.3">
      <c r="A2476" s="3"/>
      <c r="B2476" s="9"/>
      <c r="C2476" s="9"/>
      <c r="E2476" s="14" t="str">
        <f t="shared" si="194"/>
        <v/>
      </c>
      <c r="F2476" s="15" t="str">
        <f t="shared" ca="1" si="195"/>
        <v/>
      </c>
      <c r="G2476" s="15" t="str">
        <f t="shared" ca="1" si="196"/>
        <v/>
      </c>
      <c r="H2476" s="15" t="str">
        <f t="shared" ca="1" si="197"/>
        <v/>
      </c>
      <c r="I2476" s="16" t="str">
        <f t="shared" ca="1" si="198"/>
        <v/>
      </c>
    </row>
    <row r="2477" spans="1:9" x14ac:dyDescent="0.3">
      <c r="A2477" s="3"/>
      <c r="B2477" s="9"/>
      <c r="C2477" s="9"/>
      <c r="E2477" s="14" t="str">
        <f t="shared" si="194"/>
        <v/>
      </c>
      <c r="F2477" s="15" t="str">
        <f t="shared" ca="1" si="195"/>
        <v/>
      </c>
      <c r="G2477" s="15" t="str">
        <f t="shared" ca="1" si="196"/>
        <v/>
      </c>
      <c r="H2477" s="15" t="str">
        <f t="shared" ca="1" si="197"/>
        <v/>
      </c>
      <c r="I2477" s="16" t="str">
        <f t="shared" ca="1" si="198"/>
        <v/>
      </c>
    </row>
    <row r="2478" spans="1:9" x14ac:dyDescent="0.3">
      <c r="A2478" s="3"/>
      <c r="B2478" s="9"/>
      <c r="C2478" s="9"/>
      <c r="E2478" s="14" t="str">
        <f t="shared" si="194"/>
        <v/>
      </c>
      <c r="F2478" s="15" t="str">
        <f t="shared" ca="1" si="195"/>
        <v/>
      </c>
      <c r="G2478" s="15" t="str">
        <f t="shared" ca="1" si="196"/>
        <v/>
      </c>
      <c r="H2478" s="15" t="str">
        <f t="shared" ca="1" si="197"/>
        <v/>
      </c>
      <c r="I2478" s="16" t="str">
        <f t="shared" ca="1" si="198"/>
        <v/>
      </c>
    </row>
    <row r="2479" spans="1:9" x14ac:dyDescent="0.3">
      <c r="A2479" s="3"/>
      <c r="B2479" s="9"/>
      <c r="C2479" s="9"/>
      <c r="E2479" s="14" t="str">
        <f t="shared" si="194"/>
        <v/>
      </c>
      <c r="F2479" s="15" t="str">
        <f t="shared" ca="1" si="195"/>
        <v/>
      </c>
      <c r="G2479" s="15" t="str">
        <f t="shared" ca="1" si="196"/>
        <v/>
      </c>
      <c r="H2479" s="15" t="str">
        <f t="shared" ca="1" si="197"/>
        <v/>
      </c>
      <c r="I2479" s="16" t="str">
        <f t="shared" ca="1" si="198"/>
        <v/>
      </c>
    </row>
    <row r="2480" spans="1:9" x14ac:dyDescent="0.3">
      <c r="A2480" s="3"/>
      <c r="B2480" s="9"/>
      <c r="C2480" s="9"/>
      <c r="E2480" s="14" t="str">
        <f t="shared" si="194"/>
        <v/>
      </c>
      <c r="F2480" s="15" t="str">
        <f t="shared" ca="1" si="195"/>
        <v/>
      </c>
      <c r="G2480" s="15" t="str">
        <f t="shared" ca="1" si="196"/>
        <v/>
      </c>
      <c r="H2480" s="15" t="str">
        <f t="shared" ca="1" si="197"/>
        <v/>
      </c>
      <c r="I2480" s="16" t="str">
        <f t="shared" ca="1" si="198"/>
        <v/>
      </c>
    </row>
    <row r="2481" spans="1:9" x14ac:dyDescent="0.3">
      <c r="A2481" s="3"/>
      <c r="B2481" s="9"/>
      <c r="C2481" s="9"/>
      <c r="E2481" s="14" t="str">
        <f t="shared" si="194"/>
        <v/>
      </c>
      <c r="F2481" s="15" t="str">
        <f t="shared" ca="1" si="195"/>
        <v/>
      </c>
      <c r="G2481" s="15" t="str">
        <f t="shared" ca="1" si="196"/>
        <v/>
      </c>
      <c r="H2481" s="15" t="str">
        <f t="shared" ca="1" si="197"/>
        <v/>
      </c>
      <c r="I2481" s="16" t="str">
        <f t="shared" ca="1" si="198"/>
        <v/>
      </c>
    </row>
    <row r="2482" spans="1:9" x14ac:dyDescent="0.3">
      <c r="A2482" s="3"/>
      <c r="B2482" s="9"/>
      <c r="C2482" s="9"/>
      <c r="E2482" s="14" t="str">
        <f t="shared" si="194"/>
        <v/>
      </c>
      <c r="F2482" s="15" t="str">
        <f t="shared" ca="1" si="195"/>
        <v/>
      </c>
      <c r="G2482" s="15" t="str">
        <f t="shared" ca="1" si="196"/>
        <v/>
      </c>
      <c r="H2482" s="15" t="str">
        <f t="shared" ca="1" si="197"/>
        <v/>
      </c>
      <c r="I2482" s="16" t="str">
        <f t="shared" ca="1" si="198"/>
        <v/>
      </c>
    </row>
    <row r="2483" spans="1:9" x14ac:dyDescent="0.3">
      <c r="A2483" s="3"/>
      <c r="B2483" s="9"/>
      <c r="C2483" s="9"/>
      <c r="E2483" s="14" t="str">
        <f t="shared" si="194"/>
        <v/>
      </c>
      <c r="F2483" s="15" t="str">
        <f t="shared" ca="1" si="195"/>
        <v/>
      </c>
      <c r="G2483" s="15" t="str">
        <f t="shared" ca="1" si="196"/>
        <v/>
      </c>
      <c r="H2483" s="15" t="str">
        <f t="shared" ca="1" si="197"/>
        <v/>
      </c>
      <c r="I2483" s="16" t="str">
        <f t="shared" ca="1" si="198"/>
        <v/>
      </c>
    </row>
    <row r="2484" spans="1:9" x14ac:dyDescent="0.3">
      <c r="A2484" s="3"/>
      <c r="B2484" s="9"/>
      <c r="C2484" s="9"/>
      <c r="E2484" s="14" t="str">
        <f t="shared" si="194"/>
        <v/>
      </c>
      <c r="F2484" s="15" t="str">
        <f t="shared" ca="1" si="195"/>
        <v/>
      </c>
      <c r="G2484" s="15" t="str">
        <f t="shared" ca="1" si="196"/>
        <v/>
      </c>
      <c r="H2484" s="15" t="str">
        <f t="shared" ca="1" si="197"/>
        <v/>
      </c>
      <c r="I2484" s="16" t="str">
        <f t="shared" ca="1" si="198"/>
        <v/>
      </c>
    </row>
    <row r="2485" spans="1:9" x14ac:dyDescent="0.3">
      <c r="A2485" s="3"/>
      <c r="B2485" s="9"/>
      <c r="C2485" s="9"/>
      <c r="E2485" s="14" t="str">
        <f t="shared" si="194"/>
        <v/>
      </c>
      <c r="F2485" s="15" t="str">
        <f t="shared" ca="1" si="195"/>
        <v/>
      </c>
      <c r="G2485" s="15" t="str">
        <f t="shared" ca="1" si="196"/>
        <v/>
      </c>
      <c r="H2485" s="15" t="str">
        <f t="shared" ca="1" si="197"/>
        <v/>
      </c>
      <c r="I2485" s="16" t="str">
        <f t="shared" ca="1" si="198"/>
        <v/>
      </c>
    </row>
    <row r="2486" spans="1:9" x14ac:dyDescent="0.3">
      <c r="A2486" s="3"/>
      <c r="B2486" s="9"/>
      <c r="C2486" s="9"/>
      <c r="E2486" s="14" t="str">
        <f t="shared" si="194"/>
        <v/>
      </c>
      <c r="F2486" s="15" t="str">
        <f t="shared" ca="1" si="195"/>
        <v/>
      </c>
      <c r="G2486" s="15" t="str">
        <f t="shared" ca="1" si="196"/>
        <v/>
      </c>
      <c r="H2486" s="15" t="str">
        <f t="shared" ca="1" si="197"/>
        <v/>
      </c>
      <c r="I2486" s="16" t="str">
        <f t="shared" ca="1" si="198"/>
        <v/>
      </c>
    </row>
    <row r="2487" spans="1:9" x14ac:dyDescent="0.3">
      <c r="A2487" s="3"/>
      <c r="B2487" s="9"/>
      <c r="C2487" s="9"/>
      <c r="E2487" s="14" t="str">
        <f t="shared" si="194"/>
        <v/>
      </c>
      <c r="F2487" s="15" t="str">
        <f t="shared" ca="1" si="195"/>
        <v/>
      </c>
      <c r="G2487" s="15" t="str">
        <f t="shared" ca="1" si="196"/>
        <v/>
      </c>
      <c r="H2487" s="15" t="str">
        <f t="shared" ca="1" si="197"/>
        <v/>
      </c>
      <c r="I2487" s="16" t="str">
        <f t="shared" ca="1" si="198"/>
        <v/>
      </c>
    </row>
    <row r="2488" spans="1:9" x14ac:dyDescent="0.3">
      <c r="A2488" s="3"/>
      <c r="B2488" s="9"/>
      <c r="C2488" s="9"/>
      <c r="E2488" s="14" t="str">
        <f t="shared" si="194"/>
        <v/>
      </c>
      <c r="F2488" s="15" t="str">
        <f t="shared" ca="1" si="195"/>
        <v/>
      </c>
      <c r="G2488" s="15" t="str">
        <f t="shared" ca="1" si="196"/>
        <v/>
      </c>
      <c r="H2488" s="15" t="str">
        <f t="shared" ca="1" si="197"/>
        <v/>
      </c>
      <c r="I2488" s="16" t="str">
        <f t="shared" ca="1" si="198"/>
        <v/>
      </c>
    </row>
    <row r="2489" spans="1:9" x14ac:dyDescent="0.3">
      <c r="A2489" s="3"/>
      <c r="B2489" s="9"/>
      <c r="C2489" s="9"/>
      <c r="E2489" s="14" t="str">
        <f t="shared" si="194"/>
        <v/>
      </c>
      <c r="F2489" s="15" t="str">
        <f t="shared" ca="1" si="195"/>
        <v/>
      </c>
      <c r="G2489" s="15" t="str">
        <f t="shared" ca="1" si="196"/>
        <v/>
      </c>
      <c r="H2489" s="15" t="str">
        <f t="shared" ca="1" si="197"/>
        <v/>
      </c>
      <c r="I2489" s="16" t="str">
        <f t="shared" ca="1" si="198"/>
        <v/>
      </c>
    </row>
    <row r="2490" spans="1:9" x14ac:dyDescent="0.3">
      <c r="A2490" s="3"/>
      <c r="B2490" s="9"/>
      <c r="C2490" s="9"/>
      <c r="E2490" s="14" t="str">
        <f t="shared" si="194"/>
        <v/>
      </c>
      <c r="F2490" s="15" t="str">
        <f t="shared" ca="1" si="195"/>
        <v/>
      </c>
      <c r="G2490" s="15" t="str">
        <f t="shared" ca="1" si="196"/>
        <v/>
      </c>
      <c r="H2490" s="15" t="str">
        <f t="shared" ca="1" si="197"/>
        <v/>
      </c>
      <c r="I2490" s="16" t="str">
        <f t="shared" ca="1" si="198"/>
        <v/>
      </c>
    </row>
    <row r="2491" spans="1:9" x14ac:dyDescent="0.3">
      <c r="A2491" s="3"/>
      <c r="B2491" s="9"/>
      <c r="C2491" s="9"/>
      <c r="E2491" s="14" t="str">
        <f t="shared" si="194"/>
        <v/>
      </c>
      <c r="F2491" s="15" t="str">
        <f t="shared" ca="1" si="195"/>
        <v/>
      </c>
      <c r="G2491" s="15" t="str">
        <f t="shared" ca="1" si="196"/>
        <v/>
      </c>
      <c r="H2491" s="15" t="str">
        <f t="shared" ca="1" si="197"/>
        <v/>
      </c>
      <c r="I2491" s="16" t="str">
        <f t="shared" ca="1" si="198"/>
        <v/>
      </c>
    </row>
    <row r="2492" spans="1:9" x14ac:dyDescent="0.3">
      <c r="A2492" s="3"/>
      <c r="B2492" s="9"/>
      <c r="C2492" s="9"/>
      <c r="E2492" s="14" t="str">
        <f t="shared" si="194"/>
        <v/>
      </c>
      <c r="F2492" s="15" t="str">
        <f t="shared" ca="1" si="195"/>
        <v/>
      </c>
      <c r="G2492" s="15" t="str">
        <f t="shared" ca="1" si="196"/>
        <v/>
      </c>
      <c r="H2492" s="15" t="str">
        <f t="shared" ca="1" si="197"/>
        <v/>
      </c>
      <c r="I2492" s="16" t="str">
        <f t="shared" ca="1" si="198"/>
        <v/>
      </c>
    </row>
    <row r="2493" spans="1:9" x14ac:dyDescent="0.3">
      <c r="A2493" s="3"/>
      <c r="B2493" s="9"/>
      <c r="C2493" s="9"/>
      <c r="E2493" s="14" t="str">
        <f t="shared" si="194"/>
        <v/>
      </c>
      <c r="F2493" s="15" t="str">
        <f t="shared" ca="1" si="195"/>
        <v/>
      </c>
      <c r="G2493" s="15" t="str">
        <f t="shared" ca="1" si="196"/>
        <v/>
      </c>
      <c r="H2493" s="15" t="str">
        <f t="shared" ca="1" si="197"/>
        <v/>
      </c>
      <c r="I2493" s="16" t="str">
        <f t="shared" ca="1" si="198"/>
        <v/>
      </c>
    </row>
    <row r="2494" spans="1:9" x14ac:dyDescent="0.3">
      <c r="A2494" s="3"/>
      <c r="B2494" s="9"/>
      <c r="C2494" s="9"/>
      <c r="E2494" s="14" t="str">
        <f t="shared" si="194"/>
        <v/>
      </c>
      <c r="F2494" s="15" t="str">
        <f t="shared" ca="1" si="195"/>
        <v/>
      </c>
      <c r="G2494" s="15" t="str">
        <f t="shared" ca="1" si="196"/>
        <v/>
      </c>
      <c r="H2494" s="15" t="str">
        <f t="shared" ca="1" si="197"/>
        <v/>
      </c>
      <c r="I2494" s="16" t="str">
        <f t="shared" ca="1" si="198"/>
        <v/>
      </c>
    </row>
    <row r="2495" spans="1:9" x14ac:dyDescent="0.3">
      <c r="A2495" s="3"/>
      <c r="B2495" s="9"/>
      <c r="C2495" s="9"/>
      <c r="E2495" s="14" t="str">
        <f t="shared" si="194"/>
        <v/>
      </c>
      <c r="F2495" s="15" t="str">
        <f t="shared" ca="1" si="195"/>
        <v/>
      </c>
      <c r="G2495" s="15" t="str">
        <f t="shared" ca="1" si="196"/>
        <v/>
      </c>
      <c r="H2495" s="15" t="str">
        <f t="shared" ca="1" si="197"/>
        <v/>
      </c>
      <c r="I2495" s="16" t="str">
        <f t="shared" ca="1" si="198"/>
        <v/>
      </c>
    </row>
    <row r="2496" spans="1:9" x14ac:dyDescent="0.3">
      <c r="A2496" s="3"/>
      <c r="B2496" s="9"/>
      <c r="C2496" s="9"/>
      <c r="E2496" s="14" t="str">
        <f t="shared" si="194"/>
        <v/>
      </c>
      <c r="F2496" s="15" t="str">
        <f t="shared" ca="1" si="195"/>
        <v/>
      </c>
      <c r="G2496" s="15" t="str">
        <f t="shared" ca="1" si="196"/>
        <v/>
      </c>
      <c r="H2496" s="15" t="str">
        <f t="shared" ca="1" si="197"/>
        <v/>
      </c>
      <c r="I2496" s="16" t="str">
        <f t="shared" ca="1" si="198"/>
        <v/>
      </c>
    </row>
    <row r="2497" spans="1:9" x14ac:dyDescent="0.3">
      <c r="A2497" s="3"/>
      <c r="B2497" s="9"/>
      <c r="C2497" s="9"/>
      <c r="E2497" s="14" t="str">
        <f t="shared" si="194"/>
        <v/>
      </c>
      <c r="F2497" s="15" t="str">
        <f t="shared" ca="1" si="195"/>
        <v/>
      </c>
      <c r="G2497" s="15" t="str">
        <f t="shared" ca="1" si="196"/>
        <v/>
      </c>
      <c r="H2497" s="15" t="str">
        <f t="shared" ca="1" si="197"/>
        <v/>
      </c>
      <c r="I2497" s="16" t="str">
        <f t="shared" ca="1" si="198"/>
        <v/>
      </c>
    </row>
    <row r="2498" spans="1:9" x14ac:dyDescent="0.3">
      <c r="A2498" s="3"/>
      <c r="B2498" s="9"/>
      <c r="C2498" s="9"/>
      <c r="E2498" s="14" t="str">
        <f t="shared" si="194"/>
        <v/>
      </c>
      <c r="F2498" s="15" t="str">
        <f t="shared" ca="1" si="195"/>
        <v/>
      </c>
      <c r="G2498" s="15" t="str">
        <f t="shared" ca="1" si="196"/>
        <v/>
      </c>
      <c r="H2498" s="15" t="str">
        <f t="shared" ca="1" si="197"/>
        <v/>
      </c>
      <c r="I2498" s="16" t="str">
        <f t="shared" ca="1" si="198"/>
        <v/>
      </c>
    </row>
    <row r="2499" spans="1:9" x14ac:dyDescent="0.3">
      <c r="A2499" s="3"/>
      <c r="B2499" s="9"/>
      <c r="C2499" s="9"/>
      <c r="E2499" s="14" t="str">
        <f t="shared" ref="E2499:E2562" si="199">IF(ISNUMBER(B2499),B2499/C2499,"")</f>
        <v/>
      </c>
      <c r="F2499" s="15" t="str">
        <f t="shared" ca="1" si="195"/>
        <v/>
      </c>
      <c r="G2499" s="15" t="str">
        <f t="shared" ca="1" si="196"/>
        <v/>
      </c>
      <c r="H2499" s="15" t="str">
        <f t="shared" ca="1" si="197"/>
        <v/>
      </c>
      <c r="I2499" s="16" t="str">
        <f t="shared" ca="1" si="198"/>
        <v/>
      </c>
    </row>
    <row r="2500" spans="1:9" x14ac:dyDescent="0.3">
      <c r="A2500" s="3"/>
      <c r="B2500" s="9"/>
      <c r="C2500" s="9"/>
      <c r="E2500" s="14" t="str">
        <f t="shared" si="199"/>
        <v/>
      </c>
      <c r="F2500" s="15" t="str">
        <f t="shared" ca="1" si="195"/>
        <v/>
      </c>
      <c r="G2500" s="15" t="str">
        <f t="shared" ca="1" si="196"/>
        <v/>
      </c>
      <c r="H2500" s="15" t="str">
        <f t="shared" ca="1" si="197"/>
        <v/>
      </c>
      <c r="I2500" s="16" t="str">
        <f t="shared" ca="1" si="198"/>
        <v/>
      </c>
    </row>
    <row r="2501" spans="1:9" x14ac:dyDescent="0.3">
      <c r="A2501" s="3"/>
      <c r="B2501" s="9"/>
      <c r="C2501" s="9"/>
      <c r="E2501" s="14" t="str">
        <f t="shared" si="199"/>
        <v/>
      </c>
      <c r="F2501" s="15" t="str">
        <f t="shared" ca="1" si="195"/>
        <v/>
      </c>
      <c r="G2501" s="15" t="str">
        <f t="shared" ca="1" si="196"/>
        <v/>
      </c>
      <c r="H2501" s="15" t="str">
        <f t="shared" ca="1" si="197"/>
        <v/>
      </c>
      <c r="I2501" s="16" t="str">
        <f t="shared" ca="1" si="198"/>
        <v/>
      </c>
    </row>
    <row r="2502" spans="1:9" x14ac:dyDescent="0.3">
      <c r="A2502" s="3"/>
      <c r="B2502" s="9"/>
      <c r="C2502" s="9"/>
      <c r="E2502" s="14" t="str">
        <f t="shared" si="199"/>
        <v/>
      </c>
      <c r="F2502" s="15" t="str">
        <f t="shared" ca="1" si="195"/>
        <v/>
      </c>
      <c r="G2502" s="15" t="str">
        <f t="shared" ca="1" si="196"/>
        <v/>
      </c>
      <c r="H2502" s="15" t="str">
        <f t="shared" ca="1" si="197"/>
        <v/>
      </c>
      <c r="I2502" s="16" t="str">
        <f t="shared" ca="1" si="198"/>
        <v/>
      </c>
    </row>
    <row r="2503" spans="1:9" x14ac:dyDescent="0.3">
      <c r="A2503" s="3"/>
      <c r="B2503" s="9"/>
      <c r="C2503" s="9"/>
      <c r="E2503" s="14" t="str">
        <f t="shared" si="199"/>
        <v/>
      </c>
      <c r="F2503" s="15" t="str">
        <f t="shared" ca="1" si="195"/>
        <v/>
      </c>
      <c r="G2503" s="15" t="str">
        <f t="shared" ca="1" si="196"/>
        <v/>
      </c>
      <c r="H2503" s="15" t="str">
        <f t="shared" ca="1" si="197"/>
        <v/>
      </c>
      <c r="I2503" s="16" t="str">
        <f t="shared" ca="1" si="198"/>
        <v/>
      </c>
    </row>
    <row r="2504" spans="1:9" x14ac:dyDescent="0.3">
      <c r="A2504" s="3"/>
      <c r="B2504" s="9"/>
      <c r="C2504" s="9"/>
      <c r="E2504" s="14" t="str">
        <f t="shared" si="199"/>
        <v/>
      </c>
      <c r="F2504" s="15" t="str">
        <f t="shared" ca="1" si="195"/>
        <v/>
      </c>
      <c r="G2504" s="15" t="str">
        <f t="shared" ca="1" si="196"/>
        <v/>
      </c>
      <c r="H2504" s="15" t="str">
        <f t="shared" ca="1" si="197"/>
        <v/>
      </c>
      <c r="I2504" s="16" t="str">
        <f t="shared" ca="1" si="198"/>
        <v/>
      </c>
    </row>
    <row r="2505" spans="1:9" x14ac:dyDescent="0.3">
      <c r="A2505" s="3"/>
      <c r="B2505" s="9"/>
      <c r="C2505" s="9"/>
      <c r="E2505" s="14" t="str">
        <f t="shared" si="199"/>
        <v/>
      </c>
      <c r="F2505" s="15" t="str">
        <f t="shared" ca="1" si="195"/>
        <v/>
      </c>
      <c r="G2505" s="15" t="str">
        <f t="shared" ca="1" si="196"/>
        <v/>
      </c>
      <c r="H2505" s="15" t="str">
        <f t="shared" ca="1" si="197"/>
        <v/>
      </c>
      <c r="I2505" s="16" t="str">
        <f t="shared" ca="1" si="198"/>
        <v/>
      </c>
    </row>
    <row r="2506" spans="1:9" x14ac:dyDescent="0.3">
      <c r="A2506" s="3"/>
      <c r="B2506" s="9"/>
      <c r="C2506" s="9"/>
      <c r="E2506" s="14" t="str">
        <f t="shared" si="199"/>
        <v/>
      </c>
      <c r="F2506" s="15" t="str">
        <f t="shared" ca="1" si="195"/>
        <v/>
      </c>
      <c r="G2506" s="15" t="str">
        <f t="shared" ca="1" si="196"/>
        <v/>
      </c>
      <c r="H2506" s="15" t="str">
        <f t="shared" ca="1" si="197"/>
        <v/>
      </c>
      <c r="I2506" s="16" t="str">
        <f t="shared" ca="1" si="198"/>
        <v/>
      </c>
    </row>
    <row r="2507" spans="1:9" x14ac:dyDescent="0.3">
      <c r="A2507" s="3"/>
      <c r="B2507" s="9"/>
      <c r="C2507" s="9"/>
      <c r="E2507" s="14" t="str">
        <f t="shared" si="199"/>
        <v/>
      </c>
      <c r="F2507" s="15" t="str">
        <f t="shared" ca="1" si="195"/>
        <v/>
      </c>
      <c r="G2507" s="15" t="str">
        <f t="shared" ca="1" si="196"/>
        <v/>
      </c>
      <c r="H2507" s="15" t="str">
        <f t="shared" ca="1" si="197"/>
        <v/>
      </c>
      <c r="I2507" s="16" t="str">
        <f t="shared" ca="1" si="198"/>
        <v/>
      </c>
    </row>
    <row r="2508" spans="1:9" x14ac:dyDescent="0.3">
      <c r="A2508" s="3"/>
      <c r="B2508" s="9"/>
      <c r="C2508" s="9"/>
      <c r="E2508" s="14" t="str">
        <f t="shared" si="199"/>
        <v/>
      </c>
      <c r="F2508" s="15" t="str">
        <f t="shared" ca="1" si="195"/>
        <v/>
      </c>
      <c r="G2508" s="15" t="str">
        <f t="shared" ca="1" si="196"/>
        <v/>
      </c>
      <c r="H2508" s="15" t="str">
        <f t="shared" ca="1" si="197"/>
        <v/>
      </c>
      <c r="I2508" s="16" t="str">
        <f t="shared" ca="1" si="198"/>
        <v/>
      </c>
    </row>
    <row r="2509" spans="1:9" x14ac:dyDescent="0.3">
      <c r="A2509" s="3"/>
      <c r="B2509" s="9"/>
      <c r="C2509" s="9"/>
      <c r="E2509" s="14" t="str">
        <f t="shared" si="199"/>
        <v/>
      </c>
      <c r="F2509" s="15" t="str">
        <f t="shared" ca="1" si="195"/>
        <v/>
      </c>
      <c r="G2509" s="15" t="str">
        <f t="shared" ca="1" si="196"/>
        <v/>
      </c>
      <c r="H2509" s="15" t="str">
        <f t="shared" ca="1" si="197"/>
        <v/>
      </c>
      <c r="I2509" s="16" t="str">
        <f t="shared" ca="1" si="198"/>
        <v/>
      </c>
    </row>
    <row r="2510" spans="1:9" x14ac:dyDescent="0.3">
      <c r="A2510" s="3"/>
      <c r="B2510" s="9"/>
      <c r="C2510" s="9"/>
      <c r="E2510" s="14" t="str">
        <f t="shared" si="199"/>
        <v/>
      </c>
      <c r="F2510" s="15" t="str">
        <f t="shared" ca="1" si="195"/>
        <v/>
      </c>
      <c r="G2510" s="15" t="str">
        <f t="shared" ca="1" si="196"/>
        <v/>
      </c>
      <c r="H2510" s="15" t="str">
        <f t="shared" ca="1" si="197"/>
        <v/>
      </c>
      <c r="I2510" s="16" t="str">
        <f t="shared" ca="1" si="198"/>
        <v/>
      </c>
    </row>
    <row r="2511" spans="1:9" x14ac:dyDescent="0.3">
      <c r="A2511" s="3"/>
      <c r="B2511" s="9"/>
      <c r="C2511" s="9"/>
      <c r="E2511" s="14" t="str">
        <f t="shared" si="199"/>
        <v/>
      </c>
      <c r="F2511" s="15" t="str">
        <f t="shared" ca="1" si="195"/>
        <v/>
      </c>
      <c r="G2511" s="15" t="str">
        <f t="shared" ca="1" si="196"/>
        <v/>
      </c>
      <c r="H2511" s="15" t="str">
        <f t="shared" ca="1" si="197"/>
        <v/>
      </c>
      <c r="I2511" s="16" t="str">
        <f t="shared" ca="1" si="198"/>
        <v/>
      </c>
    </row>
    <row r="2512" spans="1:9" x14ac:dyDescent="0.3">
      <c r="A2512" s="3"/>
      <c r="B2512" s="9"/>
      <c r="C2512" s="9"/>
      <c r="E2512" s="14" t="str">
        <f t="shared" si="199"/>
        <v/>
      </c>
      <c r="F2512" s="15" t="str">
        <f t="shared" ca="1" si="195"/>
        <v/>
      </c>
      <c r="G2512" s="15" t="str">
        <f t="shared" ca="1" si="196"/>
        <v/>
      </c>
      <c r="H2512" s="15" t="str">
        <f t="shared" ca="1" si="197"/>
        <v/>
      </c>
      <c r="I2512" s="16" t="str">
        <f t="shared" ca="1" si="198"/>
        <v/>
      </c>
    </row>
    <row r="2513" spans="1:9" x14ac:dyDescent="0.3">
      <c r="A2513" s="3"/>
      <c r="B2513" s="9"/>
      <c r="C2513" s="9"/>
      <c r="E2513" s="14" t="str">
        <f t="shared" si="199"/>
        <v/>
      </c>
      <c r="F2513" s="15" t="str">
        <f t="shared" ref="F2513:F2576" ca="1" si="200">IF(ISNUMBER(E2513),IF(ROW(E2513)&gt;$K$1,AVERAGE(OFFSET(E2513,0,0,-$K$1)),""),"")</f>
        <v/>
      </c>
      <c r="G2513" s="15" t="str">
        <f t="shared" ref="G2513:G2576" ca="1" si="201">IF(ISNUMBER(I2513),F2513+I2513*$M$1,"")</f>
        <v/>
      </c>
      <c r="H2513" s="15" t="str">
        <f t="shared" ref="H2513:H2576" ca="1" si="202">IF(ISNUMBER(I2513),F2513-I2513*$M$1,"")</f>
        <v/>
      </c>
      <c r="I2513" s="16" t="str">
        <f t="shared" ref="I2513:I2576" ca="1" si="203">IF(ISNUMBER(E2513),IF(ROW(E2513)&gt;$K$1,_xlfn.STDEV.P(OFFSET(E2513,0,0,-$K$1)),""),"")</f>
        <v/>
      </c>
    </row>
    <row r="2514" spans="1:9" x14ac:dyDescent="0.3">
      <c r="A2514" s="3"/>
      <c r="B2514" s="9"/>
      <c r="C2514" s="9"/>
      <c r="E2514" s="14" t="str">
        <f t="shared" si="199"/>
        <v/>
      </c>
      <c r="F2514" s="15" t="str">
        <f t="shared" ca="1" si="200"/>
        <v/>
      </c>
      <c r="G2514" s="15" t="str">
        <f t="shared" ca="1" si="201"/>
        <v/>
      </c>
      <c r="H2514" s="15" t="str">
        <f t="shared" ca="1" si="202"/>
        <v/>
      </c>
      <c r="I2514" s="16" t="str">
        <f t="shared" ca="1" si="203"/>
        <v/>
      </c>
    </row>
    <row r="2515" spans="1:9" x14ac:dyDescent="0.3">
      <c r="A2515" s="3"/>
      <c r="B2515" s="9"/>
      <c r="C2515" s="9"/>
      <c r="E2515" s="14" t="str">
        <f t="shared" si="199"/>
        <v/>
      </c>
      <c r="F2515" s="15" t="str">
        <f t="shared" ca="1" si="200"/>
        <v/>
      </c>
      <c r="G2515" s="15" t="str">
        <f t="shared" ca="1" si="201"/>
        <v/>
      </c>
      <c r="H2515" s="15" t="str">
        <f t="shared" ca="1" si="202"/>
        <v/>
      </c>
      <c r="I2515" s="16" t="str">
        <f t="shared" ca="1" si="203"/>
        <v/>
      </c>
    </row>
    <row r="2516" spans="1:9" x14ac:dyDescent="0.3">
      <c r="A2516" s="3"/>
      <c r="B2516" s="9"/>
      <c r="C2516" s="9"/>
      <c r="E2516" s="14" t="str">
        <f t="shared" si="199"/>
        <v/>
      </c>
      <c r="F2516" s="15" t="str">
        <f t="shared" ca="1" si="200"/>
        <v/>
      </c>
      <c r="G2516" s="15" t="str">
        <f t="shared" ca="1" si="201"/>
        <v/>
      </c>
      <c r="H2516" s="15" t="str">
        <f t="shared" ca="1" si="202"/>
        <v/>
      </c>
      <c r="I2516" s="16" t="str">
        <f t="shared" ca="1" si="203"/>
        <v/>
      </c>
    </row>
    <row r="2517" spans="1:9" x14ac:dyDescent="0.3">
      <c r="A2517" s="3"/>
      <c r="B2517" s="9"/>
      <c r="C2517" s="9"/>
      <c r="E2517" s="14" t="str">
        <f t="shared" si="199"/>
        <v/>
      </c>
      <c r="F2517" s="15" t="str">
        <f t="shared" ca="1" si="200"/>
        <v/>
      </c>
      <c r="G2517" s="15" t="str">
        <f t="shared" ca="1" si="201"/>
        <v/>
      </c>
      <c r="H2517" s="15" t="str">
        <f t="shared" ca="1" si="202"/>
        <v/>
      </c>
      <c r="I2517" s="16" t="str">
        <f t="shared" ca="1" si="203"/>
        <v/>
      </c>
    </row>
    <row r="2518" spans="1:9" x14ac:dyDescent="0.3">
      <c r="A2518" s="3"/>
      <c r="B2518" s="9"/>
      <c r="C2518" s="9"/>
      <c r="E2518" s="14" t="str">
        <f t="shared" si="199"/>
        <v/>
      </c>
      <c r="F2518" s="15" t="str">
        <f t="shared" ca="1" si="200"/>
        <v/>
      </c>
      <c r="G2518" s="15" t="str">
        <f t="shared" ca="1" si="201"/>
        <v/>
      </c>
      <c r="H2518" s="15" t="str">
        <f t="shared" ca="1" si="202"/>
        <v/>
      </c>
      <c r="I2518" s="16" t="str">
        <f t="shared" ca="1" si="203"/>
        <v/>
      </c>
    </row>
    <row r="2519" spans="1:9" x14ac:dyDescent="0.3">
      <c r="A2519" s="3"/>
      <c r="B2519" s="9"/>
      <c r="C2519" s="9"/>
      <c r="E2519" s="14" t="str">
        <f t="shared" si="199"/>
        <v/>
      </c>
      <c r="F2519" s="15" t="str">
        <f t="shared" ca="1" si="200"/>
        <v/>
      </c>
      <c r="G2519" s="15" t="str">
        <f t="shared" ca="1" si="201"/>
        <v/>
      </c>
      <c r="H2519" s="15" t="str">
        <f t="shared" ca="1" si="202"/>
        <v/>
      </c>
      <c r="I2519" s="16" t="str">
        <f t="shared" ca="1" si="203"/>
        <v/>
      </c>
    </row>
    <row r="2520" spans="1:9" x14ac:dyDescent="0.3">
      <c r="A2520" s="3"/>
      <c r="B2520" s="9"/>
      <c r="C2520" s="9"/>
      <c r="E2520" s="14" t="str">
        <f t="shared" si="199"/>
        <v/>
      </c>
      <c r="F2520" s="15" t="str">
        <f t="shared" ca="1" si="200"/>
        <v/>
      </c>
      <c r="G2520" s="15" t="str">
        <f t="shared" ca="1" si="201"/>
        <v/>
      </c>
      <c r="H2520" s="15" t="str">
        <f t="shared" ca="1" si="202"/>
        <v/>
      </c>
      <c r="I2520" s="16" t="str">
        <f t="shared" ca="1" si="203"/>
        <v/>
      </c>
    </row>
    <row r="2521" spans="1:9" x14ac:dyDescent="0.3">
      <c r="A2521" s="3"/>
      <c r="B2521" s="9"/>
      <c r="C2521" s="9"/>
      <c r="E2521" s="14" t="str">
        <f t="shared" si="199"/>
        <v/>
      </c>
      <c r="F2521" s="15" t="str">
        <f t="shared" ca="1" si="200"/>
        <v/>
      </c>
      <c r="G2521" s="15" t="str">
        <f t="shared" ca="1" si="201"/>
        <v/>
      </c>
      <c r="H2521" s="15" t="str">
        <f t="shared" ca="1" si="202"/>
        <v/>
      </c>
      <c r="I2521" s="16" t="str">
        <f t="shared" ca="1" si="203"/>
        <v/>
      </c>
    </row>
    <row r="2522" spans="1:9" x14ac:dyDescent="0.3">
      <c r="A2522" s="3"/>
      <c r="B2522" s="9"/>
      <c r="C2522" s="9"/>
      <c r="E2522" s="14" t="str">
        <f t="shared" si="199"/>
        <v/>
      </c>
      <c r="F2522" s="15" t="str">
        <f t="shared" ca="1" si="200"/>
        <v/>
      </c>
      <c r="G2522" s="15" t="str">
        <f t="shared" ca="1" si="201"/>
        <v/>
      </c>
      <c r="H2522" s="15" t="str">
        <f t="shared" ca="1" si="202"/>
        <v/>
      </c>
      <c r="I2522" s="16" t="str">
        <f t="shared" ca="1" si="203"/>
        <v/>
      </c>
    </row>
    <row r="2523" spans="1:9" x14ac:dyDescent="0.3">
      <c r="A2523" s="3"/>
      <c r="B2523" s="9"/>
      <c r="C2523" s="9"/>
      <c r="E2523" s="14" t="str">
        <f t="shared" si="199"/>
        <v/>
      </c>
      <c r="F2523" s="15" t="str">
        <f t="shared" ca="1" si="200"/>
        <v/>
      </c>
      <c r="G2523" s="15" t="str">
        <f t="shared" ca="1" si="201"/>
        <v/>
      </c>
      <c r="H2523" s="15" t="str">
        <f t="shared" ca="1" si="202"/>
        <v/>
      </c>
      <c r="I2523" s="16" t="str">
        <f t="shared" ca="1" si="203"/>
        <v/>
      </c>
    </row>
    <row r="2524" spans="1:9" x14ac:dyDescent="0.3">
      <c r="A2524" s="3"/>
      <c r="B2524" s="9"/>
      <c r="C2524" s="9"/>
      <c r="E2524" s="14" t="str">
        <f t="shared" si="199"/>
        <v/>
      </c>
      <c r="F2524" s="15" t="str">
        <f t="shared" ca="1" si="200"/>
        <v/>
      </c>
      <c r="G2524" s="15" t="str">
        <f t="shared" ca="1" si="201"/>
        <v/>
      </c>
      <c r="H2524" s="15" t="str">
        <f t="shared" ca="1" si="202"/>
        <v/>
      </c>
      <c r="I2524" s="16" t="str">
        <f t="shared" ca="1" si="203"/>
        <v/>
      </c>
    </row>
    <row r="2525" spans="1:9" x14ac:dyDescent="0.3">
      <c r="A2525" s="3"/>
      <c r="B2525" s="9"/>
      <c r="C2525" s="9"/>
      <c r="E2525" s="14" t="str">
        <f t="shared" si="199"/>
        <v/>
      </c>
      <c r="F2525" s="15" t="str">
        <f t="shared" ca="1" si="200"/>
        <v/>
      </c>
      <c r="G2525" s="15" t="str">
        <f t="shared" ca="1" si="201"/>
        <v/>
      </c>
      <c r="H2525" s="15" t="str">
        <f t="shared" ca="1" si="202"/>
        <v/>
      </c>
      <c r="I2525" s="16" t="str">
        <f t="shared" ca="1" si="203"/>
        <v/>
      </c>
    </row>
    <row r="2526" spans="1:9" x14ac:dyDescent="0.3">
      <c r="A2526" s="3"/>
      <c r="B2526" s="9"/>
      <c r="C2526" s="9"/>
      <c r="E2526" s="14" t="str">
        <f t="shared" si="199"/>
        <v/>
      </c>
      <c r="F2526" s="15" t="str">
        <f t="shared" ca="1" si="200"/>
        <v/>
      </c>
      <c r="G2526" s="15" t="str">
        <f t="shared" ca="1" si="201"/>
        <v/>
      </c>
      <c r="H2526" s="15" t="str">
        <f t="shared" ca="1" si="202"/>
        <v/>
      </c>
      <c r="I2526" s="16" t="str">
        <f t="shared" ca="1" si="203"/>
        <v/>
      </c>
    </row>
    <row r="2527" spans="1:9" x14ac:dyDescent="0.3">
      <c r="A2527" s="3"/>
      <c r="B2527" s="9"/>
      <c r="C2527" s="9"/>
      <c r="E2527" s="14" t="str">
        <f t="shared" si="199"/>
        <v/>
      </c>
      <c r="F2527" s="15" t="str">
        <f t="shared" ca="1" si="200"/>
        <v/>
      </c>
      <c r="G2527" s="15" t="str">
        <f t="shared" ca="1" si="201"/>
        <v/>
      </c>
      <c r="H2527" s="15" t="str">
        <f t="shared" ca="1" si="202"/>
        <v/>
      </c>
      <c r="I2527" s="16" t="str">
        <f t="shared" ca="1" si="203"/>
        <v/>
      </c>
    </row>
    <row r="2528" spans="1:9" x14ac:dyDescent="0.3">
      <c r="A2528" s="3"/>
      <c r="B2528" s="9"/>
      <c r="C2528" s="9"/>
      <c r="E2528" s="14" t="str">
        <f t="shared" si="199"/>
        <v/>
      </c>
      <c r="F2528" s="15" t="str">
        <f t="shared" ca="1" si="200"/>
        <v/>
      </c>
      <c r="G2528" s="15" t="str">
        <f t="shared" ca="1" si="201"/>
        <v/>
      </c>
      <c r="H2528" s="15" t="str">
        <f t="shared" ca="1" si="202"/>
        <v/>
      </c>
      <c r="I2528" s="16" t="str">
        <f t="shared" ca="1" si="203"/>
        <v/>
      </c>
    </row>
    <row r="2529" spans="1:9" x14ac:dyDescent="0.3">
      <c r="A2529" s="3"/>
      <c r="B2529" s="9"/>
      <c r="C2529" s="9"/>
      <c r="E2529" s="14" t="str">
        <f t="shared" si="199"/>
        <v/>
      </c>
      <c r="F2529" s="15" t="str">
        <f t="shared" ca="1" si="200"/>
        <v/>
      </c>
      <c r="G2529" s="15" t="str">
        <f t="shared" ca="1" si="201"/>
        <v/>
      </c>
      <c r="H2529" s="15" t="str">
        <f t="shared" ca="1" si="202"/>
        <v/>
      </c>
      <c r="I2529" s="16" t="str">
        <f t="shared" ca="1" si="203"/>
        <v/>
      </c>
    </row>
    <row r="2530" spans="1:9" x14ac:dyDescent="0.3">
      <c r="A2530" s="3"/>
      <c r="B2530" s="9"/>
      <c r="C2530" s="9"/>
      <c r="E2530" s="14" t="str">
        <f t="shared" si="199"/>
        <v/>
      </c>
      <c r="F2530" s="15" t="str">
        <f t="shared" ca="1" si="200"/>
        <v/>
      </c>
      <c r="G2530" s="15" t="str">
        <f t="shared" ca="1" si="201"/>
        <v/>
      </c>
      <c r="H2530" s="15" t="str">
        <f t="shared" ca="1" si="202"/>
        <v/>
      </c>
      <c r="I2530" s="16" t="str">
        <f t="shared" ca="1" si="203"/>
        <v/>
      </c>
    </row>
    <row r="2531" spans="1:9" x14ac:dyDescent="0.3">
      <c r="A2531" s="3"/>
      <c r="B2531" s="9"/>
      <c r="C2531" s="9"/>
      <c r="E2531" s="14" t="str">
        <f t="shared" si="199"/>
        <v/>
      </c>
      <c r="F2531" s="15" t="str">
        <f t="shared" ca="1" si="200"/>
        <v/>
      </c>
      <c r="G2531" s="15" t="str">
        <f t="shared" ca="1" si="201"/>
        <v/>
      </c>
      <c r="H2531" s="15" t="str">
        <f t="shared" ca="1" si="202"/>
        <v/>
      </c>
      <c r="I2531" s="16" t="str">
        <f t="shared" ca="1" si="203"/>
        <v/>
      </c>
    </row>
    <row r="2532" spans="1:9" x14ac:dyDescent="0.3">
      <c r="A2532" s="3"/>
      <c r="B2532" s="9"/>
      <c r="C2532" s="9"/>
      <c r="E2532" s="14" t="str">
        <f t="shared" si="199"/>
        <v/>
      </c>
      <c r="F2532" s="15" t="str">
        <f t="shared" ca="1" si="200"/>
        <v/>
      </c>
      <c r="G2532" s="15" t="str">
        <f t="shared" ca="1" si="201"/>
        <v/>
      </c>
      <c r="H2532" s="15" t="str">
        <f t="shared" ca="1" si="202"/>
        <v/>
      </c>
      <c r="I2532" s="16" t="str">
        <f t="shared" ca="1" si="203"/>
        <v/>
      </c>
    </row>
    <row r="2533" spans="1:9" x14ac:dyDescent="0.3">
      <c r="A2533" s="3"/>
      <c r="B2533" s="9"/>
      <c r="C2533" s="9"/>
      <c r="E2533" s="14" t="str">
        <f t="shared" si="199"/>
        <v/>
      </c>
      <c r="F2533" s="15" t="str">
        <f t="shared" ca="1" si="200"/>
        <v/>
      </c>
      <c r="G2533" s="15" t="str">
        <f t="shared" ca="1" si="201"/>
        <v/>
      </c>
      <c r="H2533" s="15" t="str">
        <f t="shared" ca="1" si="202"/>
        <v/>
      </c>
      <c r="I2533" s="16" t="str">
        <f t="shared" ca="1" si="203"/>
        <v/>
      </c>
    </row>
    <row r="2534" spans="1:9" x14ac:dyDescent="0.3">
      <c r="A2534" s="3"/>
      <c r="B2534" s="9"/>
      <c r="C2534" s="9"/>
      <c r="E2534" s="14" t="str">
        <f t="shared" si="199"/>
        <v/>
      </c>
      <c r="F2534" s="15" t="str">
        <f t="shared" ca="1" si="200"/>
        <v/>
      </c>
      <c r="G2534" s="15" t="str">
        <f t="shared" ca="1" si="201"/>
        <v/>
      </c>
      <c r="H2534" s="15" t="str">
        <f t="shared" ca="1" si="202"/>
        <v/>
      </c>
      <c r="I2534" s="16" t="str">
        <f t="shared" ca="1" si="203"/>
        <v/>
      </c>
    </row>
    <row r="2535" spans="1:9" x14ac:dyDescent="0.3">
      <c r="A2535" s="3"/>
      <c r="B2535" s="9"/>
      <c r="C2535" s="9"/>
      <c r="E2535" s="14" t="str">
        <f t="shared" si="199"/>
        <v/>
      </c>
      <c r="F2535" s="15" t="str">
        <f t="shared" ca="1" si="200"/>
        <v/>
      </c>
      <c r="G2535" s="15" t="str">
        <f t="shared" ca="1" si="201"/>
        <v/>
      </c>
      <c r="H2535" s="15" t="str">
        <f t="shared" ca="1" si="202"/>
        <v/>
      </c>
      <c r="I2535" s="16" t="str">
        <f t="shared" ca="1" si="203"/>
        <v/>
      </c>
    </row>
    <row r="2536" spans="1:9" x14ac:dyDescent="0.3">
      <c r="A2536" s="3"/>
      <c r="B2536" s="9"/>
      <c r="C2536" s="9"/>
      <c r="E2536" s="14" t="str">
        <f t="shared" si="199"/>
        <v/>
      </c>
      <c r="F2536" s="15" t="str">
        <f t="shared" ca="1" si="200"/>
        <v/>
      </c>
      <c r="G2536" s="15" t="str">
        <f t="shared" ca="1" si="201"/>
        <v/>
      </c>
      <c r="H2536" s="15" t="str">
        <f t="shared" ca="1" si="202"/>
        <v/>
      </c>
      <c r="I2536" s="16" t="str">
        <f t="shared" ca="1" si="203"/>
        <v/>
      </c>
    </row>
    <row r="2537" spans="1:9" x14ac:dyDescent="0.3">
      <c r="A2537" s="3"/>
      <c r="B2537" s="9"/>
      <c r="C2537" s="9"/>
      <c r="E2537" s="14" t="str">
        <f t="shared" si="199"/>
        <v/>
      </c>
      <c r="F2537" s="15" t="str">
        <f t="shared" ca="1" si="200"/>
        <v/>
      </c>
      <c r="G2537" s="15" t="str">
        <f t="shared" ca="1" si="201"/>
        <v/>
      </c>
      <c r="H2537" s="15" t="str">
        <f t="shared" ca="1" si="202"/>
        <v/>
      </c>
      <c r="I2537" s="16" t="str">
        <f t="shared" ca="1" si="203"/>
        <v/>
      </c>
    </row>
    <row r="2538" spans="1:9" x14ac:dyDescent="0.3">
      <c r="A2538" s="3"/>
      <c r="B2538" s="9"/>
      <c r="C2538" s="9"/>
      <c r="E2538" s="14" t="str">
        <f t="shared" si="199"/>
        <v/>
      </c>
      <c r="F2538" s="15" t="str">
        <f t="shared" ca="1" si="200"/>
        <v/>
      </c>
      <c r="G2538" s="15" t="str">
        <f t="shared" ca="1" si="201"/>
        <v/>
      </c>
      <c r="H2538" s="15" t="str">
        <f t="shared" ca="1" si="202"/>
        <v/>
      </c>
      <c r="I2538" s="16" t="str">
        <f t="shared" ca="1" si="203"/>
        <v/>
      </c>
    </row>
    <row r="2539" spans="1:9" x14ac:dyDescent="0.3">
      <c r="A2539" s="3"/>
      <c r="B2539" s="9"/>
      <c r="C2539" s="9"/>
      <c r="E2539" s="14" t="str">
        <f t="shared" si="199"/>
        <v/>
      </c>
      <c r="F2539" s="15" t="str">
        <f t="shared" ca="1" si="200"/>
        <v/>
      </c>
      <c r="G2539" s="15" t="str">
        <f t="shared" ca="1" si="201"/>
        <v/>
      </c>
      <c r="H2539" s="15" t="str">
        <f t="shared" ca="1" si="202"/>
        <v/>
      </c>
      <c r="I2539" s="16" t="str">
        <f t="shared" ca="1" si="203"/>
        <v/>
      </c>
    </row>
    <row r="2540" spans="1:9" x14ac:dyDescent="0.3">
      <c r="A2540" s="3"/>
      <c r="B2540" s="9"/>
      <c r="C2540" s="9"/>
      <c r="E2540" s="14" t="str">
        <f t="shared" si="199"/>
        <v/>
      </c>
      <c r="F2540" s="15" t="str">
        <f t="shared" ca="1" si="200"/>
        <v/>
      </c>
      <c r="G2540" s="15" t="str">
        <f t="shared" ca="1" si="201"/>
        <v/>
      </c>
      <c r="H2540" s="15" t="str">
        <f t="shared" ca="1" si="202"/>
        <v/>
      </c>
      <c r="I2540" s="16" t="str">
        <f t="shared" ca="1" si="203"/>
        <v/>
      </c>
    </row>
    <row r="2541" spans="1:9" x14ac:dyDescent="0.3">
      <c r="A2541" s="3"/>
      <c r="B2541" s="9"/>
      <c r="C2541" s="9"/>
      <c r="E2541" s="14" t="str">
        <f t="shared" si="199"/>
        <v/>
      </c>
      <c r="F2541" s="15" t="str">
        <f t="shared" ca="1" si="200"/>
        <v/>
      </c>
      <c r="G2541" s="15" t="str">
        <f t="shared" ca="1" si="201"/>
        <v/>
      </c>
      <c r="H2541" s="15" t="str">
        <f t="shared" ca="1" si="202"/>
        <v/>
      </c>
      <c r="I2541" s="16" t="str">
        <f t="shared" ca="1" si="203"/>
        <v/>
      </c>
    </row>
    <row r="2542" spans="1:9" x14ac:dyDescent="0.3">
      <c r="A2542" s="3"/>
      <c r="B2542" s="9"/>
      <c r="C2542" s="9"/>
      <c r="E2542" s="14" t="str">
        <f t="shared" si="199"/>
        <v/>
      </c>
      <c r="F2542" s="15" t="str">
        <f t="shared" ca="1" si="200"/>
        <v/>
      </c>
      <c r="G2542" s="15" t="str">
        <f t="shared" ca="1" si="201"/>
        <v/>
      </c>
      <c r="H2542" s="15" t="str">
        <f t="shared" ca="1" si="202"/>
        <v/>
      </c>
      <c r="I2542" s="16" t="str">
        <f t="shared" ca="1" si="203"/>
        <v/>
      </c>
    </row>
    <row r="2543" spans="1:9" x14ac:dyDescent="0.3">
      <c r="A2543" s="3"/>
      <c r="B2543" s="9"/>
      <c r="C2543" s="9"/>
      <c r="E2543" s="14" t="str">
        <f t="shared" si="199"/>
        <v/>
      </c>
      <c r="F2543" s="15" t="str">
        <f t="shared" ca="1" si="200"/>
        <v/>
      </c>
      <c r="G2543" s="15" t="str">
        <f t="shared" ca="1" si="201"/>
        <v/>
      </c>
      <c r="H2543" s="15" t="str">
        <f t="shared" ca="1" si="202"/>
        <v/>
      </c>
      <c r="I2543" s="16" t="str">
        <f t="shared" ca="1" si="203"/>
        <v/>
      </c>
    </row>
    <row r="2544" spans="1:9" x14ac:dyDescent="0.3">
      <c r="A2544" s="3"/>
      <c r="B2544" s="9"/>
      <c r="C2544" s="9"/>
      <c r="E2544" s="14" t="str">
        <f t="shared" si="199"/>
        <v/>
      </c>
      <c r="F2544" s="15" t="str">
        <f t="shared" ca="1" si="200"/>
        <v/>
      </c>
      <c r="G2544" s="15" t="str">
        <f t="shared" ca="1" si="201"/>
        <v/>
      </c>
      <c r="H2544" s="15" t="str">
        <f t="shared" ca="1" si="202"/>
        <v/>
      </c>
      <c r="I2544" s="16" t="str">
        <f t="shared" ca="1" si="203"/>
        <v/>
      </c>
    </row>
    <row r="2545" spans="1:9" x14ac:dyDescent="0.3">
      <c r="A2545" s="3"/>
      <c r="B2545" s="9"/>
      <c r="C2545" s="9"/>
      <c r="E2545" s="14" t="str">
        <f t="shared" si="199"/>
        <v/>
      </c>
      <c r="F2545" s="15" t="str">
        <f t="shared" ca="1" si="200"/>
        <v/>
      </c>
      <c r="G2545" s="15" t="str">
        <f t="shared" ca="1" si="201"/>
        <v/>
      </c>
      <c r="H2545" s="15" t="str">
        <f t="shared" ca="1" si="202"/>
        <v/>
      </c>
      <c r="I2545" s="16" t="str">
        <f t="shared" ca="1" si="203"/>
        <v/>
      </c>
    </row>
    <row r="2546" spans="1:9" x14ac:dyDescent="0.3">
      <c r="A2546" s="3"/>
      <c r="B2546" s="9"/>
      <c r="C2546" s="9"/>
      <c r="E2546" s="14" t="str">
        <f t="shared" si="199"/>
        <v/>
      </c>
      <c r="F2546" s="15" t="str">
        <f t="shared" ca="1" si="200"/>
        <v/>
      </c>
      <c r="G2546" s="15" t="str">
        <f t="shared" ca="1" si="201"/>
        <v/>
      </c>
      <c r="H2546" s="15" t="str">
        <f t="shared" ca="1" si="202"/>
        <v/>
      </c>
      <c r="I2546" s="16" t="str">
        <f t="shared" ca="1" si="203"/>
        <v/>
      </c>
    </row>
    <row r="2547" spans="1:9" x14ac:dyDescent="0.3">
      <c r="A2547" s="3"/>
      <c r="B2547" s="9"/>
      <c r="C2547" s="9"/>
      <c r="E2547" s="14" t="str">
        <f t="shared" si="199"/>
        <v/>
      </c>
      <c r="F2547" s="15" t="str">
        <f t="shared" ca="1" si="200"/>
        <v/>
      </c>
      <c r="G2547" s="15" t="str">
        <f t="shared" ca="1" si="201"/>
        <v/>
      </c>
      <c r="H2547" s="15" t="str">
        <f t="shared" ca="1" si="202"/>
        <v/>
      </c>
      <c r="I2547" s="16" t="str">
        <f t="shared" ca="1" si="203"/>
        <v/>
      </c>
    </row>
    <row r="2548" spans="1:9" x14ac:dyDescent="0.3">
      <c r="A2548" s="3"/>
      <c r="B2548" s="9"/>
      <c r="C2548" s="9"/>
      <c r="E2548" s="14" t="str">
        <f t="shared" si="199"/>
        <v/>
      </c>
      <c r="F2548" s="15" t="str">
        <f t="shared" ca="1" si="200"/>
        <v/>
      </c>
      <c r="G2548" s="15" t="str">
        <f t="shared" ca="1" si="201"/>
        <v/>
      </c>
      <c r="H2548" s="15" t="str">
        <f t="shared" ca="1" si="202"/>
        <v/>
      </c>
      <c r="I2548" s="16" t="str">
        <f t="shared" ca="1" si="203"/>
        <v/>
      </c>
    </row>
    <row r="2549" spans="1:9" x14ac:dyDescent="0.3">
      <c r="A2549" s="3"/>
      <c r="B2549" s="9"/>
      <c r="C2549" s="9"/>
      <c r="E2549" s="14" t="str">
        <f t="shared" si="199"/>
        <v/>
      </c>
      <c r="F2549" s="15" t="str">
        <f t="shared" ca="1" si="200"/>
        <v/>
      </c>
      <c r="G2549" s="15" t="str">
        <f t="shared" ca="1" si="201"/>
        <v/>
      </c>
      <c r="H2549" s="15" t="str">
        <f t="shared" ca="1" si="202"/>
        <v/>
      </c>
      <c r="I2549" s="16" t="str">
        <f t="shared" ca="1" si="203"/>
        <v/>
      </c>
    </row>
    <row r="2550" spans="1:9" x14ac:dyDescent="0.3">
      <c r="A2550" s="3"/>
      <c r="B2550" s="9"/>
      <c r="C2550" s="9"/>
      <c r="E2550" s="14" t="str">
        <f t="shared" si="199"/>
        <v/>
      </c>
      <c r="F2550" s="15" t="str">
        <f t="shared" ca="1" si="200"/>
        <v/>
      </c>
      <c r="G2550" s="15" t="str">
        <f t="shared" ca="1" si="201"/>
        <v/>
      </c>
      <c r="H2550" s="15" t="str">
        <f t="shared" ca="1" si="202"/>
        <v/>
      </c>
      <c r="I2550" s="16" t="str">
        <f t="shared" ca="1" si="203"/>
        <v/>
      </c>
    </row>
    <row r="2551" spans="1:9" x14ac:dyDescent="0.3">
      <c r="A2551" s="3"/>
      <c r="B2551" s="9"/>
      <c r="C2551" s="9"/>
      <c r="E2551" s="14" t="str">
        <f t="shared" si="199"/>
        <v/>
      </c>
      <c r="F2551" s="15" t="str">
        <f t="shared" ca="1" si="200"/>
        <v/>
      </c>
      <c r="G2551" s="15" t="str">
        <f t="shared" ca="1" si="201"/>
        <v/>
      </c>
      <c r="H2551" s="15" t="str">
        <f t="shared" ca="1" si="202"/>
        <v/>
      </c>
      <c r="I2551" s="16" t="str">
        <f t="shared" ca="1" si="203"/>
        <v/>
      </c>
    </row>
    <row r="2552" spans="1:9" x14ac:dyDescent="0.3">
      <c r="A2552" s="3"/>
      <c r="B2552" s="9"/>
      <c r="C2552" s="9"/>
      <c r="E2552" s="14" t="str">
        <f t="shared" si="199"/>
        <v/>
      </c>
      <c r="F2552" s="15" t="str">
        <f t="shared" ca="1" si="200"/>
        <v/>
      </c>
      <c r="G2552" s="15" t="str">
        <f t="shared" ca="1" si="201"/>
        <v/>
      </c>
      <c r="H2552" s="15" t="str">
        <f t="shared" ca="1" si="202"/>
        <v/>
      </c>
      <c r="I2552" s="16" t="str">
        <f t="shared" ca="1" si="203"/>
        <v/>
      </c>
    </row>
    <row r="2553" spans="1:9" x14ac:dyDescent="0.3">
      <c r="A2553" s="3"/>
      <c r="B2553" s="9"/>
      <c r="C2553" s="9"/>
      <c r="E2553" s="14" t="str">
        <f t="shared" si="199"/>
        <v/>
      </c>
      <c r="F2553" s="15" t="str">
        <f t="shared" ca="1" si="200"/>
        <v/>
      </c>
      <c r="G2553" s="15" t="str">
        <f t="shared" ca="1" si="201"/>
        <v/>
      </c>
      <c r="H2553" s="15" t="str">
        <f t="shared" ca="1" si="202"/>
        <v/>
      </c>
      <c r="I2553" s="16" t="str">
        <f t="shared" ca="1" si="203"/>
        <v/>
      </c>
    </row>
    <row r="2554" spans="1:9" x14ac:dyDescent="0.3">
      <c r="A2554" s="3"/>
      <c r="B2554" s="9"/>
      <c r="C2554" s="9"/>
      <c r="E2554" s="14" t="str">
        <f t="shared" si="199"/>
        <v/>
      </c>
      <c r="F2554" s="15" t="str">
        <f t="shared" ca="1" si="200"/>
        <v/>
      </c>
      <c r="G2554" s="15" t="str">
        <f t="shared" ca="1" si="201"/>
        <v/>
      </c>
      <c r="H2554" s="15" t="str">
        <f t="shared" ca="1" si="202"/>
        <v/>
      </c>
      <c r="I2554" s="16" t="str">
        <f t="shared" ca="1" si="203"/>
        <v/>
      </c>
    </row>
    <row r="2555" spans="1:9" x14ac:dyDescent="0.3">
      <c r="A2555" s="3"/>
      <c r="B2555" s="9"/>
      <c r="C2555" s="9"/>
      <c r="E2555" s="14" t="str">
        <f t="shared" si="199"/>
        <v/>
      </c>
      <c r="F2555" s="15" t="str">
        <f t="shared" ca="1" si="200"/>
        <v/>
      </c>
      <c r="G2555" s="15" t="str">
        <f t="shared" ca="1" si="201"/>
        <v/>
      </c>
      <c r="H2555" s="15" t="str">
        <f t="shared" ca="1" si="202"/>
        <v/>
      </c>
      <c r="I2555" s="16" t="str">
        <f t="shared" ca="1" si="203"/>
        <v/>
      </c>
    </row>
    <row r="2556" spans="1:9" x14ac:dyDescent="0.3">
      <c r="A2556" s="3"/>
      <c r="B2556" s="9"/>
      <c r="C2556" s="9"/>
      <c r="E2556" s="14" t="str">
        <f t="shared" si="199"/>
        <v/>
      </c>
      <c r="F2556" s="15" t="str">
        <f t="shared" ca="1" si="200"/>
        <v/>
      </c>
      <c r="G2556" s="15" t="str">
        <f t="shared" ca="1" si="201"/>
        <v/>
      </c>
      <c r="H2556" s="15" t="str">
        <f t="shared" ca="1" si="202"/>
        <v/>
      </c>
      <c r="I2556" s="16" t="str">
        <f t="shared" ca="1" si="203"/>
        <v/>
      </c>
    </row>
    <row r="2557" spans="1:9" x14ac:dyDescent="0.3">
      <c r="A2557" s="3"/>
      <c r="B2557" s="9"/>
      <c r="C2557" s="9"/>
      <c r="E2557" s="14" t="str">
        <f t="shared" si="199"/>
        <v/>
      </c>
      <c r="F2557" s="15" t="str">
        <f t="shared" ca="1" si="200"/>
        <v/>
      </c>
      <c r="G2557" s="15" t="str">
        <f t="shared" ca="1" si="201"/>
        <v/>
      </c>
      <c r="H2557" s="15" t="str">
        <f t="shared" ca="1" si="202"/>
        <v/>
      </c>
      <c r="I2557" s="16" t="str">
        <f t="shared" ca="1" si="203"/>
        <v/>
      </c>
    </row>
    <row r="2558" spans="1:9" x14ac:dyDescent="0.3">
      <c r="A2558" s="3"/>
      <c r="B2558" s="9"/>
      <c r="C2558" s="9"/>
      <c r="E2558" s="14" t="str">
        <f t="shared" si="199"/>
        <v/>
      </c>
      <c r="F2558" s="15" t="str">
        <f t="shared" ca="1" si="200"/>
        <v/>
      </c>
      <c r="G2558" s="15" t="str">
        <f t="shared" ca="1" si="201"/>
        <v/>
      </c>
      <c r="H2558" s="15" t="str">
        <f t="shared" ca="1" si="202"/>
        <v/>
      </c>
      <c r="I2558" s="16" t="str">
        <f t="shared" ca="1" si="203"/>
        <v/>
      </c>
    </row>
    <row r="2559" spans="1:9" x14ac:dyDescent="0.3">
      <c r="A2559" s="3"/>
      <c r="B2559" s="9"/>
      <c r="C2559" s="9"/>
      <c r="E2559" s="14" t="str">
        <f t="shared" si="199"/>
        <v/>
      </c>
      <c r="F2559" s="15" t="str">
        <f t="shared" ca="1" si="200"/>
        <v/>
      </c>
      <c r="G2559" s="15" t="str">
        <f t="shared" ca="1" si="201"/>
        <v/>
      </c>
      <c r="H2559" s="15" t="str">
        <f t="shared" ca="1" si="202"/>
        <v/>
      </c>
      <c r="I2559" s="16" t="str">
        <f t="shared" ca="1" si="203"/>
        <v/>
      </c>
    </row>
    <row r="2560" spans="1:9" x14ac:dyDescent="0.3">
      <c r="A2560" s="3"/>
      <c r="B2560" s="9"/>
      <c r="C2560" s="9"/>
      <c r="E2560" s="14" t="str">
        <f t="shared" si="199"/>
        <v/>
      </c>
      <c r="F2560" s="15" t="str">
        <f t="shared" ca="1" si="200"/>
        <v/>
      </c>
      <c r="G2560" s="15" t="str">
        <f t="shared" ca="1" si="201"/>
        <v/>
      </c>
      <c r="H2560" s="15" t="str">
        <f t="shared" ca="1" si="202"/>
        <v/>
      </c>
      <c r="I2560" s="16" t="str">
        <f t="shared" ca="1" si="203"/>
        <v/>
      </c>
    </row>
    <row r="2561" spans="1:9" x14ac:dyDescent="0.3">
      <c r="A2561" s="3"/>
      <c r="B2561" s="9"/>
      <c r="C2561" s="9"/>
      <c r="E2561" s="14" t="str">
        <f t="shared" si="199"/>
        <v/>
      </c>
      <c r="F2561" s="15" t="str">
        <f t="shared" ca="1" si="200"/>
        <v/>
      </c>
      <c r="G2561" s="15" t="str">
        <f t="shared" ca="1" si="201"/>
        <v/>
      </c>
      <c r="H2561" s="15" t="str">
        <f t="shared" ca="1" si="202"/>
        <v/>
      </c>
      <c r="I2561" s="16" t="str">
        <f t="shared" ca="1" si="203"/>
        <v/>
      </c>
    </row>
    <row r="2562" spans="1:9" x14ac:dyDescent="0.3">
      <c r="A2562" s="3"/>
      <c r="B2562" s="9"/>
      <c r="C2562" s="9"/>
      <c r="E2562" s="14" t="str">
        <f t="shared" si="199"/>
        <v/>
      </c>
      <c r="F2562" s="15" t="str">
        <f t="shared" ca="1" si="200"/>
        <v/>
      </c>
      <c r="G2562" s="15" t="str">
        <f t="shared" ca="1" si="201"/>
        <v/>
      </c>
      <c r="H2562" s="15" t="str">
        <f t="shared" ca="1" si="202"/>
        <v/>
      </c>
      <c r="I2562" s="16" t="str">
        <f t="shared" ca="1" si="203"/>
        <v/>
      </c>
    </row>
    <row r="2563" spans="1:9" x14ac:dyDescent="0.3">
      <c r="A2563" s="3"/>
      <c r="B2563" s="9"/>
      <c r="C2563" s="9"/>
      <c r="E2563" s="14" t="str">
        <f t="shared" ref="E2563:E2593" si="204">IF(ISNUMBER(B2563),B2563/C2563,"")</f>
        <v/>
      </c>
      <c r="F2563" s="15" t="str">
        <f t="shared" ca="1" si="200"/>
        <v/>
      </c>
      <c r="G2563" s="15" t="str">
        <f t="shared" ca="1" si="201"/>
        <v/>
      </c>
      <c r="H2563" s="15" t="str">
        <f t="shared" ca="1" si="202"/>
        <v/>
      </c>
      <c r="I2563" s="16" t="str">
        <f t="shared" ca="1" si="203"/>
        <v/>
      </c>
    </row>
    <row r="2564" spans="1:9" x14ac:dyDescent="0.3">
      <c r="A2564" s="3"/>
      <c r="B2564" s="9"/>
      <c r="C2564" s="9"/>
      <c r="E2564" s="14" t="str">
        <f t="shared" si="204"/>
        <v/>
      </c>
      <c r="F2564" s="15" t="str">
        <f t="shared" ca="1" si="200"/>
        <v/>
      </c>
      <c r="G2564" s="15" t="str">
        <f t="shared" ca="1" si="201"/>
        <v/>
      </c>
      <c r="H2564" s="15" t="str">
        <f t="shared" ca="1" si="202"/>
        <v/>
      </c>
      <c r="I2564" s="16" t="str">
        <f t="shared" ca="1" si="203"/>
        <v/>
      </c>
    </row>
    <row r="2565" spans="1:9" x14ac:dyDescent="0.3">
      <c r="A2565" s="3"/>
      <c r="B2565" s="9"/>
      <c r="C2565" s="9"/>
      <c r="E2565" s="14" t="str">
        <f t="shared" si="204"/>
        <v/>
      </c>
      <c r="F2565" s="15" t="str">
        <f t="shared" ca="1" si="200"/>
        <v/>
      </c>
      <c r="G2565" s="15" t="str">
        <f t="shared" ca="1" si="201"/>
        <v/>
      </c>
      <c r="H2565" s="15" t="str">
        <f t="shared" ca="1" si="202"/>
        <v/>
      </c>
      <c r="I2565" s="16" t="str">
        <f t="shared" ca="1" si="203"/>
        <v/>
      </c>
    </row>
    <row r="2566" spans="1:9" x14ac:dyDescent="0.3">
      <c r="A2566" s="3"/>
      <c r="B2566" s="9"/>
      <c r="C2566" s="9"/>
      <c r="E2566" s="14" t="str">
        <f t="shared" si="204"/>
        <v/>
      </c>
      <c r="F2566" s="15" t="str">
        <f t="shared" ca="1" si="200"/>
        <v/>
      </c>
      <c r="G2566" s="15" t="str">
        <f t="shared" ca="1" si="201"/>
        <v/>
      </c>
      <c r="H2566" s="15" t="str">
        <f t="shared" ca="1" si="202"/>
        <v/>
      </c>
      <c r="I2566" s="16" t="str">
        <f t="shared" ca="1" si="203"/>
        <v/>
      </c>
    </row>
    <row r="2567" spans="1:9" x14ac:dyDescent="0.3">
      <c r="A2567" s="3"/>
      <c r="B2567" s="9"/>
      <c r="C2567" s="9"/>
      <c r="E2567" s="14" t="str">
        <f t="shared" si="204"/>
        <v/>
      </c>
      <c r="F2567" s="15" t="str">
        <f t="shared" ca="1" si="200"/>
        <v/>
      </c>
      <c r="G2567" s="15" t="str">
        <f t="shared" ca="1" si="201"/>
        <v/>
      </c>
      <c r="H2567" s="15" t="str">
        <f t="shared" ca="1" si="202"/>
        <v/>
      </c>
      <c r="I2567" s="16" t="str">
        <f t="shared" ca="1" si="203"/>
        <v/>
      </c>
    </row>
    <row r="2568" spans="1:9" x14ac:dyDescent="0.3">
      <c r="A2568" s="3"/>
      <c r="B2568" s="9"/>
      <c r="C2568" s="9"/>
      <c r="E2568" s="14" t="str">
        <f t="shared" si="204"/>
        <v/>
      </c>
      <c r="F2568" s="15" t="str">
        <f t="shared" ca="1" si="200"/>
        <v/>
      </c>
      <c r="G2568" s="15" t="str">
        <f t="shared" ca="1" si="201"/>
        <v/>
      </c>
      <c r="H2568" s="15" t="str">
        <f t="shared" ca="1" si="202"/>
        <v/>
      </c>
      <c r="I2568" s="16" t="str">
        <f t="shared" ca="1" si="203"/>
        <v/>
      </c>
    </row>
    <row r="2569" spans="1:9" x14ac:dyDescent="0.3">
      <c r="A2569" s="3"/>
      <c r="B2569" s="9"/>
      <c r="C2569" s="9"/>
      <c r="E2569" s="14" t="str">
        <f t="shared" si="204"/>
        <v/>
      </c>
      <c r="F2569" s="15" t="str">
        <f t="shared" ca="1" si="200"/>
        <v/>
      </c>
      <c r="G2569" s="15" t="str">
        <f t="shared" ca="1" si="201"/>
        <v/>
      </c>
      <c r="H2569" s="15" t="str">
        <f t="shared" ca="1" si="202"/>
        <v/>
      </c>
      <c r="I2569" s="16" t="str">
        <f t="shared" ca="1" si="203"/>
        <v/>
      </c>
    </row>
    <row r="2570" spans="1:9" x14ac:dyDescent="0.3">
      <c r="A2570" s="3"/>
      <c r="B2570" s="9"/>
      <c r="C2570" s="9"/>
      <c r="E2570" s="14" t="str">
        <f t="shared" si="204"/>
        <v/>
      </c>
      <c r="F2570" s="15" t="str">
        <f t="shared" ca="1" si="200"/>
        <v/>
      </c>
      <c r="G2570" s="15" t="str">
        <f t="shared" ca="1" si="201"/>
        <v/>
      </c>
      <c r="H2570" s="15" t="str">
        <f t="shared" ca="1" si="202"/>
        <v/>
      </c>
      <c r="I2570" s="16" t="str">
        <f t="shared" ca="1" si="203"/>
        <v/>
      </c>
    </row>
    <row r="2571" spans="1:9" x14ac:dyDescent="0.3">
      <c r="A2571" s="3"/>
      <c r="B2571" s="9"/>
      <c r="C2571" s="9"/>
      <c r="E2571" s="14" t="str">
        <f t="shared" si="204"/>
        <v/>
      </c>
      <c r="F2571" s="15" t="str">
        <f t="shared" ca="1" si="200"/>
        <v/>
      </c>
      <c r="G2571" s="15" t="str">
        <f t="shared" ca="1" si="201"/>
        <v/>
      </c>
      <c r="H2571" s="15" t="str">
        <f t="shared" ca="1" si="202"/>
        <v/>
      </c>
      <c r="I2571" s="16" t="str">
        <f t="shared" ca="1" si="203"/>
        <v/>
      </c>
    </row>
    <row r="2572" spans="1:9" x14ac:dyDescent="0.3">
      <c r="A2572" s="3"/>
      <c r="B2572" s="9"/>
      <c r="C2572" s="9"/>
      <c r="E2572" s="14" t="str">
        <f t="shared" si="204"/>
        <v/>
      </c>
      <c r="F2572" s="15" t="str">
        <f t="shared" ca="1" si="200"/>
        <v/>
      </c>
      <c r="G2572" s="15" t="str">
        <f t="shared" ca="1" si="201"/>
        <v/>
      </c>
      <c r="H2572" s="15" t="str">
        <f t="shared" ca="1" si="202"/>
        <v/>
      </c>
      <c r="I2572" s="16" t="str">
        <f t="shared" ca="1" si="203"/>
        <v/>
      </c>
    </row>
    <row r="2573" spans="1:9" x14ac:dyDescent="0.3">
      <c r="A2573" s="3"/>
      <c r="B2573" s="9"/>
      <c r="C2573" s="9"/>
      <c r="E2573" s="14" t="str">
        <f t="shared" si="204"/>
        <v/>
      </c>
      <c r="F2573" s="15" t="str">
        <f t="shared" ca="1" si="200"/>
        <v/>
      </c>
      <c r="G2573" s="15" t="str">
        <f t="shared" ca="1" si="201"/>
        <v/>
      </c>
      <c r="H2573" s="15" t="str">
        <f t="shared" ca="1" si="202"/>
        <v/>
      </c>
      <c r="I2573" s="16" t="str">
        <f t="shared" ca="1" si="203"/>
        <v/>
      </c>
    </row>
    <row r="2574" spans="1:9" x14ac:dyDescent="0.3">
      <c r="A2574" s="3"/>
      <c r="B2574" s="9"/>
      <c r="C2574" s="9"/>
      <c r="E2574" s="14" t="str">
        <f t="shared" si="204"/>
        <v/>
      </c>
      <c r="F2574" s="15" t="str">
        <f t="shared" ca="1" si="200"/>
        <v/>
      </c>
      <c r="G2574" s="15" t="str">
        <f t="shared" ca="1" si="201"/>
        <v/>
      </c>
      <c r="H2574" s="15" t="str">
        <f t="shared" ca="1" si="202"/>
        <v/>
      </c>
      <c r="I2574" s="16" t="str">
        <f t="shared" ca="1" si="203"/>
        <v/>
      </c>
    </row>
    <row r="2575" spans="1:9" x14ac:dyDescent="0.3">
      <c r="A2575" s="3"/>
      <c r="B2575" s="9"/>
      <c r="C2575" s="9"/>
      <c r="E2575" s="14" t="str">
        <f t="shared" si="204"/>
        <v/>
      </c>
      <c r="F2575" s="15" t="str">
        <f t="shared" ca="1" si="200"/>
        <v/>
      </c>
      <c r="G2575" s="15" t="str">
        <f t="shared" ca="1" si="201"/>
        <v/>
      </c>
      <c r="H2575" s="15" t="str">
        <f t="shared" ca="1" si="202"/>
        <v/>
      </c>
      <c r="I2575" s="16" t="str">
        <f t="shared" ca="1" si="203"/>
        <v/>
      </c>
    </row>
    <row r="2576" spans="1:9" x14ac:dyDescent="0.3">
      <c r="A2576" s="3"/>
      <c r="B2576" s="9"/>
      <c r="C2576" s="9"/>
      <c r="E2576" s="14" t="str">
        <f t="shared" si="204"/>
        <v/>
      </c>
      <c r="F2576" s="15" t="str">
        <f t="shared" ca="1" si="200"/>
        <v/>
      </c>
      <c r="G2576" s="15" t="str">
        <f t="shared" ca="1" si="201"/>
        <v/>
      </c>
      <c r="H2576" s="15" t="str">
        <f t="shared" ca="1" si="202"/>
        <v/>
      </c>
      <c r="I2576" s="16" t="str">
        <f t="shared" ca="1" si="203"/>
        <v/>
      </c>
    </row>
    <row r="2577" spans="1:9" x14ac:dyDescent="0.3">
      <c r="A2577" s="3"/>
      <c r="B2577" s="9"/>
      <c r="C2577" s="9"/>
      <c r="E2577" s="14" t="str">
        <f t="shared" si="204"/>
        <v/>
      </c>
      <c r="F2577" s="15" t="str">
        <f t="shared" ref="F2577:F2593" ca="1" si="205">IF(ISNUMBER(E2577),IF(ROW(E2577)&gt;$K$1,AVERAGE(OFFSET(E2577,0,0,-$K$1)),""),"")</f>
        <v/>
      </c>
      <c r="G2577" s="15" t="str">
        <f t="shared" ref="G2577:G2593" ca="1" si="206">IF(ISNUMBER(I2577),F2577+I2577*$M$1,"")</f>
        <v/>
      </c>
      <c r="H2577" s="15" t="str">
        <f t="shared" ref="H2577:H2593" ca="1" si="207">IF(ISNUMBER(I2577),F2577-I2577*$M$1,"")</f>
        <v/>
      </c>
      <c r="I2577" s="16" t="str">
        <f t="shared" ref="I2577:I2593" ca="1" si="208">IF(ISNUMBER(E2577),IF(ROW(E2577)&gt;$K$1,_xlfn.STDEV.P(OFFSET(E2577,0,0,-$K$1)),""),"")</f>
        <v/>
      </c>
    </row>
    <row r="2578" spans="1:9" x14ac:dyDescent="0.3">
      <c r="A2578" s="3"/>
      <c r="B2578" s="9"/>
      <c r="C2578" s="9"/>
      <c r="E2578" s="14" t="str">
        <f t="shared" si="204"/>
        <v/>
      </c>
      <c r="F2578" s="15" t="str">
        <f t="shared" ca="1" si="205"/>
        <v/>
      </c>
      <c r="G2578" s="15" t="str">
        <f t="shared" ca="1" si="206"/>
        <v/>
      </c>
      <c r="H2578" s="15" t="str">
        <f t="shared" ca="1" si="207"/>
        <v/>
      </c>
      <c r="I2578" s="16" t="str">
        <f t="shared" ca="1" si="208"/>
        <v/>
      </c>
    </row>
    <row r="2579" spans="1:9" x14ac:dyDescent="0.3">
      <c r="A2579" s="3"/>
      <c r="B2579" s="9"/>
      <c r="C2579" s="9"/>
      <c r="E2579" s="14" t="str">
        <f t="shared" si="204"/>
        <v/>
      </c>
      <c r="F2579" s="15" t="str">
        <f t="shared" ca="1" si="205"/>
        <v/>
      </c>
      <c r="G2579" s="15" t="str">
        <f t="shared" ca="1" si="206"/>
        <v/>
      </c>
      <c r="H2579" s="15" t="str">
        <f t="shared" ca="1" si="207"/>
        <v/>
      </c>
      <c r="I2579" s="16" t="str">
        <f t="shared" ca="1" si="208"/>
        <v/>
      </c>
    </row>
    <row r="2580" spans="1:9" x14ac:dyDescent="0.3">
      <c r="A2580" s="3"/>
      <c r="B2580" s="9"/>
      <c r="C2580" s="9"/>
      <c r="E2580" s="14" t="str">
        <f t="shared" si="204"/>
        <v/>
      </c>
      <c r="F2580" s="15" t="str">
        <f t="shared" ca="1" si="205"/>
        <v/>
      </c>
      <c r="G2580" s="15" t="str">
        <f t="shared" ca="1" si="206"/>
        <v/>
      </c>
      <c r="H2580" s="15" t="str">
        <f t="shared" ca="1" si="207"/>
        <v/>
      </c>
      <c r="I2580" s="16" t="str">
        <f t="shared" ca="1" si="208"/>
        <v/>
      </c>
    </row>
    <row r="2581" spans="1:9" x14ac:dyDescent="0.3">
      <c r="A2581" s="3"/>
      <c r="B2581" s="9"/>
      <c r="C2581" s="9"/>
      <c r="E2581" s="14" t="str">
        <f t="shared" si="204"/>
        <v/>
      </c>
      <c r="F2581" s="15" t="str">
        <f t="shared" ca="1" si="205"/>
        <v/>
      </c>
      <c r="G2581" s="15" t="str">
        <f t="shared" ca="1" si="206"/>
        <v/>
      </c>
      <c r="H2581" s="15" t="str">
        <f t="shared" ca="1" si="207"/>
        <v/>
      </c>
      <c r="I2581" s="16" t="str">
        <f t="shared" ca="1" si="208"/>
        <v/>
      </c>
    </row>
    <row r="2582" spans="1:9" x14ac:dyDescent="0.3">
      <c r="A2582" s="3"/>
      <c r="B2582" s="9"/>
      <c r="C2582" s="9"/>
      <c r="E2582" s="14" t="str">
        <f t="shared" si="204"/>
        <v/>
      </c>
      <c r="F2582" s="15" t="str">
        <f t="shared" ca="1" si="205"/>
        <v/>
      </c>
      <c r="G2582" s="15" t="str">
        <f t="shared" ca="1" si="206"/>
        <v/>
      </c>
      <c r="H2582" s="15" t="str">
        <f t="shared" ca="1" si="207"/>
        <v/>
      </c>
      <c r="I2582" s="16" t="str">
        <f t="shared" ca="1" si="208"/>
        <v/>
      </c>
    </row>
    <row r="2583" spans="1:9" x14ac:dyDescent="0.3">
      <c r="A2583" s="3"/>
      <c r="B2583" s="9"/>
      <c r="C2583" s="9"/>
      <c r="E2583" s="14" t="str">
        <f t="shared" si="204"/>
        <v/>
      </c>
      <c r="F2583" s="15" t="str">
        <f t="shared" ca="1" si="205"/>
        <v/>
      </c>
      <c r="G2583" s="15" t="str">
        <f t="shared" ca="1" si="206"/>
        <v/>
      </c>
      <c r="H2583" s="15" t="str">
        <f t="shared" ca="1" si="207"/>
        <v/>
      </c>
      <c r="I2583" s="16" t="str">
        <f t="shared" ca="1" si="208"/>
        <v/>
      </c>
    </row>
    <row r="2584" spans="1:9" x14ac:dyDescent="0.3">
      <c r="A2584" s="3"/>
      <c r="B2584" s="9"/>
      <c r="C2584" s="9"/>
      <c r="E2584" s="14" t="str">
        <f t="shared" si="204"/>
        <v/>
      </c>
      <c r="F2584" s="15" t="str">
        <f t="shared" ca="1" si="205"/>
        <v/>
      </c>
      <c r="G2584" s="15" t="str">
        <f t="shared" ca="1" si="206"/>
        <v/>
      </c>
      <c r="H2584" s="15" t="str">
        <f t="shared" ca="1" si="207"/>
        <v/>
      </c>
      <c r="I2584" s="16" t="str">
        <f t="shared" ca="1" si="208"/>
        <v/>
      </c>
    </row>
    <row r="2585" spans="1:9" x14ac:dyDescent="0.3">
      <c r="A2585" s="3"/>
      <c r="B2585" s="9"/>
      <c r="C2585" s="9"/>
      <c r="E2585" s="14" t="str">
        <f t="shared" si="204"/>
        <v/>
      </c>
      <c r="F2585" s="15" t="str">
        <f t="shared" ca="1" si="205"/>
        <v/>
      </c>
      <c r="G2585" s="15" t="str">
        <f t="shared" ca="1" si="206"/>
        <v/>
      </c>
      <c r="H2585" s="15" t="str">
        <f t="shared" ca="1" si="207"/>
        <v/>
      </c>
      <c r="I2585" s="16" t="str">
        <f t="shared" ca="1" si="208"/>
        <v/>
      </c>
    </row>
    <row r="2586" spans="1:9" x14ac:dyDescent="0.3">
      <c r="A2586" s="3"/>
      <c r="B2586" s="9"/>
      <c r="C2586" s="9"/>
      <c r="E2586" s="14" t="str">
        <f t="shared" si="204"/>
        <v/>
      </c>
      <c r="F2586" s="15" t="str">
        <f t="shared" ca="1" si="205"/>
        <v/>
      </c>
      <c r="G2586" s="15" t="str">
        <f t="shared" ca="1" si="206"/>
        <v/>
      </c>
      <c r="H2586" s="15" t="str">
        <f t="shared" ca="1" si="207"/>
        <v/>
      </c>
      <c r="I2586" s="16" t="str">
        <f t="shared" ca="1" si="208"/>
        <v/>
      </c>
    </row>
    <row r="2587" spans="1:9" x14ac:dyDescent="0.3">
      <c r="A2587" s="3"/>
      <c r="B2587" s="9"/>
      <c r="C2587" s="9"/>
      <c r="E2587" s="14" t="str">
        <f t="shared" si="204"/>
        <v/>
      </c>
      <c r="F2587" s="15" t="str">
        <f t="shared" ca="1" si="205"/>
        <v/>
      </c>
      <c r="G2587" s="15" t="str">
        <f t="shared" ca="1" si="206"/>
        <v/>
      </c>
      <c r="H2587" s="15" t="str">
        <f t="shared" ca="1" si="207"/>
        <v/>
      </c>
      <c r="I2587" s="16" t="str">
        <f t="shared" ca="1" si="208"/>
        <v/>
      </c>
    </row>
    <row r="2588" spans="1:9" x14ac:dyDescent="0.3">
      <c r="A2588" s="3"/>
      <c r="B2588" s="9"/>
      <c r="C2588" s="9"/>
      <c r="E2588" s="14" t="str">
        <f t="shared" si="204"/>
        <v/>
      </c>
      <c r="F2588" s="15" t="str">
        <f t="shared" ca="1" si="205"/>
        <v/>
      </c>
      <c r="G2588" s="15" t="str">
        <f t="shared" ca="1" si="206"/>
        <v/>
      </c>
      <c r="H2588" s="15" t="str">
        <f t="shared" ca="1" si="207"/>
        <v/>
      </c>
      <c r="I2588" s="16" t="str">
        <f t="shared" ca="1" si="208"/>
        <v/>
      </c>
    </row>
    <row r="2589" spans="1:9" x14ac:dyDescent="0.3">
      <c r="A2589" s="3"/>
      <c r="B2589" s="9"/>
      <c r="C2589" s="9"/>
      <c r="E2589" s="14" t="str">
        <f t="shared" si="204"/>
        <v/>
      </c>
      <c r="F2589" s="15" t="str">
        <f t="shared" ca="1" si="205"/>
        <v/>
      </c>
      <c r="G2589" s="15" t="str">
        <f t="shared" ca="1" si="206"/>
        <v/>
      </c>
      <c r="H2589" s="15" t="str">
        <f t="shared" ca="1" si="207"/>
        <v/>
      </c>
      <c r="I2589" s="16" t="str">
        <f t="shared" ca="1" si="208"/>
        <v/>
      </c>
    </row>
    <row r="2590" spans="1:9" x14ac:dyDescent="0.3">
      <c r="A2590" s="3"/>
      <c r="B2590" s="9"/>
      <c r="C2590" s="9"/>
      <c r="E2590" s="14" t="str">
        <f t="shared" si="204"/>
        <v/>
      </c>
      <c r="F2590" s="15" t="str">
        <f t="shared" ca="1" si="205"/>
        <v/>
      </c>
      <c r="G2590" s="15" t="str">
        <f t="shared" ca="1" si="206"/>
        <v/>
      </c>
      <c r="H2590" s="15" t="str">
        <f t="shared" ca="1" si="207"/>
        <v/>
      </c>
      <c r="I2590" s="16" t="str">
        <f t="shared" ca="1" si="208"/>
        <v/>
      </c>
    </row>
    <row r="2591" spans="1:9" x14ac:dyDescent="0.3">
      <c r="A2591" s="3"/>
      <c r="B2591" s="9"/>
      <c r="C2591" s="9"/>
      <c r="E2591" s="14" t="str">
        <f t="shared" si="204"/>
        <v/>
      </c>
      <c r="F2591" s="15" t="str">
        <f t="shared" ca="1" si="205"/>
        <v/>
      </c>
      <c r="G2591" s="15" t="str">
        <f t="shared" ca="1" si="206"/>
        <v/>
      </c>
      <c r="H2591" s="15" t="str">
        <f t="shared" ca="1" si="207"/>
        <v/>
      </c>
      <c r="I2591" s="16" t="str">
        <f t="shared" ca="1" si="208"/>
        <v/>
      </c>
    </row>
    <row r="2592" spans="1:9" x14ac:dyDescent="0.3">
      <c r="A2592" s="3"/>
      <c r="B2592" s="9"/>
      <c r="C2592" s="9"/>
      <c r="E2592" s="14" t="str">
        <f t="shared" si="204"/>
        <v/>
      </c>
      <c r="F2592" s="15" t="str">
        <f t="shared" ca="1" si="205"/>
        <v/>
      </c>
      <c r="G2592" s="15" t="str">
        <f t="shared" ca="1" si="206"/>
        <v/>
      </c>
      <c r="H2592" s="15" t="str">
        <f t="shared" ca="1" si="207"/>
        <v/>
      </c>
      <c r="I2592" s="16" t="str">
        <f t="shared" ca="1" si="208"/>
        <v/>
      </c>
    </row>
    <row r="2593" spans="1:9" x14ac:dyDescent="0.3">
      <c r="A2593" s="3"/>
      <c r="B2593" s="9"/>
      <c r="C2593" s="9"/>
      <c r="E2593" s="14" t="str">
        <f t="shared" si="204"/>
        <v/>
      </c>
      <c r="F2593" s="15" t="str">
        <f t="shared" ca="1" si="205"/>
        <v/>
      </c>
      <c r="G2593" s="15" t="str">
        <f t="shared" ca="1" si="206"/>
        <v/>
      </c>
      <c r="H2593" s="15" t="str">
        <f t="shared" ca="1" si="207"/>
        <v/>
      </c>
      <c r="I2593" s="16" t="str">
        <f t="shared" ca="1" si="208"/>
        <v/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1CCB5-8D70-47E4-BE8F-A8FA7DFC7958}">
  <dimension ref="A1:R2593"/>
  <sheetViews>
    <sheetView showGridLines="0" zoomScale="85" zoomScaleNormal="85" workbookViewId="0">
      <pane ySplit="1" topLeftCell="A2" activePane="bottomLeft" state="frozen"/>
      <selection pane="bottomLeft" activeCell="O1" sqref="O1"/>
    </sheetView>
  </sheetViews>
  <sheetFormatPr defaultRowHeight="14.4" x14ac:dyDescent="0.3"/>
  <cols>
    <col min="1" max="1" width="9.5546875" style="1" bestFit="1" customWidth="1"/>
    <col min="2" max="3" width="8.88671875" style="10"/>
    <col min="4" max="4" width="8.88671875" style="5"/>
    <col min="5" max="5" width="8.88671875" style="12"/>
    <col min="6" max="6" width="9.88671875" style="12" bestFit="1" customWidth="1"/>
    <col min="7" max="7" width="13.44140625" bestFit="1" customWidth="1"/>
    <col min="8" max="8" width="12.44140625" style="7" customWidth="1"/>
    <col min="10" max="10" width="12.88671875" customWidth="1"/>
    <col min="11" max="11" width="16.21875" style="21" customWidth="1"/>
    <col min="12" max="12" width="9.33203125" customWidth="1"/>
    <col min="13" max="13" width="12.5546875" style="21" customWidth="1"/>
    <col min="15" max="15" width="12.6640625" style="21" bestFit="1" customWidth="1"/>
    <col min="17" max="17" width="8.88671875" style="21"/>
  </cols>
  <sheetData>
    <row r="1" spans="1:18" ht="35.4" customHeight="1" x14ac:dyDescent="0.3">
      <c r="A1" s="2" t="s">
        <v>2</v>
      </c>
      <c r="B1" s="8" t="s">
        <v>3</v>
      </c>
      <c r="C1" s="8" t="s">
        <v>4</v>
      </c>
      <c r="D1" s="4"/>
      <c r="E1" s="11" t="str">
        <f>B1 &amp; "/" &amp; C1</f>
        <v>ITUB4/BBDC4</v>
      </c>
      <c r="F1" s="11" t="s">
        <v>8</v>
      </c>
      <c r="G1" s="11" t="s">
        <v>7</v>
      </c>
      <c r="H1" s="6" t="s">
        <v>6</v>
      </c>
      <c r="I1" s="19" t="s">
        <v>5</v>
      </c>
      <c r="J1" s="22">
        <f>Trades!W1</f>
        <v>22</v>
      </c>
      <c r="K1" s="20" t="s">
        <v>29</v>
      </c>
      <c r="L1" s="22">
        <f>Trades!Y1</f>
        <v>1</v>
      </c>
      <c r="M1" s="20" t="s">
        <v>9</v>
      </c>
      <c r="N1" s="23">
        <f>Trades!AA1</f>
        <v>0</v>
      </c>
      <c r="O1" s="20" t="s">
        <v>30</v>
      </c>
      <c r="P1" s="22">
        <f>Trades!AC1</f>
        <v>-1</v>
      </c>
      <c r="Q1" s="20" t="s">
        <v>9</v>
      </c>
      <c r="R1" s="23">
        <f>Trades!AE1</f>
        <v>0</v>
      </c>
    </row>
    <row r="2" spans="1:18" x14ac:dyDescent="0.3">
      <c r="A2" s="3">
        <v>40182</v>
      </c>
      <c r="B2" s="9">
        <v>12.364271</v>
      </c>
      <c r="C2" s="9">
        <v>9.7309239999999999</v>
      </c>
      <c r="E2" s="14">
        <f>IF(ISNUMBER(B2),B2/C2,"")</f>
        <v>1.2706163361259424</v>
      </c>
      <c r="F2" s="18" t="str">
        <f t="shared" ref="F2:F65" ca="1" si="0">IF(ISNUMBER(G2),(E2-G2)/H2,"")</f>
        <v/>
      </c>
      <c r="G2" s="15" t="str">
        <f t="shared" ref="G2:G30" ca="1" si="1">IF(ISNUMBER(E2),IF(ROW(E2)&gt;$J$1,AVERAGE(OFFSET(E2,0,0,-$J$1)),""),"")</f>
        <v/>
      </c>
      <c r="H2" s="15" t="str">
        <f t="shared" ref="H2:H30" ca="1" si="2">IF(ISNUMBER(E2),IF(ROW(E2)&gt;$J$1,_xlfn.STDEV.P(OFFSET(E2,0,0,-$J$1)),""),"")</f>
        <v/>
      </c>
    </row>
    <row r="3" spans="1:18" x14ac:dyDescent="0.3">
      <c r="A3" s="3">
        <v>40183</v>
      </c>
      <c r="B3" s="9">
        <v>12.44441</v>
      </c>
      <c r="C3" s="9">
        <v>9.6880520000000008</v>
      </c>
      <c r="E3" s="14">
        <f t="shared" ref="E3:E66" si="3">IF(ISNUMBER(B3),B3/C3,"")</f>
        <v>1.2845110657952701</v>
      </c>
      <c r="F3" s="18" t="str">
        <f t="shared" ca="1" si="0"/>
        <v/>
      </c>
      <c r="G3" s="15" t="str">
        <f t="shared" ca="1" si="1"/>
        <v/>
      </c>
      <c r="H3" s="15" t="str">
        <f t="shared" ca="1" si="2"/>
        <v/>
      </c>
    </row>
    <row r="4" spans="1:18" x14ac:dyDescent="0.3">
      <c r="A4" s="3">
        <v>40184</v>
      </c>
      <c r="B4" s="9">
        <v>12.336596</v>
      </c>
      <c r="C4" s="9">
        <v>9.6105070000000001</v>
      </c>
      <c r="E4" s="14">
        <f t="shared" si="3"/>
        <v>1.2836571473284395</v>
      </c>
      <c r="F4" s="18" t="str">
        <f t="shared" ca="1" si="0"/>
        <v/>
      </c>
      <c r="G4" s="15" t="str">
        <f t="shared" ca="1" si="1"/>
        <v/>
      </c>
      <c r="H4" s="15" t="str">
        <f t="shared" ca="1" si="2"/>
        <v/>
      </c>
    </row>
    <row r="5" spans="1:18" x14ac:dyDescent="0.3">
      <c r="A5" s="3">
        <v>40185</v>
      </c>
      <c r="B5" s="9">
        <v>12.210235000000001</v>
      </c>
      <c r="C5" s="9">
        <v>9.5846959999999992</v>
      </c>
      <c r="E5" s="14">
        <f t="shared" si="3"/>
        <v>1.2739303364446823</v>
      </c>
      <c r="F5" s="18" t="str">
        <f t="shared" ca="1" si="0"/>
        <v/>
      </c>
      <c r="G5" s="15" t="str">
        <f t="shared" ca="1" si="1"/>
        <v/>
      </c>
      <c r="H5" s="15" t="str">
        <f t="shared" ca="1" si="2"/>
        <v/>
      </c>
      <c r="J5" s="11" t="s">
        <v>31</v>
      </c>
      <c r="K5" s="6" t="s">
        <v>11</v>
      </c>
      <c r="L5" s="6" t="s">
        <v>10</v>
      </c>
      <c r="N5" s="11" t="s">
        <v>12</v>
      </c>
      <c r="O5" s="6" t="s">
        <v>13</v>
      </c>
      <c r="P5" s="6" t="s">
        <v>14</v>
      </c>
      <c r="Q5" s="6" t="s">
        <v>15</v>
      </c>
    </row>
    <row r="6" spans="1:18" x14ac:dyDescent="0.3">
      <c r="A6" s="3">
        <v>40186</v>
      </c>
      <c r="B6" s="9">
        <v>12.025325</v>
      </c>
      <c r="C6" s="9">
        <v>9.5743489999999998</v>
      </c>
      <c r="E6" s="14">
        <f t="shared" si="3"/>
        <v>1.2559940106632839</v>
      </c>
      <c r="F6" s="18" t="str">
        <f t="shared" ca="1" si="0"/>
        <v/>
      </c>
      <c r="G6" s="15" t="str">
        <f t="shared" ca="1" si="1"/>
        <v/>
      </c>
      <c r="H6" s="15" t="str">
        <f t="shared" ca="1" si="2"/>
        <v/>
      </c>
      <c r="J6" t="str">
        <f t="shared" ref="J6:J7" ca="1" si="4">IF(ISNUMBER(F6),IF(AND(J5&lt;&gt;1,F6&gt;$L$1),1,0),"")</f>
        <v/>
      </c>
      <c r="O6"/>
      <c r="Q6"/>
    </row>
    <row r="7" spans="1:18" x14ac:dyDescent="0.3">
      <c r="A7" s="3">
        <v>40189</v>
      </c>
      <c r="B7" s="9">
        <v>11.920491999999999</v>
      </c>
      <c r="C7" s="9">
        <v>9.5821079999999998</v>
      </c>
      <c r="E7" s="14">
        <f t="shared" si="3"/>
        <v>1.244036489674297</v>
      </c>
      <c r="F7" s="18" t="str">
        <f t="shared" ca="1" si="0"/>
        <v/>
      </c>
      <c r="G7" s="15" t="str">
        <f t="shared" ca="1" si="1"/>
        <v/>
      </c>
      <c r="H7" s="15" t="str">
        <f t="shared" ca="1" si="2"/>
        <v/>
      </c>
      <c r="J7" t="str">
        <f t="shared" ca="1" si="4"/>
        <v/>
      </c>
      <c r="O7"/>
      <c r="Q7"/>
    </row>
    <row r="8" spans="1:18" x14ac:dyDescent="0.3">
      <c r="A8" s="3">
        <v>40190</v>
      </c>
      <c r="B8" s="9">
        <v>11.809559999999999</v>
      </c>
      <c r="C8" s="9">
        <v>9.6105070000000001</v>
      </c>
      <c r="E8" s="14">
        <f t="shared" si="3"/>
        <v>1.2288175847538532</v>
      </c>
      <c r="F8" s="18" t="str">
        <f t="shared" ca="1" si="0"/>
        <v/>
      </c>
      <c r="G8" s="15" t="str">
        <f t="shared" ca="1" si="1"/>
        <v/>
      </c>
      <c r="H8" s="15" t="str">
        <f t="shared" ca="1" si="2"/>
        <v/>
      </c>
      <c r="J8" s="17" t="str">
        <f t="shared" ref="J8:J71" ca="1" si="5">IF(ISNUMBER(F8),IF(AND(J7&lt;&gt;1,F8&gt;$L$1),1,IF(AND(J7=1,F8&gt;$N$1),1,0)),"")</f>
        <v/>
      </c>
      <c r="K8" s="24" t="str">
        <f ca="1">IF(ISNUMBER(F8),IF(AND(K7&lt;&gt;-1,F8&lt;$P$1),-1,IF(AND(K7=-1,F8&lt;R1),-1,0)),"")</f>
        <v/>
      </c>
      <c r="L8" s="17" t="str">
        <f ca="1">IF(ISNUMBER(F8),IF(J8=1,1,IF(K8=-1,-1,0)),"")</f>
        <v/>
      </c>
      <c r="N8" s="24" t="str">
        <f ca="1">IF(AND(L8=1,L7&lt;&gt;1),MAX($N7:N$8)+1,"")</f>
        <v/>
      </c>
      <c r="O8" s="24" t="str">
        <f ca="1">IF(AND(L8&lt;&gt;1,L7=1),MAX($O7:O$8)+1,"")</f>
        <v/>
      </c>
      <c r="P8" s="17" t="str">
        <f ca="1">IF(AND(L8=-1,L7&lt;&gt;-1),MAX($P7:P$8)+1,"")</f>
        <v/>
      </c>
      <c r="Q8" s="24" t="str">
        <f ca="1">IF(AND(L8&lt;&gt;-1,L7=-1),MAX($Q7:Q$8)+1,"")</f>
        <v/>
      </c>
    </row>
    <row r="9" spans="1:18" x14ac:dyDescent="0.3">
      <c r="A9" s="3">
        <v>40191</v>
      </c>
      <c r="B9" s="9">
        <v>11.846577999999999</v>
      </c>
      <c r="C9" s="9">
        <v>9.6621799999999993</v>
      </c>
      <c r="E9" s="14">
        <f t="shared" si="3"/>
        <v>1.2260771378715776</v>
      </c>
      <c r="F9" s="18" t="str">
        <f t="shared" ca="1" si="0"/>
        <v/>
      </c>
      <c r="G9" s="15" t="str">
        <f t="shared" ca="1" si="1"/>
        <v/>
      </c>
      <c r="H9" s="15" t="str">
        <f t="shared" ca="1" si="2"/>
        <v/>
      </c>
      <c r="J9" s="17" t="str">
        <f t="shared" ca="1" si="5"/>
        <v/>
      </c>
      <c r="K9" s="24" t="str">
        <f t="shared" ref="K9:K72" ca="1" si="6">IF(ISNUMBER(F9),IF(AND(K8&lt;&gt;-1,F9&lt;$P$1),-1,IF(AND(K8=-1,F9&lt;R2),-1,0)),"")</f>
        <v/>
      </c>
      <c r="L9" s="17" t="str">
        <f t="shared" ref="L9:L72" ca="1" si="7">IF(ISNUMBER(F9),IF(J9=1,1,IF(K9=-1,-1,0)),"")</f>
        <v/>
      </c>
      <c r="N9" s="24" t="str">
        <f ca="1">IF(AND(L9=1,L8&lt;&gt;1),MAX($N$8:N8)+1,"")</f>
        <v/>
      </c>
      <c r="O9" s="24" t="str">
        <f ca="1">IF(AND(L9&lt;&gt;1,L8=1),MAX($O$8:O8)+1,"")</f>
        <v/>
      </c>
      <c r="P9" s="17" t="str">
        <f ca="1">IF(AND(L9=-1,L8&lt;&gt;-1),MAX($P$8:P8)+1,"")</f>
        <v/>
      </c>
      <c r="Q9" s="24" t="str">
        <f ca="1">IF(AND(L9&lt;&gt;-1,L8=-1),MAX($Q$8:Q8)+1,"")</f>
        <v/>
      </c>
    </row>
    <row r="10" spans="1:18" x14ac:dyDescent="0.3">
      <c r="A10" s="3">
        <v>40192</v>
      </c>
      <c r="B10" s="9">
        <v>11.683191000000001</v>
      </c>
      <c r="C10" s="9">
        <v>9.4555229999999995</v>
      </c>
      <c r="E10" s="14">
        <f t="shared" si="3"/>
        <v>1.2355943716703985</v>
      </c>
      <c r="F10" s="18" t="str">
        <f t="shared" ca="1" si="0"/>
        <v/>
      </c>
      <c r="G10" s="15" t="str">
        <f t="shared" ca="1" si="1"/>
        <v/>
      </c>
      <c r="H10" s="15" t="str">
        <f t="shared" ca="1" si="2"/>
        <v/>
      </c>
      <c r="J10" s="17" t="str">
        <f t="shared" ca="1" si="5"/>
        <v/>
      </c>
      <c r="K10" s="24" t="str">
        <f t="shared" ca="1" si="6"/>
        <v/>
      </c>
      <c r="L10" s="17" t="str">
        <f t="shared" ca="1" si="7"/>
        <v/>
      </c>
      <c r="N10" s="24" t="str">
        <f ca="1">IF(AND(L10=1,L9&lt;&gt;1),MAX($N$8:N9)+1,"")</f>
        <v/>
      </c>
      <c r="O10" s="24" t="str">
        <f ca="1">IF(AND(L10&lt;&gt;1,L9=1),MAX($O$8:O9)+1,"")</f>
        <v/>
      </c>
      <c r="P10" s="17" t="str">
        <f ca="1">IF(AND(L10=-1,L9&lt;&gt;-1),MAX($P$8:P9)+1,"")</f>
        <v/>
      </c>
      <c r="Q10" s="24" t="str">
        <f ca="1">IF(AND(L10&lt;&gt;-1,L9=-1),MAX($Q$8:Q9)+1,"")</f>
        <v/>
      </c>
    </row>
    <row r="11" spans="1:18" x14ac:dyDescent="0.3">
      <c r="A11" s="3">
        <v>40193</v>
      </c>
      <c r="B11" s="9">
        <v>11.485968</v>
      </c>
      <c r="C11" s="9">
        <v>9.3211860000000009</v>
      </c>
      <c r="E11" s="14">
        <f t="shared" si="3"/>
        <v>1.2322431930872315</v>
      </c>
      <c r="F11" s="18" t="str">
        <f t="shared" ca="1" si="0"/>
        <v/>
      </c>
      <c r="G11" s="15" t="str">
        <f t="shared" ca="1" si="1"/>
        <v/>
      </c>
      <c r="H11" s="15" t="str">
        <f t="shared" ca="1" si="2"/>
        <v/>
      </c>
      <c r="J11" s="17" t="str">
        <f t="shared" ca="1" si="5"/>
        <v/>
      </c>
      <c r="K11" s="24" t="str">
        <f t="shared" ca="1" si="6"/>
        <v/>
      </c>
      <c r="L11" s="17" t="str">
        <f t="shared" ca="1" si="7"/>
        <v/>
      </c>
      <c r="N11" s="24" t="str">
        <f ca="1">IF(AND(L11=1,L10&lt;&gt;1),MAX($N$8:N10)+1,"")</f>
        <v/>
      </c>
      <c r="O11" s="24" t="str">
        <f ca="1">IF(AND(L11&lt;&gt;1,L10=1),MAX($O$8:O10)+1,"")</f>
        <v/>
      </c>
      <c r="P11" s="17" t="str">
        <f ca="1">IF(AND(L11=-1,L10&lt;&gt;-1),MAX($P$8:P10)+1,"")</f>
        <v/>
      </c>
      <c r="Q11" s="24" t="str">
        <f ca="1">IF(AND(L11&lt;&gt;-1,L10=-1),MAX($Q$8:Q10)+1,"")</f>
        <v/>
      </c>
    </row>
    <row r="12" spans="1:18" x14ac:dyDescent="0.3">
      <c r="A12" s="3">
        <v>40196</v>
      </c>
      <c r="B12" s="9">
        <v>11.587693</v>
      </c>
      <c r="C12" s="9">
        <v>9.4038459999999997</v>
      </c>
      <c r="E12" s="14">
        <f t="shared" si="3"/>
        <v>1.2322291326336055</v>
      </c>
      <c r="F12" s="18" t="str">
        <f t="shared" ca="1" si="0"/>
        <v/>
      </c>
      <c r="G12" s="15" t="str">
        <f t="shared" ca="1" si="1"/>
        <v/>
      </c>
      <c r="H12" s="15" t="str">
        <f t="shared" ca="1" si="2"/>
        <v/>
      </c>
      <c r="J12" s="17" t="str">
        <f t="shared" ca="1" si="5"/>
        <v/>
      </c>
      <c r="K12" s="24" t="str">
        <f t="shared" ca="1" si="6"/>
        <v/>
      </c>
      <c r="L12" s="17" t="str">
        <f t="shared" ca="1" si="7"/>
        <v/>
      </c>
      <c r="N12" s="24" t="str">
        <f ca="1">IF(AND(L12=1,L11&lt;&gt;1),MAX($N$8:N11)+1,"")</f>
        <v/>
      </c>
      <c r="O12" s="24" t="str">
        <f ca="1">IF(AND(L12&lt;&gt;1,L11=1),MAX($O$8:O11)+1,"")</f>
        <v/>
      </c>
      <c r="P12" s="17" t="str">
        <f ca="1">IF(AND(L12=-1,L11&lt;&gt;-1),MAX($P$8:P11)+1,"")</f>
        <v/>
      </c>
      <c r="Q12" s="24" t="str">
        <f ca="1">IF(AND(L12&lt;&gt;-1,L11=-1),MAX($Q$8:Q11)+1,"")</f>
        <v/>
      </c>
    </row>
    <row r="13" spans="1:18" x14ac:dyDescent="0.3">
      <c r="A13" s="3">
        <v>40197</v>
      </c>
      <c r="B13" s="9">
        <v>11.556836000000001</v>
      </c>
      <c r="C13" s="9">
        <v>9.4890930000000004</v>
      </c>
      <c r="E13" s="14">
        <f t="shared" si="3"/>
        <v>1.2179073384568999</v>
      </c>
      <c r="F13" s="18" t="str">
        <f t="shared" ca="1" si="0"/>
        <v/>
      </c>
      <c r="G13" s="15" t="str">
        <f t="shared" ca="1" si="1"/>
        <v/>
      </c>
      <c r="H13" s="15" t="str">
        <f t="shared" ca="1" si="2"/>
        <v/>
      </c>
      <c r="J13" s="17" t="str">
        <f t="shared" ca="1" si="5"/>
        <v/>
      </c>
      <c r="K13" s="24" t="str">
        <f t="shared" ca="1" si="6"/>
        <v/>
      </c>
      <c r="L13" s="17" t="str">
        <f t="shared" ca="1" si="7"/>
        <v/>
      </c>
      <c r="N13" s="24" t="str">
        <f ca="1">IF(AND(L13=1,L12&lt;&gt;1),MAX($N$8:N12)+1,"")</f>
        <v/>
      </c>
      <c r="O13" s="24" t="str">
        <f ca="1">IF(AND(L13&lt;&gt;1,L12=1),MAX($O$8:O12)+1,"")</f>
        <v/>
      </c>
      <c r="P13" s="17" t="str">
        <f ca="1">IF(AND(L13=-1,L12&lt;&gt;-1),MAX($P$8:P12)+1,"")</f>
        <v/>
      </c>
      <c r="Q13" s="24" t="str">
        <f ca="1">IF(AND(L13&lt;&gt;-1,L12=-1),MAX($Q$8:Q12)+1,"")</f>
        <v/>
      </c>
    </row>
    <row r="14" spans="1:18" x14ac:dyDescent="0.3">
      <c r="A14" s="3">
        <v>40198</v>
      </c>
      <c r="B14" s="9">
        <v>11.251733</v>
      </c>
      <c r="C14" s="9">
        <v>8.4221210000000006</v>
      </c>
      <c r="E14" s="14">
        <f t="shared" si="3"/>
        <v>1.3359738004239072</v>
      </c>
      <c r="F14" s="18" t="str">
        <f t="shared" ca="1" si="0"/>
        <v/>
      </c>
      <c r="G14" s="15" t="str">
        <f t="shared" ca="1" si="1"/>
        <v/>
      </c>
      <c r="H14" s="15" t="str">
        <f t="shared" ca="1" si="2"/>
        <v/>
      </c>
      <c r="J14" s="17" t="str">
        <f t="shared" ca="1" si="5"/>
        <v/>
      </c>
      <c r="K14" s="24" t="str">
        <f t="shared" ca="1" si="6"/>
        <v/>
      </c>
      <c r="L14" s="17" t="str">
        <f t="shared" ca="1" si="7"/>
        <v/>
      </c>
      <c r="N14" s="24" t="str">
        <f ca="1">IF(AND(L14=1,L13&lt;&gt;1),MAX($N$8:N13)+1,"")</f>
        <v/>
      </c>
      <c r="O14" s="24" t="str">
        <f ca="1">IF(AND(L14&lt;&gt;1,L13=1),MAX($O$8:O13)+1,"")</f>
        <v/>
      </c>
      <c r="P14" s="17" t="str">
        <f ca="1">IF(AND(L14=-1,L13&lt;&gt;-1),MAX($P$8:P13)+1,"")</f>
        <v/>
      </c>
      <c r="Q14" s="24" t="str">
        <f ca="1">IF(AND(L14&lt;&gt;-1,L13=-1),MAX($Q$8:Q13)+1,"")</f>
        <v/>
      </c>
    </row>
    <row r="15" spans="1:18" x14ac:dyDescent="0.3">
      <c r="A15" s="3">
        <v>40199</v>
      </c>
      <c r="B15" s="9">
        <v>11.045298000000001</v>
      </c>
      <c r="C15" s="9">
        <v>8.2102920000000008</v>
      </c>
      <c r="E15" s="14">
        <f t="shared" si="3"/>
        <v>1.3452990466112533</v>
      </c>
      <c r="F15" s="18" t="str">
        <f t="shared" ca="1" si="0"/>
        <v/>
      </c>
      <c r="G15" s="15" t="str">
        <f t="shared" ca="1" si="1"/>
        <v/>
      </c>
      <c r="H15" s="15" t="str">
        <f t="shared" ca="1" si="2"/>
        <v/>
      </c>
      <c r="J15" s="17" t="str">
        <f t="shared" ca="1" si="5"/>
        <v/>
      </c>
      <c r="K15" s="24" t="str">
        <f t="shared" ca="1" si="6"/>
        <v/>
      </c>
      <c r="L15" s="17" t="str">
        <f t="shared" ca="1" si="7"/>
        <v/>
      </c>
      <c r="N15" s="24" t="str">
        <f ca="1">IF(AND(L15=1,L14&lt;&gt;1),MAX($N$8:N14)+1,"")</f>
        <v/>
      </c>
      <c r="O15" s="24" t="str">
        <f ca="1">IF(AND(L15&lt;&gt;1,L14=1),MAX($O$8:O14)+1,"")</f>
        <v/>
      </c>
      <c r="P15" s="17" t="str">
        <f ca="1">IF(AND(L15=-1,L14&lt;&gt;-1),MAX($P$8:P14)+1,"")</f>
        <v/>
      </c>
      <c r="Q15" s="24" t="str">
        <f ca="1">IF(AND(L15&lt;&gt;-1,L14=-1),MAX($Q$8:Q14)+1,"")</f>
        <v/>
      </c>
    </row>
    <row r="16" spans="1:18" x14ac:dyDescent="0.3">
      <c r="A16" s="3">
        <v>40200</v>
      </c>
      <c r="B16" s="9">
        <v>11.171656</v>
      </c>
      <c r="C16" s="9">
        <v>8.2102920000000008</v>
      </c>
      <c r="E16" s="14">
        <f t="shared" si="3"/>
        <v>1.3606892422340156</v>
      </c>
      <c r="F16" s="18" t="str">
        <f t="shared" ca="1" si="0"/>
        <v/>
      </c>
      <c r="G16" s="15" t="str">
        <f t="shared" ca="1" si="1"/>
        <v/>
      </c>
      <c r="H16" s="15" t="str">
        <f t="shared" ca="1" si="2"/>
        <v/>
      </c>
      <c r="J16" s="17" t="str">
        <f t="shared" ca="1" si="5"/>
        <v/>
      </c>
      <c r="K16" s="24" t="str">
        <f t="shared" ca="1" si="6"/>
        <v/>
      </c>
      <c r="L16" s="17" t="str">
        <f t="shared" ca="1" si="7"/>
        <v/>
      </c>
      <c r="N16" s="24" t="str">
        <f ca="1">IF(AND(L16=1,L15&lt;&gt;1),MAX($N$8:N15)+1,"")</f>
        <v/>
      </c>
      <c r="O16" s="24" t="str">
        <f ca="1">IF(AND(L16&lt;&gt;1,L15=1),MAX($O$8:O15)+1,"")</f>
        <v/>
      </c>
      <c r="P16" s="17" t="str">
        <f ca="1">IF(AND(L16=-1,L15&lt;&gt;-1),MAX($P$8:P15)+1,"")</f>
        <v/>
      </c>
      <c r="Q16" s="24" t="str">
        <f ca="1">IF(AND(L16&lt;&gt;-1,L15=-1),MAX($Q$8:Q15)+1,"")</f>
        <v/>
      </c>
    </row>
    <row r="17" spans="1:17" x14ac:dyDescent="0.3">
      <c r="A17" s="3">
        <v>40204</v>
      </c>
      <c r="B17" s="9">
        <v>11.199344999999999</v>
      </c>
      <c r="C17" s="9">
        <v>8.2516169999999995</v>
      </c>
      <c r="E17" s="14">
        <f t="shared" si="3"/>
        <v>1.3572303464884519</v>
      </c>
      <c r="F17" s="18" t="str">
        <f t="shared" ca="1" si="0"/>
        <v/>
      </c>
      <c r="G17" s="15" t="str">
        <f t="shared" ca="1" si="1"/>
        <v/>
      </c>
      <c r="H17" s="15" t="str">
        <f t="shared" ca="1" si="2"/>
        <v/>
      </c>
      <c r="J17" s="17" t="str">
        <f t="shared" ca="1" si="5"/>
        <v/>
      </c>
      <c r="K17" s="24" t="str">
        <f t="shared" ca="1" si="6"/>
        <v/>
      </c>
      <c r="L17" s="17" t="str">
        <f t="shared" ca="1" si="7"/>
        <v/>
      </c>
      <c r="N17" s="24" t="str">
        <f ca="1">IF(AND(L17=1,L16&lt;&gt;1),MAX($N$8:N16)+1,"")</f>
        <v/>
      </c>
      <c r="O17" s="24" t="str">
        <f ca="1">IF(AND(L17&lt;&gt;1,L16=1),MAX($O$8:O16)+1,"")</f>
        <v/>
      </c>
      <c r="P17" s="17" t="str">
        <f ca="1">IF(AND(L17=-1,L16&lt;&gt;-1),MAX($P$8:P16)+1,"")</f>
        <v/>
      </c>
      <c r="Q17" s="24" t="str">
        <f ca="1">IF(AND(L17&lt;&gt;-1,L16=-1),MAX($Q$8:Q16)+1,"")</f>
        <v/>
      </c>
    </row>
    <row r="18" spans="1:17" x14ac:dyDescent="0.3">
      <c r="A18" s="3">
        <v>40205</v>
      </c>
      <c r="B18" s="9">
        <v>11.039137999999999</v>
      </c>
      <c r="C18" s="9">
        <v>8.0681809999999992</v>
      </c>
      <c r="E18" s="14">
        <f t="shared" si="3"/>
        <v>1.3682313274826137</v>
      </c>
      <c r="F18" s="18" t="str">
        <f t="shared" ca="1" si="0"/>
        <v/>
      </c>
      <c r="G18" s="15" t="str">
        <f t="shared" ca="1" si="1"/>
        <v/>
      </c>
      <c r="H18" s="15" t="str">
        <f t="shared" ca="1" si="2"/>
        <v/>
      </c>
      <c r="J18" s="17" t="str">
        <f t="shared" ca="1" si="5"/>
        <v/>
      </c>
      <c r="K18" s="24" t="str">
        <f t="shared" ca="1" si="6"/>
        <v/>
      </c>
      <c r="L18" s="17" t="str">
        <f t="shared" ca="1" si="7"/>
        <v/>
      </c>
      <c r="N18" s="24" t="str">
        <f ca="1">IF(AND(L18=1,L17&lt;&gt;1),MAX($N$8:N17)+1,"")</f>
        <v/>
      </c>
      <c r="O18" s="24" t="str">
        <f ca="1">IF(AND(L18&lt;&gt;1,L17=1),MAX($O$8:O17)+1,"")</f>
        <v/>
      </c>
      <c r="P18" s="17" t="str">
        <f ca="1">IF(AND(L18=-1,L17&lt;&gt;-1),MAX($P$8:P17)+1,"")</f>
        <v/>
      </c>
      <c r="Q18" s="24" t="str">
        <f ca="1">IF(AND(L18&lt;&gt;-1,L17=-1),MAX($Q$8:Q17)+1,"")</f>
        <v/>
      </c>
    </row>
    <row r="19" spans="1:17" x14ac:dyDescent="0.3">
      <c r="A19" s="3">
        <v>40206</v>
      </c>
      <c r="B19" s="9">
        <v>11.368881999999999</v>
      </c>
      <c r="C19" s="9">
        <v>8.2051130000000008</v>
      </c>
      <c r="E19" s="14">
        <f t="shared" si="3"/>
        <v>1.3855850614123166</v>
      </c>
      <c r="F19" s="18" t="str">
        <f t="shared" ca="1" si="0"/>
        <v/>
      </c>
      <c r="G19" s="15" t="str">
        <f t="shared" ca="1" si="1"/>
        <v/>
      </c>
      <c r="H19" s="15" t="str">
        <f t="shared" ca="1" si="2"/>
        <v/>
      </c>
      <c r="J19" s="17" t="str">
        <f t="shared" ca="1" si="5"/>
        <v/>
      </c>
      <c r="K19" s="24" t="str">
        <f t="shared" ca="1" si="6"/>
        <v/>
      </c>
      <c r="L19" s="17" t="str">
        <f t="shared" ca="1" si="7"/>
        <v/>
      </c>
      <c r="N19" s="24" t="str">
        <f ca="1">IF(AND(L19=1,L18&lt;&gt;1),MAX($N$8:N18)+1,"")</f>
        <v/>
      </c>
      <c r="O19" s="24" t="str">
        <f ca="1">IF(AND(L19&lt;&gt;1,L18=1),MAX($O$8:O18)+1,"")</f>
        <v/>
      </c>
      <c r="P19" s="17" t="str">
        <f ca="1">IF(AND(L19=-1,L18&lt;&gt;-1),MAX($P$8:P18)+1,"")</f>
        <v/>
      </c>
      <c r="Q19" s="24" t="str">
        <f ca="1">IF(AND(L19&lt;&gt;-1,L18=-1),MAX($Q$8:Q18)+1,"")</f>
        <v/>
      </c>
    </row>
    <row r="20" spans="1:17" x14ac:dyDescent="0.3">
      <c r="A20" s="3">
        <v>40207</v>
      </c>
      <c r="B20" s="9">
        <v>11.134632</v>
      </c>
      <c r="C20" s="9">
        <v>8.0940530000000006</v>
      </c>
      <c r="E20" s="14">
        <f t="shared" si="3"/>
        <v>1.3756559291123989</v>
      </c>
      <c r="F20" s="18" t="str">
        <f t="shared" ca="1" si="0"/>
        <v/>
      </c>
      <c r="G20" s="15" t="str">
        <f t="shared" ca="1" si="1"/>
        <v/>
      </c>
      <c r="H20" s="15" t="str">
        <f t="shared" ca="1" si="2"/>
        <v/>
      </c>
      <c r="J20" s="17" t="str">
        <f t="shared" ca="1" si="5"/>
        <v/>
      </c>
      <c r="K20" s="24" t="str">
        <f t="shared" ca="1" si="6"/>
        <v/>
      </c>
      <c r="L20" s="17" t="str">
        <f t="shared" ca="1" si="7"/>
        <v/>
      </c>
      <c r="N20" s="24" t="str">
        <f ca="1">IF(AND(L20=1,L19&lt;&gt;1),MAX($N$8:N19)+1,"")</f>
        <v/>
      </c>
      <c r="O20" s="24" t="str">
        <f ca="1">IF(AND(L20&lt;&gt;1,L19=1),MAX($O$8:O19)+1,"")</f>
        <v/>
      </c>
      <c r="P20" s="17" t="str">
        <f ca="1">IF(AND(L20=-1,L19&lt;&gt;-1),MAX($P$8:P19)+1,"")</f>
        <v/>
      </c>
      <c r="Q20" s="24" t="str">
        <f ca="1">IF(AND(L20&lt;&gt;-1,L19=-1),MAX($Q$8:Q19)+1,"")</f>
        <v/>
      </c>
    </row>
    <row r="21" spans="1:17" x14ac:dyDescent="0.3">
      <c r="A21" s="3">
        <v>40210</v>
      </c>
      <c r="B21" s="9">
        <v>11.344250000000001</v>
      </c>
      <c r="C21" s="9">
        <v>8.2309230000000007</v>
      </c>
      <c r="E21" s="14">
        <f t="shared" si="3"/>
        <v>1.378247615729123</v>
      </c>
      <c r="F21" s="18" t="str">
        <f t="shared" ca="1" si="0"/>
        <v/>
      </c>
      <c r="G21" s="15" t="str">
        <f t="shared" ca="1" si="1"/>
        <v/>
      </c>
      <c r="H21" s="15" t="str">
        <f t="shared" ca="1" si="2"/>
        <v/>
      </c>
      <c r="J21" s="17" t="str">
        <f t="shared" ca="1" si="5"/>
        <v/>
      </c>
      <c r="K21" s="24" t="str">
        <f t="shared" ca="1" si="6"/>
        <v/>
      </c>
      <c r="L21" s="17" t="str">
        <f t="shared" ca="1" si="7"/>
        <v/>
      </c>
      <c r="N21" s="24" t="str">
        <f ca="1">IF(AND(L21=1,L20&lt;&gt;1),MAX($N$8:N20)+1,"")</f>
        <v/>
      </c>
      <c r="O21" s="24" t="str">
        <f ca="1">IF(AND(L21&lt;&gt;1,L20=1),MAX($O$8:O20)+1,"")</f>
        <v/>
      </c>
      <c r="P21" s="17" t="str">
        <f ca="1">IF(AND(L21=-1,L20&lt;&gt;-1),MAX($P$8:P20)+1,"")</f>
        <v/>
      </c>
      <c r="Q21" s="24" t="str">
        <f ca="1">IF(AND(L21&lt;&gt;-1,L20=-1),MAX($Q$8:Q20)+1,"")</f>
        <v/>
      </c>
    </row>
    <row r="22" spans="1:17" x14ac:dyDescent="0.3">
      <c r="A22" s="3">
        <v>40211</v>
      </c>
      <c r="B22" s="9">
        <v>11.495244</v>
      </c>
      <c r="C22" s="9">
        <v>8.3664559999999994</v>
      </c>
      <c r="E22" s="14">
        <f t="shared" si="3"/>
        <v>1.3739681413492164</v>
      </c>
      <c r="F22" s="18" t="str">
        <f t="shared" ca="1" si="0"/>
        <v/>
      </c>
      <c r="G22" s="15" t="str">
        <f t="shared" ca="1" si="1"/>
        <v/>
      </c>
      <c r="H22" s="15" t="str">
        <f t="shared" ca="1" si="2"/>
        <v/>
      </c>
      <c r="J22" s="17" t="str">
        <f t="shared" ca="1" si="5"/>
        <v/>
      </c>
      <c r="K22" s="24" t="str">
        <f t="shared" ca="1" si="6"/>
        <v/>
      </c>
      <c r="L22" s="17" t="str">
        <f t="shared" ca="1" si="7"/>
        <v/>
      </c>
      <c r="N22" s="24" t="str">
        <f ca="1">IF(AND(L22=1,L21&lt;&gt;1),MAX($N$8:N21)+1,"")</f>
        <v/>
      </c>
      <c r="O22" s="24" t="str">
        <f ca="1">IF(AND(L22&lt;&gt;1,L21=1),MAX($O$8:O21)+1,"")</f>
        <v/>
      </c>
      <c r="P22" s="17" t="str">
        <f ca="1">IF(AND(L22=-1,L21&lt;&gt;-1),MAX($P$8:P21)+1,"")</f>
        <v/>
      </c>
      <c r="Q22" s="24" t="str">
        <f ca="1">IF(AND(L22&lt;&gt;-1,L21=-1),MAX($Q$8:Q21)+1,"")</f>
        <v/>
      </c>
    </row>
    <row r="23" spans="1:17" x14ac:dyDescent="0.3">
      <c r="A23" s="3">
        <v>40212</v>
      </c>
      <c r="B23" s="9">
        <v>11.445904000000001</v>
      </c>
      <c r="C23" s="9">
        <v>8.3147219999999997</v>
      </c>
      <c r="E23" s="14">
        <f t="shared" si="3"/>
        <v>1.376582885152384</v>
      </c>
      <c r="F23" s="18">
        <f ca="1">IF(ISNUMBER(G23),(E23-G23)/H23,"")</f>
        <v>1.2141781485284826</v>
      </c>
      <c r="G23" s="15">
        <f t="shared" ca="1" si="1"/>
        <v>1.3019580700227802</v>
      </c>
      <c r="H23" s="15">
        <f t="shared" ca="1" si="2"/>
        <v>6.1461174556670307E-2</v>
      </c>
      <c r="J23" s="17">
        <f t="shared" ca="1" si="5"/>
        <v>1</v>
      </c>
      <c r="K23" s="24">
        <f t="shared" ca="1" si="6"/>
        <v>0</v>
      </c>
      <c r="L23" s="17">
        <f t="shared" ca="1" si="7"/>
        <v>1</v>
      </c>
      <c r="N23" s="24">
        <f ca="1">IF(AND(L23=1,L22&lt;&gt;1),MAX($N$8:N22)+1,"")</f>
        <v>1</v>
      </c>
      <c r="O23" s="24" t="str">
        <f ca="1">IF(AND(L23&lt;&gt;1,L22=1),MAX($O$8:O22)+1,"")</f>
        <v/>
      </c>
      <c r="P23" s="17" t="str">
        <f ca="1">IF(AND(L23=-1,L22&lt;&gt;-1),MAX($P$8:P22)+1,"")</f>
        <v/>
      </c>
      <c r="Q23" s="24" t="str">
        <f ca="1">IF(AND(L23&lt;&gt;-1,L22=-1),MAX($Q$8:Q22)+1,"")</f>
        <v/>
      </c>
    </row>
    <row r="24" spans="1:17" x14ac:dyDescent="0.3">
      <c r="A24" s="3">
        <v>40213</v>
      </c>
      <c r="B24" s="9">
        <v>11.005235000000001</v>
      </c>
      <c r="C24" s="9">
        <v>8.0689980000000006</v>
      </c>
      <c r="E24" s="14">
        <f t="shared" si="3"/>
        <v>1.3638911547629582</v>
      </c>
      <c r="F24" s="18">
        <f t="shared" ca="1" si="0"/>
        <v>0.92511424227170991</v>
      </c>
      <c r="G24" s="15">
        <f t="shared" ca="1" si="1"/>
        <v>1.306197834506281</v>
      </c>
      <c r="H24" s="15">
        <f t="shared" ca="1" si="2"/>
        <v>6.2363454825866145E-2</v>
      </c>
      <c r="J24" s="17">
        <f t="shared" ca="1" si="5"/>
        <v>1</v>
      </c>
      <c r="K24" s="24">
        <f t="shared" ca="1" si="6"/>
        <v>0</v>
      </c>
      <c r="L24" s="17">
        <f t="shared" ca="1" si="7"/>
        <v>1</v>
      </c>
      <c r="N24" s="24" t="str">
        <f ca="1">IF(AND(L24=1,L23&lt;&gt;1),MAX($N$8:N23)+1,"")</f>
        <v/>
      </c>
      <c r="O24" s="24" t="str">
        <f ca="1">IF(AND(L24&lt;&gt;1,L23=1),MAX($O$8:O23)+1,"")</f>
        <v/>
      </c>
      <c r="P24" s="17" t="str">
        <f ca="1">IF(AND(L24=-1,L23&lt;&gt;-1),MAX($P$8:P23)+1,"")</f>
        <v/>
      </c>
      <c r="Q24" s="24" t="str">
        <f ca="1">IF(AND(L24&lt;&gt;-1,L23=-1),MAX($Q$8:Q23)+1,"")</f>
        <v/>
      </c>
    </row>
    <row r="25" spans="1:17" x14ac:dyDescent="0.3">
      <c r="A25" s="3">
        <v>40214</v>
      </c>
      <c r="B25" s="9">
        <v>10.72476</v>
      </c>
      <c r="C25" s="9">
        <v>7.7716029999999998</v>
      </c>
      <c r="E25" s="14">
        <f t="shared" si="3"/>
        <v>1.379993290959407</v>
      </c>
      <c r="F25" s="18">
        <f t="shared" ca="1" si="0"/>
        <v>1.0851709141579957</v>
      </c>
      <c r="G25" s="15">
        <f t="shared" ca="1" si="1"/>
        <v>1.3105379356501055</v>
      </c>
      <c r="H25" s="15">
        <f t="shared" ca="1" si="2"/>
        <v>6.4004070145202221E-2</v>
      </c>
      <c r="J25" s="17">
        <f t="shared" ca="1" si="5"/>
        <v>1</v>
      </c>
      <c r="K25" s="24">
        <f t="shared" ca="1" si="6"/>
        <v>0</v>
      </c>
      <c r="L25" s="17">
        <f t="shared" ca="1" si="7"/>
        <v>1</v>
      </c>
      <c r="N25" s="24" t="str">
        <f ca="1">IF(AND(L25=1,L24&lt;&gt;1),MAX($N$8:N24)+1,"")</f>
        <v/>
      </c>
      <c r="O25" s="24" t="str">
        <f ca="1">IF(AND(L25&lt;&gt;1,L24=1),MAX($O$8:O24)+1,"")</f>
        <v/>
      </c>
      <c r="P25" s="17" t="str">
        <f ca="1">IF(AND(L25=-1,L24&lt;&gt;-1),MAX($P$8:P24)+1,"")</f>
        <v/>
      </c>
      <c r="Q25" s="24" t="str">
        <f ca="1">IF(AND(L25&lt;&gt;-1,L24=-1),MAX($Q$8:Q24)+1,"")</f>
        <v/>
      </c>
    </row>
    <row r="26" spans="1:17" x14ac:dyDescent="0.3">
      <c r="A26" s="3">
        <v>40217</v>
      </c>
      <c r="B26" s="9">
        <v>10.693962000000001</v>
      </c>
      <c r="C26" s="9">
        <v>7.7586539999999999</v>
      </c>
      <c r="E26" s="14">
        <f t="shared" si="3"/>
        <v>1.3783269623829082</v>
      </c>
      <c r="F26" s="18">
        <f t="shared" ca="1" si="0"/>
        <v>0.97336613198762367</v>
      </c>
      <c r="G26" s="15">
        <f t="shared" ca="1" si="1"/>
        <v>1.3148411090616721</v>
      </c>
      <c r="H26" s="15">
        <f t="shared" ca="1" si="2"/>
        <v>6.522299393302021E-2</v>
      </c>
      <c r="J26" s="17">
        <f t="shared" ca="1" si="5"/>
        <v>1</v>
      </c>
      <c r="K26" s="24">
        <f t="shared" ca="1" si="6"/>
        <v>0</v>
      </c>
      <c r="L26" s="17">
        <f t="shared" ca="1" si="7"/>
        <v>1</v>
      </c>
      <c r="N26" s="24" t="str">
        <f ca="1">IF(AND(L26=1,L25&lt;&gt;1),MAX($N$8:N25)+1,"")</f>
        <v/>
      </c>
      <c r="O26" s="24" t="str">
        <f ca="1">IF(AND(L26&lt;&gt;1,L25=1),MAX($O$8:O25)+1,"")</f>
        <v/>
      </c>
      <c r="P26" s="17" t="str">
        <f ca="1">IF(AND(L26=-1,L25&lt;&gt;-1),MAX($P$8:P25)+1,"")</f>
        <v/>
      </c>
      <c r="Q26" s="24" t="str">
        <f ca="1">IF(AND(L26&lt;&gt;-1,L25=-1),MAX($Q$8:Q25)+1,"")</f>
        <v/>
      </c>
    </row>
    <row r="27" spans="1:17" x14ac:dyDescent="0.3">
      <c r="A27" s="3">
        <v>40218</v>
      </c>
      <c r="B27" s="9">
        <v>11.171656</v>
      </c>
      <c r="C27" s="9">
        <v>8.0224419999999999</v>
      </c>
      <c r="E27" s="14">
        <f t="shared" si="3"/>
        <v>1.3925505475764113</v>
      </c>
      <c r="F27" s="18">
        <f t="shared" ca="1" si="0"/>
        <v>1.0873440530923677</v>
      </c>
      <c r="G27" s="15">
        <f t="shared" ca="1" si="1"/>
        <v>1.3202329368403871</v>
      </c>
      <c r="H27" s="15">
        <f t="shared" ca="1" si="2"/>
        <v>6.6508489682134603E-2</v>
      </c>
      <c r="J27" s="17">
        <f t="shared" ca="1" si="5"/>
        <v>1</v>
      </c>
      <c r="K27" s="24">
        <f t="shared" ca="1" si="6"/>
        <v>0</v>
      </c>
      <c r="L27" s="17">
        <f t="shared" ca="1" si="7"/>
        <v>1</v>
      </c>
      <c r="N27" s="24" t="str">
        <f ca="1">IF(AND(L27=1,L26&lt;&gt;1),MAX($N$8:N26)+1,"")</f>
        <v/>
      </c>
      <c r="O27" s="24" t="str">
        <f ca="1">IF(AND(L27&lt;&gt;1,L26=1),MAX($O$8:O26)+1,"")</f>
        <v/>
      </c>
      <c r="P27" s="17" t="str">
        <f ca="1">IF(AND(L27=-1,L26&lt;&gt;-1),MAX($P$8:P26)+1,"")</f>
        <v/>
      </c>
      <c r="Q27" s="24" t="str">
        <f ca="1">IF(AND(L27&lt;&gt;-1,L26=-1),MAX($Q$8:Q26)+1,"")</f>
        <v/>
      </c>
    </row>
    <row r="28" spans="1:17" x14ac:dyDescent="0.3">
      <c r="A28" s="3">
        <v>40219</v>
      </c>
      <c r="B28" s="9">
        <v>11.233254000000001</v>
      </c>
      <c r="C28" s="9">
        <v>8.1207349999999998</v>
      </c>
      <c r="E28" s="14">
        <f t="shared" si="3"/>
        <v>1.3832804542938539</v>
      </c>
      <c r="F28" s="18">
        <f t="shared" ca="1" si="0"/>
        <v>0.86492506183485041</v>
      </c>
      <c r="G28" s="15">
        <f t="shared" ca="1" si="1"/>
        <v>1.3260186842781401</v>
      </c>
      <c r="H28" s="15">
        <f t="shared" ca="1" si="2"/>
        <v>6.620431357861091E-2</v>
      </c>
      <c r="J28" s="17">
        <f t="shared" ca="1" si="5"/>
        <v>1</v>
      </c>
      <c r="K28" s="24">
        <f t="shared" ca="1" si="6"/>
        <v>0</v>
      </c>
      <c r="L28" s="17">
        <f t="shared" ca="1" si="7"/>
        <v>1</v>
      </c>
      <c r="N28" s="24" t="str">
        <f ca="1">IF(AND(L28=1,L27&lt;&gt;1),MAX($N$8:N27)+1,"")</f>
        <v/>
      </c>
      <c r="O28" s="24" t="str">
        <f ca="1">IF(AND(L28&lt;&gt;1,L27=1),MAX($O$8:O27)+1,"")</f>
        <v/>
      </c>
      <c r="P28" s="17" t="str">
        <f ca="1">IF(AND(L28=-1,L27&lt;&gt;-1),MAX($P$8:P27)+1,"")</f>
        <v/>
      </c>
      <c r="Q28" s="24" t="str">
        <f ca="1">IF(AND(L28&lt;&gt;-1,L27=-1),MAX($Q$8:Q27)+1,"")</f>
        <v/>
      </c>
    </row>
    <row r="29" spans="1:17" x14ac:dyDescent="0.3">
      <c r="A29" s="3">
        <v>40220</v>
      </c>
      <c r="B29" s="9">
        <v>11.430538</v>
      </c>
      <c r="C29" s="9">
        <v>8.1776529999999994</v>
      </c>
      <c r="E29" s="14">
        <f t="shared" si="3"/>
        <v>1.3977773329340339</v>
      </c>
      <c r="F29" s="18">
        <f t="shared" ca="1" si="0"/>
        <v>0.99204821455115066</v>
      </c>
      <c r="G29" s="15">
        <f t="shared" ca="1" si="1"/>
        <v>1.33300690442631</v>
      </c>
      <c r="H29" s="15">
        <f t="shared" ca="1" si="2"/>
        <v>6.5289597378116501E-2</v>
      </c>
      <c r="J29" s="17">
        <f t="shared" ca="1" si="5"/>
        <v>1</v>
      </c>
      <c r="K29" s="24">
        <f t="shared" ca="1" si="6"/>
        <v>0</v>
      </c>
      <c r="L29" s="17">
        <f t="shared" ca="1" si="7"/>
        <v>1</v>
      </c>
      <c r="N29" s="24" t="str">
        <f ca="1">IF(AND(L29=1,L28&lt;&gt;1),MAX($N$8:N28)+1,"")</f>
        <v/>
      </c>
      <c r="O29" s="24" t="str">
        <f ca="1">IF(AND(L29&lt;&gt;1,L28=1),MAX($O$8:O28)+1,"")</f>
        <v/>
      </c>
      <c r="P29" s="17" t="str">
        <f ca="1">IF(AND(L29=-1,L28&lt;&gt;-1),MAX($P$8:P28)+1,"")</f>
        <v/>
      </c>
      <c r="Q29" s="24" t="str">
        <f ca="1">IF(AND(L29&lt;&gt;-1,L28=-1),MAX($Q$8:Q28)+1,"")</f>
        <v/>
      </c>
    </row>
    <row r="30" spans="1:17" x14ac:dyDescent="0.3">
      <c r="A30" s="3">
        <v>40221</v>
      </c>
      <c r="B30" s="9">
        <v>11.427422999999999</v>
      </c>
      <c r="C30" s="9">
        <v>8.1750570000000007</v>
      </c>
      <c r="E30" s="14">
        <f t="shared" si="3"/>
        <v>1.3978401618484126</v>
      </c>
      <c r="F30" s="18">
        <f t="shared" ca="1" si="0"/>
        <v>0.91498196285674827</v>
      </c>
      <c r="G30" s="15">
        <f t="shared" ca="1" si="1"/>
        <v>1.3406897488396992</v>
      </c>
      <c r="H30" s="15">
        <f t="shared" ca="1" si="2"/>
        <v>6.2460699039660839E-2</v>
      </c>
      <c r="J30" s="17">
        <f t="shared" ca="1" si="5"/>
        <v>1</v>
      </c>
      <c r="K30" s="24">
        <f t="shared" ca="1" si="6"/>
        <v>0</v>
      </c>
      <c r="L30" s="17">
        <f t="shared" ca="1" si="7"/>
        <v>1</v>
      </c>
      <c r="N30" s="24" t="str">
        <f ca="1">IF(AND(L30=1,L29&lt;&gt;1),MAX($N$8:N29)+1,"")</f>
        <v/>
      </c>
      <c r="O30" s="24" t="str">
        <f ca="1">IF(AND(L30&lt;&gt;1,L29=1),MAX($O$8:O29)+1,"")</f>
        <v/>
      </c>
      <c r="P30" s="17" t="str">
        <f ca="1">IF(AND(L30=-1,L29&lt;&gt;-1),MAX($P$8:P29)+1,"")</f>
        <v/>
      </c>
      <c r="Q30" s="24" t="str">
        <f ca="1">IF(AND(L30&lt;&gt;-1,L29=-1),MAX($Q$8:Q29)+1,"")</f>
        <v/>
      </c>
    </row>
    <row r="31" spans="1:17" x14ac:dyDescent="0.3">
      <c r="A31" s="3">
        <v>40226</v>
      </c>
      <c r="B31" s="9">
        <v>11.673994</v>
      </c>
      <c r="C31" s="9">
        <v>8.4052430000000005</v>
      </c>
      <c r="E31" s="14">
        <f t="shared" si="3"/>
        <v>1.3888942889574996</v>
      </c>
      <c r="F31" s="18">
        <f t="shared" ca="1" si="0"/>
        <v>0.70444602281498514</v>
      </c>
      <c r="G31" s="15">
        <f t="shared" ref="G31:G94" ca="1" si="8">IF(ISNUMBER(E31),IF(ROW(E31)&gt;$J$1,AVERAGE(OFFSET(E31,0,0,-$J$1)),""),"")</f>
        <v>1.3480905284345137</v>
      </c>
      <c r="H31" s="15">
        <f t="shared" ref="H31:H94" ca="1" si="9">IF(ISNUMBER(E31),IF(ROW(E31)&gt;$J$1,_xlfn.STDEV.P(OFFSET(E31,0,0,-$J$1)),""),"")</f>
        <v>5.7923189572329364E-2</v>
      </c>
      <c r="J31" s="17">
        <f t="shared" ca="1" si="5"/>
        <v>1</v>
      </c>
      <c r="K31" s="24">
        <f t="shared" ca="1" si="6"/>
        <v>0</v>
      </c>
      <c r="L31" s="17">
        <f t="shared" ca="1" si="7"/>
        <v>1</v>
      </c>
      <c r="N31" s="24" t="str">
        <f ca="1">IF(AND(L31=1,L30&lt;&gt;1),MAX($N$8:N30)+1,"")</f>
        <v/>
      </c>
      <c r="O31" s="24" t="str">
        <f ca="1">IF(AND(L31&lt;&gt;1,L30=1),MAX($O$8:O30)+1,"")</f>
        <v/>
      </c>
      <c r="P31" s="17" t="str">
        <f ca="1">IF(AND(L31=-1,L30&lt;&gt;-1),MAX($P$8:P30)+1,"")</f>
        <v/>
      </c>
      <c r="Q31" s="24" t="str">
        <f ca="1">IF(AND(L31&lt;&gt;-1,L30=-1),MAX($Q$8:Q30)+1,"")</f>
        <v/>
      </c>
    </row>
    <row r="32" spans="1:17" x14ac:dyDescent="0.3">
      <c r="A32" s="3">
        <v>40227</v>
      </c>
      <c r="B32" s="9">
        <v>11.710951</v>
      </c>
      <c r="C32" s="9">
        <v>8.3535079999999997</v>
      </c>
      <c r="E32" s="14">
        <f t="shared" si="3"/>
        <v>1.4019201274482529</v>
      </c>
      <c r="F32" s="18">
        <f t="shared" ca="1" si="0"/>
        <v>0.86603525925946334</v>
      </c>
      <c r="G32" s="15">
        <f t="shared" ca="1" si="8"/>
        <v>1.3556507900607797</v>
      </c>
      <c r="H32" s="15">
        <f t="shared" ca="1" si="9"/>
        <v>5.3426620790286941E-2</v>
      </c>
      <c r="J32" s="17">
        <f t="shared" ca="1" si="5"/>
        <v>1</v>
      </c>
      <c r="K32" s="24">
        <f t="shared" ca="1" si="6"/>
        <v>0</v>
      </c>
      <c r="L32" s="17">
        <f t="shared" ca="1" si="7"/>
        <v>1</v>
      </c>
      <c r="N32" s="24" t="str">
        <f ca="1">IF(AND(L32=1,L31&lt;&gt;1),MAX($N$8:N31)+1,"")</f>
        <v/>
      </c>
      <c r="O32" s="24" t="str">
        <f ca="1">IF(AND(L32&lt;&gt;1,L31=1),MAX($O$8:O31)+1,"")</f>
        <v/>
      </c>
      <c r="P32" s="17" t="str">
        <f ca="1">IF(AND(L32=-1,L31&lt;&gt;-1),MAX($P$8:P31)+1,"")</f>
        <v/>
      </c>
      <c r="Q32" s="24" t="str">
        <f ca="1">IF(AND(L32&lt;&gt;-1,L31=-1),MAX($Q$8:Q31)+1,"")</f>
        <v/>
      </c>
    </row>
    <row r="33" spans="1:17" x14ac:dyDescent="0.3">
      <c r="A33" s="3">
        <v>40228</v>
      </c>
      <c r="B33" s="9">
        <v>11.526044000000001</v>
      </c>
      <c r="C33" s="9">
        <v>8.2733439999999998</v>
      </c>
      <c r="E33" s="14">
        <f t="shared" si="3"/>
        <v>1.3931542070533995</v>
      </c>
      <c r="F33" s="18">
        <f t="shared" ca="1" si="0"/>
        <v>0.64768470379623588</v>
      </c>
      <c r="G33" s="15">
        <f t="shared" ca="1" si="8"/>
        <v>1.3629649270592419</v>
      </c>
      <c r="H33" s="15">
        <f t="shared" ca="1" si="9"/>
        <v>4.6611074520072848E-2</v>
      </c>
      <c r="J33" s="17">
        <f t="shared" ca="1" si="5"/>
        <v>1</v>
      </c>
      <c r="K33" s="24">
        <f t="shared" ca="1" si="6"/>
        <v>0</v>
      </c>
      <c r="L33" s="17">
        <f t="shared" ca="1" si="7"/>
        <v>1</v>
      </c>
      <c r="N33" s="24" t="str">
        <f ca="1">IF(AND(L33=1,L32&lt;&gt;1),MAX($N$8:N32)+1,"")</f>
        <v/>
      </c>
      <c r="O33" s="24" t="str">
        <f ca="1">IF(AND(L33&lt;&gt;1,L32=1),MAX($O$8:O32)+1,"")</f>
        <v/>
      </c>
      <c r="P33" s="17" t="str">
        <f ca="1">IF(AND(L33=-1,L32&lt;&gt;-1),MAX($P$8:P32)+1,"")</f>
        <v/>
      </c>
      <c r="Q33" s="24" t="str">
        <f ca="1">IF(AND(L33&lt;&gt;-1,L32=-1),MAX($Q$8:Q32)+1,"")</f>
        <v/>
      </c>
    </row>
    <row r="34" spans="1:17" x14ac:dyDescent="0.3">
      <c r="A34" s="3">
        <v>40231</v>
      </c>
      <c r="B34" s="9">
        <v>11.285634999999999</v>
      </c>
      <c r="C34" s="9">
        <v>8.185416</v>
      </c>
      <c r="D34" s="36"/>
      <c r="E34" s="14">
        <f t="shared" si="3"/>
        <v>1.37874910694826</v>
      </c>
      <c r="F34" s="18">
        <f t="shared" ca="1" si="0"/>
        <v>0.24717257945750934</v>
      </c>
      <c r="G34" s="15">
        <f t="shared" ca="1" si="8"/>
        <v>1.3696249258917261</v>
      </c>
      <c r="H34" s="15">
        <f t="shared" ca="1" si="9"/>
        <v>3.6914212234057324E-2</v>
      </c>
      <c r="J34" s="17">
        <f t="shared" ca="1" si="5"/>
        <v>1</v>
      </c>
      <c r="K34" s="24">
        <f t="shared" ca="1" si="6"/>
        <v>0</v>
      </c>
      <c r="L34" s="17">
        <f t="shared" ca="1" si="7"/>
        <v>1</v>
      </c>
      <c r="N34" s="24" t="str">
        <f ca="1">IF(AND(L34=1,L33&lt;&gt;1),MAX($N$8:N33)+1,"")</f>
        <v/>
      </c>
      <c r="O34" s="24" t="str">
        <f ca="1">IF(AND(L34&lt;&gt;1,L33=1),MAX($O$8:O33)+1,"")</f>
        <v/>
      </c>
      <c r="P34" s="17" t="str">
        <f ca="1">IF(AND(L34=-1,L33&lt;&gt;-1),MAX($P$8:P33)+1,"")</f>
        <v/>
      </c>
      <c r="Q34" s="24" t="str">
        <f ca="1">IF(AND(L34&lt;&gt;-1,L33=-1),MAX($Q$8:Q33)+1,"")</f>
        <v/>
      </c>
    </row>
    <row r="35" spans="1:17" x14ac:dyDescent="0.3">
      <c r="A35" s="3">
        <v>40232</v>
      </c>
      <c r="B35" s="9">
        <v>11.09768</v>
      </c>
      <c r="C35" s="9">
        <v>8.0172640000000008</v>
      </c>
      <c r="E35" s="14">
        <f t="shared" si="3"/>
        <v>1.3842228470959668</v>
      </c>
      <c r="F35" s="18">
        <f t="shared" ca="1" si="0"/>
        <v>0.42919238996193526</v>
      </c>
      <c r="G35" s="15">
        <f t="shared" ca="1" si="8"/>
        <v>1.3771847217389566</v>
      </c>
      <c r="H35" s="15">
        <f t="shared" ca="1" si="9"/>
        <v>1.6398532503417433E-2</v>
      </c>
      <c r="J35" s="17">
        <f t="shared" ca="1" si="5"/>
        <v>1</v>
      </c>
      <c r="K35" s="24">
        <f t="shared" ca="1" si="6"/>
        <v>0</v>
      </c>
      <c r="L35" s="17">
        <f t="shared" ca="1" si="7"/>
        <v>1</v>
      </c>
      <c r="N35" s="24" t="str">
        <f ca="1">IF(AND(L35=1,L34&lt;&gt;1),MAX($N$8:N34)+1,"")</f>
        <v/>
      </c>
      <c r="O35" s="24" t="str">
        <f ca="1">IF(AND(L35&lt;&gt;1,L34=1),MAX($O$8:O34)+1,"")</f>
        <v/>
      </c>
      <c r="P35" s="17" t="str">
        <f ca="1">IF(AND(L35=-1,L34&lt;&gt;-1),MAX($P$8:P34)+1,"")</f>
        <v/>
      </c>
      <c r="Q35" s="24" t="str">
        <f ca="1">IF(AND(L35&lt;&gt;-1,L34=-1),MAX($Q$8:Q34)+1,"")</f>
        <v/>
      </c>
    </row>
    <row r="36" spans="1:17" x14ac:dyDescent="0.3">
      <c r="A36" s="3">
        <v>40233</v>
      </c>
      <c r="B36" s="9">
        <v>10.974368</v>
      </c>
      <c r="C36" s="9">
        <v>11.603560999999999</v>
      </c>
      <c r="E36" s="14">
        <f t="shared" si="3"/>
        <v>0.94577587001093899</v>
      </c>
      <c r="F36" s="18">
        <f t="shared" ca="1" si="0"/>
        <v>-4.5306006978507387</v>
      </c>
      <c r="G36" s="15">
        <f t="shared" ca="1" si="8"/>
        <v>1.3594484521747305</v>
      </c>
      <c r="H36" s="15">
        <f t="shared" ca="1" si="9"/>
        <v>9.1306343187567321E-2</v>
      </c>
      <c r="J36" s="17">
        <f t="shared" ca="1" si="5"/>
        <v>0</v>
      </c>
      <c r="K36" s="24">
        <f t="shared" ca="1" si="6"/>
        <v>-1</v>
      </c>
      <c r="L36" s="17">
        <f t="shared" ca="1" si="7"/>
        <v>-1</v>
      </c>
      <c r="N36" s="24" t="str">
        <f ca="1">IF(AND(L36=1,L35&lt;&gt;1),MAX($N$8:N35)+1,"")</f>
        <v/>
      </c>
      <c r="O36" s="24">
        <f ca="1">IF(AND(L36&lt;&gt;1,L35=1),MAX($O$8:O35)+1,"")</f>
        <v>1</v>
      </c>
      <c r="P36" s="17">
        <f ca="1">IF(AND(L36=-1,L35&lt;&gt;-1),MAX($P$8:P35)+1,"")</f>
        <v>1</v>
      </c>
      <c r="Q36" s="24" t="str">
        <f ca="1">IF(AND(L36&lt;&gt;-1,L35=-1),MAX($Q$8:Q35)+1,"")</f>
        <v/>
      </c>
    </row>
    <row r="37" spans="1:17" x14ac:dyDescent="0.3">
      <c r="A37" s="3">
        <v>40234</v>
      </c>
      <c r="B37" s="9">
        <v>10.971321</v>
      </c>
      <c r="C37" s="9">
        <v>11.584766999999999</v>
      </c>
      <c r="E37" s="14">
        <f t="shared" si="3"/>
        <v>0.94704718705175517</v>
      </c>
      <c r="F37" s="18">
        <f t="shared" ca="1" si="0"/>
        <v>-3.1437731213153297</v>
      </c>
      <c r="G37" s="15">
        <f t="shared" ca="1" si="8"/>
        <v>1.3413460949220262</v>
      </c>
      <c r="H37" s="15">
        <f t="shared" ca="1" si="9"/>
        <v>0.12542218940573532</v>
      </c>
      <c r="J37" s="17">
        <f t="shared" ca="1" si="5"/>
        <v>0</v>
      </c>
      <c r="K37" s="24">
        <f t="shared" ca="1" si="6"/>
        <v>-1</v>
      </c>
      <c r="L37" s="17">
        <f t="shared" ca="1" si="7"/>
        <v>-1</v>
      </c>
      <c r="N37" s="24" t="str">
        <f ca="1">IF(AND(L37=1,L36&lt;&gt;1),MAX($N$8:N36)+1,"")</f>
        <v/>
      </c>
      <c r="O37" s="24" t="str">
        <f ca="1">IF(AND(L37&lt;&gt;1,L36=1),MAX($O$8:O36)+1,"")</f>
        <v/>
      </c>
      <c r="P37" s="17" t="str">
        <f ca="1">IF(AND(L37=-1,L36&lt;&gt;-1),MAX($P$8:P36)+1,"")</f>
        <v/>
      </c>
      <c r="Q37" s="24" t="str">
        <f ca="1">IF(AND(L37&lt;&gt;-1,L36=-1),MAX($Q$8:Q36)+1,"")</f>
        <v/>
      </c>
    </row>
    <row r="38" spans="1:17" x14ac:dyDescent="0.3">
      <c r="A38" s="3">
        <v>40235</v>
      </c>
      <c r="B38" s="9">
        <v>11.248685</v>
      </c>
      <c r="C38" s="9">
        <v>11.697463000000001</v>
      </c>
      <c r="D38" s="36"/>
      <c r="E38" s="14">
        <f t="shared" si="3"/>
        <v>0.96163458691854797</v>
      </c>
      <c r="F38" s="18">
        <f t="shared" ca="1" si="0"/>
        <v>-2.4411437794152988</v>
      </c>
      <c r="G38" s="15">
        <f t="shared" ca="1" si="8"/>
        <v>1.3232072469531413</v>
      </c>
      <c r="H38" s="15">
        <f t="shared" ca="1" si="9"/>
        <v>0.14811608520707328</v>
      </c>
      <c r="J38" s="17">
        <f t="shared" ca="1" si="5"/>
        <v>0</v>
      </c>
      <c r="K38" s="24">
        <f t="shared" ca="1" si="6"/>
        <v>-1</v>
      </c>
      <c r="L38" s="17">
        <f t="shared" ca="1" si="7"/>
        <v>-1</v>
      </c>
      <c r="N38" s="24" t="str">
        <f ca="1">IF(AND(L38=1,L37&lt;&gt;1),MAX($N$8:N37)+1,"")</f>
        <v/>
      </c>
      <c r="O38" s="24" t="str">
        <f ca="1">IF(AND(L38&lt;&gt;1,L37=1),MAX($O$8:O37)+1,"")</f>
        <v/>
      </c>
      <c r="P38" s="17" t="str">
        <f ca="1">IF(AND(L38=-1,L37&lt;&gt;-1),MAX($P$8:P37)+1,"")</f>
        <v/>
      </c>
      <c r="Q38" s="24" t="str">
        <f ca="1">IF(AND(L38&lt;&gt;-1,L37=-1),MAX($Q$8:Q37)+1,"")</f>
        <v/>
      </c>
    </row>
    <row r="39" spans="1:17" x14ac:dyDescent="0.3">
      <c r="A39" s="3">
        <v>40238</v>
      </c>
      <c r="B39" s="9">
        <v>11.267156999999999</v>
      </c>
      <c r="C39" s="9">
        <v>11.828863999999999</v>
      </c>
      <c r="E39" s="14">
        <f t="shared" si="3"/>
        <v>0.95251386777293234</v>
      </c>
      <c r="F39" s="18">
        <f t="shared" ca="1" si="0"/>
        <v>-2.1131885512954356</v>
      </c>
      <c r="G39" s="15">
        <f t="shared" ca="1" si="8"/>
        <v>1.3048110433751632</v>
      </c>
      <c r="H39" s="15">
        <f t="shared" ca="1" si="9"/>
        <v>0.16671355491977474</v>
      </c>
      <c r="J39" s="17">
        <f t="shared" ca="1" si="5"/>
        <v>0</v>
      </c>
      <c r="K39" s="24">
        <f t="shared" ca="1" si="6"/>
        <v>-1</v>
      </c>
      <c r="L39" s="17">
        <f t="shared" ca="1" si="7"/>
        <v>-1</v>
      </c>
      <c r="N39" s="24" t="str">
        <f ca="1">IF(AND(L39=1,L38&lt;&gt;1),MAX($N$8:N38)+1,"")</f>
        <v/>
      </c>
      <c r="O39" s="24" t="str">
        <f ca="1">IF(AND(L39&lt;&gt;1,L38=1),MAX($O$8:O38)+1,"")</f>
        <v/>
      </c>
      <c r="P39" s="17" t="str">
        <f ca="1">IF(AND(L39=-1,L38&lt;&gt;-1),MAX($P$8:P38)+1,"")</f>
        <v/>
      </c>
      <c r="Q39" s="24" t="str">
        <f ca="1">IF(AND(L39&lt;&gt;-1,L38=-1),MAX($Q$8:Q38)+1,"")</f>
        <v/>
      </c>
    </row>
    <row r="40" spans="1:17" x14ac:dyDescent="0.3">
      <c r="A40" s="3">
        <v>40239</v>
      </c>
      <c r="B40" s="9">
        <v>11.449018000000001</v>
      </c>
      <c r="C40" s="9">
        <v>11.969139</v>
      </c>
      <c r="E40" s="14">
        <f t="shared" si="3"/>
        <v>0.95654482749343961</v>
      </c>
      <c r="F40" s="18">
        <f t="shared" ca="1" si="0"/>
        <v>-1.820386938996325</v>
      </c>
      <c r="G40" s="15">
        <f t="shared" ca="1" si="8"/>
        <v>1.2860980206483825</v>
      </c>
      <c r="H40" s="15">
        <f t="shared" ca="1" si="9"/>
        <v>0.18103469438021946</v>
      </c>
      <c r="J40" s="17">
        <f t="shared" ca="1" si="5"/>
        <v>0</v>
      </c>
      <c r="K40" s="24">
        <f t="shared" ca="1" si="6"/>
        <v>-1</v>
      </c>
      <c r="L40" s="17">
        <f t="shared" ca="1" si="7"/>
        <v>-1</v>
      </c>
      <c r="N40" s="24" t="str">
        <f ca="1">IF(AND(L40=1,L39&lt;&gt;1),MAX($N$8:N39)+1,"")</f>
        <v/>
      </c>
      <c r="O40" s="24" t="str">
        <f ca="1">IF(AND(L40&lt;&gt;1,L39=1),MAX($O$8:O39)+1,"")</f>
        <v/>
      </c>
      <c r="P40" s="17" t="str">
        <f ca="1">IF(AND(L40=-1,L39&lt;&gt;-1),MAX($P$8:P39)+1,"")</f>
        <v/>
      </c>
      <c r="Q40" s="24" t="str">
        <f ca="1">IF(AND(L40&lt;&gt;-1,L39=-1),MAX($Q$8:Q39)+1,"")</f>
        <v/>
      </c>
    </row>
    <row r="41" spans="1:17" x14ac:dyDescent="0.3">
      <c r="A41" s="3">
        <v>40240</v>
      </c>
      <c r="B41" s="9">
        <v>11.449018000000001</v>
      </c>
      <c r="C41" s="9">
        <v>11.950395</v>
      </c>
      <c r="E41" s="14">
        <f t="shared" si="3"/>
        <v>0.95804515248240751</v>
      </c>
      <c r="F41" s="18">
        <f t="shared" ca="1" si="0"/>
        <v>-1.6079642622484698</v>
      </c>
      <c r="G41" s="15">
        <f t="shared" ca="1" si="8"/>
        <v>1.2666643884242956</v>
      </c>
      <c r="H41" s="15">
        <f t="shared" ca="1" si="9"/>
        <v>0.19193165121116287</v>
      </c>
      <c r="J41" s="17">
        <f t="shared" ca="1" si="5"/>
        <v>0</v>
      </c>
      <c r="K41" s="24">
        <f t="shared" ca="1" si="6"/>
        <v>-1</v>
      </c>
      <c r="L41" s="17">
        <f t="shared" ca="1" si="7"/>
        <v>-1</v>
      </c>
      <c r="N41" s="24" t="str">
        <f ca="1">IF(AND(L41=1,L40&lt;&gt;1),MAX($N$8:N40)+1,"")</f>
        <v/>
      </c>
      <c r="O41" s="24" t="str">
        <f ca="1">IF(AND(L41&lt;&gt;1,L40=1),MAX($O$8:O40)+1,"")</f>
        <v/>
      </c>
      <c r="P41" s="17" t="str">
        <f ca="1">IF(AND(L41=-1,L40&lt;&gt;-1),MAX($P$8:P40)+1,"")</f>
        <v/>
      </c>
      <c r="Q41" s="24" t="str">
        <f ca="1">IF(AND(L41&lt;&gt;-1,L40=-1),MAX($Q$8:Q40)+1,"")</f>
        <v/>
      </c>
    </row>
    <row r="42" spans="1:17" x14ac:dyDescent="0.3">
      <c r="A42" s="3">
        <v>40241</v>
      </c>
      <c r="B42" s="9">
        <v>11.433586999999999</v>
      </c>
      <c r="C42" s="9">
        <v>11.969139</v>
      </c>
      <c r="E42" s="14">
        <f t="shared" si="3"/>
        <v>0.95525559524373471</v>
      </c>
      <c r="F42" s="18">
        <f t="shared" ca="1" si="0"/>
        <v>-1.4553153188973014</v>
      </c>
      <c r="G42" s="15">
        <f t="shared" ca="1" si="8"/>
        <v>1.2475552823393565</v>
      </c>
      <c r="H42" s="15">
        <f t="shared" ca="1" si="9"/>
        <v>0.20084972878393018</v>
      </c>
      <c r="J42" s="17">
        <f t="shared" ca="1" si="5"/>
        <v>0</v>
      </c>
      <c r="K42" s="24">
        <f t="shared" ca="1" si="6"/>
        <v>-1</v>
      </c>
      <c r="L42" s="17">
        <f t="shared" ca="1" si="7"/>
        <v>-1</v>
      </c>
      <c r="N42" s="24" t="str">
        <f ca="1">IF(AND(L42=1,L41&lt;&gt;1),MAX($N$8:N41)+1,"")</f>
        <v/>
      </c>
      <c r="O42" s="24" t="str">
        <f ca="1">IF(AND(L42&lt;&gt;1,L41=1),MAX($O$8:O41)+1,"")</f>
        <v/>
      </c>
      <c r="P42" s="17" t="str">
        <f ca="1">IF(AND(L42=-1,L41&lt;&gt;-1),MAX($P$8:P41)+1,"")</f>
        <v/>
      </c>
      <c r="Q42" s="24" t="str">
        <f ca="1">IF(AND(L42&lt;&gt;-1,L41=-1),MAX($Q$8:Q41)+1,"")</f>
        <v/>
      </c>
    </row>
    <row r="43" spans="1:17" x14ac:dyDescent="0.3">
      <c r="A43" s="3">
        <v>40242</v>
      </c>
      <c r="B43" s="9">
        <v>11.495244</v>
      </c>
      <c r="C43" s="9">
        <v>12.006755</v>
      </c>
      <c r="E43" s="14">
        <f t="shared" si="3"/>
        <v>0.95739806467276123</v>
      </c>
      <c r="F43" s="18">
        <f t="shared" ca="1" si="0"/>
        <v>-1.306629349327</v>
      </c>
      <c r="G43" s="15">
        <f t="shared" ca="1" si="8"/>
        <v>1.2284257572913402</v>
      </c>
      <c r="H43" s="15">
        <f t="shared" ca="1" si="9"/>
        <v>0.20742507640607952</v>
      </c>
      <c r="J43" s="17">
        <f t="shared" ca="1" si="5"/>
        <v>0</v>
      </c>
      <c r="K43" s="24">
        <f t="shared" ca="1" si="6"/>
        <v>-1</v>
      </c>
      <c r="L43" s="17">
        <f t="shared" ca="1" si="7"/>
        <v>-1</v>
      </c>
      <c r="N43" s="24" t="str">
        <f ca="1">IF(AND(L43=1,L42&lt;&gt;1),MAX($N$8:N42)+1,"")</f>
        <v/>
      </c>
      <c r="O43" s="24" t="str">
        <f ca="1">IF(AND(L43&lt;&gt;1,L42=1),MAX($O$8:O42)+1,"")</f>
        <v/>
      </c>
      <c r="P43" s="17" t="str">
        <f ca="1">IF(AND(L43=-1,L42&lt;&gt;-1),MAX($P$8:P42)+1,"")</f>
        <v/>
      </c>
      <c r="Q43" s="24" t="str">
        <f ca="1">IF(AND(L43&lt;&gt;-1,L42=-1),MAX($Q$8:Q42)+1,"")</f>
        <v/>
      </c>
    </row>
    <row r="44" spans="1:17" x14ac:dyDescent="0.3">
      <c r="A44" s="3">
        <v>40245</v>
      </c>
      <c r="B44" s="9">
        <v>11.489086</v>
      </c>
      <c r="C44" s="9">
        <v>11.893985000000001</v>
      </c>
      <c r="E44" s="14">
        <f t="shared" si="3"/>
        <v>0.9659576668374813</v>
      </c>
      <c r="F44" s="18">
        <f t="shared" ca="1" si="0"/>
        <v>-1.1517850909365381</v>
      </c>
      <c r="G44" s="15">
        <f t="shared" ca="1" si="8"/>
        <v>1.2098798266317159</v>
      </c>
      <c r="H44" s="15">
        <f t="shared" ca="1" si="9"/>
        <v>0.21177749366064191</v>
      </c>
      <c r="J44" s="17">
        <f t="shared" ca="1" si="5"/>
        <v>0</v>
      </c>
      <c r="K44" s="24">
        <f t="shared" ca="1" si="6"/>
        <v>-1</v>
      </c>
      <c r="L44" s="17">
        <f t="shared" ca="1" si="7"/>
        <v>-1</v>
      </c>
      <c r="N44" s="24" t="str">
        <f ca="1">IF(AND(L44=1,L43&lt;&gt;1),MAX($N$8:N43)+1,"")</f>
        <v/>
      </c>
      <c r="O44" s="24" t="str">
        <f ca="1">IF(AND(L44&lt;&gt;1,L43=1),MAX($O$8:O43)+1,"")</f>
        <v/>
      </c>
      <c r="P44" s="17" t="str">
        <f ca="1">IF(AND(L44=-1,L43&lt;&gt;-1),MAX($P$8:P43)+1,"")</f>
        <v/>
      </c>
      <c r="Q44" s="24" t="str">
        <f ca="1">IF(AND(L44&lt;&gt;-1,L43=-1),MAX($Q$8:Q43)+1,"")</f>
        <v/>
      </c>
    </row>
    <row r="45" spans="1:17" x14ac:dyDescent="0.3">
      <c r="A45" s="3">
        <v>40246</v>
      </c>
      <c r="B45" s="9">
        <v>11.630813</v>
      </c>
      <c r="C45" s="9">
        <v>11.976678</v>
      </c>
      <c r="E45" s="14">
        <f t="shared" si="3"/>
        <v>0.97112179186916436</v>
      </c>
      <c r="F45" s="18">
        <f t="shared" ca="1" si="0"/>
        <v>-1.0290980438348964</v>
      </c>
      <c r="G45" s="15">
        <f t="shared" ca="1" si="8"/>
        <v>1.1914497769370243</v>
      </c>
      <c r="H45" s="15">
        <f t="shared" ca="1" si="9"/>
        <v>0.21409814777882161</v>
      </c>
      <c r="J45" s="17">
        <f t="shared" ca="1" si="5"/>
        <v>0</v>
      </c>
      <c r="K45" s="24">
        <f t="shared" ca="1" si="6"/>
        <v>-1</v>
      </c>
      <c r="L45" s="17">
        <f t="shared" ca="1" si="7"/>
        <v>-1</v>
      </c>
      <c r="N45" s="24" t="str">
        <f ca="1">IF(AND(L45=1,L44&lt;&gt;1),MAX($N$8:N44)+1,"")</f>
        <v/>
      </c>
      <c r="O45" s="24" t="str">
        <f ca="1">IF(AND(L45&lt;&gt;1,L44=1),MAX($O$8:O44)+1,"")</f>
        <v/>
      </c>
      <c r="P45" s="17" t="str">
        <f ca="1">IF(AND(L45=-1,L44&lt;&gt;-1),MAX($P$8:P44)+1,"")</f>
        <v/>
      </c>
      <c r="Q45" s="24" t="str">
        <f ca="1">IF(AND(L45&lt;&gt;-1,L44=-1),MAX($Q$8:Q44)+1,"")</f>
        <v/>
      </c>
    </row>
    <row r="46" spans="1:17" x14ac:dyDescent="0.3">
      <c r="A46" s="3">
        <v>40247</v>
      </c>
      <c r="B46" s="9">
        <v>11.680149999999999</v>
      </c>
      <c r="C46" s="9">
        <v>12.018015</v>
      </c>
      <c r="E46" s="14">
        <f t="shared" si="3"/>
        <v>0.97188678829240926</v>
      </c>
      <c r="F46" s="18">
        <f t="shared" ca="1" si="0"/>
        <v>-0.93697824349426495</v>
      </c>
      <c r="G46" s="15">
        <f t="shared" ca="1" si="8"/>
        <v>1.1736313966429082</v>
      </c>
      <c r="H46" s="15">
        <f t="shared" ca="1" si="9"/>
        <v>0.21531407986394055</v>
      </c>
      <c r="J46" s="17">
        <f t="shared" ca="1" si="5"/>
        <v>0</v>
      </c>
      <c r="K46" s="24">
        <f t="shared" ca="1" si="6"/>
        <v>-1</v>
      </c>
      <c r="L46" s="17">
        <f t="shared" ca="1" si="7"/>
        <v>-1</v>
      </c>
      <c r="N46" s="24" t="str">
        <f ca="1">IF(AND(L46=1,L45&lt;&gt;1),MAX($N$8:N45)+1,"")</f>
        <v/>
      </c>
      <c r="O46" s="24" t="str">
        <f ca="1">IF(AND(L46&lt;&gt;1,L45=1),MAX($O$8:O45)+1,"")</f>
        <v/>
      </c>
      <c r="P46" s="17" t="str">
        <f ca="1">IF(AND(L46=-1,L45&lt;&gt;-1),MAX($P$8:P45)+1,"")</f>
        <v/>
      </c>
      <c r="Q46" s="24" t="str">
        <f ca="1">IF(AND(L46&lt;&gt;-1,L45=-1),MAX($Q$8:Q45)+1,"")</f>
        <v/>
      </c>
    </row>
    <row r="47" spans="1:17" x14ac:dyDescent="0.3">
      <c r="A47" s="3">
        <v>40248</v>
      </c>
      <c r="B47" s="9">
        <v>11.710951</v>
      </c>
      <c r="C47" s="9">
        <v>12.081908</v>
      </c>
      <c r="E47" s="14">
        <f t="shared" si="3"/>
        <v>0.96929648860097262</v>
      </c>
      <c r="F47" s="18">
        <f t="shared" ca="1" si="0"/>
        <v>-0.86592272199526787</v>
      </c>
      <c r="G47" s="15">
        <f t="shared" ca="1" si="8"/>
        <v>1.1549633601720701</v>
      </c>
      <c r="H47" s="15">
        <f t="shared" ca="1" si="9"/>
        <v>0.21441505905201569</v>
      </c>
      <c r="J47" s="17">
        <f t="shared" ca="1" si="5"/>
        <v>0</v>
      </c>
      <c r="K47" s="24">
        <f t="shared" ca="1" si="6"/>
        <v>-1</v>
      </c>
      <c r="L47" s="17">
        <f t="shared" ca="1" si="7"/>
        <v>-1</v>
      </c>
      <c r="N47" s="24" t="str">
        <f ca="1">IF(AND(L47=1,L46&lt;&gt;1),MAX($N$8:N46)+1,"")</f>
        <v/>
      </c>
      <c r="O47" s="24" t="str">
        <f ca="1">IF(AND(L47&lt;&gt;1,L46=1),MAX($O$8:O46)+1,"")</f>
        <v/>
      </c>
      <c r="P47" s="17" t="str">
        <f ca="1">IF(AND(L47=-1,L46&lt;&gt;-1),MAX($P$8:P46)+1,"")</f>
        <v/>
      </c>
      <c r="Q47" s="24" t="str">
        <f ca="1">IF(AND(L47&lt;&gt;-1,L46=-1),MAX($Q$8:Q46)+1,"")</f>
        <v/>
      </c>
    </row>
    <row r="48" spans="1:17" x14ac:dyDescent="0.3">
      <c r="A48" s="3">
        <v>40249</v>
      </c>
      <c r="B48" s="9">
        <v>11.522925000000001</v>
      </c>
      <c r="C48" s="9">
        <v>11.957872999999999</v>
      </c>
      <c r="E48" s="14">
        <f t="shared" si="3"/>
        <v>0.9636266416276541</v>
      </c>
      <c r="F48" s="18">
        <f t="shared" ca="1" si="0"/>
        <v>-0.81297655669584445</v>
      </c>
      <c r="G48" s="15">
        <f t="shared" ca="1" si="8"/>
        <v>1.1361133455922861</v>
      </c>
      <c r="H48" s="15">
        <f t="shared" ca="1" si="9"/>
        <v>0.2121668854335288</v>
      </c>
      <c r="J48" s="17">
        <f t="shared" ca="1" si="5"/>
        <v>0</v>
      </c>
      <c r="K48" s="24">
        <f t="shared" ca="1" si="6"/>
        <v>-1</v>
      </c>
      <c r="L48" s="17">
        <f t="shared" ca="1" si="7"/>
        <v>-1</v>
      </c>
      <c r="N48" s="24" t="str">
        <f ca="1">IF(AND(L48=1,L47&lt;&gt;1),MAX($N$8:N47)+1,"")</f>
        <v/>
      </c>
      <c r="O48" s="24" t="str">
        <f ca="1">IF(AND(L48&lt;&gt;1,L47=1),MAX($O$8:O47)+1,"")</f>
        <v/>
      </c>
      <c r="P48" s="17" t="str">
        <f ca="1">IF(AND(L48=-1,L47&lt;&gt;-1),MAX($P$8:P47)+1,"")</f>
        <v/>
      </c>
      <c r="Q48" s="24" t="str">
        <f ca="1">IF(AND(L48&lt;&gt;-1,L47=-1),MAX($Q$8:Q47)+1,"")</f>
        <v/>
      </c>
    </row>
    <row r="49" spans="1:17" x14ac:dyDescent="0.3">
      <c r="A49" s="3">
        <v>40252</v>
      </c>
      <c r="B49" s="9">
        <v>11.590741</v>
      </c>
      <c r="C49" s="9">
        <v>11.931592999999999</v>
      </c>
      <c r="E49" s="14">
        <f t="shared" si="3"/>
        <v>0.97143281705971696</v>
      </c>
      <c r="F49" s="18">
        <f t="shared" ca="1" si="0"/>
        <v>-0.70273352325389826</v>
      </c>
      <c r="G49" s="15">
        <f t="shared" ca="1" si="8"/>
        <v>1.1169716305688</v>
      </c>
      <c r="H49" s="15">
        <f t="shared" ca="1" si="9"/>
        <v>0.20710384333906287</v>
      </c>
      <c r="J49" s="17">
        <f t="shared" ca="1" si="5"/>
        <v>0</v>
      </c>
      <c r="K49" s="24">
        <f t="shared" ca="1" si="6"/>
        <v>-1</v>
      </c>
      <c r="L49" s="17">
        <f t="shared" ca="1" si="7"/>
        <v>-1</v>
      </c>
      <c r="N49" s="24" t="str">
        <f ca="1">IF(AND(L49=1,L48&lt;&gt;1),MAX($N$8:N48)+1,"")</f>
        <v/>
      </c>
      <c r="O49" s="24" t="str">
        <f ca="1">IF(AND(L49&lt;&gt;1,L48=1),MAX($O$8:O48)+1,"")</f>
        <v/>
      </c>
      <c r="P49" s="17" t="str">
        <f ca="1">IF(AND(L49=-1,L48&lt;&gt;-1),MAX($P$8:P48)+1,"")</f>
        <v/>
      </c>
      <c r="Q49" s="24" t="str">
        <f ca="1">IF(AND(L49&lt;&gt;-1,L48=-1),MAX($Q$8:Q48)+1,"")</f>
        <v/>
      </c>
    </row>
    <row r="50" spans="1:17" x14ac:dyDescent="0.3">
      <c r="A50" s="3">
        <v>40253</v>
      </c>
      <c r="B50" s="9">
        <v>11.664721999999999</v>
      </c>
      <c r="C50" s="9">
        <v>12.036827000000001</v>
      </c>
      <c r="E50" s="14">
        <f t="shared" si="3"/>
        <v>0.96908612211507228</v>
      </c>
      <c r="F50" s="18">
        <f t="shared" ca="1" si="0"/>
        <v>-0.64282244321700865</v>
      </c>
      <c r="G50" s="15">
        <f t="shared" ca="1" si="8"/>
        <v>1.0981446154697645</v>
      </c>
      <c r="H50" s="15">
        <f t="shared" ca="1" si="9"/>
        <v>0.20076849325424645</v>
      </c>
      <c r="J50" s="17">
        <f t="shared" ca="1" si="5"/>
        <v>0</v>
      </c>
      <c r="K50" s="24">
        <f t="shared" ca="1" si="6"/>
        <v>-1</v>
      </c>
      <c r="L50" s="17">
        <f t="shared" ca="1" si="7"/>
        <v>-1</v>
      </c>
      <c r="N50" s="24" t="str">
        <f ca="1">IF(AND(L50=1,L49&lt;&gt;1),MAX($N$8:N49)+1,"")</f>
        <v/>
      </c>
      <c r="O50" s="24" t="str">
        <f ca="1">IF(AND(L50&lt;&gt;1,L49=1),MAX($O$8:O49)+1,"")</f>
        <v/>
      </c>
      <c r="P50" s="17" t="str">
        <f ca="1">IF(AND(L50=-1,L49&lt;&gt;-1),MAX($P$8:P49)+1,"")</f>
        <v/>
      </c>
      <c r="Q50" s="24" t="str">
        <f ca="1">IF(AND(L50&lt;&gt;-1,L49=-1),MAX($Q$8:Q49)+1,"")</f>
        <v/>
      </c>
    </row>
    <row r="51" spans="1:17" x14ac:dyDescent="0.3">
      <c r="A51" s="3">
        <v>40254</v>
      </c>
      <c r="B51" s="9">
        <v>11.556836000000001</v>
      </c>
      <c r="C51" s="9">
        <v>11.931592999999999</v>
      </c>
      <c r="E51" s="14">
        <f t="shared" si="3"/>
        <v>0.96859120152690437</v>
      </c>
      <c r="F51" s="18">
        <f t="shared" ca="1" si="0"/>
        <v>-0.57514015753886283</v>
      </c>
      <c r="G51" s="15">
        <f t="shared" ca="1" si="8"/>
        <v>1.0786361549512584</v>
      </c>
      <c r="H51" s="15">
        <f t="shared" ca="1" si="9"/>
        <v>0.19133588914267075</v>
      </c>
      <c r="J51" s="17">
        <f t="shared" ca="1" si="5"/>
        <v>0</v>
      </c>
      <c r="K51" s="24">
        <f t="shared" ca="1" si="6"/>
        <v>-1</v>
      </c>
      <c r="L51" s="17">
        <f t="shared" ca="1" si="7"/>
        <v>-1</v>
      </c>
      <c r="N51" s="24" t="str">
        <f ca="1">IF(AND(L51=1,L50&lt;&gt;1),MAX($N$8:N50)+1,"")</f>
        <v/>
      </c>
      <c r="O51" s="24" t="str">
        <f ca="1">IF(AND(L51&lt;&gt;1,L50=1),MAX($O$8:O50)+1,"")</f>
        <v/>
      </c>
      <c r="P51" s="17" t="str">
        <f ca="1">IF(AND(L51=-1,L50&lt;&gt;-1),MAX($P$8:P50)+1,"")</f>
        <v/>
      </c>
      <c r="Q51" s="24" t="str">
        <f ca="1">IF(AND(L51&lt;&gt;-1,L50=-1),MAX($Q$8:Q50)+1,"")</f>
        <v/>
      </c>
    </row>
    <row r="52" spans="1:17" x14ac:dyDescent="0.3">
      <c r="A52" s="3">
        <v>40255</v>
      </c>
      <c r="B52" s="9">
        <v>11.464383</v>
      </c>
      <c r="C52" s="9">
        <v>11.916523</v>
      </c>
      <c r="E52" s="14">
        <f t="shared" si="3"/>
        <v>0.96205772438822967</v>
      </c>
      <c r="F52" s="18">
        <f t="shared" ca="1" si="0"/>
        <v>-0.53925053232794196</v>
      </c>
      <c r="G52" s="15">
        <f t="shared" ca="1" si="8"/>
        <v>1.058827862339432</v>
      </c>
      <c r="H52" s="15">
        <f t="shared" ca="1" si="9"/>
        <v>0.17945302257458356</v>
      </c>
      <c r="J52" s="17">
        <f t="shared" ca="1" si="5"/>
        <v>0</v>
      </c>
      <c r="K52" s="24">
        <f t="shared" ca="1" si="6"/>
        <v>-1</v>
      </c>
      <c r="L52" s="17">
        <f t="shared" ca="1" si="7"/>
        <v>-1</v>
      </c>
      <c r="N52" s="24" t="str">
        <f ca="1">IF(AND(L52=1,L51&lt;&gt;1),MAX($N$8:N51)+1,"")</f>
        <v/>
      </c>
      <c r="O52" s="24" t="str">
        <f ca="1">IF(AND(L52&lt;&gt;1,L51=1),MAX($O$8:O51)+1,"")</f>
        <v/>
      </c>
      <c r="P52" s="17" t="str">
        <f ca="1">IF(AND(L52=-1,L51&lt;&gt;-1),MAX($P$8:P51)+1,"")</f>
        <v/>
      </c>
      <c r="Q52" s="24" t="str">
        <f ca="1">IF(AND(L52&lt;&gt;-1,L51=-1),MAX($Q$8:Q51)+1,"")</f>
        <v/>
      </c>
    </row>
    <row r="53" spans="1:17" x14ac:dyDescent="0.3">
      <c r="A53" s="3">
        <v>40256</v>
      </c>
      <c r="B53" s="9">
        <v>11.418158999999999</v>
      </c>
      <c r="C53" s="9">
        <v>11.837626999999999</v>
      </c>
      <c r="E53" s="14">
        <f t="shared" si="3"/>
        <v>0.96456485746678788</v>
      </c>
      <c r="F53" s="18">
        <f t="shared" ca="1" si="0"/>
        <v>-0.45391031740232263</v>
      </c>
      <c r="G53" s="15">
        <f t="shared" ca="1" si="8"/>
        <v>1.0395401609080359</v>
      </c>
      <c r="H53" s="15">
        <f t="shared" ca="1" si="9"/>
        <v>0.16517646893404672</v>
      </c>
      <c r="J53" s="17">
        <f t="shared" ca="1" si="5"/>
        <v>0</v>
      </c>
      <c r="K53" s="24">
        <f t="shared" ca="1" si="6"/>
        <v>-1</v>
      </c>
      <c r="L53" s="17">
        <f t="shared" ca="1" si="7"/>
        <v>-1</v>
      </c>
      <c r="N53" s="24" t="str">
        <f ca="1">IF(AND(L53=1,L52&lt;&gt;1),MAX($N$8:N52)+1,"")</f>
        <v/>
      </c>
      <c r="O53" s="24" t="str">
        <f ca="1">IF(AND(L53&lt;&gt;1,L52=1),MAX($O$8:O52)+1,"")</f>
        <v/>
      </c>
      <c r="P53" s="17" t="str">
        <f ca="1">IF(AND(L53=-1,L52&lt;&gt;-1),MAX($P$8:P52)+1,"")</f>
        <v/>
      </c>
      <c r="Q53" s="24" t="str">
        <f ca="1">IF(AND(L53&lt;&gt;-1,L52=-1),MAX($Q$8:Q52)+1,"")</f>
        <v/>
      </c>
    </row>
    <row r="54" spans="1:17" x14ac:dyDescent="0.3">
      <c r="A54" s="3">
        <v>40259</v>
      </c>
      <c r="B54" s="9">
        <v>11.587693</v>
      </c>
      <c r="C54" s="9">
        <v>11.871442</v>
      </c>
      <c r="E54" s="14">
        <f t="shared" si="3"/>
        <v>0.97609818588171515</v>
      </c>
      <c r="F54" s="18">
        <f t="shared" ca="1" si="0"/>
        <v>-0.3033416683903275</v>
      </c>
      <c r="G54" s="15">
        <f t="shared" ca="1" si="8"/>
        <v>1.0201846181095569</v>
      </c>
      <c r="H54" s="15">
        <f t="shared" ca="1" si="9"/>
        <v>0.14533589289524546</v>
      </c>
      <c r="J54" s="17">
        <f t="shared" ca="1" si="5"/>
        <v>0</v>
      </c>
      <c r="K54" s="24">
        <f t="shared" ca="1" si="6"/>
        <v>-1</v>
      </c>
      <c r="L54" s="17">
        <f t="shared" ca="1" si="7"/>
        <v>-1</v>
      </c>
      <c r="N54" s="24" t="str">
        <f ca="1">IF(AND(L54=1,L53&lt;&gt;1),MAX($N$8:N53)+1,"")</f>
        <v/>
      </c>
      <c r="O54" s="24" t="str">
        <f ca="1">IF(AND(L54&lt;&gt;1,L53=1),MAX($O$8:O53)+1,"")</f>
        <v/>
      </c>
      <c r="P54" s="17" t="str">
        <f ca="1">IF(AND(L54=-1,L53&lt;&gt;-1),MAX($P$8:P53)+1,"")</f>
        <v/>
      </c>
      <c r="Q54" s="24" t="str">
        <f ca="1">IF(AND(L54&lt;&gt;-1,L53=-1),MAX($Q$8:Q53)+1,"")</f>
        <v/>
      </c>
    </row>
    <row r="55" spans="1:17" x14ac:dyDescent="0.3">
      <c r="A55" s="3">
        <v>40260</v>
      </c>
      <c r="B55" s="9">
        <v>11.492134999999999</v>
      </c>
      <c r="C55" s="9">
        <v>11.694845000000001</v>
      </c>
      <c r="E55" s="14">
        <f t="shared" si="3"/>
        <v>0.9826667219616847</v>
      </c>
      <c r="F55" s="18">
        <f t="shared" ca="1" si="0"/>
        <v>-0.15653575112513352</v>
      </c>
      <c r="G55" s="15">
        <f t="shared" ca="1" si="8"/>
        <v>1.0015260960599335</v>
      </c>
      <c r="H55" s="15">
        <f t="shared" ca="1" si="9"/>
        <v>0.12047966015873741</v>
      </c>
      <c r="J55" s="17">
        <f t="shared" ca="1" si="5"/>
        <v>0</v>
      </c>
      <c r="K55" s="24">
        <f t="shared" ca="1" si="6"/>
        <v>-1</v>
      </c>
      <c r="L55" s="17">
        <f t="shared" ca="1" si="7"/>
        <v>-1</v>
      </c>
      <c r="N55" s="24" t="str">
        <f ca="1">IF(AND(L55=1,L54&lt;&gt;1),MAX($N$8:N54)+1,"")</f>
        <v/>
      </c>
      <c r="O55" s="24" t="str">
        <f ca="1">IF(AND(L55&lt;&gt;1,L54=1),MAX($O$8:O54)+1,"")</f>
        <v/>
      </c>
      <c r="P55" s="17" t="str">
        <f ca="1">IF(AND(L55=-1,L54&lt;&gt;-1),MAX($P$8:P54)+1,"")</f>
        <v/>
      </c>
      <c r="Q55" s="24" t="str">
        <f ca="1">IF(AND(L55&lt;&gt;-1,L54=-1),MAX($Q$8:Q54)+1,"")</f>
        <v/>
      </c>
    </row>
    <row r="56" spans="1:17" x14ac:dyDescent="0.3">
      <c r="A56" s="3">
        <v>40261</v>
      </c>
      <c r="B56" s="9">
        <v>11.248685</v>
      </c>
      <c r="C56" s="9">
        <v>11.563276</v>
      </c>
      <c r="E56" s="14">
        <f t="shared" si="3"/>
        <v>0.97279395562295667</v>
      </c>
      <c r="F56" s="18">
        <f t="shared" ca="1" si="0"/>
        <v>-0.11681157925086486</v>
      </c>
      <c r="G56" s="15">
        <f t="shared" ca="1" si="8"/>
        <v>0.98307358918151055</v>
      </c>
      <c r="H56" s="15">
        <f t="shared" ca="1" si="9"/>
        <v>8.8001837013754539E-2</v>
      </c>
      <c r="J56" s="17">
        <f t="shared" ca="1" si="5"/>
        <v>0</v>
      </c>
      <c r="K56" s="24">
        <f t="shared" ca="1" si="6"/>
        <v>-1</v>
      </c>
      <c r="L56" s="17">
        <f t="shared" ca="1" si="7"/>
        <v>-1</v>
      </c>
      <c r="N56" s="24" t="str">
        <f ca="1">IF(AND(L56=1,L55&lt;&gt;1),MAX($N$8:N55)+1,"")</f>
        <v/>
      </c>
      <c r="O56" s="24" t="str">
        <f ca="1">IF(AND(L56&lt;&gt;1,L55=1),MAX($O$8:O55)+1,"")</f>
        <v/>
      </c>
      <c r="P56" s="17" t="str">
        <f ca="1">IF(AND(L56=-1,L55&lt;&gt;-1),MAX($P$8:P55)+1,"")</f>
        <v/>
      </c>
      <c r="Q56" s="24" t="str">
        <f ca="1">IF(AND(L56&lt;&gt;-1,L55=-1),MAX($Q$8:Q55)+1,"")</f>
        <v/>
      </c>
    </row>
    <row r="57" spans="1:17" x14ac:dyDescent="0.3">
      <c r="A57" s="3">
        <v>40262</v>
      </c>
      <c r="B57" s="9">
        <v>11.384247</v>
      </c>
      <c r="C57" s="9">
        <v>11.728662999999999</v>
      </c>
      <c r="E57" s="14">
        <f t="shared" si="3"/>
        <v>0.97063467506910217</v>
      </c>
      <c r="F57" s="18">
        <f t="shared" ca="1" si="0"/>
        <v>0.69665982978012231</v>
      </c>
      <c r="G57" s="15">
        <f t="shared" ca="1" si="8"/>
        <v>0.96427412681665314</v>
      </c>
      <c r="H57" s="15">
        <f t="shared" ca="1" si="9"/>
        <v>9.1300631679259083E-3</v>
      </c>
      <c r="J57" s="17">
        <f t="shared" ca="1" si="5"/>
        <v>0</v>
      </c>
      <c r="K57" s="24">
        <f t="shared" ca="1" si="6"/>
        <v>0</v>
      </c>
      <c r="L57" s="17">
        <f t="shared" ca="1" si="7"/>
        <v>0</v>
      </c>
      <c r="N57" s="24" t="str">
        <f ca="1">IF(AND(L57=1,L56&lt;&gt;1),MAX($N$8:N56)+1,"")</f>
        <v/>
      </c>
      <c r="O57" s="24" t="str">
        <f ca="1">IF(AND(L57&lt;&gt;1,L56=1),MAX($O$8:O56)+1,"")</f>
        <v/>
      </c>
      <c r="P57" s="17" t="str">
        <f ca="1">IF(AND(L57=-1,L56&lt;&gt;-1),MAX($P$8:P56)+1,"")</f>
        <v/>
      </c>
      <c r="Q57" s="24">
        <f ca="1">IF(AND(L57&lt;&gt;-1,L56=-1),MAX($Q$8:Q56)+1,"")</f>
        <v>1</v>
      </c>
    </row>
    <row r="58" spans="1:17" x14ac:dyDescent="0.3">
      <c r="A58" s="3">
        <v>40263</v>
      </c>
      <c r="B58" s="9">
        <v>11.587693</v>
      </c>
      <c r="C58" s="9">
        <v>11.800079999999999</v>
      </c>
      <c r="E58" s="14">
        <f t="shared" si="3"/>
        <v>0.98200122372051712</v>
      </c>
      <c r="F58" s="18">
        <f t="shared" ca="1" si="0"/>
        <v>1.8048956378795662</v>
      </c>
      <c r="G58" s="15">
        <f t="shared" ca="1" si="8"/>
        <v>0.96592073380345222</v>
      </c>
      <c r="H58" s="15">
        <f t="shared" ca="1" si="9"/>
        <v>8.9093738051007967E-3</v>
      </c>
      <c r="J58" s="17">
        <f t="shared" ca="1" si="5"/>
        <v>1</v>
      </c>
      <c r="K58" s="24">
        <f t="shared" ca="1" si="6"/>
        <v>0</v>
      </c>
      <c r="L58" s="17">
        <f t="shared" ca="1" si="7"/>
        <v>1</v>
      </c>
      <c r="N58" s="24">
        <f ca="1">IF(AND(L58=1,L57&lt;&gt;1),MAX($N$8:N57)+1,"")</f>
        <v>2</v>
      </c>
      <c r="O58" s="24" t="str">
        <f ca="1">IF(AND(L58&lt;&gt;1,L57=1),MAX($O$8:O57)+1,"")</f>
        <v/>
      </c>
      <c r="P58" s="17" t="str">
        <f ca="1">IF(AND(L58=-1,L57&lt;&gt;-1),MAX($P$8:P57)+1,"")</f>
        <v/>
      </c>
      <c r="Q58" s="24" t="str">
        <f ca="1">IF(AND(L58&lt;&gt;-1,L57=-1),MAX($Q$8:Q57)+1,"")</f>
        <v/>
      </c>
    </row>
    <row r="59" spans="1:17" x14ac:dyDescent="0.3">
      <c r="A59" s="3">
        <v>40266</v>
      </c>
      <c r="B59" s="9">
        <v>11.760287</v>
      </c>
      <c r="C59" s="9">
        <v>12.025556</v>
      </c>
      <c r="E59" s="14">
        <f t="shared" si="3"/>
        <v>0.97794122783179427</v>
      </c>
      <c r="F59" s="18">
        <f t="shared" ca="1" si="0"/>
        <v>1.2894801534856217</v>
      </c>
      <c r="G59" s="15">
        <f t="shared" ca="1" si="8"/>
        <v>0.96732500838436308</v>
      </c>
      <c r="H59" s="15">
        <f t="shared" ca="1" si="9"/>
        <v>8.2329452056584609E-3</v>
      </c>
      <c r="J59" s="17">
        <f t="shared" ca="1" si="5"/>
        <v>1</v>
      </c>
      <c r="K59" s="24">
        <f t="shared" ca="1" si="6"/>
        <v>0</v>
      </c>
      <c r="L59" s="17">
        <f t="shared" ca="1" si="7"/>
        <v>1</v>
      </c>
      <c r="N59" s="24" t="str">
        <f ca="1">IF(AND(L59=1,L58&lt;&gt;1),MAX($N$8:N58)+1,"")</f>
        <v/>
      </c>
      <c r="O59" s="24" t="str">
        <f ca="1">IF(AND(L59&lt;&gt;1,L58=1),MAX($O$8:O58)+1,"")</f>
        <v/>
      </c>
      <c r="P59" s="17" t="str">
        <f ca="1">IF(AND(L59=-1,L58&lt;&gt;-1),MAX($P$8:P58)+1,"")</f>
        <v/>
      </c>
      <c r="Q59" s="24" t="str">
        <f ca="1">IF(AND(L59&lt;&gt;-1,L58=-1),MAX($Q$8:Q58)+1,"")</f>
        <v/>
      </c>
    </row>
    <row r="60" spans="1:17" x14ac:dyDescent="0.3">
      <c r="A60" s="3">
        <v>40267</v>
      </c>
      <c r="B60" s="9">
        <v>11.880420000000001</v>
      </c>
      <c r="C60" s="9">
        <v>12.126988000000001</v>
      </c>
      <c r="E60" s="14">
        <f t="shared" si="3"/>
        <v>0.97966782848304956</v>
      </c>
      <c r="F60" s="18">
        <f t="shared" ca="1" si="0"/>
        <v>1.3527405208694752</v>
      </c>
      <c r="G60" s="15">
        <f t="shared" ca="1" si="8"/>
        <v>0.96814470118274965</v>
      </c>
      <c r="H60" s="15">
        <f t="shared" ca="1" si="9"/>
        <v>8.5183574547566723E-3</v>
      </c>
      <c r="J60" s="17">
        <f t="shared" ca="1" si="5"/>
        <v>1</v>
      </c>
      <c r="K60" s="24">
        <f t="shared" ca="1" si="6"/>
        <v>0</v>
      </c>
      <c r="L60" s="17">
        <f t="shared" ca="1" si="7"/>
        <v>1</v>
      </c>
      <c r="N60" s="24" t="str">
        <f ca="1">IF(AND(L60=1,L59&lt;&gt;1),MAX($N$8:N59)+1,"")</f>
        <v/>
      </c>
      <c r="O60" s="24" t="str">
        <f ca="1">IF(AND(L60&lt;&gt;1,L59=1),MAX($O$8:O59)+1,"")</f>
        <v/>
      </c>
      <c r="P60" s="17" t="str">
        <f ca="1">IF(AND(L60=-1,L59&lt;&gt;-1),MAX($P$8:P59)+1,"")</f>
        <v/>
      </c>
      <c r="Q60" s="24" t="str">
        <f ca="1">IF(AND(L60&lt;&gt;-1,L59=-1),MAX($Q$8:Q59)+1,"")</f>
        <v/>
      </c>
    </row>
    <row r="61" spans="1:17" x14ac:dyDescent="0.3">
      <c r="A61" s="3">
        <v>40268</v>
      </c>
      <c r="B61" s="9">
        <v>12.019170000000001</v>
      </c>
      <c r="C61" s="9">
        <v>12.326185000000001</v>
      </c>
      <c r="E61" s="14">
        <f t="shared" si="3"/>
        <v>0.97509245561380109</v>
      </c>
      <c r="F61" s="18">
        <f t="shared" ca="1" si="0"/>
        <v>0.74842674615058891</v>
      </c>
      <c r="G61" s="15">
        <f t="shared" ca="1" si="8"/>
        <v>0.96917100063006179</v>
      </c>
      <c r="H61" s="15">
        <f t="shared" ca="1" si="9"/>
        <v>7.9118698178483656E-3</v>
      </c>
      <c r="J61" s="17">
        <f t="shared" ca="1" si="5"/>
        <v>1</v>
      </c>
      <c r="K61" s="24">
        <f t="shared" ca="1" si="6"/>
        <v>0</v>
      </c>
      <c r="L61" s="17">
        <f t="shared" ca="1" si="7"/>
        <v>1</v>
      </c>
      <c r="N61" s="24" t="str">
        <f ca="1">IF(AND(L61=1,L60&lt;&gt;1),MAX($N$8:N60)+1,"")</f>
        <v/>
      </c>
      <c r="O61" s="24" t="str">
        <f ca="1">IF(AND(L61&lt;&gt;1,L60=1),MAX($O$8:O60)+1,"")</f>
        <v/>
      </c>
      <c r="P61" s="17" t="str">
        <f ca="1">IF(AND(L61=-1,L60&lt;&gt;-1),MAX($P$8:P60)+1,"")</f>
        <v/>
      </c>
      <c r="Q61" s="24" t="str">
        <f ca="1">IF(AND(L61&lt;&gt;-1,L60=-1),MAX($Q$8:Q60)+1,"")</f>
        <v/>
      </c>
    </row>
    <row r="62" spans="1:17" x14ac:dyDescent="0.3">
      <c r="A62" s="3">
        <v>40269</v>
      </c>
      <c r="B62" s="9">
        <v>12.080761000000001</v>
      </c>
      <c r="C62" s="9">
        <v>12.468966</v>
      </c>
      <c r="E62" s="14">
        <f t="shared" si="3"/>
        <v>0.96886630374964533</v>
      </c>
      <c r="F62" s="18">
        <f t="shared" ca="1" si="0"/>
        <v>-0.11656040998594699</v>
      </c>
      <c r="G62" s="15">
        <f t="shared" ca="1" si="8"/>
        <v>0.96973106773261653</v>
      </c>
      <c r="H62" s="15">
        <f t="shared" ca="1" si="9"/>
        <v>7.4190197432855171E-3</v>
      </c>
      <c r="J62" s="17">
        <f t="shared" ca="1" si="5"/>
        <v>0</v>
      </c>
      <c r="K62" s="24">
        <f t="shared" ca="1" si="6"/>
        <v>0</v>
      </c>
      <c r="L62" s="17">
        <f t="shared" ca="1" si="7"/>
        <v>0</v>
      </c>
      <c r="N62" s="24" t="str">
        <f ca="1">IF(AND(L62=1,L61&lt;&gt;1),MAX($N$8:N61)+1,"")</f>
        <v/>
      </c>
      <c r="O62" s="24">
        <f ca="1">IF(AND(L62&lt;&gt;1,L61=1),MAX($O$8:O61)+1,"")</f>
        <v>2</v>
      </c>
      <c r="P62" s="17" t="str">
        <f ca="1">IF(AND(L62=-1,L61&lt;&gt;-1),MAX($P$8:P61)+1,"")</f>
        <v/>
      </c>
      <c r="Q62" s="24" t="str">
        <f ca="1">IF(AND(L62&lt;&gt;-1,L61=-1),MAX($Q$8:Q61)+1,"")</f>
        <v/>
      </c>
    </row>
    <row r="63" spans="1:17" x14ac:dyDescent="0.3">
      <c r="A63" s="3">
        <v>40273</v>
      </c>
      <c r="B63" s="9">
        <v>12.157779</v>
      </c>
      <c r="C63" s="9">
        <v>12.466459</v>
      </c>
      <c r="E63" s="14">
        <f t="shared" si="3"/>
        <v>0.97523915973252706</v>
      </c>
      <c r="F63" s="18">
        <f t="shared" ca="1" si="0"/>
        <v>0.67110560068929559</v>
      </c>
      <c r="G63" s="15">
        <f t="shared" ca="1" si="8"/>
        <v>0.97051261351671281</v>
      </c>
      <c r="H63" s="15">
        <f t="shared" ca="1" si="9"/>
        <v>7.042924706573148E-3</v>
      </c>
      <c r="J63" s="17">
        <f t="shared" ca="1" si="5"/>
        <v>0</v>
      </c>
      <c r="K63" s="24">
        <f t="shared" ca="1" si="6"/>
        <v>0</v>
      </c>
      <c r="L63" s="17">
        <f t="shared" ca="1" si="7"/>
        <v>0</v>
      </c>
      <c r="N63" s="24" t="str">
        <f ca="1">IF(AND(L63=1,L62&lt;&gt;1),MAX($N$8:N62)+1,"")</f>
        <v/>
      </c>
      <c r="O63" s="24" t="str">
        <f ca="1">IF(AND(L63&lt;&gt;1,L62=1),MAX($O$8:O62)+1,"")</f>
        <v/>
      </c>
      <c r="P63" s="17" t="str">
        <f ca="1">IF(AND(L63=-1,L62&lt;&gt;-1),MAX($P$8:P62)+1,"")</f>
        <v/>
      </c>
      <c r="Q63" s="24" t="str">
        <f ca="1">IF(AND(L63&lt;&gt;-1,L62=-1),MAX($Q$8:Q62)+1,"")</f>
        <v/>
      </c>
    </row>
    <row r="64" spans="1:17" x14ac:dyDescent="0.3">
      <c r="A64" s="3">
        <v>40274</v>
      </c>
      <c r="B64" s="9">
        <v>12.003736</v>
      </c>
      <c r="C64" s="9">
        <v>12.3085</v>
      </c>
      <c r="E64" s="14">
        <f t="shared" si="3"/>
        <v>0.97523954990453743</v>
      </c>
      <c r="F64" s="18">
        <f t="shared" ca="1" si="0"/>
        <v>0.60980191455143917</v>
      </c>
      <c r="G64" s="15">
        <f t="shared" ca="1" si="8"/>
        <v>0.97142097509220382</v>
      </c>
      <c r="H64" s="15">
        <f t="shared" ca="1" si="9"/>
        <v>6.2619921669850656E-3</v>
      </c>
      <c r="J64" s="17">
        <f t="shared" ca="1" si="5"/>
        <v>0</v>
      </c>
      <c r="K64" s="24">
        <f t="shared" ca="1" si="6"/>
        <v>0</v>
      </c>
      <c r="L64" s="17">
        <f t="shared" ca="1" si="7"/>
        <v>0</v>
      </c>
      <c r="N64" s="24" t="str">
        <f ca="1">IF(AND(L64=1,L63&lt;&gt;1),MAX($N$8:N63)+1,"")</f>
        <v/>
      </c>
      <c r="O64" s="24" t="str">
        <f ca="1">IF(AND(L64&lt;&gt;1,L63=1),MAX($O$8:O63)+1,"")</f>
        <v/>
      </c>
      <c r="P64" s="17" t="str">
        <f ca="1">IF(AND(L64=-1,L63&lt;&gt;-1),MAX($P$8:P63)+1,"")</f>
        <v/>
      </c>
      <c r="Q64" s="24" t="str">
        <f ca="1">IF(AND(L64&lt;&gt;-1,L63=-1),MAX($Q$8:Q63)+1,"")</f>
        <v/>
      </c>
    </row>
    <row r="65" spans="1:17" x14ac:dyDescent="0.3">
      <c r="A65" s="3">
        <v>40275</v>
      </c>
      <c r="B65" s="9">
        <v>11.895849</v>
      </c>
      <c r="C65" s="9">
        <v>12.323584</v>
      </c>
      <c r="E65" s="14">
        <f t="shared" si="3"/>
        <v>0.96529134706267261</v>
      </c>
      <c r="F65" s="18">
        <f t="shared" ca="1" si="0"/>
        <v>-1.1496371018765745</v>
      </c>
      <c r="G65" s="15">
        <f t="shared" ca="1" si="8"/>
        <v>0.97177976065538185</v>
      </c>
      <c r="H65" s="15">
        <f t="shared" ca="1" si="9"/>
        <v>5.6438797792086569E-3</v>
      </c>
      <c r="J65" s="17">
        <f t="shared" ca="1" si="5"/>
        <v>0</v>
      </c>
      <c r="K65" s="24">
        <f t="shared" ca="1" si="6"/>
        <v>-1</v>
      </c>
      <c r="L65" s="17">
        <f t="shared" ca="1" si="7"/>
        <v>-1</v>
      </c>
      <c r="N65" s="24" t="str">
        <f ca="1">IF(AND(L65=1,L64&lt;&gt;1),MAX($N$8:N64)+1,"")</f>
        <v/>
      </c>
      <c r="O65" s="24" t="str">
        <f ca="1">IF(AND(L65&lt;&gt;1,L64=1),MAX($O$8:O64)+1,"")</f>
        <v/>
      </c>
      <c r="P65" s="17">
        <f ca="1">IF(AND(L65=-1,L64&lt;&gt;-1),MAX($P$8:P64)+1,"")</f>
        <v>2</v>
      </c>
      <c r="Q65" s="24" t="str">
        <f ca="1">IF(AND(L65&lt;&gt;-1,L64=-1),MAX($Q$8:Q64)+1,"")</f>
        <v/>
      </c>
    </row>
    <row r="66" spans="1:17" x14ac:dyDescent="0.3">
      <c r="A66" s="3">
        <v>40276</v>
      </c>
      <c r="B66" s="9">
        <v>12.321161999999999</v>
      </c>
      <c r="C66" s="9">
        <v>12.688344000000001</v>
      </c>
      <c r="E66" s="14">
        <f t="shared" si="3"/>
        <v>0.97106147185164582</v>
      </c>
      <c r="F66" s="18">
        <f t="shared" ref="F66:F129" ca="1" si="10">IF(ISNUMBER(G66),(E66-G66)/H66,"")</f>
        <v>-0.1726861487831293</v>
      </c>
      <c r="G66" s="15">
        <f t="shared" ca="1" si="8"/>
        <v>0.97201175179238919</v>
      </c>
      <c r="H66" s="15">
        <f t="shared" ca="1" si="9"/>
        <v>5.5029308803266836E-3</v>
      </c>
      <c r="J66" s="17">
        <f t="shared" ca="1" si="5"/>
        <v>0</v>
      </c>
      <c r="K66" s="24">
        <f t="shared" ca="1" si="6"/>
        <v>-1</v>
      </c>
      <c r="L66" s="17">
        <f t="shared" ca="1" si="7"/>
        <v>-1</v>
      </c>
      <c r="N66" s="24" t="str">
        <f ca="1">IF(AND(L66=1,L65&lt;&gt;1),MAX($N$8:N65)+1,"")</f>
        <v/>
      </c>
      <c r="O66" s="24" t="str">
        <f ca="1">IF(AND(L66&lt;&gt;1,L65=1),MAX($O$8:O65)+1,"")</f>
        <v/>
      </c>
      <c r="P66" s="17" t="str">
        <f ca="1">IF(AND(L66=-1,L65&lt;&gt;-1),MAX($P$8:P65)+1,"")</f>
        <v/>
      </c>
      <c r="Q66" s="24" t="str">
        <f ca="1">IF(AND(L66&lt;&gt;-1,L65=-1),MAX($Q$8:Q65)+1,"")</f>
        <v/>
      </c>
    </row>
    <row r="67" spans="1:17" x14ac:dyDescent="0.3">
      <c r="A67" s="3">
        <v>40277</v>
      </c>
      <c r="B67" s="9">
        <v>12.358121000000001</v>
      </c>
      <c r="C67" s="9">
        <v>12.692092000000001</v>
      </c>
      <c r="E67" s="14">
        <f t="shared" ref="E67:E130" si="11">IF(ISNUMBER(B67),B67/C67,"")</f>
        <v>0.9736866861664728</v>
      </c>
      <c r="F67" s="18">
        <f t="shared" ca="1" si="10"/>
        <v>0.28282148719364197</v>
      </c>
      <c r="G67" s="15">
        <f t="shared" ca="1" si="8"/>
        <v>0.9721283378968123</v>
      </c>
      <c r="H67" s="15">
        <f t="shared" ca="1" si="9"/>
        <v>5.5100066304139567E-3</v>
      </c>
      <c r="J67" s="17">
        <f t="shared" ca="1" si="5"/>
        <v>0</v>
      </c>
      <c r="K67" s="24">
        <f t="shared" ca="1" si="6"/>
        <v>0</v>
      </c>
      <c r="L67" s="17">
        <f t="shared" ca="1" si="7"/>
        <v>0</v>
      </c>
      <c r="N67" s="24" t="str">
        <f ca="1">IF(AND(L67=1,L66&lt;&gt;1),MAX($N$8:N66)+1,"")</f>
        <v/>
      </c>
      <c r="O67" s="24" t="str">
        <f ca="1">IF(AND(L67&lt;&gt;1,L66=1),MAX($O$8:O66)+1,"")</f>
        <v/>
      </c>
      <c r="P67" s="17" t="str">
        <f ca="1">IF(AND(L67=-1,L66&lt;&gt;-1),MAX($P$8:P66)+1,"")</f>
        <v/>
      </c>
      <c r="Q67" s="24">
        <f ca="1">IF(AND(L67&lt;&gt;-1,L66=-1),MAX($Q$8:Q66)+1,"")</f>
        <v>2</v>
      </c>
    </row>
    <row r="68" spans="1:17" x14ac:dyDescent="0.3">
      <c r="A68" s="3">
        <v>40280</v>
      </c>
      <c r="B68" s="9">
        <v>12.188639</v>
      </c>
      <c r="C68" s="9">
        <v>12.52285</v>
      </c>
      <c r="E68" s="14">
        <f t="shared" si="11"/>
        <v>0.97331190583613159</v>
      </c>
      <c r="F68" s="18">
        <f t="shared" ca="1" si="10"/>
        <v>0.20285716107060575</v>
      </c>
      <c r="G68" s="15">
        <f t="shared" ca="1" si="8"/>
        <v>0.97219311596698144</v>
      </c>
      <c r="H68" s="15">
        <f t="shared" ca="1" si="9"/>
        <v>5.5151608316195829E-3</v>
      </c>
      <c r="J68" s="17">
        <f t="shared" ca="1" si="5"/>
        <v>0</v>
      </c>
      <c r="K68" s="24">
        <f t="shared" ca="1" si="6"/>
        <v>0</v>
      </c>
      <c r="L68" s="17">
        <f t="shared" ca="1" si="7"/>
        <v>0</v>
      </c>
      <c r="N68" s="24" t="str">
        <f ca="1">IF(AND(L68=1,L67&lt;&gt;1),MAX($N$8:N67)+1,"")</f>
        <v/>
      </c>
      <c r="O68" s="24" t="str">
        <f ca="1">IF(AND(L68&lt;&gt;1,L67=1),MAX($O$8:O67)+1,"")</f>
        <v/>
      </c>
      <c r="P68" s="17" t="str">
        <f ca="1">IF(AND(L68=-1,L67&lt;&gt;-1),MAX($P$8:P67)+1,"")</f>
        <v/>
      </c>
      <c r="Q68" s="24" t="str">
        <f ca="1">IF(AND(L68&lt;&gt;-1,L67=-1),MAX($Q$8:Q67)+1,"")</f>
        <v/>
      </c>
    </row>
    <row r="69" spans="1:17" x14ac:dyDescent="0.3">
      <c r="A69" s="3">
        <v>40281</v>
      </c>
      <c r="B69" s="9">
        <v>12.151621</v>
      </c>
      <c r="C69" s="9">
        <v>12.410069999999999</v>
      </c>
      <c r="E69" s="14">
        <f t="shared" si="11"/>
        <v>0.97917425123307134</v>
      </c>
      <c r="F69" s="18">
        <f t="shared" ca="1" si="10"/>
        <v>1.1538425775196888</v>
      </c>
      <c r="G69" s="15">
        <f t="shared" ca="1" si="8"/>
        <v>0.97264210517753125</v>
      </c>
      <c r="H69" s="15">
        <f t="shared" ca="1" si="9"/>
        <v>5.6612107949610023E-3</v>
      </c>
      <c r="J69" s="17">
        <f t="shared" ca="1" si="5"/>
        <v>1</v>
      </c>
      <c r="K69" s="24">
        <f t="shared" ca="1" si="6"/>
        <v>0</v>
      </c>
      <c r="L69" s="17">
        <f t="shared" ca="1" si="7"/>
        <v>1</v>
      </c>
      <c r="N69" s="24">
        <f ca="1">IF(AND(L69=1,L68&lt;&gt;1),MAX($N$8:N68)+1,"")</f>
        <v>3</v>
      </c>
      <c r="O69" s="24" t="str">
        <f ca="1">IF(AND(L69&lt;&gt;1,L68=1),MAX($O$8:O68)+1,"")</f>
        <v/>
      </c>
      <c r="P69" s="17" t="str">
        <f ca="1">IF(AND(L69=-1,L68&lt;&gt;-1),MAX($P$8:P68)+1,"")</f>
        <v/>
      </c>
      <c r="Q69" s="24" t="str">
        <f ca="1">IF(AND(L69&lt;&gt;-1,L68=-1),MAX($Q$8:Q68)+1,"")</f>
        <v/>
      </c>
    </row>
    <row r="70" spans="1:17" x14ac:dyDescent="0.3">
      <c r="A70" s="3">
        <v>40282</v>
      </c>
      <c r="B70" s="9">
        <v>12.219446</v>
      </c>
      <c r="C70" s="9">
        <v>12.44764</v>
      </c>
      <c r="E70" s="14">
        <f t="shared" si="11"/>
        <v>0.981667689618273</v>
      </c>
      <c r="F70" s="18">
        <f t="shared" ca="1" si="10"/>
        <v>1.4646877108337744</v>
      </c>
      <c r="G70" s="15">
        <f t="shared" ca="1" si="8"/>
        <v>0.9734621528134686</v>
      </c>
      <c r="H70" s="15">
        <f t="shared" ca="1" si="9"/>
        <v>5.6022432250308132E-3</v>
      </c>
      <c r="J70" s="17">
        <f t="shared" ca="1" si="5"/>
        <v>1</v>
      </c>
      <c r="K70" s="24">
        <f t="shared" ca="1" si="6"/>
        <v>0</v>
      </c>
      <c r="L70" s="17">
        <f t="shared" ca="1" si="7"/>
        <v>1</v>
      </c>
      <c r="N70" s="24" t="str">
        <f ca="1">IF(AND(L70=1,L69&lt;&gt;1),MAX($N$8:N69)+1,"")</f>
        <v/>
      </c>
      <c r="O70" s="24" t="str">
        <f ca="1">IF(AND(L70&lt;&gt;1,L69=1),MAX($O$8:O69)+1,"")</f>
        <v/>
      </c>
      <c r="P70" s="17" t="str">
        <f ca="1">IF(AND(L70=-1,L69&lt;&gt;-1),MAX($P$8:P69)+1,"")</f>
        <v/>
      </c>
      <c r="Q70" s="24" t="str">
        <f ca="1">IF(AND(L70&lt;&gt;-1,L69=-1),MAX($Q$8:Q69)+1,"")</f>
        <v/>
      </c>
    </row>
    <row r="71" spans="1:17" x14ac:dyDescent="0.3">
      <c r="A71" s="3">
        <v>40283</v>
      </c>
      <c r="B71" s="9">
        <v>12.200961</v>
      </c>
      <c r="C71" s="9">
        <v>12.282201000000001</v>
      </c>
      <c r="E71" s="14">
        <f t="shared" si="11"/>
        <v>0.99338555035860421</v>
      </c>
      <c r="F71" s="18">
        <f t="shared" ca="1" si="10"/>
        <v>2.7247213286405745</v>
      </c>
      <c r="G71" s="15">
        <f t="shared" ca="1" si="8"/>
        <v>0.97446000432705449</v>
      </c>
      <c r="H71" s="15">
        <f t="shared" ca="1" si="9"/>
        <v>6.9458648239055362E-3</v>
      </c>
      <c r="J71" s="17">
        <f t="shared" ca="1" si="5"/>
        <v>1</v>
      </c>
      <c r="K71" s="24">
        <f t="shared" ca="1" si="6"/>
        <v>0</v>
      </c>
      <c r="L71" s="17">
        <f t="shared" ca="1" si="7"/>
        <v>1</v>
      </c>
      <c r="N71" s="24" t="str">
        <f ca="1">IF(AND(L71=1,L70&lt;&gt;1),MAX($N$8:N70)+1,"")</f>
        <v/>
      </c>
      <c r="O71" s="24" t="str">
        <f ca="1">IF(AND(L71&lt;&gt;1,L70=1),MAX($O$8:O70)+1,"")</f>
        <v/>
      </c>
      <c r="P71" s="17" t="str">
        <f ca="1">IF(AND(L71=-1,L70&lt;&gt;-1),MAX($P$8:P70)+1,"")</f>
        <v/>
      </c>
      <c r="Q71" s="24" t="str">
        <f ca="1">IF(AND(L71&lt;&gt;-1,L70=-1),MAX($Q$8:Q70)+1,"")</f>
        <v/>
      </c>
    </row>
    <row r="72" spans="1:17" x14ac:dyDescent="0.3">
      <c r="A72" s="3">
        <v>40284</v>
      </c>
      <c r="B72" s="9">
        <v>11.818828</v>
      </c>
      <c r="C72" s="9">
        <v>12.026472999999999</v>
      </c>
      <c r="E72" s="14">
        <f t="shared" si="11"/>
        <v>0.98273433948589917</v>
      </c>
      <c r="F72" s="18">
        <f t="shared" ca="1" si="10"/>
        <v>1.0861378276347824</v>
      </c>
      <c r="G72" s="15">
        <f t="shared" ca="1" si="8"/>
        <v>0.97508037784391022</v>
      </c>
      <c r="H72" s="15">
        <f t="shared" ca="1" si="9"/>
        <v>7.0469524651917562E-3</v>
      </c>
      <c r="J72" s="17">
        <f t="shared" ref="J72:J135" ca="1" si="12">IF(ISNUMBER(F72),IF(AND(J71&lt;&gt;1,F72&gt;$L$1),1,IF(AND(J71=1,F72&gt;$N$1),1,0)),"")</f>
        <v>1</v>
      </c>
      <c r="K72" s="24">
        <f t="shared" ca="1" si="6"/>
        <v>0</v>
      </c>
      <c r="L72" s="17">
        <f t="shared" ca="1" si="7"/>
        <v>1</v>
      </c>
      <c r="N72" s="24" t="str">
        <f ca="1">IF(AND(L72=1,L71&lt;&gt;1),MAX($N$8:N71)+1,"")</f>
        <v/>
      </c>
      <c r="O72" s="24" t="str">
        <f ca="1">IF(AND(L72&lt;&gt;1,L71=1),MAX($O$8:O71)+1,"")</f>
        <v/>
      </c>
      <c r="P72" s="17" t="str">
        <f ca="1">IF(AND(L72=-1,L71&lt;&gt;-1),MAX($P$8:P71)+1,"")</f>
        <v/>
      </c>
      <c r="Q72" s="24" t="str">
        <f ca="1">IF(AND(L72&lt;&gt;-1,L71=-1),MAX($Q$8:Q71)+1,"")</f>
        <v/>
      </c>
    </row>
    <row r="73" spans="1:17" x14ac:dyDescent="0.3">
      <c r="A73" s="3">
        <v>40287</v>
      </c>
      <c r="B73" s="9">
        <v>11.683191000000001</v>
      </c>
      <c r="C73" s="9">
        <v>11.921172</v>
      </c>
      <c r="E73" s="14">
        <f t="shared" si="11"/>
        <v>0.98003711380055591</v>
      </c>
      <c r="F73" s="18">
        <f t="shared" ca="1" si="10"/>
        <v>0.63643898173484137</v>
      </c>
      <c r="G73" s="15">
        <f t="shared" ca="1" si="8"/>
        <v>0.97560064658362156</v>
      </c>
      <c r="H73" s="15">
        <f t="shared" ca="1" si="9"/>
        <v>6.9707660031149967E-3</v>
      </c>
      <c r="J73" s="17">
        <f t="shared" ca="1" si="12"/>
        <v>1</v>
      </c>
      <c r="K73" s="24">
        <f t="shared" ref="K73:K136" ca="1" si="13">IF(ISNUMBER(F73),IF(AND(K72&lt;&gt;-1,F73&lt;$P$1),-1,IF(AND(K72=-1,F73&lt;R66),-1,0)),"")</f>
        <v>0</v>
      </c>
      <c r="L73" s="17">
        <f t="shared" ref="L73:L136" ca="1" si="14">IF(ISNUMBER(F73),IF(J73=1,1,IF(K73=-1,-1,0)),"")</f>
        <v>1</v>
      </c>
      <c r="N73" s="24" t="str">
        <f ca="1">IF(AND(L73=1,L72&lt;&gt;1),MAX($N$8:N72)+1,"")</f>
        <v/>
      </c>
      <c r="O73" s="24" t="str">
        <f ca="1">IF(AND(L73&lt;&gt;1,L72=1),MAX($O$8:O72)+1,"")</f>
        <v/>
      </c>
      <c r="P73" s="17" t="str">
        <f ca="1">IF(AND(L73=-1,L72&lt;&gt;-1),MAX($P$8:P72)+1,"")</f>
        <v/>
      </c>
      <c r="Q73" s="24" t="str">
        <f ca="1">IF(AND(L73&lt;&gt;-1,L72=-1),MAX($Q$8:Q72)+1,"")</f>
        <v/>
      </c>
    </row>
    <row r="74" spans="1:17" x14ac:dyDescent="0.3">
      <c r="A74" s="3">
        <v>40288</v>
      </c>
      <c r="B74" s="9">
        <v>11.787967999999999</v>
      </c>
      <c r="C74" s="9">
        <v>11.988841000000001</v>
      </c>
      <c r="E74" s="14">
        <f t="shared" si="11"/>
        <v>0.98324500258198422</v>
      </c>
      <c r="F74" s="18">
        <f t="shared" ca="1" si="10"/>
        <v>1.031150003151394</v>
      </c>
      <c r="G74" s="15">
        <f t="shared" ca="1" si="8"/>
        <v>0.97656370468333764</v>
      </c>
      <c r="H74" s="15">
        <f t="shared" ca="1" si="9"/>
        <v>6.4794626176863084E-3</v>
      </c>
      <c r="J74" s="17">
        <f t="shared" ca="1" si="12"/>
        <v>1</v>
      </c>
      <c r="K74" s="24">
        <f t="shared" ca="1" si="13"/>
        <v>0</v>
      </c>
      <c r="L74" s="17">
        <f t="shared" ca="1" si="14"/>
        <v>1</v>
      </c>
      <c r="N74" s="24" t="str">
        <f ca="1">IF(AND(L74=1,L73&lt;&gt;1),MAX($N$8:N73)+1,"")</f>
        <v/>
      </c>
      <c r="O74" s="24" t="str">
        <f ca="1">IF(AND(L74&lt;&gt;1,L73=1),MAX($O$8:O73)+1,"")</f>
        <v/>
      </c>
      <c r="P74" s="17" t="str">
        <f ca="1">IF(AND(L74=-1,L73&lt;&gt;-1),MAX($P$8:P73)+1,"")</f>
        <v/>
      </c>
      <c r="Q74" s="24" t="str">
        <f ca="1">IF(AND(L74&lt;&gt;-1,L73=-1),MAX($Q$8:Q73)+1,"")</f>
        <v/>
      </c>
    </row>
    <row r="75" spans="1:17" x14ac:dyDescent="0.3">
      <c r="A75" s="3">
        <v>40290</v>
      </c>
      <c r="B75" s="9">
        <v>11.680149999999999</v>
      </c>
      <c r="C75" s="9">
        <v>11.996375</v>
      </c>
      <c r="E75" s="14">
        <f t="shared" si="11"/>
        <v>0.9736399537360243</v>
      </c>
      <c r="F75" s="18">
        <f t="shared" ca="1" si="10"/>
        <v>-0.55870555364269447</v>
      </c>
      <c r="G75" s="15">
        <f t="shared" ca="1" si="8"/>
        <v>0.97697620905921212</v>
      </c>
      <c r="H75" s="15">
        <f t="shared" ca="1" si="9"/>
        <v>5.9714017543513352E-3</v>
      </c>
      <c r="J75" s="17">
        <f t="shared" ca="1" si="12"/>
        <v>0</v>
      </c>
      <c r="K75" s="24">
        <f t="shared" ca="1" si="13"/>
        <v>0</v>
      </c>
      <c r="L75" s="17">
        <f t="shared" ca="1" si="14"/>
        <v>0</v>
      </c>
      <c r="N75" s="24" t="str">
        <f ca="1">IF(AND(L75=1,L74&lt;&gt;1),MAX($N$8:N74)+1,"")</f>
        <v/>
      </c>
      <c r="O75" s="24">
        <f ca="1">IF(AND(L75&lt;&gt;1,L74=1),MAX($O$8:O74)+1,"")</f>
        <v>3</v>
      </c>
      <c r="P75" s="17" t="str">
        <f ca="1">IF(AND(L75=-1,L74&lt;&gt;-1),MAX($P$8:P74)+1,"")</f>
        <v/>
      </c>
      <c r="Q75" s="24" t="str">
        <f ca="1">IF(AND(L75&lt;&gt;-1,L74=-1),MAX($Q$8:Q74)+1,"")</f>
        <v/>
      </c>
    </row>
    <row r="76" spans="1:17" x14ac:dyDescent="0.3">
      <c r="A76" s="3">
        <v>40291</v>
      </c>
      <c r="B76" s="9">
        <v>11.695513999999999</v>
      </c>
      <c r="C76" s="9">
        <v>11.913629999999999</v>
      </c>
      <c r="E76" s="14">
        <f t="shared" si="11"/>
        <v>0.98169189407426616</v>
      </c>
      <c r="F76" s="18">
        <f t="shared" ca="1" si="10"/>
        <v>0.73776589569867701</v>
      </c>
      <c r="G76" s="15">
        <f t="shared" ca="1" si="8"/>
        <v>0.97723046852251005</v>
      </c>
      <c r="H76" s="15">
        <f t="shared" ca="1" si="9"/>
        <v>6.0472103383568E-3</v>
      </c>
      <c r="J76" s="17">
        <f t="shared" ca="1" si="12"/>
        <v>0</v>
      </c>
      <c r="K76" s="24">
        <f t="shared" ca="1" si="13"/>
        <v>0</v>
      </c>
      <c r="L76" s="17">
        <f t="shared" ca="1" si="14"/>
        <v>0</v>
      </c>
      <c r="N76" s="24" t="str">
        <f ca="1">IF(AND(L76=1,L75&lt;&gt;1),MAX($N$8:N75)+1,"")</f>
        <v/>
      </c>
      <c r="O76" s="24" t="str">
        <f ca="1">IF(AND(L76&lt;&gt;1,L75=1),MAX($O$8:O75)+1,"")</f>
        <v/>
      </c>
      <c r="P76" s="17" t="str">
        <f ca="1">IF(AND(L76=-1,L75&lt;&gt;-1),MAX($P$8:P75)+1,"")</f>
        <v/>
      </c>
      <c r="Q76" s="24" t="str">
        <f ca="1">IF(AND(L76&lt;&gt;-1,L75=-1),MAX($Q$8:Q75)+1,"")</f>
        <v/>
      </c>
    </row>
    <row r="77" spans="1:17" x14ac:dyDescent="0.3">
      <c r="A77" s="3">
        <v>40294</v>
      </c>
      <c r="B77" s="9">
        <v>11.544518</v>
      </c>
      <c r="C77" s="9">
        <v>11.751931000000001</v>
      </c>
      <c r="E77" s="14">
        <f t="shared" si="11"/>
        <v>0.98235073027573083</v>
      </c>
      <c r="F77" s="18">
        <f t="shared" ca="1" si="10"/>
        <v>0.8508580699587297</v>
      </c>
      <c r="G77" s="15">
        <f t="shared" ca="1" si="8"/>
        <v>0.97721610526405744</v>
      </c>
      <c r="H77" s="15">
        <f t="shared" ca="1" si="9"/>
        <v>6.0346433711587644E-3</v>
      </c>
      <c r="J77" s="17">
        <f t="shared" ca="1" si="12"/>
        <v>0</v>
      </c>
      <c r="K77" s="24">
        <f t="shared" ca="1" si="13"/>
        <v>0</v>
      </c>
      <c r="L77" s="17">
        <f t="shared" ca="1" si="14"/>
        <v>0</v>
      </c>
      <c r="N77" s="24" t="str">
        <f ca="1">IF(AND(L77=1,L76&lt;&gt;1),MAX($N$8:N76)+1,"")</f>
        <v/>
      </c>
      <c r="O77" s="24" t="str">
        <f ca="1">IF(AND(L77&lt;&gt;1,L76=1),MAX($O$8:O76)+1,"")</f>
        <v/>
      </c>
      <c r="P77" s="17" t="str">
        <f ca="1">IF(AND(L77=-1,L76&lt;&gt;-1),MAX($P$8:P76)+1,"")</f>
        <v/>
      </c>
      <c r="Q77" s="24" t="str">
        <f ca="1">IF(AND(L77&lt;&gt;-1,L76=-1),MAX($Q$8:Q76)+1,"")</f>
        <v/>
      </c>
    </row>
    <row r="78" spans="1:17" x14ac:dyDescent="0.3">
      <c r="A78" s="3">
        <v>40295</v>
      </c>
      <c r="B78" s="9">
        <v>11.159274999999999</v>
      </c>
      <c r="C78" s="9">
        <v>11.563929</v>
      </c>
      <c r="E78" s="14">
        <f t="shared" si="11"/>
        <v>0.96500722202635447</v>
      </c>
      <c r="F78" s="18">
        <f t="shared" ca="1" si="10"/>
        <v>-1.8253914801048829</v>
      </c>
      <c r="G78" s="15">
        <f t="shared" ca="1" si="8"/>
        <v>0.97686216282784843</v>
      </c>
      <c r="H78" s="15">
        <f t="shared" ca="1" si="9"/>
        <v>6.4944648480625118E-3</v>
      </c>
      <c r="J78" s="17">
        <f t="shared" ca="1" si="12"/>
        <v>0</v>
      </c>
      <c r="K78" s="24">
        <f t="shared" ca="1" si="13"/>
        <v>-1</v>
      </c>
      <c r="L78" s="17">
        <f t="shared" ca="1" si="14"/>
        <v>-1</v>
      </c>
      <c r="N78" s="24" t="str">
        <f ca="1">IF(AND(L78=1,L77&lt;&gt;1),MAX($N$8:N77)+1,"")</f>
        <v/>
      </c>
      <c r="O78" s="24" t="str">
        <f ca="1">IF(AND(L78&lt;&gt;1,L77=1),MAX($O$8:O77)+1,"")</f>
        <v/>
      </c>
      <c r="P78" s="17">
        <f ca="1">IF(AND(L78=-1,L77&lt;&gt;-1),MAX($P$8:P77)+1,"")</f>
        <v>3</v>
      </c>
      <c r="Q78" s="24" t="str">
        <f ca="1">IF(AND(L78&lt;&gt;-1,L77=-1),MAX($Q$8:Q77)+1,"")</f>
        <v/>
      </c>
    </row>
    <row r="79" spans="1:17" x14ac:dyDescent="0.3">
      <c r="A79" s="3">
        <v>40296</v>
      </c>
      <c r="B79" s="9">
        <v>11.442867</v>
      </c>
      <c r="C79" s="9">
        <v>11.770747</v>
      </c>
      <c r="E79" s="14">
        <f t="shared" si="11"/>
        <v>0.97214450365809402</v>
      </c>
      <c r="F79" s="18">
        <f t="shared" ca="1" si="10"/>
        <v>-0.74367323275708641</v>
      </c>
      <c r="G79" s="15">
        <f t="shared" ca="1" si="8"/>
        <v>0.97693079140007522</v>
      </c>
      <c r="H79" s="15">
        <f t="shared" ca="1" si="9"/>
        <v>6.436009165257388E-3</v>
      </c>
      <c r="J79" s="17">
        <f t="shared" ca="1" si="12"/>
        <v>0</v>
      </c>
      <c r="K79" s="24">
        <f t="shared" ca="1" si="13"/>
        <v>-1</v>
      </c>
      <c r="L79" s="17">
        <f t="shared" ca="1" si="14"/>
        <v>-1</v>
      </c>
      <c r="N79" s="24" t="str">
        <f ca="1">IF(AND(L79=1,L78&lt;&gt;1),MAX($N$8:N78)+1,"")</f>
        <v/>
      </c>
      <c r="O79" s="24" t="str">
        <f ca="1">IF(AND(L79&lt;&gt;1,L78=1),MAX($O$8:O78)+1,"")</f>
        <v/>
      </c>
      <c r="P79" s="17" t="str">
        <f ca="1">IF(AND(L79=-1,L78&lt;&gt;-1),MAX($P$8:P78)+1,"")</f>
        <v/>
      </c>
      <c r="Q79" s="24" t="str">
        <f ca="1">IF(AND(L79&lt;&gt;-1,L78=-1),MAX($Q$8:Q78)+1,"")</f>
        <v/>
      </c>
    </row>
    <row r="80" spans="1:17" x14ac:dyDescent="0.3">
      <c r="A80" s="3">
        <v>40297</v>
      </c>
      <c r="B80" s="9">
        <v>11.649291</v>
      </c>
      <c r="C80" s="9">
        <v>12.003913000000001</v>
      </c>
      <c r="E80" s="14">
        <f t="shared" si="11"/>
        <v>0.97045779988575387</v>
      </c>
      <c r="F80" s="18">
        <f t="shared" ca="1" si="10"/>
        <v>-0.91912413623439959</v>
      </c>
      <c r="G80" s="15">
        <f t="shared" ca="1" si="8"/>
        <v>0.9764060903166768</v>
      </c>
      <c r="H80" s="15">
        <f t="shared" ca="1" si="9"/>
        <v>6.4716942972390494E-3</v>
      </c>
      <c r="J80" s="17">
        <f t="shared" ca="1" si="12"/>
        <v>0</v>
      </c>
      <c r="K80" s="24">
        <f t="shared" ca="1" si="13"/>
        <v>-1</v>
      </c>
      <c r="L80" s="17">
        <f t="shared" ca="1" si="14"/>
        <v>-1</v>
      </c>
      <c r="N80" s="24" t="str">
        <f ca="1">IF(AND(L80=1,L79&lt;&gt;1),MAX($N$8:N79)+1,"")</f>
        <v/>
      </c>
      <c r="O80" s="24" t="str">
        <f ca="1">IF(AND(L80&lt;&gt;1,L79=1),MAX($O$8:O79)+1,"")</f>
        <v/>
      </c>
      <c r="P80" s="17" t="str">
        <f ca="1">IF(AND(L80=-1,L79&lt;&gt;-1),MAX($P$8:P79)+1,"")</f>
        <v/>
      </c>
      <c r="Q80" s="24" t="str">
        <f ca="1">IF(AND(L80&lt;&gt;-1,L79=-1),MAX($Q$8:Q79)+1,"")</f>
        <v/>
      </c>
    </row>
    <row r="81" spans="1:17" x14ac:dyDescent="0.3">
      <c r="A81" s="3">
        <v>40298</v>
      </c>
      <c r="B81" s="9">
        <v>11.618494999999999</v>
      </c>
      <c r="C81" s="9">
        <v>11.962543</v>
      </c>
      <c r="E81" s="14">
        <f t="shared" si="11"/>
        <v>0.97123956001662848</v>
      </c>
      <c r="F81" s="18">
        <f t="shared" ca="1" si="10"/>
        <v>-0.74233041373403164</v>
      </c>
      <c r="G81" s="15">
        <f t="shared" ca="1" si="8"/>
        <v>0.97610146905235096</v>
      </c>
      <c r="H81" s="15">
        <f t="shared" ca="1" si="9"/>
        <v>6.5495215415819451E-3</v>
      </c>
      <c r="J81" s="17">
        <f t="shared" ca="1" si="12"/>
        <v>0</v>
      </c>
      <c r="K81" s="24">
        <f t="shared" ca="1" si="13"/>
        <v>-1</v>
      </c>
      <c r="L81" s="17">
        <f t="shared" ca="1" si="14"/>
        <v>-1</v>
      </c>
      <c r="N81" s="24" t="str">
        <f ca="1">IF(AND(L81=1,L80&lt;&gt;1),MAX($N$8:N80)+1,"")</f>
        <v/>
      </c>
      <c r="O81" s="24" t="str">
        <f ca="1">IF(AND(L81&lt;&gt;1,L80=1),MAX($O$8:O80)+1,"")</f>
        <v/>
      </c>
      <c r="P81" s="17" t="str">
        <f ca="1">IF(AND(L81=-1,L80&lt;&gt;-1),MAX($P$8:P80)+1,"")</f>
        <v/>
      </c>
      <c r="Q81" s="24" t="str">
        <f ca="1">IF(AND(L81&lt;&gt;-1,L80=-1),MAX($Q$8:Q80)+1,"")</f>
        <v/>
      </c>
    </row>
    <row r="82" spans="1:17" x14ac:dyDescent="0.3">
      <c r="A82" s="3">
        <v>40301</v>
      </c>
      <c r="B82" s="9">
        <v>11.657438000000001</v>
      </c>
      <c r="C82" s="9">
        <v>11.913629999999999</v>
      </c>
      <c r="E82" s="14">
        <f t="shared" si="11"/>
        <v>0.97849589084099486</v>
      </c>
      <c r="F82" s="18">
        <f t="shared" ca="1" si="10"/>
        <v>0.37512410653338274</v>
      </c>
      <c r="G82" s="15">
        <f t="shared" ca="1" si="8"/>
        <v>0.97604819915953034</v>
      </c>
      <c r="H82" s="15">
        <f t="shared" ca="1" si="9"/>
        <v>6.5250183574824521E-3</v>
      </c>
      <c r="J82" s="17">
        <f t="shared" ca="1" si="12"/>
        <v>0</v>
      </c>
      <c r="K82" s="24">
        <f t="shared" ca="1" si="13"/>
        <v>0</v>
      </c>
      <c r="L82" s="17">
        <f t="shared" ca="1" si="14"/>
        <v>0</v>
      </c>
      <c r="N82" s="24" t="str">
        <f ca="1">IF(AND(L82=1,L81&lt;&gt;1),MAX($N$8:N81)+1,"")</f>
        <v/>
      </c>
      <c r="O82" s="24" t="str">
        <f ca="1">IF(AND(L82&lt;&gt;1,L81=1),MAX($O$8:O81)+1,"")</f>
        <v/>
      </c>
      <c r="P82" s="17" t="str">
        <f ca="1">IF(AND(L82=-1,L81&lt;&gt;-1),MAX($P$8:P81)+1,"")</f>
        <v/>
      </c>
      <c r="Q82" s="24">
        <f ca="1">IF(AND(L82&lt;&gt;-1,L81=-1),MAX($Q$8:Q81)+1,"")</f>
        <v>3</v>
      </c>
    </row>
    <row r="83" spans="1:17" x14ac:dyDescent="0.3">
      <c r="A83" s="3">
        <v>40302</v>
      </c>
      <c r="B83" s="9">
        <v>11.349064</v>
      </c>
      <c r="C83" s="9">
        <v>11.617592999999999</v>
      </c>
      <c r="E83" s="14">
        <f t="shared" si="11"/>
        <v>0.97688600383917745</v>
      </c>
      <c r="F83" s="18">
        <f t="shared" ca="1" si="10"/>
        <v>0.11592675845618605</v>
      </c>
      <c r="G83" s="15">
        <f t="shared" ca="1" si="8"/>
        <v>0.97612972407886567</v>
      </c>
      <c r="H83" s="15">
        <f t="shared" ca="1" si="9"/>
        <v>6.5237721677313745E-3</v>
      </c>
      <c r="J83" s="17">
        <f t="shared" ca="1" si="12"/>
        <v>0</v>
      </c>
      <c r="K83" s="24">
        <f t="shared" ca="1" si="13"/>
        <v>0</v>
      </c>
      <c r="L83" s="17">
        <f t="shared" ca="1" si="14"/>
        <v>0</v>
      </c>
      <c r="N83" s="24" t="str">
        <f ca="1">IF(AND(L83=1,L82&lt;&gt;1),MAX($N$8:N82)+1,"")</f>
        <v/>
      </c>
      <c r="O83" s="24" t="str">
        <f ca="1">IF(AND(L83&lt;&gt;1,L82=1),MAX($O$8:O82)+1,"")</f>
        <v/>
      </c>
      <c r="P83" s="17" t="str">
        <f ca="1">IF(AND(L83=-1,L82&lt;&gt;-1),MAX($P$8:P82)+1,"")</f>
        <v/>
      </c>
      <c r="Q83" s="24" t="str">
        <f ca="1">IF(AND(L83&lt;&gt;-1,L82=-1),MAX($Q$8:Q82)+1,"")</f>
        <v/>
      </c>
    </row>
    <row r="84" spans="1:17" x14ac:dyDescent="0.3">
      <c r="A84" s="3">
        <v>40303</v>
      </c>
      <c r="B84" s="9">
        <v>11.31209</v>
      </c>
      <c r="C84" s="9">
        <v>11.651453999999999</v>
      </c>
      <c r="E84" s="14">
        <f t="shared" si="11"/>
        <v>0.97087367808343916</v>
      </c>
      <c r="F84" s="18">
        <f t="shared" ca="1" si="10"/>
        <v>-0.83097252046156234</v>
      </c>
      <c r="G84" s="15">
        <f t="shared" ca="1" si="8"/>
        <v>0.97622096836676531</v>
      </c>
      <c r="H84" s="15">
        <f t="shared" ca="1" si="9"/>
        <v>6.4349784760102547E-3</v>
      </c>
      <c r="J84" s="17">
        <f t="shared" ca="1" si="12"/>
        <v>0</v>
      </c>
      <c r="K84" s="24">
        <f t="shared" ca="1" si="13"/>
        <v>0</v>
      </c>
      <c r="L84" s="17">
        <f t="shared" ca="1" si="14"/>
        <v>0</v>
      </c>
      <c r="N84" s="24" t="str">
        <f ca="1">IF(AND(L84=1,L83&lt;&gt;1),MAX($N$8:N83)+1,"")</f>
        <v/>
      </c>
      <c r="O84" s="24" t="str">
        <f ca="1">IF(AND(L84&lt;&gt;1,L83=1),MAX($O$8:O83)+1,"")</f>
        <v/>
      </c>
      <c r="P84" s="17" t="str">
        <f ca="1">IF(AND(L84=-1,L83&lt;&gt;-1),MAX($P$8:P83)+1,"")</f>
        <v/>
      </c>
      <c r="Q84" s="24" t="str">
        <f ca="1">IF(AND(L84&lt;&gt;-1,L83=-1),MAX($Q$8:Q83)+1,"")</f>
        <v/>
      </c>
    </row>
    <row r="85" spans="1:17" x14ac:dyDescent="0.3">
      <c r="A85" s="3">
        <v>40304</v>
      </c>
      <c r="B85" s="9">
        <v>11.176356</v>
      </c>
      <c r="C85" s="9">
        <v>11.66649</v>
      </c>
      <c r="E85" s="14">
        <f t="shared" si="11"/>
        <v>0.95798787810215413</v>
      </c>
      <c r="F85" s="18">
        <f t="shared" ca="1" si="10"/>
        <v>-2.3346035915642718</v>
      </c>
      <c r="G85" s="15">
        <f t="shared" ca="1" si="8"/>
        <v>0.97543681920174841</v>
      </c>
      <c r="H85" s="15">
        <f t="shared" ca="1" si="9"/>
        <v>7.4740487689830158E-3</v>
      </c>
      <c r="J85" s="17">
        <f t="shared" ca="1" si="12"/>
        <v>0</v>
      </c>
      <c r="K85" s="24">
        <f t="shared" ca="1" si="13"/>
        <v>-1</v>
      </c>
      <c r="L85" s="17">
        <f t="shared" ca="1" si="14"/>
        <v>-1</v>
      </c>
      <c r="N85" s="24" t="str">
        <f ca="1">IF(AND(L85=1,L84&lt;&gt;1),MAX($N$8:N84)+1,"")</f>
        <v/>
      </c>
      <c r="O85" s="24" t="str">
        <f ca="1">IF(AND(L85&lt;&gt;1,L84=1),MAX($O$8:O84)+1,"")</f>
        <v/>
      </c>
      <c r="P85" s="17">
        <f ca="1">IF(AND(L85=-1,L84&lt;&gt;-1),MAX($P$8:P84)+1,"")</f>
        <v>4</v>
      </c>
      <c r="Q85" s="24" t="str">
        <f ca="1">IF(AND(L85&lt;&gt;-1,L84=-1),MAX($Q$8:Q84)+1,"")</f>
        <v/>
      </c>
    </row>
    <row r="86" spans="1:17" x14ac:dyDescent="0.3">
      <c r="A86" s="3">
        <v>40305</v>
      </c>
      <c r="B86" s="9">
        <v>11.145543</v>
      </c>
      <c r="C86" s="9">
        <v>11.55362</v>
      </c>
      <c r="E86" s="14">
        <f t="shared" si="11"/>
        <v>0.96467972808522351</v>
      </c>
      <c r="F86" s="18">
        <f t="shared" ca="1" si="10"/>
        <v>-1.3170463759734645</v>
      </c>
      <c r="G86" s="15">
        <f t="shared" ca="1" si="8"/>
        <v>0.97495682730087052</v>
      </c>
      <c r="H86" s="15">
        <f t="shared" ca="1" si="9"/>
        <v>7.8031414862296932E-3</v>
      </c>
      <c r="J86" s="17">
        <f t="shared" ca="1" si="12"/>
        <v>0</v>
      </c>
      <c r="K86" s="24">
        <f t="shared" ca="1" si="13"/>
        <v>-1</v>
      </c>
      <c r="L86" s="17">
        <f t="shared" ca="1" si="14"/>
        <v>-1</v>
      </c>
      <c r="N86" s="24" t="str">
        <f ca="1">IF(AND(L86=1,L85&lt;&gt;1),MAX($N$8:N85)+1,"")</f>
        <v/>
      </c>
      <c r="O86" s="24" t="str">
        <f ca="1">IF(AND(L86&lt;&gt;1,L85=1),MAX($O$8:O85)+1,"")</f>
        <v/>
      </c>
      <c r="P86" s="17" t="str">
        <f ca="1">IF(AND(L86=-1,L85&lt;&gt;-1),MAX($P$8:P85)+1,"")</f>
        <v/>
      </c>
      <c r="Q86" s="24" t="str">
        <f ca="1">IF(AND(L86&lt;&gt;-1,L85=-1),MAX($Q$8:Q85)+1,"")</f>
        <v/>
      </c>
    </row>
    <row r="87" spans="1:17" x14ac:dyDescent="0.3">
      <c r="A87" s="3">
        <v>40308</v>
      </c>
      <c r="B87" s="9">
        <v>11.623506000000001</v>
      </c>
      <c r="C87" s="9">
        <v>11.914915000000001</v>
      </c>
      <c r="E87" s="14">
        <f t="shared" si="11"/>
        <v>0.97554250282104404</v>
      </c>
      <c r="F87" s="18">
        <f t="shared" ca="1" si="10"/>
        <v>1.5934813838626511E-2</v>
      </c>
      <c r="G87" s="15">
        <f t="shared" ca="1" si="8"/>
        <v>0.97542278892625089</v>
      </c>
      <c r="H87" s="15">
        <f t="shared" ca="1" si="9"/>
        <v>7.5127262863253132E-3</v>
      </c>
      <c r="J87" s="17">
        <f t="shared" ca="1" si="12"/>
        <v>0</v>
      </c>
      <c r="K87" s="24">
        <f t="shared" ca="1" si="13"/>
        <v>0</v>
      </c>
      <c r="L87" s="17">
        <f t="shared" ca="1" si="14"/>
        <v>0</v>
      </c>
      <c r="N87" s="24" t="str">
        <f ca="1">IF(AND(L87=1,L86&lt;&gt;1),MAX($N$8:N86)+1,"")</f>
        <v/>
      </c>
      <c r="O87" s="24" t="str">
        <f ca="1">IF(AND(L87&lt;&gt;1,L86=1),MAX($O$8:O86)+1,"")</f>
        <v/>
      </c>
      <c r="P87" s="17" t="str">
        <f ca="1">IF(AND(L87=-1,L86&lt;&gt;-1),MAX($P$8:P86)+1,"")</f>
        <v/>
      </c>
      <c r="Q87" s="24">
        <f ca="1">IF(AND(L87&lt;&gt;-1,L86=-1),MAX($Q$8:Q86)+1,"")</f>
        <v>4</v>
      </c>
    </row>
    <row r="88" spans="1:17" x14ac:dyDescent="0.3">
      <c r="A88" s="3">
        <v>40309</v>
      </c>
      <c r="B88" s="9">
        <v>11.463193</v>
      </c>
      <c r="C88" s="9">
        <v>11.798247999999999</v>
      </c>
      <c r="E88" s="14">
        <f t="shared" si="11"/>
        <v>0.9716012919884377</v>
      </c>
      <c r="F88" s="18">
        <f t="shared" ca="1" si="10"/>
        <v>-0.51285165473088234</v>
      </c>
      <c r="G88" s="15">
        <f t="shared" ca="1" si="8"/>
        <v>0.97544732620519603</v>
      </c>
      <c r="H88" s="15">
        <f t="shared" ca="1" si="9"/>
        <v>7.4993113140612343E-3</v>
      </c>
      <c r="J88" s="17">
        <f t="shared" ca="1" si="12"/>
        <v>0</v>
      </c>
      <c r="K88" s="24">
        <f t="shared" ca="1" si="13"/>
        <v>0</v>
      </c>
      <c r="L88" s="17">
        <f t="shared" ca="1" si="14"/>
        <v>0</v>
      </c>
      <c r="N88" s="24" t="str">
        <f ca="1">IF(AND(L88=1,L87&lt;&gt;1),MAX($N$8:N87)+1,"")</f>
        <v/>
      </c>
      <c r="O88" s="24" t="str">
        <f ca="1">IF(AND(L88&lt;&gt;1,L87=1),MAX($O$8:O87)+1,"")</f>
        <v/>
      </c>
      <c r="P88" s="17" t="str">
        <f ca="1">IF(AND(L88=-1,L87&lt;&gt;-1),MAX($P$8:P87)+1,"")</f>
        <v/>
      </c>
      <c r="Q88" s="24" t="str">
        <f ca="1">IF(AND(L88&lt;&gt;-1,L87=-1),MAX($Q$8:Q87)+1,"")</f>
        <v/>
      </c>
    </row>
    <row r="89" spans="1:17" x14ac:dyDescent="0.3">
      <c r="A89" s="3">
        <v>40310</v>
      </c>
      <c r="B89" s="9">
        <v>11.441583</v>
      </c>
      <c r="C89" s="9">
        <v>11.922404999999999</v>
      </c>
      <c r="E89" s="14">
        <f t="shared" si="11"/>
        <v>0.95967072079836246</v>
      </c>
      <c r="F89" s="18">
        <f t="shared" ca="1" si="10"/>
        <v>-1.8494954583088432</v>
      </c>
      <c r="G89" s="15">
        <f t="shared" ca="1" si="8"/>
        <v>0.97481023687028201</v>
      </c>
      <c r="H89" s="15">
        <f t="shared" ca="1" si="9"/>
        <v>8.1857546629300407E-3</v>
      </c>
      <c r="J89" s="17">
        <f t="shared" ca="1" si="12"/>
        <v>0</v>
      </c>
      <c r="K89" s="24">
        <f t="shared" ca="1" si="13"/>
        <v>-1</v>
      </c>
      <c r="L89" s="17">
        <f t="shared" ca="1" si="14"/>
        <v>-1</v>
      </c>
      <c r="N89" s="24" t="str">
        <f ca="1">IF(AND(L89=1,L88&lt;&gt;1),MAX($N$8:N88)+1,"")</f>
        <v/>
      </c>
      <c r="O89" s="24" t="str">
        <f ca="1">IF(AND(L89&lt;&gt;1,L88=1),MAX($O$8:O88)+1,"")</f>
        <v/>
      </c>
      <c r="P89" s="17">
        <f ca="1">IF(AND(L89=-1,L88&lt;&gt;-1),MAX($P$8:P88)+1,"")</f>
        <v>5</v>
      </c>
      <c r="Q89" s="24" t="str">
        <f ca="1">IF(AND(L89&lt;&gt;-1,L88=-1),MAX($Q$8:Q88)+1,"")</f>
        <v/>
      </c>
    </row>
    <row r="90" spans="1:17" x14ac:dyDescent="0.3">
      <c r="A90" s="3">
        <v>40311</v>
      </c>
      <c r="B90" s="9">
        <v>11.271996</v>
      </c>
      <c r="C90" s="9">
        <v>11.741752999999999</v>
      </c>
      <c r="E90" s="14">
        <f t="shared" si="11"/>
        <v>0.95999260076412785</v>
      </c>
      <c r="F90" s="18">
        <f t="shared" ca="1" si="10"/>
        <v>-1.6247240657611715</v>
      </c>
      <c r="G90" s="15">
        <f t="shared" ca="1" si="8"/>
        <v>0.97420481391246372</v>
      </c>
      <c r="H90" s="15">
        <f t="shared" ca="1" si="9"/>
        <v>8.7474626909508808E-3</v>
      </c>
      <c r="J90" s="17">
        <f t="shared" ca="1" si="12"/>
        <v>0</v>
      </c>
      <c r="K90" s="24">
        <f t="shared" ca="1" si="13"/>
        <v>-1</v>
      </c>
      <c r="L90" s="17">
        <f t="shared" ca="1" si="14"/>
        <v>-1</v>
      </c>
      <c r="N90" s="24" t="str">
        <f ca="1">IF(AND(L90=1,L89&lt;&gt;1),MAX($N$8:N89)+1,"")</f>
        <v/>
      </c>
      <c r="O90" s="24" t="str">
        <f ca="1">IF(AND(L90&lt;&gt;1,L89=1),MAX($O$8:O89)+1,"")</f>
        <v/>
      </c>
      <c r="P90" s="17" t="str">
        <f ca="1">IF(AND(L90=-1,L89&lt;&gt;-1),MAX($P$8:P89)+1,"")</f>
        <v/>
      </c>
      <c r="Q90" s="24" t="str">
        <f ca="1">IF(AND(L90&lt;&gt;-1,L89=-1),MAX($Q$8:Q89)+1,"")</f>
        <v/>
      </c>
    </row>
    <row r="91" spans="1:17" x14ac:dyDescent="0.3">
      <c r="A91" s="3">
        <v>40312</v>
      </c>
      <c r="B91" s="9">
        <v>11.086957999999999</v>
      </c>
      <c r="C91" s="9">
        <v>11.591218</v>
      </c>
      <c r="E91" s="14">
        <f t="shared" si="11"/>
        <v>0.95649637510052865</v>
      </c>
      <c r="F91" s="18">
        <f t="shared" ca="1" si="10"/>
        <v>-1.7719404132811856</v>
      </c>
      <c r="G91" s="15">
        <f t="shared" ca="1" si="8"/>
        <v>0.97317400136098442</v>
      </c>
      <c r="H91" s="15">
        <f t="shared" ca="1" si="9"/>
        <v>9.4120694665872102E-3</v>
      </c>
      <c r="J91" s="17">
        <f t="shared" ca="1" si="12"/>
        <v>0</v>
      </c>
      <c r="K91" s="24">
        <f t="shared" ca="1" si="13"/>
        <v>-1</v>
      </c>
      <c r="L91" s="17">
        <f t="shared" ca="1" si="14"/>
        <v>-1</v>
      </c>
      <c r="N91" s="24" t="str">
        <f ca="1">IF(AND(L91=1,L90&lt;&gt;1),MAX($N$8:N90)+1,"")</f>
        <v/>
      </c>
      <c r="O91" s="24" t="str">
        <f ca="1">IF(AND(L91&lt;&gt;1,L90=1),MAX($O$8:O90)+1,"")</f>
        <v/>
      </c>
      <c r="P91" s="17" t="str">
        <f ca="1">IF(AND(L91=-1,L90&lt;&gt;-1),MAX($P$8:P90)+1,"")</f>
        <v/>
      </c>
      <c r="Q91" s="24" t="str">
        <f ca="1">IF(AND(L91&lt;&gt;-1,L90=-1),MAX($Q$8:Q90)+1,"")</f>
        <v/>
      </c>
    </row>
    <row r="92" spans="1:17" x14ac:dyDescent="0.3">
      <c r="A92" s="3">
        <v>40315</v>
      </c>
      <c r="B92" s="9">
        <v>11.071517</v>
      </c>
      <c r="C92" s="9">
        <v>11.647716000000001</v>
      </c>
      <c r="E92" s="14">
        <f t="shared" si="11"/>
        <v>0.9505311599286933</v>
      </c>
      <c r="F92" s="18">
        <f t="shared" ca="1" si="10"/>
        <v>-2.0559016887330031</v>
      </c>
      <c r="G92" s="15">
        <f t="shared" ca="1" si="8"/>
        <v>0.97175870455691282</v>
      </c>
      <c r="H92" s="15">
        <f t="shared" ca="1" si="9"/>
        <v>1.0325174955861573E-2</v>
      </c>
      <c r="J92" s="17">
        <f t="shared" ca="1" si="12"/>
        <v>0</v>
      </c>
      <c r="K92" s="24">
        <f t="shared" ca="1" si="13"/>
        <v>-1</v>
      </c>
      <c r="L92" s="17">
        <f t="shared" ca="1" si="14"/>
        <v>-1</v>
      </c>
      <c r="N92" s="24" t="str">
        <f ca="1">IF(AND(L92=1,L91&lt;&gt;1),MAX($N$8:N91)+1,"")</f>
        <v/>
      </c>
      <c r="O92" s="24" t="str">
        <f ca="1">IF(AND(L92&lt;&gt;1,L91=1),MAX($O$8:O91)+1,"")</f>
        <v/>
      </c>
      <c r="P92" s="17" t="str">
        <f ca="1">IF(AND(L92=-1,L91&lt;&gt;-1),MAX($P$8:P91)+1,"")</f>
        <v/>
      </c>
      <c r="Q92" s="24" t="str">
        <f ca="1">IF(AND(L92&lt;&gt;-1,L91=-1),MAX($Q$8:Q91)+1,"")</f>
        <v/>
      </c>
    </row>
    <row r="93" spans="1:17" x14ac:dyDescent="0.3">
      <c r="A93" s="3">
        <v>40316</v>
      </c>
      <c r="B93" s="9">
        <v>10.790849</v>
      </c>
      <c r="C93" s="9">
        <v>11.365418</v>
      </c>
      <c r="E93" s="14">
        <f t="shared" si="11"/>
        <v>0.94944585408121374</v>
      </c>
      <c r="F93" s="18">
        <f t="shared" ca="1" si="10"/>
        <v>-1.9922003306890723</v>
      </c>
      <c r="G93" s="15">
        <f t="shared" ca="1" si="8"/>
        <v>0.96976144563521338</v>
      </c>
      <c r="H93" s="15">
        <f t="shared" ca="1" si="9"/>
        <v>1.0197564592800155E-2</v>
      </c>
      <c r="J93" s="17">
        <f t="shared" ca="1" si="12"/>
        <v>0</v>
      </c>
      <c r="K93" s="24">
        <f t="shared" ca="1" si="13"/>
        <v>-1</v>
      </c>
      <c r="L93" s="17">
        <f t="shared" ca="1" si="14"/>
        <v>-1</v>
      </c>
      <c r="N93" s="24" t="str">
        <f ca="1">IF(AND(L93=1,L92&lt;&gt;1),MAX($N$8:N92)+1,"")</f>
        <v/>
      </c>
      <c r="O93" s="24" t="str">
        <f ca="1">IF(AND(L93&lt;&gt;1,L92=1),MAX($O$8:O92)+1,"")</f>
        <v/>
      </c>
      <c r="P93" s="17" t="str">
        <f ca="1">IF(AND(L93=-1,L92&lt;&gt;-1),MAX($P$8:P92)+1,"")</f>
        <v/>
      </c>
      <c r="Q93" s="24" t="str">
        <f ca="1">IF(AND(L93&lt;&gt;-1,L92=-1),MAX($Q$8:Q92)+1,"")</f>
        <v/>
      </c>
    </row>
    <row r="94" spans="1:17" x14ac:dyDescent="0.3">
      <c r="A94" s="3">
        <v>40317</v>
      </c>
      <c r="B94" s="9">
        <v>10.238852</v>
      </c>
      <c r="C94" s="9">
        <v>11.026756000000001</v>
      </c>
      <c r="E94" s="14">
        <f t="shared" si="11"/>
        <v>0.92854616534545598</v>
      </c>
      <c r="F94" s="18">
        <f t="shared" ca="1" si="10"/>
        <v>-2.9943686732319277</v>
      </c>
      <c r="G94" s="15">
        <f t="shared" ca="1" si="8"/>
        <v>0.96729834681064764</v>
      </c>
      <c r="H94" s="15">
        <f t="shared" ca="1" si="9"/>
        <v>1.2941686777455183E-2</v>
      </c>
      <c r="J94" s="17">
        <f t="shared" ca="1" si="12"/>
        <v>0</v>
      </c>
      <c r="K94" s="24">
        <f t="shared" ca="1" si="13"/>
        <v>-1</v>
      </c>
      <c r="L94" s="17">
        <f t="shared" ca="1" si="14"/>
        <v>-1</v>
      </c>
      <c r="N94" s="24" t="str">
        <f ca="1">IF(AND(L94=1,L93&lt;&gt;1),MAX($N$8:N93)+1,"")</f>
        <v/>
      </c>
      <c r="O94" s="24" t="str">
        <f ca="1">IF(AND(L94&lt;&gt;1,L93=1),MAX($O$8:O93)+1,"")</f>
        <v/>
      </c>
      <c r="P94" s="17" t="str">
        <f ca="1">IF(AND(L94=-1,L93&lt;&gt;-1),MAX($P$8:P93)+1,"")</f>
        <v/>
      </c>
      <c r="Q94" s="24" t="str">
        <f ca="1">IF(AND(L94&lt;&gt;-1,L93=-1),MAX($Q$8:Q93)+1,"")</f>
        <v/>
      </c>
    </row>
    <row r="95" spans="1:17" x14ac:dyDescent="0.3">
      <c r="A95" s="3">
        <v>40318</v>
      </c>
      <c r="B95" s="9">
        <v>10.229574</v>
      </c>
      <c r="C95" s="9">
        <v>10.857398</v>
      </c>
      <c r="E95" s="14">
        <f t="shared" si="11"/>
        <v>0.94217546413975062</v>
      </c>
      <c r="F95" s="18">
        <f t="shared" ca="1" si="10"/>
        <v>-1.7166566439052378</v>
      </c>
      <c r="G95" s="15">
        <f t="shared" ref="G95:G158" ca="1" si="15">IF(ISNUMBER(E95),IF(ROW(E95)&gt;$J$1,AVERAGE(OFFSET(E95,0,0,-$J$1)),""),"")</f>
        <v>0.96557736273515649</v>
      </c>
      <c r="H95" s="15">
        <f t="shared" ref="H95:H158" ca="1" si="16">IF(ISNUMBER(E95),IF(ROW(E95)&gt;$J$1,_xlfn.STDEV.P(OFFSET(E95,0,0,-$J$1)),""),"")</f>
        <v>1.3632253531008203E-2</v>
      </c>
      <c r="J95" s="17">
        <f t="shared" ca="1" si="12"/>
        <v>0</v>
      </c>
      <c r="K95" s="24">
        <f t="shared" ca="1" si="13"/>
        <v>-1</v>
      </c>
      <c r="L95" s="17">
        <f t="shared" ca="1" si="14"/>
        <v>-1</v>
      </c>
      <c r="N95" s="24" t="str">
        <f ca="1">IF(AND(L95=1,L94&lt;&gt;1),MAX($N$8:N94)+1,"")</f>
        <v/>
      </c>
      <c r="O95" s="24" t="str">
        <f ca="1">IF(AND(L95&lt;&gt;1,L94=1),MAX($O$8:O94)+1,"")</f>
        <v/>
      </c>
      <c r="P95" s="17" t="str">
        <f ca="1">IF(AND(L95=-1,L94&lt;&gt;-1),MAX($P$8:P94)+1,"")</f>
        <v/>
      </c>
      <c r="Q95" s="24" t="str">
        <f ca="1">IF(AND(L95&lt;&gt;-1,L94=-1),MAX($Q$8:Q94)+1,"")</f>
        <v/>
      </c>
    </row>
    <row r="96" spans="1:17" x14ac:dyDescent="0.3">
      <c r="A96" s="3">
        <v>40319</v>
      </c>
      <c r="B96" s="9">
        <v>10.331367999999999</v>
      </c>
      <c r="C96" s="9">
        <v>11.365418</v>
      </c>
      <c r="E96" s="14">
        <f t="shared" si="11"/>
        <v>0.90901786454312539</v>
      </c>
      <c r="F96" s="18">
        <f t="shared" ca="1" si="10"/>
        <v>-3.0420340187055048</v>
      </c>
      <c r="G96" s="15">
        <f t="shared" ca="1" si="15"/>
        <v>0.96220340191520826</v>
      </c>
      <c r="H96" s="15">
        <f t="shared" ca="1" si="16"/>
        <v>1.7483544577425611E-2</v>
      </c>
      <c r="J96" s="17">
        <f t="shared" ca="1" si="12"/>
        <v>0</v>
      </c>
      <c r="K96" s="24">
        <f t="shared" ca="1" si="13"/>
        <v>-1</v>
      </c>
      <c r="L96" s="17">
        <f t="shared" ca="1" si="14"/>
        <v>-1</v>
      </c>
      <c r="N96" s="24" t="str">
        <f ca="1">IF(AND(L96=1,L95&lt;&gt;1),MAX($N$8:N95)+1,"")</f>
        <v/>
      </c>
      <c r="O96" s="24" t="str">
        <f ca="1">IF(AND(L96&lt;&gt;1,L95=1),MAX($O$8:O95)+1,"")</f>
        <v/>
      </c>
      <c r="P96" s="17" t="str">
        <f ca="1">IF(AND(L96=-1,L95&lt;&gt;-1),MAX($P$8:P95)+1,"")</f>
        <v/>
      </c>
      <c r="Q96" s="24" t="str">
        <f ca="1">IF(AND(L96&lt;&gt;-1,L95=-1),MAX($Q$8:Q95)+1,"")</f>
        <v/>
      </c>
    </row>
    <row r="97" spans="1:17" x14ac:dyDescent="0.3">
      <c r="A97" s="3">
        <v>40322</v>
      </c>
      <c r="B97" s="9">
        <v>10.152502999999999</v>
      </c>
      <c r="C97" s="9">
        <v>11.248754999999999</v>
      </c>
      <c r="E97" s="14">
        <f t="shared" si="11"/>
        <v>0.90254459271270471</v>
      </c>
      <c r="F97" s="18">
        <f t="shared" ca="1" si="10"/>
        <v>-2.6568574555393276</v>
      </c>
      <c r="G97" s="15">
        <f t="shared" ca="1" si="15"/>
        <v>0.95897179459596638</v>
      </c>
      <c r="H97" s="15">
        <f t="shared" ca="1" si="16"/>
        <v>2.123832491111468E-2</v>
      </c>
      <c r="J97" s="17">
        <f t="shared" ca="1" si="12"/>
        <v>0</v>
      </c>
      <c r="K97" s="24">
        <f t="shared" ca="1" si="13"/>
        <v>-1</v>
      </c>
      <c r="L97" s="17">
        <f t="shared" ca="1" si="14"/>
        <v>-1</v>
      </c>
      <c r="N97" s="24" t="str">
        <f ca="1">IF(AND(L97=1,L96&lt;&gt;1),MAX($N$8:N96)+1,"")</f>
        <v/>
      </c>
      <c r="O97" s="24" t="str">
        <f ca="1">IF(AND(L97&lt;&gt;1,L96=1),MAX($O$8:O96)+1,"")</f>
        <v/>
      </c>
      <c r="P97" s="17" t="str">
        <f ca="1">IF(AND(L97=-1,L96&lt;&gt;-1),MAX($P$8:P96)+1,"")</f>
        <v/>
      </c>
      <c r="Q97" s="24" t="str">
        <f ca="1">IF(AND(L97&lt;&gt;-1,L96=-1),MAX($Q$8:Q96)+1,"")</f>
        <v/>
      </c>
    </row>
    <row r="98" spans="1:17" x14ac:dyDescent="0.3">
      <c r="A98" s="3">
        <v>40323</v>
      </c>
      <c r="B98" s="9">
        <v>9.9026460000000007</v>
      </c>
      <c r="C98" s="9">
        <v>10.789671999999999</v>
      </c>
      <c r="E98" s="14">
        <f t="shared" si="11"/>
        <v>0.91778934521827926</v>
      </c>
      <c r="F98" s="18">
        <f t="shared" ca="1" si="10"/>
        <v>-1.718279599573866</v>
      </c>
      <c r="G98" s="15">
        <f t="shared" ca="1" si="15"/>
        <v>0.95606713328433068</v>
      </c>
      <c r="H98" s="15">
        <f t="shared" ca="1" si="16"/>
        <v>2.2276809941492833E-2</v>
      </c>
      <c r="J98" s="17">
        <f t="shared" ca="1" si="12"/>
        <v>0</v>
      </c>
      <c r="K98" s="24">
        <f t="shared" ca="1" si="13"/>
        <v>-1</v>
      </c>
      <c r="L98" s="17">
        <f t="shared" ca="1" si="14"/>
        <v>-1</v>
      </c>
      <c r="N98" s="24" t="str">
        <f ca="1">IF(AND(L98=1,L97&lt;&gt;1),MAX($N$8:N97)+1,"")</f>
        <v/>
      </c>
      <c r="O98" s="24" t="str">
        <f ca="1">IF(AND(L98&lt;&gt;1,L97=1),MAX($O$8:O97)+1,"")</f>
        <v/>
      </c>
      <c r="P98" s="17" t="str">
        <f ca="1">IF(AND(L98=-1,L97&lt;&gt;-1),MAX($P$8:P97)+1,"")</f>
        <v/>
      </c>
      <c r="Q98" s="24" t="str">
        <f ca="1">IF(AND(L98&lt;&gt;-1,L97=-1),MAX($Q$8:Q97)+1,"")</f>
        <v/>
      </c>
    </row>
    <row r="99" spans="1:17" x14ac:dyDescent="0.3">
      <c r="A99" s="3">
        <v>40324</v>
      </c>
      <c r="B99" s="9">
        <v>10.235742</v>
      </c>
      <c r="C99" s="9">
        <v>10.770837999999999</v>
      </c>
      <c r="E99" s="14">
        <f t="shared" si="11"/>
        <v>0.95031992868150095</v>
      </c>
      <c r="F99" s="18">
        <f t="shared" ca="1" si="10"/>
        <v>-0.19916592581637921</v>
      </c>
      <c r="G99" s="15">
        <f t="shared" ca="1" si="15"/>
        <v>0.95461118775732023</v>
      </c>
      <c r="H99" s="15">
        <f t="shared" ca="1" si="16"/>
        <v>2.1546150819872715E-2</v>
      </c>
      <c r="J99" s="17">
        <f t="shared" ca="1" si="12"/>
        <v>0</v>
      </c>
      <c r="K99" s="24">
        <f t="shared" ca="1" si="13"/>
        <v>-1</v>
      </c>
      <c r="L99" s="17">
        <f t="shared" ca="1" si="14"/>
        <v>-1</v>
      </c>
      <c r="N99" s="24" t="str">
        <f ca="1">IF(AND(L99=1,L98&lt;&gt;1),MAX($N$8:N98)+1,"")</f>
        <v/>
      </c>
      <c r="O99" s="24" t="str">
        <f ca="1">IF(AND(L99&lt;&gt;1,L98=1),MAX($O$8:O98)+1,"")</f>
        <v/>
      </c>
      <c r="P99" s="17" t="str">
        <f ca="1">IF(AND(L99=-1,L98&lt;&gt;-1),MAX($P$8:P98)+1,"")</f>
        <v/>
      </c>
      <c r="Q99" s="24" t="str">
        <f ca="1">IF(AND(L99&lt;&gt;-1,L98=-1),MAX($Q$8:Q98)+1,"")</f>
        <v/>
      </c>
    </row>
    <row r="100" spans="1:17" x14ac:dyDescent="0.3">
      <c r="A100" s="3">
        <v>40325</v>
      </c>
      <c r="B100" s="9">
        <v>10.420776999999999</v>
      </c>
      <c r="C100" s="9">
        <v>11.135885</v>
      </c>
      <c r="E100" s="14">
        <f t="shared" si="11"/>
        <v>0.93578346040750238</v>
      </c>
      <c r="F100" s="18">
        <f t="shared" ca="1" si="10"/>
        <v>-0.80405083334567917</v>
      </c>
      <c r="G100" s="15">
        <f t="shared" ca="1" si="15"/>
        <v>0.95328283495646315</v>
      </c>
      <c r="H100" s="15">
        <f t="shared" ca="1" si="16"/>
        <v>2.1764015188126061E-2</v>
      </c>
      <c r="J100" s="17">
        <f t="shared" ca="1" si="12"/>
        <v>0</v>
      </c>
      <c r="K100" s="24">
        <f t="shared" ca="1" si="13"/>
        <v>-1</v>
      </c>
      <c r="L100" s="17">
        <f t="shared" ca="1" si="14"/>
        <v>-1</v>
      </c>
      <c r="N100" s="24" t="str">
        <f ca="1">IF(AND(L100=1,L99&lt;&gt;1),MAX($N$8:N99)+1,"")</f>
        <v/>
      </c>
      <c r="O100" s="24" t="str">
        <f ca="1">IF(AND(L100&lt;&gt;1,L99=1),MAX($O$8:O99)+1,"")</f>
        <v/>
      </c>
      <c r="P100" s="17" t="str">
        <f ca="1">IF(AND(L100=-1,L99&lt;&gt;-1),MAX($P$8:P99)+1,"")</f>
        <v/>
      </c>
      <c r="Q100" s="24" t="str">
        <f ca="1">IF(AND(L100&lt;&gt;-1,L99=-1),MAX($Q$8:Q99)+1,"")</f>
        <v/>
      </c>
    </row>
    <row r="101" spans="1:17" x14ac:dyDescent="0.3">
      <c r="A101" s="3">
        <v>40326</v>
      </c>
      <c r="B101" s="9">
        <v>10.420776999999999</v>
      </c>
      <c r="C101" s="9">
        <v>11.102023000000001</v>
      </c>
      <c r="E101" s="14">
        <f t="shared" si="11"/>
        <v>0.93863766990934883</v>
      </c>
      <c r="F101" s="18">
        <f t="shared" ca="1" si="10"/>
        <v>-0.60856934825500364</v>
      </c>
      <c r="G101" s="15">
        <f t="shared" ca="1" si="15"/>
        <v>0.9517597970587931</v>
      </c>
      <c r="H101" s="15">
        <f t="shared" ca="1" si="16"/>
        <v>2.1562254469552778E-2</v>
      </c>
      <c r="J101" s="17">
        <f t="shared" ca="1" si="12"/>
        <v>0</v>
      </c>
      <c r="K101" s="24">
        <f t="shared" ca="1" si="13"/>
        <v>-1</v>
      </c>
      <c r="L101" s="17">
        <f t="shared" ca="1" si="14"/>
        <v>-1</v>
      </c>
      <c r="N101" s="24" t="str">
        <f ca="1">IF(AND(L101=1,L100&lt;&gt;1),MAX($N$8:N100)+1,"")</f>
        <v/>
      </c>
      <c r="O101" s="24" t="str">
        <f ca="1">IF(AND(L101&lt;&gt;1,L100=1),MAX($O$8:O100)+1,"")</f>
        <v/>
      </c>
      <c r="P101" s="17" t="str">
        <f ca="1">IF(AND(L101=-1,L100&lt;&gt;-1),MAX($P$8:P100)+1,"")</f>
        <v/>
      </c>
      <c r="Q101" s="24" t="str">
        <f ca="1">IF(AND(L101&lt;&gt;-1,L100=-1),MAX($Q$8:Q100)+1,"")</f>
        <v/>
      </c>
    </row>
    <row r="102" spans="1:17" x14ac:dyDescent="0.3">
      <c r="A102" s="3">
        <v>40329</v>
      </c>
      <c r="B102" s="9">
        <v>10.701447</v>
      </c>
      <c r="C102" s="9">
        <v>11.440685999999999</v>
      </c>
      <c r="E102" s="14">
        <f t="shared" si="11"/>
        <v>0.93538508092958761</v>
      </c>
      <c r="F102" s="18">
        <f t="shared" ca="1" si="10"/>
        <v>-0.69013122448037612</v>
      </c>
      <c r="G102" s="15">
        <f t="shared" ca="1" si="15"/>
        <v>0.95016558256078554</v>
      </c>
      <c r="H102" s="15">
        <f t="shared" ca="1" si="16"/>
        <v>2.1416943773739094E-2</v>
      </c>
      <c r="J102" s="17">
        <f t="shared" ca="1" si="12"/>
        <v>0</v>
      </c>
      <c r="K102" s="24">
        <f t="shared" ca="1" si="13"/>
        <v>-1</v>
      </c>
      <c r="L102" s="17">
        <f t="shared" ca="1" si="14"/>
        <v>-1</v>
      </c>
      <c r="N102" s="24" t="str">
        <f ca="1">IF(AND(L102=1,L101&lt;&gt;1),MAX($N$8:N101)+1,"")</f>
        <v/>
      </c>
      <c r="O102" s="24" t="str">
        <f ca="1">IF(AND(L102&lt;&gt;1,L101=1),MAX($O$8:O101)+1,"")</f>
        <v/>
      </c>
      <c r="P102" s="17" t="str">
        <f ca="1">IF(AND(L102=-1,L101&lt;&gt;-1),MAX($P$8:P101)+1,"")</f>
        <v/>
      </c>
      <c r="Q102" s="24" t="str">
        <f ca="1">IF(AND(L102&lt;&gt;-1,L101=-1),MAX($Q$8:Q101)+1,"")</f>
        <v/>
      </c>
    </row>
    <row r="103" spans="1:17" x14ac:dyDescent="0.3">
      <c r="A103" s="3">
        <v>40330</v>
      </c>
      <c r="B103" s="9">
        <v>10.493501</v>
      </c>
      <c r="C103" s="9">
        <v>11.203602</v>
      </c>
      <c r="E103" s="14">
        <f t="shared" si="11"/>
        <v>0.93661850894024978</v>
      </c>
      <c r="F103" s="18">
        <f t="shared" ca="1" si="10"/>
        <v>-0.56799911836950134</v>
      </c>
      <c r="G103" s="15">
        <f t="shared" ca="1" si="15"/>
        <v>0.94859189842095015</v>
      </c>
      <c r="H103" s="15">
        <f t="shared" ca="1" si="16"/>
        <v>2.1079943777150903E-2</v>
      </c>
      <c r="J103" s="17">
        <f t="shared" ca="1" si="12"/>
        <v>0</v>
      </c>
      <c r="K103" s="24">
        <f t="shared" ca="1" si="13"/>
        <v>-1</v>
      </c>
      <c r="L103" s="17">
        <f t="shared" ca="1" si="14"/>
        <v>-1</v>
      </c>
      <c r="N103" s="24" t="str">
        <f ca="1">IF(AND(L103=1,L102&lt;&gt;1),MAX($N$8:N102)+1,"")</f>
        <v/>
      </c>
      <c r="O103" s="24" t="str">
        <f ca="1">IF(AND(L103&lt;&gt;1,L102=1),MAX($O$8:O102)+1,"")</f>
        <v/>
      </c>
      <c r="P103" s="17" t="str">
        <f ca="1">IF(AND(L103=-1,L102&lt;&gt;-1),MAX($P$8:P102)+1,"")</f>
        <v/>
      </c>
      <c r="Q103" s="24" t="str">
        <f ca="1">IF(AND(L103&lt;&gt;-1,L102=-1),MAX($Q$8:Q102)+1,"")</f>
        <v/>
      </c>
    </row>
    <row r="104" spans="1:17" x14ac:dyDescent="0.3">
      <c r="A104" s="3">
        <v>40331</v>
      </c>
      <c r="B104" s="9">
        <v>10.789827000000001</v>
      </c>
      <c r="C104" s="9">
        <v>11.41203</v>
      </c>
      <c r="E104" s="14">
        <f t="shared" si="11"/>
        <v>0.94547832418947386</v>
      </c>
      <c r="F104" s="18">
        <f t="shared" ca="1" si="10"/>
        <v>-8.0447487994883701E-2</v>
      </c>
      <c r="G104" s="15">
        <f t="shared" ca="1" si="15"/>
        <v>0.94709109993678997</v>
      </c>
      <c r="H104" s="15">
        <f t="shared" ca="1" si="16"/>
        <v>2.0047558817730616E-2</v>
      </c>
      <c r="J104" s="17">
        <f t="shared" ca="1" si="12"/>
        <v>0</v>
      </c>
      <c r="K104" s="24">
        <f t="shared" ca="1" si="13"/>
        <v>-1</v>
      </c>
      <c r="L104" s="17">
        <f t="shared" ca="1" si="14"/>
        <v>-1</v>
      </c>
      <c r="N104" s="24" t="str">
        <f ca="1">IF(AND(L104=1,L103&lt;&gt;1),MAX($N$8:N103)+1,"")</f>
        <v/>
      </c>
      <c r="O104" s="24" t="str">
        <f ca="1">IF(AND(L104&lt;&gt;1,L103=1),MAX($O$8:O103)+1,"")</f>
        <v/>
      </c>
      <c r="P104" s="17" t="str">
        <f ca="1">IF(AND(L104=-1,L103&lt;&gt;-1),MAX($P$8:P103)+1,"")</f>
        <v/>
      </c>
      <c r="Q104" s="24" t="str">
        <f ca="1">IF(AND(L104&lt;&gt;-1,L103=-1),MAX($Q$8:Q103)+1,"")</f>
        <v/>
      </c>
    </row>
    <row r="105" spans="1:17" x14ac:dyDescent="0.3">
      <c r="A105" s="3">
        <v>40333</v>
      </c>
      <c r="B105" s="9">
        <v>10.570696999999999</v>
      </c>
      <c r="C105" s="9">
        <v>11.299015000000001</v>
      </c>
      <c r="E105" s="14">
        <f t="shared" si="11"/>
        <v>0.93554146091495571</v>
      </c>
      <c r="F105" s="18">
        <f t="shared" ca="1" si="10"/>
        <v>-0.50680474847296808</v>
      </c>
      <c r="G105" s="15">
        <f t="shared" ca="1" si="15"/>
        <v>0.94521180253114356</v>
      </c>
      <c r="H105" s="15">
        <f t="shared" ca="1" si="16"/>
        <v>1.9081000415495607E-2</v>
      </c>
      <c r="J105" s="17">
        <f t="shared" ca="1" si="12"/>
        <v>0</v>
      </c>
      <c r="K105" s="24">
        <f t="shared" ca="1" si="13"/>
        <v>-1</v>
      </c>
      <c r="L105" s="17">
        <f t="shared" ca="1" si="14"/>
        <v>-1</v>
      </c>
      <c r="N105" s="24" t="str">
        <f ca="1">IF(AND(L105=1,L104&lt;&gt;1),MAX($N$8:N104)+1,"")</f>
        <v/>
      </c>
      <c r="O105" s="24" t="str">
        <f ca="1">IF(AND(L105&lt;&gt;1,L104=1),MAX($O$8:O104)+1,"")</f>
        <v/>
      </c>
      <c r="P105" s="17" t="str">
        <f ca="1">IF(AND(L105=-1,L104&lt;&gt;-1),MAX($P$8:P104)+1,"")</f>
        <v/>
      </c>
      <c r="Q105" s="24" t="str">
        <f ca="1">IF(AND(L105&lt;&gt;-1,L104=-1),MAX($Q$8:Q104)+1,"")</f>
        <v/>
      </c>
    </row>
    <row r="106" spans="1:17" x14ac:dyDescent="0.3">
      <c r="A106" s="3">
        <v>40336</v>
      </c>
      <c r="B106" s="9">
        <v>10.249686000000001</v>
      </c>
      <c r="C106" s="9">
        <v>11.073029999999999</v>
      </c>
      <c r="E106" s="14">
        <f t="shared" si="11"/>
        <v>0.92564420036792106</v>
      </c>
      <c r="F106" s="18">
        <f t="shared" ca="1" si="10"/>
        <v>-0.93963316480762715</v>
      </c>
      <c r="G106" s="15">
        <f t="shared" ca="1" si="15"/>
        <v>0.94315591718043812</v>
      </c>
      <c r="H106" s="15">
        <f t="shared" ca="1" si="16"/>
        <v>1.8636758969764834E-2</v>
      </c>
      <c r="J106" s="17">
        <f t="shared" ca="1" si="12"/>
        <v>0</v>
      </c>
      <c r="K106" s="24">
        <f t="shared" ca="1" si="13"/>
        <v>-1</v>
      </c>
      <c r="L106" s="17">
        <f t="shared" ca="1" si="14"/>
        <v>-1</v>
      </c>
      <c r="N106" s="24" t="str">
        <f ca="1">IF(AND(L106=1,L105&lt;&gt;1),MAX($N$8:N105)+1,"")</f>
        <v/>
      </c>
      <c r="O106" s="24" t="str">
        <f ca="1">IF(AND(L106&lt;&gt;1,L105=1),MAX($O$8:O105)+1,"")</f>
        <v/>
      </c>
      <c r="P106" s="17" t="str">
        <f ca="1">IF(AND(L106=-1,L105&lt;&gt;-1),MAX($P$8:P105)+1,"")</f>
        <v/>
      </c>
      <c r="Q106" s="24" t="str">
        <f ca="1">IF(AND(L106&lt;&gt;-1,L105=-1),MAX($Q$8:Q105)+1,"")</f>
        <v/>
      </c>
    </row>
    <row r="107" spans="1:17" x14ac:dyDescent="0.3">
      <c r="A107" s="3">
        <v>40337</v>
      </c>
      <c r="B107" s="9">
        <v>10.434861</v>
      </c>
      <c r="C107" s="9">
        <v>11.122023</v>
      </c>
      <c r="E107" s="14">
        <f t="shared" si="11"/>
        <v>0.93821609611848489</v>
      </c>
      <c r="F107" s="18">
        <f t="shared" ca="1" si="10"/>
        <v>-0.21992719304948938</v>
      </c>
      <c r="G107" s="15">
        <f t="shared" ca="1" si="15"/>
        <v>0.94225719981754397</v>
      </c>
      <c r="H107" s="15">
        <f t="shared" ca="1" si="16"/>
        <v>1.8374734124623347E-2</v>
      </c>
      <c r="J107" s="17">
        <f t="shared" ca="1" si="12"/>
        <v>0</v>
      </c>
      <c r="K107" s="24">
        <f t="shared" ca="1" si="13"/>
        <v>-1</v>
      </c>
      <c r="L107" s="17">
        <f t="shared" ca="1" si="14"/>
        <v>-1</v>
      </c>
      <c r="N107" s="24" t="str">
        <f ca="1">IF(AND(L107=1,L106&lt;&gt;1),MAX($N$8:N106)+1,"")</f>
        <v/>
      </c>
      <c r="O107" s="24" t="str">
        <f ca="1">IF(AND(L107&lt;&gt;1,L106=1),MAX($O$8:O106)+1,"")</f>
        <v/>
      </c>
      <c r="P107" s="17" t="str">
        <f ca="1">IF(AND(L107=-1,L106&lt;&gt;-1),MAX($P$8:P106)+1,"")</f>
        <v/>
      </c>
      <c r="Q107" s="24" t="str">
        <f ca="1">IF(AND(L107&lt;&gt;-1,L106=-1),MAX($Q$8:Q106)+1,"")</f>
        <v/>
      </c>
    </row>
    <row r="108" spans="1:17" x14ac:dyDescent="0.3">
      <c r="A108" s="3">
        <v>40338</v>
      </c>
      <c r="B108" s="9">
        <v>10.339224</v>
      </c>
      <c r="C108" s="9">
        <v>10.986412</v>
      </c>
      <c r="E108" s="14">
        <f t="shared" si="11"/>
        <v>0.94109195977722304</v>
      </c>
      <c r="F108" s="18">
        <f t="shared" ca="1" si="10"/>
        <v>-5.254769437070486E-3</v>
      </c>
      <c r="G108" s="15">
        <f t="shared" ca="1" si="15"/>
        <v>0.94118502853081665</v>
      </c>
      <c r="H108" s="15">
        <f t="shared" ca="1" si="16"/>
        <v>1.7711291562487918E-2</v>
      </c>
      <c r="J108" s="17">
        <f t="shared" ca="1" si="12"/>
        <v>0</v>
      </c>
      <c r="K108" s="24">
        <f t="shared" ca="1" si="13"/>
        <v>-1</v>
      </c>
      <c r="L108" s="17">
        <f t="shared" ca="1" si="14"/>
        <v>-1</v>
      </c>
      <c r="N108" s="24" t="str">
        <f ca="1">IF(AND(L108=1,L107&lt;&gt;1),MAX($N$8:N107)+1,"")</f>
        <v/>
      </c>
      <c r="O108" s="24" t="str">
        <f ca="1">IF(AND(L108&lt;&gt;1,L107=1),MAX($O$8:O107)+1,"")</f>
        <v/>
      </c>
      <c r="P108" s="17" t="str">
        <f ca="1">IF(AND(L108=-1,L107&lt;&gt;-1),MAX($P$8:P107)+1,"")</f>
        <v/>
      </c>
      <c r="Q108" s="24" t="str">
        <f ca="1">IF(AND(L108&lt;&gt;-1,L107=-1),MAX($Q$8:Q107)+1,"")</f>
        <v/>
      </c>
    </row>
    <row r="109" spans="1:17" x14ac:dyDescent="0.3">
      <c r="A109" s="3">
        <v>40339</v>
      </c>
      <c r="B109" s="9">
        <v>10.616994</v>
      </c>
      <c r="C109" s="9">
        <v>11.242531</v>
      </c>
      <c r="E109" s="14">
        <f t="shared" si="11"/>
        <v>0.9443597709448166</v>
      </c>
      <c r="F109" s="18">
        <f t="shared" ca="1" si="10"/>
        <v>0.28562698881911591</v>
      </c>
      <c r="G109" s="15">
        <f t="shared" ca="1" si="15"/>
        <v>0.93976763162735177</v>
      </c>
      <c r="H109" s="15">
        <f t="shared" ca="1" si="16"/>
        <v>1.6077399885950458E-2</v>
      </c>
      <c r="J109" s="17">
        <f t="shared" ca="1" si="12"/>
        <v>0</v>
      </c>
      <c r="K109" s="24">
        <f t="shared" ca="1" si="13"/>
        <v>0</v>
      </c>
      <c r="L109" s="17">
        <f t="shared" ca="1" si="14"/>
        <v>0</v>
      </c>
      <c r="N109" s="24" t="str">
        <f ca="1">IF(AND(L109=1,L108&lt;&gt;1),MAX($N$8:N108)+1,"")</f>
        <v/>
      </c>
      <c r="O109" s="24" t="str">
        <f ca="1">IF(AND(L109&lt;&gt;1,L108=1),MAX($O$8:O108)+1,"")</f>
        <v/>
      </c>
      <c r="P109" s="17" t="str">
        <f ca="1">IF(AND(L109=-1,L108&lt;&gt;-1),MAX($P$8:P108)+1,"")</f>
        <v/>
      </c>
      <c r="Q109" s="24">
        <f ca="1">IF(AND(L109&lt;&gt;-1,L108=-1),MAX($Q$8:Q108)+1,"")</f>
        <v>5</v>
      </c>
    </row>
    <row r="110" spans="1:17" x14ac:dyDescent="0.3">
      <c r="A110" s="3">
        <v>40340</v>
      </c>
      <c r="B110" s="9">
        <v>10.774369</v>
      </c>
      <c r="C110" s="9">
        <v>11.355546</v>
      </c>
      <c r="E110" s="14">
        <f t="shared" si="11"/>
        <v>0.94881998628687692</v>
      </c>
      <c r="F110" s="18">
        <f t="shared" ca="1" si="10"/>
        <v>0.68787101848165511</v>
      </c>
      <c r="G110" s="15">
        <f t="shared" ca="1" si="15"/>
        <v>0.93873211773182641</v>
      </c>
      <c r="H110" s="15">
        <f t="shared" ca="1" si="16"/>
        <v>1.4665349002953436E-2</v>
      </c>
      <c r="J110" s="17">
        <f t="shared" ca="1" si="12"/>
        <v>0</v>
      </c>
      <c r="K110" s="24">
        <f t="shared" ca="1" si="13"/>
        <v>0</v>
      </c>
      <c r="L110" s="17">
        <f t="shared" ca="1" si="14"/>
        <v>0</v>
      </c>
      <c r="N110" s="24" t="str">
        <f ca="1">IF(AND(L110=1,L109&lt;&gt;1),MAX($N$8:N109)+1,"")</f>
        <v/>
      </c>
      <c r="O110" s="24" t="str">
        <f ca="1">IF(AND(L110&lt;&gt;1,L109=1),MAX($O$8:O109)+1,"")</f>
        <v/>
      </c>
      <c r="P110" s="17" t="str">
        <f ca="1">IF(AND(L110=-1,L109&lt;&gt;-1),MAX($P$8:P109)+1,"")</f>
        <v/>
      </c>
      <c r="Q110" s="24" t="str">
        <f ca="1">IF(AND(L110&lt;&gt;-1,L109=-1),MAX($Q$8:Q109)+1,"")</f>
        <v/>
      </c>
    </row>
    <row r="111" spans="1:17" x14ac:dyDescent="0.3">
      <c r="A111" s="3">
        <v>40343</v>
      </c>
      <c r="B111" s="9">
        <v>10.601535</v>
      </c>
      <c r="C111" s="9">
        <v>11.223687</v>
      </c>
      <c r="E111" s="14">
        <f t="shared" si="11"/>
        <v>0.9445679481261372</v>
      </c>
      <c r="F111" s="18">
        <f t="shared" ca="1" si="10"/>
        <v>0.46561778643662927</v>
      </c>
      <c r="G111" s="15">
        <f t="shared" ca="1" si="15"/>
        <v>0.93804562806490732</v>
      </c>
      <c r="H111" s="15">
        <f t="shared" ca="1" si="16"/>
        <v>1.400788425877191E-2</v>
      </c>
      <c r="J111" s="17">
        <f t="shared" ca="1" si="12"/>
        <v>0</v>
      </c>
      <c r="K111" s="24">
        <f t="shared" ca="1" si="13"/>
        <v>0</v>
      </c>
      <c r="L111" s="17">
        <f t="shared" ca="1" si="14"/>
        <v>0</v>
      </c>
      <c r="N111" s="24" t="str">
        <f ca="1">IF(AND(L111=1,L110&lt;&gt;1),MAX($N$8:N110)+1,"")</f>
        <v/>
      </c>
      <c r="O111" s="24" t="str">
        <f ca="1">IF(AND(L111&lt;&gt;1,L110=1),MAX($O$8:O110)+1,"")</f>
        <v/>
      </c>
      <c r="P111" s="17" t="str">
        <f ca="1">IF(AND(L111=-1,L110&lt;&gt;-1),MAX($P$8:P110)+1,"")</f>
        <v/>
      </c>
      <c r="Q111" s="24" t="str">
        <f ca="1">IF(AND(L111&lt;&gt;-1,L110=-1),MAX($Q$8:Q110)+1,"")</f>
        <v/>
      </c>
    </row>
    <row r="112" spans="1:17" x14ac:dyDescent="0.3">
      <c r="A112" s="3">
        <v>40344</v>
      </c>
      <c r="B112" s="9">
        <v>10.860796000000001</v>
      </c>
      <c r="C112" s="9">
        <v>11.449657</v>
      </c>
      <c r="E112" s="14">
        <f t="shared" si="11"/>
        <v>0.94856955103545904</v>
      </c>
      <c r="F112" s="18">
        <f t="shared" ca="1" si="10"/>
        <v>0.82519338029309086</v>
      </c>
      <c r="G112" s="15">
        <f t="shared" ca="1" si="15"/>
        <v>0.93752639853178588</v>
      </c>
      <c r="H112" s="15">
        <f t="shared" ca="1" si="16"/>
        <v>1.3382502535043203E-2</v>
      </c>
      <c r="J112" s="17">
        <f t="shared" ca="1" si="12"/>
        <v>0</v>
      </c>
      <c r="K112" s="24">
        <f t="shared" ca="1" si="13"/>
        <v>0</v>
      </c>
      <c r="L112" s="17">
        <f t="shared" ca="1" si="14"/>
        <v>0</v>
      </c>
      <c r="N112" s="24" t="str">
        <f ca="1">IF(AND(L112=1,L111&lt;&gt;1),MAX($N$8:N111)+1,"")</f>
        <v/>
      </c>
      <c r="O112" s="24" t="str">
        <f ca="1">IF(AND(L112&lt;&gt;1,L111=1),MAX($O$8:O111)+1,"")</f>
        <v/>
      </c>
      <c r="P112" s="17" t="str">
        <f ca="1">IF(AND(L112=-1,L111&lt;&gt;-1),MAX($P$8:P111)+1,"")</f>
        <v/>
      </c>
      <c r="Q112" s="24" t="str">
        <f ca="1">IF(AND(L112&lt;&gt;-1,L111=-1),MAX($Q$8:Q111)+1,"")</f>
        <v/>
      </c>
    </row>
    <row r="113" spans="1:17" x14ac:dyDescent="0.3">
      <c r="A113" s="3">
        <v>40345</v>
      </c>
      <c r="B113" s="9">
        <v>10.894755</v>
      </c>
      <c r="C113" s="9">
        <v>11.562677000000001</v>
      </c>
      <c r="E113" s="14">
        <f t="shared" si="11"/>
        <v>0.94223465725108457</v>
      </c>
      <c r="F113" s="18">
        <f t="shared" ca="1" si="10"/>
        <v>0.41914178833639437</v>
      </c>
      <c r="G113" s="15">
        <f t="shared" ca="1" si="15"/>
        <v>0.9368781386295385</v>
      </c>
      <c r="H113" s="15">
        <f t="shared" ca="1" si="16"/>
        <v>1.2779729367492797E-2</v>
      </c>
      <c r="J113" s="17">
        <f t="shared" ca="1" si="12"/>
        <v>0</v>
      </c>
      <c r="K113" s="24">
        <f t="shared" ca="1" si="13"/>
        <v>0</v>
      </c>
      <c r="L113" s="17">
        <f t="shared" ca="1" si="14"/>
        <v>0</v>
      </c>
      <c r="N113" s="24" t="str">
        <f ca="1">IF(AND(L113=1,L112&lt;&gt;1),MAX($N$8:N112)+1,"")</f>
        <v/>
      </c>
      <c r="O113" s="24" t="str">
        <f ca="1">IF(AND(L113&lt;&gt;1,L112=1),MAX($O$8:O112)+1,"")</f>
        <v/>
      </c>
      <c r="P113" s="17" t="str">
        <f ca="1">IF(AND(L113=-1,L112&lt;&gt;-1),MAX($P$8:P112)+1,"")</f>
        <v/>
      </c>
      <c r="Q113" s="24" t="str">
        <f ca="1">IF(AND(L113&lt;&gt;-1,L112=-1),MAX($Q$8:Q112)+1,"")</f>
        <v/>
      </c>
    </row>
    <row r="114" spans="1:17" x14ac:dyDescent="0.3">
      <c r="A114" s="3">
        <v>40346</v>
      </c>
      <c r="B114" s="9">
        <v>10.845337000000001</v>
      </c>
      <c r="C114" s="9">
        <v>11.562677000000001</v>
      </c>
      <c r="E114" s="14">
        <f t="shared" si="11"/>
        <v>0.93796073348758247</v>
      </c>
      <c r="F114" s="18">
        <f t="shared" ca="1" si="10"/>
        <v>0.13303307044125132</v>
      </c>
      <c r="G114" s="15">
        <f t="shared" ca="1" si="15"/>
        <v>0.93630675560948784</v>
      </c>
      <c r="H114" s="15">
        <f t="shared" ca="1" si="16"/>
        <v>1.243283247247186E-2</v>
      </c>
      <c r="J114" s="17">
        <f t="shared" ca="1" si="12"/>
        <v>0</v>
      </c>
      <c r="K114" s="24">
        <f t="shared" ca="1" si="13"/>
        <v>0</v>
      </c>
      <c r="L114" s="17">
        <f t="shared" ca="1" si="14"/>
        <v>0</v>
      </c>
      <c r="N114" s="24" t="str">
        <f ca="1">IF(AND(L114=1,L113&lt;&gt;1),MAX($N$8:N113)+1,"")</f>
        <v/>
      </c>
      <c r="O114" s="24" t="str">
        <f ca="1">IF(AND(L114&lt;&gt;1,L113=1),MAX($O$8:O113)+1,"")</f>
        <v/>
      </c>
      <c r="P114" s="17" t="str">
        <f ca="1">IF(AND(L114=-1,L113&lt;&gt;-1),MAX($P$8:P113)+1,"")</f>
        <v/>
      </c>
      <c r="Q114" s="24" t="str">
        <f ca="1">IF(AND(L114&lt;&gt;-1,L113=-1),MAX($Q$8:Q113)+1,"")</f>
        <v/>
      </c>
    </row>
    <row r="115" spans="1:17" x14ac:dyDescent="0.3">
      <c r="A115" s="3">
        <v>40347</v>
      </c>
      <c r="B115" s="9">
        <v>10.894755</v>
      </c>
      <c r="C115" s="9">
        <v>11.434609999999999</v>
      </c>
      <c r="E115" s="14">
        <f t="shared" si="11"/>
        <v>0.95278763333423711</v>
      </c>
      <c r="F115" s="18">
        <f t="shared" ca="1" si="10"/>
        <v>1.2947625877366045</v>
      </c>
      <c r="G115" s="15">
        <f t="shared" ca="1" si="15"/>
        <v>0.9364586546664434</v>
      </c>
      <c r="H115" s="15">
        <f t="shared" ca="1" si="16"/>
        <v>1.2611562013340728E-2</v>
      </c>
      <c r="J115" s="17">
        <f t="shared" ca="1" si="12"/>
        <v>1</v>
      </c>
      <c r="K115" s="24">
        <f t="shared" ca="1" si="13"/>
        <v>0</v>
      </c>
      <c r="L115" s="17">
        <f t="shared" ca="1" si="14"/>
        <v>1</v>
      </c>
      <c r="N115" s="24">
        <f ca="1">IF(AND(L115=1,L114&lt;&gt;1),MAX($N$8:N114)+1,"")</f>
        <v>4</v>
      </c>
      <c r="O115" s="24" t="str">
        <f ca="1">IF(AND(L115&lt;&gt;1,L114=1),MAX($O$8:O114)+1,"")</f>
        <v/>
      </c>
      <c r="P115" s="17" t="str">
        <f ca="1">IF(AND(L115=-1,L114&lt;&gt;-1),MAX($P$8:P114)+1,"")</f>
        <v/>
      </c>
      <c r="Q115" s="24" t="str">
        <f ca="1">IF(AND(L115&lt;&gt;-1,L114=-1),MAX($Q$8:Q114)+1,"")</f>
        <v/>
      </c>
    </row>
    <row r="116" spans="1:17" x14ac:dyDescent="0.3">
      <c r="A116" s="3">
        <v>40350</v>
      </c>
      <c r="B116" s="9">
        <v>10.941051</v>
      </c>
      <c r="C116" s="9">
        <v>11.434609999999999</v>
      </c>
      <c r="E116" s="14">
        <f t="shared" si="11"/>
        <v>0.9568363940702832</v>
      </c>
      <c r="F116" s="18">
        <f t="shared" ca="1" si="10"/>
        <v>1.4497352660750358</v>
      </c>
      <c r="G116" s="15">
        <f t="shared" ca="1" si="15"/>
        <v>0.93774457415393553</v>
      </c>
      <c r="H116" s="15">
        <f t="shared" ca="1" si="16"/>
        <v>1.3169176720130581E-2</v>
      </c>
      <c r="J116" s="17">
        <f t="shared" ca="1" si="12"/>
        <v>1</v>
      </c>
      <c r="K116" s="24">
        <f t="shared" ca="1" si="13"/>
        <v>0</v>
      </c>
      <c r="L116" s="17">
        <f t="shared" ca="1" si="14"/>
        <v>1</v>
      </c>
      <c r="N116" s="24" t="str">
        <f ca="1">IF(AND(L116=1,L115&lt;&gt;1),MAX($N$8:N115)+1,"")</f>
        <v/>
      </c>
      <c r="O116" s="24" t="str">
        <f ca="1">IF(AND(L116&lt;&gt;1,L115=1),MAX($O$8:O115)+1,"")</f>
        <v/>
      </c>
      <c r="P116" s="17" t="str">
        <f ca="1">IF(AND(L116=-1,L115&lt;&gt;-1),MAX($P$8:P115)+1,"")</f>
        <v/>
      </c>
      <c r="Q116" s="24" t="str">
        <f ca="1">IF(AND(L116&lt;&gt;-1,L115=-1),MAX($Q$8:Q115)+1,"")</f>
        <v/>
      </c>
    </row>
    <row r="117" spans="1:17" x14ac:dyDescent="0.3">
      <c r="A117" s="3">
        <v>40351</v>
      </c>
      <c r="B117" s="9">
        <v>10.894755</v>
      </c>
      <c r="C117" s="9">
        <v>11.434609999999999</v>
      </c>
      <c r="E117" s="14">
        <f t="shared" si="11"/>
        <v>0.95278763333423711</v>
      </c>
      <c r="F117" s="18">
        <f t="shared" ca="1" si="10"/>
        <v>1.0775700906355519</v>
      </c>
      <c r="G117" s="15">
        <f t="shared" ca="1" si="15"/>
        <v>0.93822694548095764</v>
      </c>
      <c r="H117" s="15">
        <f t="shared" ca="1" si="16"/>
        <v>1.3512520419615171E-2</v>
      </c>
      <c r="J117" s="17">
        <f t="shared" ca="1" si="12"/>
        <v>1</v>
      </c>
      <c r="K117" s="24">
        <f t="shared" ca="1" si="13"/>
        <v>0</v>
      </c>
      <c r="L117" s="17">
        <f t="shared" ca="1" si="14"/>
        <v>1</v>
      </c>
      <c r="N117" s="24" t="str">
        <f ca="1">IF(AND(L117=1,L116&lt;&gt;1),MAX($N$8:N116)+1,"")</f>
        <v/>
      </c>
      <c r="O117" s="24" t="str">
        <f ca="1">IF(AND(L117&lt;&gt;1,L116=1),MAX($O$8:O116)+1,"")</f>
        <v/>
      </c>
      <c r="P117" s="17" t="str">
        <f ca="1">IF(AND(L117=-1,L116&lt;&gt;-1),MAX($P$8:P116)+1,"")</f>
        <v/>
      </c>
      <c r="Q117" s="24" t="str">
        <f ca="1">IF(AND(L117&lt;&gt;-1,L116=-1),MAX($Q$8:Q116)+1,"")</f>
        <v/>
      </c>
    </row>
    <row r="118" spans="1:17" x14ac:dyDescent="0.3">
      <c r="A118" s="3">
        <v>40352</v>
      </c>
      <c r="B118" s="9">
        <v>10.947214000000001</v>
      </c>
      <c r="C118" s="9">
        <v>11.434609999999999</v>
      </c>
      <c r="E118" s="14">
        <f t="shared" si="11"/>
        <v>0.95737537178793164</v>
      </c>
      <c r="F118" s="18">
        <f t="shared" ca="1" si="10"/>
        <v>1.3586716051312837</v>
      </c>
      <c r="G118" s="15">
        <f t="shared" ca="1" si="15"/>
        <v>0.94042501399208522</v>
      </c>
      <c r="H118" s="15">
        <f t="shared" ca="1" si="16"/>
        <v>1.2475684140177907E-2</v>
      </c>
      <c r="J118" s="17">
        <f t="shared" ca="1" si="12"/>
        <v>1</v>
      </c>
      <c r="K118" s="24">
        <f t="shared" ca="1" si="13"/>
        <v>0</v>
      </c>
      <c r="L118" s="17">
        <f t="shared" ca="1" si="14"/>
        <v>1</v>
      </c>
      <c r="N118" s="24" t="str">
        <f ca="1">IF(AND(L118=1,L117&lt;&gt;1),MAX($N$8:N117)+1,"")</f>
        <v/>
      </c>
      <c r="O118" s="24" t="str">
        <f ca="1">IF(AND(L118&lt;&gt;1,L117=1),MAX($O$8:O117)+1,"")</f>
        <v/>
      </c>
      <c r="P118" s="17" t="str">
        <f ca="1">IF(AND(L118=-1,L117&lt;&gt;-1),MAX($P$8:P117)+1,"")</f>
        <v/>
      </c>
      <c r="Q118" s="24" t="str">
        <f ca="1">IF(AND(L118&lt;&gt;-1,L117=-1),MAX($Q$8:Q117)+1,"")</f>
        <v/>
      </c>
    </row>
    <row r="119" spans="1:17" x14ac:dyDescent="0.3">
      <c r="A119" s="3">
        <v>40353</v>
      </c>
      <c r="B119" s="9">
        <v>10.601535</v>
      </c>
      <c r="C119" s="9">
        <v>11.434609999999999</v>
      </c>
      <c r="E119" s="14">
        <f t="shared" si="11"/>
        <v>0.92714443256044599</v>
      </c>
      <c r="F119" s="18">
        <f t="shared" ca="1" si="10"/>
        <v>-1.460576627527574</v>
      </c>
      <c r="G119" s="15">
        <f t="shared" ca="1" si="15"/>
        <v>0.9415431885306188</v>
      </c>
      <c r="H119" s="15">
        <f t="shared" ca="1" si="16"/>
        <v>9.8582680968588784E-3</v>
      </c>
      <c r="J119" s="17">
        <f t="shared" ca="1" si="12"/>
        <v>0</v>
      </c>
      <c r="K119" s="24">
        <f t="shared" ca="1" si="13"/>
        <v>-1</v>
      </c>
      <c r="L119" s="17">
        <f t="shared" ca="1" si="14"/>
        <v>-1</v>
      </c>
      <c r="N119" s="24" t="str">
        <f ca="1">IF(AND(L119=1,L118&lt;&gt;1),MAX($N$8:N118)+1,"")</f>
        <v/>
      </c>
      <c r="O119" s="24">
        <f ca="1">IF(AND(L119&lt;&gt;1,L118=1),MAX($O$8:O118)+1,"")</f>
        <v>4</v>
      </c>
      <c r="P119" s="17">
        <f ca="1">IF(AND(L119=-1,L118&lt;&gt;-1),MAX($P$8:P118)+1,"")</f>
        <v>6</v>
      </c>
      <c r="Q119" s="24" t="str">
        <f ca="1">IF(AND(L119&lt;&gt;-1,L118=-1),MAX($Q$8:Q118)+1,"")</f>
        <v/>
      </c>
    </row>
    <row r="120" spans="1:17" x14ac:dyDescent="0.3">
      <c r="A120" s="3">
        <v>40354</v>
      </c>
      <c r="B120" s="9">
        <v>10.678668</v>
      </c>
      <c r="C120" s="9">
        <v>11.434609999999999</v>
      </c>
      <c r="E120" s="14">
        <f t="shared" si="11"/>
        <v>0.93389000586814952</v>
      </c>
      <c r="F120" s="18">
        <f t="shared" ca="1" si="10"/>
        <v>-0.9769560697418298</v>
      </c>
      <c r="G120" s="15">
        <f t="shared" ca="1" si="15"/>
        <v>0.94227503674197666</v>
      </c>
      <c r="H120" s="15">
        <f t="shared" ca="1" si="16"/>
        <v>8.5828126090080632E-3</v>
      </c>
      <c r="J120" s="17">
        <f t="shared" ca="1" si="12"/>
        <v>0</v>
      </c>
      <c r="K120" s="24">
        <f t="shared" ca="1" si="13"/>
        <v>-1</v>
      </c>
      <c r="L120" s="17">
        <f t="shared" ca="1" si="14"/>
        <v>-1</v>
      </c>
      <c r="N120" s="24" t="str">
        <f ca="1">IF(AND(L120=1,L119&lt;&gt;1),MAX($N$8:N119)+1,"")</f>
        <v/>
      </c>
      <c r="O120" s="24" t="str">
        <f ca="1">IF(AND(L120&lt;&gt;1,L119=1),MAX($O$8:O119)+1,"")</f>
        <v/>
      </c>
      <c r="P120" s="17" t="str">
        <f ca="1">IF(AND(L120=-1,L119&lt;&gt;-1),MAX($P$8:P119)+1,"")</f>
        <v/>
      </c>
      <c r="Q120" s="24" t="str">
        <f ca="1">IF(AND(L120&lt;&gt;-1,L119=-1),MAX($Q$8:Q119)+1,"")</f>
        <v/>
      </c>
    </row>
    <row r="121" spans="1:17" x14ac:dyDescent="0.3">
      <c r="A121" s="3">
        <v>40357</v>
      </c>
      <c r="B121" s="9">
        <v>10.650948</v>
      </c>
      <c r="C121" s="9">
        <v>11.268924</v>
      </c>
      <c r="E121" s="14">
        <f t="shared" si="11"/>
        <v>0.94516104643176224</v>
      </c>
      <c r="F121" s="18">
        <f t="shared" ca="1" si="10"/>
        <v>0.37021465792198499</v>
      </c>
      <c r="G121" s="15">
        <f t="shared" ca="1" si="15"/>
        <v>0.94204054209426147</v>
      </c>
      <c r="H121" s="15">
        <f t="shared" ca="1" si="16"/>
        <v>8.4289054221033961E-3</v>
      </c>
      <c r="J121" s="17">
        <f t="shared" ca="1" si="12"/>
        <v>0</v>
      </c>
      <c r="K121" s="24">
        <f t="shared" ca="1" si="13"/>
        <v>0</v>
      </c>
      <c r="L121" s="17">
        <f t="shared" ca="1" si="14"/>
        <v>0</v>
      </c>
      <c r="N121" s="24" t="str">
        <f ca="1">IF(AND(L121=1,L120&lt;&gt;1),MAX($N$8:N120)+1,"")</f>
        <v/>
      </c>
      <c r="O121" s="24" t="str">
        <f ca="1">IF(AND(L121&lt;&gt;1,L120=1),MAX($O$8:O120)+1,"")</f>
        <v/>
      </c>
      <c r="P121" s="17" t="str">
        <f ca="1">IF(AND(L121=-1,L120&lt;&gt;-1),MAX($P$8:P120)+1,"")</f>
        <v/>
      </c>
      <c r="Q121" s="24">
        <f ca="1">IF(AND(L121&lt;&gt;-1,L120=-1),MAX($Q$8:Q120)+1,"")</f>
        <v>6</v>
      </c>
    </row>
    <row r="122" spans="1:17" x14ac:dyDescent="0.3">
      <c r="A122" s="3">
        <v>40358</v>
      </c>
      <c r="B122" s="9">
        <v>10.212678</v>
      </c>
      <c r="C122" s="9">
        <v>10.841189</v>
      </c>
      <c r="E122" s="14">
        <f t="shared" si="11"/>
        <v>0.94202563943862616</v>
      </c>
      <c r="F122" s="18">
        <f t="shared" ca="1" si="10"/>
        <v>-3.5903346758581166E-2</v>
      </c>
      <c r="G122" s="15">
        <f t="shared" ca="1" si="15"/>
        <v>0.94232427750476699</v>
      </c>
      <c r="H122" s="15">
        <f t="shared" ca="1" si="16"/>
        <v>8.3178336590433895E-3</v>
      </c>
      <c r="J122" s="17">
        <f t="shared" ca="1" si="12"/>
        <v>0</v>
      </c>
      <c r="K122" s="24">
        <f t="shared" ca="1" si="13"/>
        <v>0</v>
      </c>
      <c r="L122" s="17">
        <f t="shared" ca="1" si="14"/>
        <v>0</v>
      </c>
      <c r="N122" s="24" t="str">
        <f ca="1">IF(AND(L122=1,L121&lt;&gt;1),MAX($N$8:N121)+1,"")</f>
        <v/>
      </c>
      <c r="O122" s="24" t="str">
        <f ca="1">IF(AND(L122&lt;&gt;1,L121=1),MAX($O$8:O121)+1,"")</f>
        <v/>
      </c>
      <c r="P122" s="17" t="str">
        <f ca="1">IF(AND(L122=-1,L121&lt;&gt;-1),MAX($P$8:P121)+1,"")</f>
        <v/>
      </c>
      <c r="Q122" s="24" t="str">
        <f ca="1">IF(AND(L122&lt;&gt;-1,L121=-1),MAX($Q$8:Q121)+1,"")</f>
        <v/>
      </c>
    </row>
    <row r="123" spans="1:17" x14ac:dyDescent="0.3">
      <c r="A123" s="3">
        <v>40359</v>
      </c>
      <c r="B123" s="9">
        <v>10.030559</v>
      </c>
      <c r="C123" s="9">
        <v>10.670361</v>
      </c>
      <c r="E123" s="14">
        <f t="shared" si="11"/>
        <v>0.94003932950347235</v>
      </c>
      <c r="F123" s="18">
        <f t="shared" ca="1" si="10"/>
        <v>-0.28315229837019723</v>
      </c>
      <c r="G123" s="15">
        <f t="shared" ca="1" si="15"/>
        <v>0.94238798930450018</v>
      </c>
      <c r="H123" s="15">
        <f t="shared" ca="1" si="16"/>
        <v>8.2946873980770594E-3</v>
      </c>
      <c r="J123" s="17">
        <f t="shared" ca="1" si="12"/>
        <v>0</v>
      </c>
      <c r="K123" s="24">
        <f t="shared" ca="1" si="13"/>
        <v>0</v>
      </c>
      <c r="L123" s="17">
        <f t="shared" ca="1" si="14"/>
        <v>0</v>
      </c>
      <c r="N123" s="24" t="str">
        <f ca="1">IF(AND(L123=1,L122&lt;&gt;1),MAX($N$8:N122)+1,"")</f>
        <v/>
      </c>
      <c r="O123" s="24" t="str">
        <f ca="1">IF(AND(L123&lt;&gt;1,L122=1),MAX($O$8:O122)+1,"")</f>
        <v/>
      </c>
      <c r="P123" s="17" t="str">
        <f ca="1">IF(AND(L123=-1,L122&lt;&gt;-1),MAX($P$8:P122)+1,"")</f>
        <v/>
      </c>
      <c r="Q123" s="24" t="str">
        <f ca="1">IF(AND(L123&lt;&gt;-1,L122=-1),MAX($Q$8:Q122)+1,"")</f>
        <v/>
      </c>
    </row>
    <row r="124" spans="1:17" x14ac:dyDescent="0.3">
      <c r="A124" s="3">
        <v>40360</v>
      </c>
      <c r="B124" s="9">
        <v>10.498950000000001</v>
      </c>
      <c r="C124" s="9">
        <v>11.148637000000001</v>
      </c>
      <c r="E124" s="14">
        <f t="shared" si="11"/>
        <v>0.94172498395992266</v>
      </c>
      <c r="F124" s="18">
        <f t="shared" ca="1" si="10"/>
        <v>-0.11663305137475607</v>
      </c>
      <c r="G124" s="15">
        <f t="shared" ca="1" si="15"/>
        <v>0.94267616671496979</v>
      </c>
      <c r="H124" s="15">
        <f t="shared" ca="1" si="16"/>
        <v>8.155344851528112E-3</v>
      </c>
      <c r="J124" s="17">
        <f t="shared" ca="1" si="12"/>
        <v>0</v>
      </c>
      <c r="K124" s="24">
        <f t="shared" ca="1" si="13"/>
        <v>0</v>
      </c>
      <c r="L124" s="17">
        <f t="shared" ca="1" si="14"/>
        <v>0</v>
      </c>
      <c r="N124" s="24" t="str">
        <f ca="1">IF(AND(L124=1,L123&lt;&gt;1),MAX($N$8:N123)+1,"")</f>
        <v/>
      </c>
      <c r="O124" s="24" t="str">
        <f ca="1">IF(AND(L124&lt;&gt;1,L123=1),MAX($O$8:O123)+1,"")</f>
        <v/>
      </c>
      <c r="P124" s="17" t="str">
        <f ca="1">IF(AND(L124=-1,L123&lt;&gt;-1),MAX($P$8:P123)+1,"")</f>
        <v/>
      </c>
      <c r="Q124" s="24" t="str">
        <f ca="1">IF(AND(L124&lt;&gt;-1,L123=-1),MAX($Q$8:Q123)+1,"")</f>
        <v/>
      </c>
    </row>
    <row r="125" spans="1:17" x14ac:dyDescent="0.3">
      <c r="A125" s="3">
        <v>40361</v>
      </c>
      <c r="B125" s="9">
        <v>10.597792999999999</v>
      </c>
      <c r="C125" s="9">
        <v>11.248692999999999</v>
      </c>
      <c r="E125" s="14">
        <f t="shared" si="11"/>
        <v>0.94213549965315968</v>
      </c>
      <c r="F125" s="18">
        <f t="shared" ca="1" si="10"/>
        <v>-9.8323350264201026E-2</v>
      </c>
      <c r="G125" s="15">
        <f t="shared" ca="1" si="15"/>
        <v>0.94292693902010205</v>
      </c>
      <c r="H125" s="15">
        <f t="shared" ca="1" si="16"/>
        <v>8.0493531273672318E-3</v>
      </c>
      <c r="J125" s="17">
        <f t="shared" ca="1" si="12"/>
        <v>0</v>
      </c>
      <c r="K125" s="24">
        <f t="shared" ca="1" si="13"/>
        <v>0</v>
      </c>
      <c r="L125" s="17">
        <f t="shared" ca="1" si="14"/>
        <v>0</v>
      </c>
      <c r="N125" s="24" t="str">
        <f ca="1">IF(AND(L125=1,L124&lt;&gt;1),MAX($N$8:N124)+1,"")</f>
        <v/>
      </c>
      <c r="O125" s="24" t="str">
        <f ca="1">IF(AND(L125&lt;&gt;1,L124=1),MAX($O$8:O124)+1,"")</f>
        <v/>
      </c>
      <c r="P125" s="17" t="str">
        <f ca="1">IF(AND(L125=-1,L124&lt;&gt;-1),MAX($P$8:P124)+1,"")</f>
        <v/>
      </c>
      <c r="Q125" s="24" t="str">
        <f ca="1">IF(AND(L125&lt;&gt;-1,L124=-1),MAX($Q$8:Q124)+1,"")</f>
        <v/>
      </c>
    </row>
    <row r="126" spans="1:17" x14ac:dyDescent="0.3">
      <c r="A126" s="3">
        <v>40364</v>
      </c>
      <c r="B126" s="9">
        <v>10.341442000000001</v>
      </c>
      <c r="C126" s="9">
        <v>11.07774</v>
      </c>
      <c r="E126" s="14">
        <f t="shared" si="11"/>
        <v>0.93353355467812027</v>
      </c>
      <c r="F126" s="18">
        <f t="shared" ca="1" si="10"/>
        <v>-1.0716034440159856</v>
      </c>
      <c r="G126" s="15">
        <f t="shared" ca="1" si="15"/>
        <v>0.94238399495140401</v>
      </c>
      <c r="H126" s="15">
        <f t="shared" ca="1" si="16"/>
        <v>8.2590629236086316E-3</v>
      </c>
      <c r="J126" s="17">
        <f t="shared" ca="1" si="12"/>
        <v>0</v>
      </c>
      <c r="K126" s="24">
        <f t="shared" ca="1" si="13"/>
        <v>-1</v>
      </c>
      <c r="L126" s="17">
        <f t="shared" ca="1" si="14"/>
        <v>-1</v>
      </c>
      <c r="N126" s="24" t="str">
        <f ca="1">IF(AND(L126=1,L125&lt;&gt;1),MAX($N$8:N125)+1,"")</f>
        <v/>
      </c>
      <c r="O126" s="24" t="str">
        <f ca="1">IF(AND(L126&lt;&gt;1,L125=1),MAX($O$8:O125)+1,"")</f>
        <v/>
      </c>
      <c r="P126" s="17">
        <f ca="1">IF(AND(L126=-1,L125&lt;&gt;-1),MAX($P$8:P125)+1,"")</f>
        <v>7</v>
      </c>
      <c r="Q126" s="24" t="str">
        <f ca="1">IF(AND(L126&lt;&gt;-1,L125=-1),MAX($Q$8:Q125)+1,"")</f>
        <v/>
      </c>
    </row>
    <row r="127" spans="1:17" x14ac:dyDescent="0.3">
      <c r="A127" s="3">
        <v>40365</v>
      </c>
      <c r="B127" s="9">
        <v>10.588495999999999</v>
      </c>
      <c r="C127" s="9">
        <v>11.434837</v>
      </c>
      <c r="E127" s="14">
        <f t="shared" si="11"/>
        <v>0.92598573989292543</v>
      </c>
      <c r="F127" s="18">
        <f t="shared" ca="1" si="10"/>
        <v>-1.8061891236116541</v>
      </c>
      <c r="G127" s="15">
        <f t="shared" ca="1" si="15"/>
        <v>0.94194964399585746</v>
      </c>
      <c r="H127" s="15">
        <f t="shared" ca="1" si="16"/>
        <v>8.8384454840535285E-3</v>
      </c>
      <c r="J127" s="17">
        <f t="shared" ca="1" si="12"/>
        <v>0</v>
      </c>
      <c r="K127" s="24">
        <f t="shared" ca="1" si="13"/>
        <v>-1</v>
      </c>
      <c r="L127" s="17">
        <f t="shared" ca="1" si="14"/>
        <v>-1</v>
      </c>
      <c r="N127" s="24" t="str">
        <f ca="1">IF(AND(L127=1,L126&lt;&gt;1),MAX($N$8:N126)+1,"")</f>
        <v/>
      </c>
      <c r="O127" s="24" t="str">
        <f ca="1">IF(AND(L127&lt;&gt;1,L126=1),MAX($O$8:O126)+1,"")</f>
        <v/>
      </c>
      <c r="P127" s="17" t="str">
        <f ca="1">IF(AND(L127=-1,L126&lt;&gt;-1),MAX($P$8:P126)+1,"")</f>
        <v/>
      </c>
      <c r="Q127" s="24" t="str">
        <f ca="1">IF(AND(L127&lt;&gt;-1,L126=-1),MAX($Q$8:Q126)+1,"")</f>
        <v/>
      </c>
    </row>
    <row r="128" spans="1:17" x14ac:dyDescent="0.3">
      <c r="A128" s="3">
        <v>40366</v>
      </c>
      <c r="B128" s="9">
        <v>11.209396</v>
      </c>
      <c r="C128" s="9">
        <v>11.974294</v>
      </c>
      <c r="E128" s="14">
        <f t="shared" si="11"/>
        <v>0.93612166195351476</v>
      </c>
      <c r="F128" s="18">
        <f t="shared" ca="1" si="10"/>
        <v>-0.76817876865699986</v>
      </c>
      <c r="G128" s="15">
        <f t="shared" ca="1" si="15"/>
        <v>0.94242589224974782</v>
      </c>
      <c r="H128" s="15">
        <f t="shared" ca="1" si="16"/>
        <v>8.2067229054698949E-3</v>
      </c>
      <c r="J128" s="17">
        <f t="shared" ca="1" si="12"/>
        <v>0</v>
      </c>
      <c r="K128" s="24">
        <f t="shared" ca="1" si="13"/>
        <v>-1</v>
      </c>
      <c r="L128" s="17">
        <f t="shared" ca="1" si="14"/>
        <v>-1</v>
      </c>
      <c r="N128" s="24" t="str">
        <f ca="1">IF(AND(L128=1,L127&lt;&gt;1),MAX($N$8:N127)+1,"")</f>
        <v/>
      </c>
      <c r="O128" s="24" t="str">
        <f ca="1">IF(AND(L128&lt;&gt;1,L127=1),MAX($O$8:O127)+1,"")</f>
        <v/>
      </c>
      <c r="P128" s="17" t="str">
        <f ca="1">IF(AND(L128=-1,L127&lt;&gt;-1),MAX($P$8:P127)+1,"")</f>
        <v/>
      </c>
      <c r="Q128" s="24" t="str">
        <f ca="1">IF(AND(L128&lt;&gt;-1,L127=-1),MAX($Q$8:Q127)+1,"")</f>
        <v/>
      </c>
    </row>
    <row r="129" spans="1:17" x14ac:dyDescent="0.3">
      <c r="A129" s="3">
        <v>40367</v>
      </c>
      <c r="B129" s="9">
        <v>11.459576</v>
      </c>
      <c r="C129" s="9">
        <v>12.240183999999999</v>
      </c>
      <c r="E129" s="14">
        <f t="shared" si="11"/>
        <v>0.93622579529850214</v>
      </c>
      <c r="F129" s="18">
        <f t="shared" ca="1" si="10"/>
        <v>-0.73935961000862715</v>
      </c>
      <c r="G129" s="15">
        <f t="shared" ca="1" si="15"/>
        <v>0.94233542403065762</v>
      </c>
      <c r="H129" s="15">
        <f t="shared" ca="1" si="16"/>
        <v>8.2634061280196132E-3</v>
      </c>
      <c r="J129" s="17">
        <f t="shared" ca="1" si="12"/>
        <v>0</v>
      </c>
      <c r="K129" s="24">
        <f t="shared" ca="1" si="13"/>
        <v>-1</v>
      </c>
      <c r="L129" s="17">
        <f t="shared" ca="1" si="14"/>
        <v>-1</v>
      </c>
      <c r="N129" s="24" t="str">
        <f ca="1">IF(AND(L129=1,L128&lt;&gt;1),MAX($N$8:N128)+1,"")</f>
        <v/>
      </c>
      <c r="O129" s="24" t="str">
        <f ca="1">IF(AND(L129&lt;&gt;1,L128=1),MAX($O$8:O128)+1,"")</f>
        <v/>
      </c>
      <c r="P129" s="17" t="str">
        <f ca="1">IF(AND(L129=-1,L128&lt;&gt;-1),MAX($P$8:P128)+1,"")</f>
        <v/>
      </c>
      <c r="Q129" s="24" t="str">
        <f ca="1">IF(AND(L129&lt;&gt;-1,L128=-1),MAX($Q$8:Q128)+1,"")</f>
        <v/>
      </c>
    </row>
    <row r="130" spans="1:17" x14ac:dyDescent="0.3">
      <c r="A130" s="3">
        <v>40371</v>
      </c>
      <c r="B130" s="9">
        <v>11.499732</v>
      </c>
      <c r="C130" s="9">
        <v>8.3592580000000005</v>
      </c>
      <c r="E130" s="14">
        <f t="shared" si="11"/>
        <v>1.3756881292574052</v>
      </c>
      <c r="F130" s="18">
        <f t="shared" ref="F130:F193" ca="1" si="17">IF(ISNUMBER(G130),(E130-G130)/H130,"")</f>
        <v>4.5635090622245453</v>
      </c>
      <c r="G130" s="15">
        <f t="shared" ca="1" si="15"/>
        <v>0.96208979537066597</v>
      </c>
      <c r="H130" s="15">
        <f t="shared" ca="1" si="16"/>
        <v>9.0631645132556185E-2</v>
      </c>
      <c r="J130" s="17">
        <f t="shared" ca="1" si="12"/>
        <v>1</v>
      </c>
      <c r="K130" s="24">
        <f t="shared" ca="1" si="13"/>
        <v>0</v>
      </c>
      <c r="L130" s="17">
        <f t="shared" ca="1" si="14"/>
        <v>1</v>
      </c>
      <c r="N130" s="24">
        <f ca="1">IF(AND(L130=1,L129&lt;&gt;1),MAX($N$8:N129)+1,"")</f>
        <v>5</v>
      </c>
      <c r="O130" s="24" t="str">
        <f ca="1">IF(AND(L130&lt;&gt;1,L129=1),MAX($O$8:O129)+1,"")</f>
        <v/>
      </c>
      <c r="P130" s="17" t="str">
        <f ca="1">IF(AND(L130=-1,L129&lt;&gt;-1),MAX($P$8:P129)+1,"")</f>
        <v/>
      </c>
      <c r="Q130" s="24">
        <f ca="1">IF(AND(L130&lt;&gt;-1,L129=-1),MAX($Q$8:Q129)+1,"")</f>
        <v>7</v>
      </c>
    </row>
    <row r="131" spans="1:17" x14ac:dyDescent="0.3">
      <c r="A131" s="3">
        <v>40372</v>
      </c>
      <c r="B131" s="9">
        <v>11.536769</v>
      </c>
      <c r="C131" s="9">
        <v>8.4639279999999992</v>
      </c>
      <c r="E131" s="14">
        <f t="shared" ref="E131:E194" si="18">IF(ISNUMBER(B131),B131/C131,"")</f>
        <v>1.3630514106452702</v>
      </c>
      <c r="F131" s="18">
        <f t="shared" ca="1" si="17"/>
        <v>3.1034471140468121</v>
      </c>
      <c r="G131" s="15">
        <f t="shared" ca="1" si="15"/>
        <v>0.98112123353886826</v>
      </c>
      <c r="H131" s="15">
        <f t="shared" ca="1" si="16"/>
        <v>0.12306643647243444</v>
      </c>
      <c r="J131" s="17">
        <f t="shared" ca="1" si="12"/>
        <v>1</v>
      </c>
      <c r="K131" s="24">
        <f t="shared" ca="1" si="13"/>
        <v>0</v>
      </c>
      <c r="L131" s="17">
        <f t="shared" ca="1" si="14"/>
        <v>1</v>
      </c>
      <c r="N131" s="24" t="str">
        <f ca="1">IF(AND(L131=1,L130&lt;&gt;1),MAX($N$8:N130)+1,"")</f>
        <v/>
      </c>
      <c r="O131" s="24" t="str">
        <f ca="1">IF(AND(L131&lt;&gt;1,L130=1),MAX($O$8:O130)+1,"")</f>
        <v/>
      </c>
      <c r="P131" s="17" t="str">
        <f ca="1">IF(AND(L131=-1,L130&lt;&gt;-1),MAX($P$8:P130)+1,"")</f>
        <v/>
      </c>
      <c r="Q131" s="24" t="str">
        <f ca="1">IF(AND(L131&lt;&gt;-1,L130=-1),MAX($Q$8:Q130)+1,"")</f>
        <v/>
      </c>
    </row>
    <row r="132" spans="1:17" x14ac:dyDescent="0.3">
      <c r="A132" s="3">
        <v>40373</v>
      </c>
      <c r="B132" s="9">
        <v>11.453398999999999</v>
      </c>
      <c r="C132" s="9">
        <v>7.6816139999999997</v>
      </c>
      <c r="E132" s="14">
        <f t="shared" si="18"/>
        <v>1.4910146487443914</v>
      </c>
      <c r="F132" s="18">
        <f t="shared" ca="1" si="17"/>
        <v>2.9916953448671482</v>
      </c>
      <c r="G132" s="15">
        <f t="shared" ca="1" si="15"/>
        <v>1.0057664454687554</v>
      </c>
      <c r="H132" s="15">
        <f t="shared" ca="1" si="16"/>
        <v>0.16219840168825223</v>
      </c>
      <c r="J132" s="17">
        <f t="shared" ca="1" si="12"/>
        <v>1</v>
      </c>
      <c r="K132" s="24">
        <f t="shared" ca="1" si="13"/>
        <v>0</v>
      </c>
      <c r="L132" s="17">
        <f t="shared" ca="1" si="14"/>
        <v>1</v>
      </c>
      <c r="N132" s="24" t="str">
        <f ca="1">IF(AND(L132=1,L131&lt;&gt;1),MAX($N$8:N131)+1,"")</f>
        <v/>
      </c>
      <c r="O132" s="24" t="str">
        <f ca="1">IF(AND(L132&lt;&gt;1,L131=1),MAX($O$8:O131)+1,"")</f>
        <v/>
      </c>
      <c r="P132" s="17" t="str">
        <f ca="1">IF(AND(L132=-1,L131&lt;&gt;-1),MAX($P$8:P131)+1,"")</f>
        <v/>
      </c>
      <c r="Q132" s="24" t="str">
        <f ca="1">IF(AND(L132&lt;&gt;-1,L131=-1),MAX($Q$8:Q131)+1,"")</f>
        <v/>
      </c>
    </row>
    <row r="133" spans="1:17" x14ac:dyDescent="0.3">
      <c r="A133" s="3">
        <v>40374</v>
      </c>
      <c r="B133" s="9">
        <v>11.428711</v>
      </c>
      <c r="C133" s="9">
        <v>7.6763779999999997</v>
      </c>
      <c r="E133" s="14">
        <f t="shared" si="18"/>
        <v>1.4888155585876568</v>
      </c>
      <c r="F133" s="18">
        <f t="shared" ca="1" si="17"/>
        <v>2.4110829109446015</v>
      </c>
      <c r="G133" s="15">
        <f t="shared" ca="1" si="15"/>
        <v>1.0305049732170064</v>
      </c>
      <c r="H133" s="15">
        <f t="shared" ca="1" si="16"/>
        <v>0.19008495447844051</v>
      </c>
      <c r="J133" s="17">
        <f t="shared" ca="1" si="12"/>
        <v>1</v>
      </c>
      <c r="K133" s="24">
        <f t="shared" ca="1" si="13"/>
        <v>0</v>
      </c>
      <c r="L133" s="17">
        <f t="shared" ca="1" si="14"/>
        <v>1</v>
      </c>
      <c r="N133" s="24" t="str">
        <f ca="1">IF(AND(L133=1,L132&lt;&gt;1),MAX($N$8:N132)+1,"")</f>
        <v/>
      </c>
      <c r="O133" s="24" t="str">
        <f ca="1">IF(AND(L133&lt;&gt;1,L132=1),MAX($O$8:O132)+1,"")</f>
        <v/>
      </c>
      <c r="P133" s="17" t="str">
        <f ca="1">IF(AND(L133=-1,L132&lt;&gt;-1),MAX($P$8:P132)+1,"")</f>
        <v/>
      </c>
      <c r="Q133" s="24" t="str">
        <f ca="1">IF(AND(L133&lt;&gt;-1,L132=-1),MAX($Q$8:Q132)+1,"")</f>
        <v/>
      </c>
    </row>
    <row r="134" spans="1:17" x14ac:dyDescent="0.3">
      <c r="A134" s="3">
        <v>40375</v>
      </c>
      <c r="B134" s="9">
        <v>11.141423</v>
      </c>
      <c r="C134" s="9">
        <v>7.5455629999999996</v>
      </c>
      <c r="E134" s="14">
        <f t="shared" si="18"/>
        <v>1.4765529093057734</v>
      </c>
      <c r="F134" s="18">
        <f t="shared" ca="1" si="17"/>
        <v>2.0053326562272731</v>
      </c>
      <c r="G134" s="15">
        <f t="shared" ca="1" si="15"/>
        <v>1.0545042167747478</v>
      </c>
      <c r="H134" s="15">
        <f t="shared" ca="1" si="16"/>
        <v>0.21046318236548631</v>
      </c>
      <c r="J134" s="17">
        <f t="shared" ca="1" si="12"/>
        <v>1</v>
      </c>
      <c r="K134" s="24">
        <f t="shared" ca="1" si="13"/>
        <v>0</v>
      </c>
      <c r="L134" s="17">
        <f t="shared" ca="1" si="14"/>
        <v>1</v>
      </c>
      <c r="N134" s="24" t="str">
        <f ca="1">IF(AND(L134=1,L133&lt;&gt;1),MAX($N$8:N133)+1,"")</f>
        <v/>
      </c>
      <c r="O134" s="24" t="str">
        <f ca="1">IF(AND(L134&lt;&gt;1,L133=1),MAX($O$8:O133)+1,"")</f>
        <v/>
      </c>
      <c r="P134" s="17" t="str">
        <f ca="1">IF(AND(L134=-1,L133&lt;&gt;-1),MAX($P$8:P133)+1,"")</f>
        <v/>
      </c>
      <c r="Q134" s="24" t="str">
        <f ca="1">IF(AND(L134&lt;&gt;-1,L133=-1),MAX($Q$8:Q133)+1,"")</f>
        <v/>
      </c>
    </row>
    <row r="135" spans="1:17" x14ac:dyDescent="0.3">
      <c r="A135" s="3">
        <v>40378</v>
      </c>
      <c r="B135" s="9">
        <v>11.397776</v>
      </c>
      <c r="C135" s="9">
        <v>7.7156130000000003</v>
      </c>
      <c r="E135" s="14">
        <f t="shared" si="18"/>
        <v>1.4772353149386834</v>
      </c>
      <c r="F135" s="18">
        <f t="shared" ca="1" si="17"/>
        <v>1.7598380069987689</v>
      </c>
      <c r="G135" s="15">
        <f t="shared" ca="1" si="15"/>
        <v>1.078822428487821</v>
      </c>
      <c r="H135" s="15">
        <f t="shared" ca="1" si="16"/>
        <v>0.22639179564618939</v>
      </c>
      <c r="J135" s="17">
        <f t="shared" ca="1" si="12"/>
        <v>1</v>
      </c>
      <c r="K135" s="24">
        <f t="shared" ca="1" si="13"/>
        <v>0</v>
      </c>
      <c r="L135" s="17">
        <f t="shared" ca="1" si="14"/>
        <v>1</v>
      </c>
      <c r="N135" s="24" t="str">
        <f ca="1">IF(AND(L135=1,L134&lt;&gt;1),MAX($N$8:N134)+1,"")</f>
        <v/>
      </c>
      <c r="O135" s="24" t="str">
        <f ca="1">IF(AND(L135&lt;&gt;1,L134=1),MAX($O$8:O134)+1,"")</f>
        <v/>
      </c>
      <c r="P135" s="17" t="str">
        <f ca="1">IF(AND(L135=-1,L134&lt;&gt;-1),MAX($P$8:P134)+1,"")</f>
        <v/>
      </c>
      <c r="Q135" s="24" t="str">
        <f ca="1">IF(AND(L135&lt;&gt;-1,L134=-1),MAX($Q$8:Q134)+1,"")</f>
        <v/>
      </c>
    </row>
    <row r="136" spans="1:17" x14ac:dyDescent="0.3">
      <c r="A136" s="3">
        <v>40379</v>
      </c>
      <c r="B136" s="9">
        <v>11.493558999999999</v>
      </c>
      <c r="C136" s="9">
        <v>7.8307630000000001</v>
      </c>
      <c r="E136" s="14">
        <f t="shared" si="18"/>
        <v>1.4677444586178894</v>
      </c>
      <c r="F136" s="18">
        <f t="shared" ca="1" si="17"/>
        <v>1.5329058385712042</v>
      </c>
      <c r="G136" s="15">
        <f t="shared" ca="1" si="15"/>
        <v>1.1029035069028348</v>
      </c>
      <c r="H136" s="15">
        <f t="shared" ca="1" si="16"/>
        <v>0.23800610744304865</v>
      </c>
      <c r="J136" s="17">
        <f t="shared" ref="J136:J199" ca="1" si="19">IF(ISNUMBER(F136),IF(AND(J135&lt;&gt;1,F136&gt;$L$1),1,IF(AND(J135=1,F136&gt;$N$1),1,0)),"")</f>
        <v>1</v>
      </c>
      <c r="K136" s="24">
        <f t="shared" ca="1" si="13"/>
        <v>0</v>
      </c>
      <c r="L136" s="17">
        <f t="shared" ca="1" si="14"/>
        <v>1</v>
      </c>
      <c r="N136" s="24" t="str">
        <f ca="1">IF(AND(L136=1,L135&lt;&gt;1),MAX($N$8:N135)+1,"")</f>
        <v/>
      </c>
      <c r="O136" s="24" t="str">
        <f ca="1">IF(AND(L136&lt;&gt;1,L135=1),MAX($O$8:O135)+1,"")</f>
        <v/>
      </c>
      <c r="P136" s="17" t="str">
        <f ca="1">IF(AND(L136=-1,L135&lt;&gt;-1),MAX($P$8:P135)+1,"")</f>
        <v/>
      </c>
      <c r="Q136" s="24" t="str">
        <f ca="1">IF(AND(L136&lt;&gt;-1,L135=-1),MAX($Q$8:Q135)+1,"")</f>
        <v/>
      </c>
    </row>
    <row r="137" spans="1:17" x14ac:dyDescent="0.3">
      <c r="A137" s="3">
        <v>40380</v>
      </c>
      <c r="B137" s="9">
        <v>11.456521</v>
      </c>
      <c r="C137" s="9">
        <v>7.7705659999999996</v>
      </c>
      <c r="E137" s="14">
        <f t="shared" si="18"/>
        <v>1.4743483293237585</v>
      </c>
      <c r="F137" s="18">
        <f t="shared" ca="1" si="17"/>
        <v>1.4041323474086411</v>
      </c>
      <c r="G137" s="15">
        <f t="shared" ca="1" si="15"/>
        <v>1.1266108112659945</v>
      </c>
      <c r="H137" s="15">
        <f t="shared" ca="1" si="16"/>
        <v>0.24765295002249729</v>
      </c>
      <c r="J137" s="17">
        <f t="shared" ca="1" si="19"/>
        <v>1</v>
      </c>
      <c r="K137" s="24">
        <f t="shared" ref="K137:K200" ca="1" si="20">IF(ISNUMBER(F137),IF(AND(K136&lt;&gt;-1,F137&lt;$P$1),-1,IF(AND(K136=-1,F137&lt;R130),-1,0)),"")</f>
        <v>0</v>
      </c>
      <c r="L137" s="17">
        <f t="shared" ref="L137:L200" ca="1" si="21">IF(ISNUMBER(F137),IF(J137=1,1,IF(K137=-1,-1,0)),"")</f>
        <v>1</v>
      </c>
      <c r="N137" s="24" t="str">
        <f ca="1">IF(AND(L137=1,L136&lt;&gt;1),MAX($N$8:N136)+1,"")</f>
        <v/>
      </c>
      <c r="O137" s="24" t="str">
        <f ca="1">IF(AND(L137&lt;&gt;1,L136=1),MAX($O$8:O136)+1,"")</f>
        <v/>
      </c>
      <c r="P137" s="17" t="str">
        <f ca="1">IF(AND(L137=-1,L136&lt;&gt;-1),MAX($P$8:P136)+1,"")</f>
        <v/>
      </c>
      <c r="Q137" s="24" t="str">
        <f ca="1">IF(AND(L137&lt;&gt;-1,L136=-1),MAX($Q$8:Q136)+1,"")</f>
        <v/>
      </c>
    </row>
    <row r="138" spans="1:17" x14ac:dyDescent="0.3">
      <c r="A138" s="3">
        <v>40381</v>
      </c>
      <c r="B138" s="9">
        <v>11.768425000000001</v>
      </c>
      <c r="C138" s="9">
        <v>7.9981960000000001</v>
      </c>
      <c r="E138" s="14">
        <f t="shared" si="18"/>
        <v>1.4713849222999786</v>
      </c>
      <c r="F138" s="18">
        <f t="shared" ca="1" si="17"/>
        <v>1.2617629545218714</v>
      </c>
      <c r="G138" s="15">
        <f t="shared" ca="1" si="15"/>
        <v>1.149999380730981</v>
      </c>
      <c r="H138" s="15">
        <f t="shared" ca="1" si="16"/>
        <v>0.25471150537208676</v>
      </c>
      <c r="J138" s="17">
        <f t="shared" ca="1" si="19"/>
        <v>1</v>
      </c>
      <c r="K138" s="24">
        <f t="shared" ca="1" si="20"/>
        <v>0</v>
      </c>
      <c r="L138" s="17">
        <f t="shared" ca="1" si="21"/>
        <v>1</v>
      </c>
      <c r="N138" s="24" t="str">
        <f ca="1">IF(AND(L138=1,L137&lt;&gt;1),MAX($N$8:N137)+1,"")</f>
        <v/>
      </c>
      <c r="O138" s="24" t="str">
        <f ca="1">IF(AND(L138&lt;&gt;1,L137=1),MAX($O$8:O137)+1,"")</f>
        <v/>
      </c>
      <c r="P138" s="17" t="str">
        <f ca="1">IF(AND(L138=-1,L137&lt;&gt;-1),MAX($P$8:P137)+1,"")</f>
        <v/>
      </c>
      <c r="Q138" s="24" t="str">
        <f ca="1">IF(AND(L138&lt;&gt;-1,L137=-1),MAX($Q$8:Q137)+1,"")</f>
        <v/>
      </c>
    </row>
    <row r="139" spans="1:17" x14ac:dyDescent="0.3">
      <c r="A139" s="3">
        <v>40382</v>
      </c>
      <c r="B139" s="9">
        <v>11.892023999999999</v>
      </c>
      <c r="C139" s="9">
        <v>8.0583930000000006</v>
      </c>
      <c r="E139" s="14">
        <f t="shared" si="18"/>
        <v>1.4757314516678448</v>
      </c>
      <c r="F139" s="18">
        <f t="shared" ca="1" si="17"/>
        <v>1.1633910127431739</v>
      </c>
      <c r="G139" s="15">
        <f t="shared" ca="1" si="15"/>
        <v>1.1737695542915993</v>
      </c>
      <c r="H139" s="15">
        <f t="shared" ca="1" si="16"/>
        <v>0.25955323194756835</v>
      </c>
      <c r="J139" s="17">
        <f t="shared" ca="1" si="19"/>
        <v>1</v>
      </c>
      <c r="K139" s="24">
        <f t="shared" ca="1" si="20"/>
        <v>0</v>
      </c>
      <c r="L139" s="17">
        <f t="shared" ca="1" si="21"/>
        <v>1</v>
      </c>
      <c r="N139" s="24" t="str">
        <f ca="1">IF(AND(L139=1,L138&lt;&gt;1),MAX($N$8:N138)+1,"")</f>
        <v/>
      </c>
      <c r="O139" s="24" t="str">
        <f ca="1">IF(AND(L139&lt;&gt;1,L138=1),MAX($O$8:O138)+1,"")</f>
        <v/>
      </c>
      <c r="P139" s="17" t="str">
        <f ca="1">IF(AND(L139=-1,L138&lt;&gt;-1),MAX($P$8:P138)+1,"")</f>
        <v/>
      </c>
      <c r="Q139" s="24" t="str">
        <f ca="1">IF(AND(L139&lt;&gt;-1,L138=-1),MAX($Q$8:Q138)+1,"")</f>
        <v/>
      </c>
    </row>
    <row r="140" spans="1:17" x14ac:dyDescent="0.3">
      <c r="A140" s="3">
        <v>40385</v>
      </c>
      <c r="B140" s="9">
        <v>11.919832</v>
      </c>
      <c r="C140" s="9">
        <v>8.0348140000000008</v>
      </c>
      <c r="E140" s="14">
        <f t="shared" si="18"/>
        <v>1.4835230784433837</v>
      </c>
      <c r="F140" s="18">
        <f t="shared" ca="1" si="17"/>
        <v>1.0879395350180654</v>
      </c>
      <c r="G140" s="15">
        <f t="shared" ca="1" si="15"/>
        <v>1.1976853591395744</v>
      </c>
      <c r="H140" s="15">
        <f t="shared" ca="1" si="16"/>
        <v>0.26273309324958294</v>
      </c>
      <c r="J140" s="17">
        <f t="shared" ca="1" si="19"/>
        <v>1</v>
      </c>
      <c r="K140" s="24">
        <f t="shared" ca="1" si="20"/>
        <v>0</v>
      </c>
      <c r="L140" s="17">
        <f t="shared" ca="1" si="21"/>
        <v>1</v>
      </c>
      <c r="N140" s="24" t="str">
        <f ca="1">IF(AND(L140=1,L139&lt;&gt;1),MAX($N$8:N139)+1,"")</f>
        <v/>
      </c>
      <c r="O140" s="24" t="str">
        <f ca="1">IF(AND(L140&lt;&gt;1,L139=1),MAX($O$8:O139)+1,"")</f>
        <v/>
      </c>
      <c r="P140" s="17" t="str">
        <f ca="1">IF(AND(L140=-1,L139&lt;&gt;-1),MAX($P$8:P139)+1,"")</f>
        <v/>
      </c>
      <c r="Q140" s="24" t="str">
        <f ca="1">IF(AND(L140&lt;&gt;-1,L139=-1),MAX($Q$8:Q139)+1,"")</f>
        <v/>
      </c>
    </row>
    <row r="141" spans="1:17" x14ac:dyDescent="0.3">
      <c r="A141" s="3">
        <v>40386</v>
      </c>
      <c r="B141" s="9">
        <v>11.892023999999999</v>
      </c>
      <c r="C141" s="9">
        <v>8.0610130000000009</v>
      </c>
      <c r="E141" s="14">
        <f t="shared" si="18"/>
        <v>1.4752518076822352</v>
      </c>
      <c r="F141" s="18">
        <f t="shared" ca="1" si="17"/>
        <v>0.96475114405273277</v>
      </c>
      <c r="G141" s="15">
        <f t="shared" ca="1" si="15"/>
        <v>1.2225993307360192</v>
      </c>
      <c r="H141" s="15">
        <f t="shared" ca="1" si="16"/>
        <v>0.26188357329629258</v>
      </c>
      <c r="J141" s="17">
        <f t="shared" ca="1" si="19"/>
        <v>1</v>
      </c>
      <c r="K141" s="24">
        <f t="shared" ca="1" si="20"/>
        <v>0</v>
      </c>
      <c r="L141" s="17">
        <f t="shared" ca="1" si="21"/>
        <v>1</v>
      </c>
      <c r="N141" s="24" t="str">
        <f ca="1">IF(AND(L141=1,L140&lt;&gt;1),MAX($N$8:N140)+1,"")</f>
        <v/>
      </c>
      <c r="O141" s="24" t="str">
        <f ca="1">IF(AND(L141&lt;&gt;1,L140=1),MAX($O$8:O140)+1,"")</f>
        <v/>
      </c>
      <c r="P141" s="17" t="str">
        <f ca="1">IF(AND(L141=-1,L140&lt;&gt;-1),MAX($P$8:P140)+1,"")</f>
        <v/>
      </c>
      <c r="Q141" s="24" t="str">
        <f ca="1">IF(AND(L141&lt;&gt;-1,L140=-1),MAX($Q$8:Q140)+1,"")</f>
        <v/>
      </c>
    </row>
    <row r="142" spans="1:17" x14ac:dyDescent="0.3">
      <c r="A142" s="3">
        <v>40387</v>
      </c>
      <c r="B142" s="9">
        <v>12.170014999999999</v>
      </c>
      <c r="C142" s="9">
        <v>8.4246300000000005</v>
      </c>
      <c r="E142" s="14">
        <f t="shared" si="18"/>
        <v>1.4445756074747496</v>
      </c>
      <c r="F142" s="18">
        <f t="shared" ca="1" si="17"/>
        <v>0.7707994515046146</v>
      </c>
      <c r="G142" s="15">
        <f t="shared" ca="1" si="15"/>
        <v>1.2458123126272282</v>
      </c>
      <c r="H142" s="15">
        <f t="shared" ca="1" si="16"/>
        <v>0.25786641967574281</v>
      </c>
      <c r="J142" s="17">
        <f t="shared" ca="1" si="19"/>
        <v>1</v>
      </c>
      <c r="K142" s="24">
        <f t="shared" ca="1" si="20"/>
        <v>0</v>
      </c>
      <c r="L142" s="17">
        <f t="shared" ca="1" si="21"/>
        <v>1</v>
      </c>
      <c r="N142" s="24" t="str">
        <f ca="1">IF(AND(L142=1,L141&lt;&gt;1),MAX($N$8:N141)+1,"")</f>
        <v/>
      </c>
      <c r="O142" s="24" t="str">
        <f ca="1">IF(AND(L142&lt;&gt;1,L141=1),MAX($O$8:O141)+1,"")</f>
        <v/>
      </c>
      <c r="P142" s="17" t="str">
        <f ca="1">IF(AND(L142=-1,L141&lt;&gt;-1),MAX($P$8:P141)+1,"")</f>
        <v/>
      </c>
      <c r="Q142" s="24" t="str">
        <f ca="1">IF(AND(L142&lt;&gt;-1,L141=-1),MAX($Q$8:Q141)+1,"")</f>
        <v/>
      </c>
    </row>
    <row r="143" spans="1:17" x14ac:dyDescent="0.3">
      <c r="A143" s="3">
        <v>40388</v>
      </c>
      <c r="B143" s="9">
        <v>12.179244000000001</v>
      </c>
      <c r="C143" s="9">
        <v>8.4220710000000008</v>
      </c>
      <c r="E143" s="14">
        <f t="shared" si="18"/>
        <v>1.4461103450683328</v>
      </c>
      <c r="F143" s="18">
        <f t="shared" ca="1" si="17"/>
        <v>0.70343686388430249</v>
      </c>
      <c r="G143" s="15">
        <f t="shared" ca="1" si="15"/>
        <v>1.2685827352925274</v>
      </c>
      <c r="H143" s="15">
        <f t="shared" ca="1" si="16"/>
        <v>0.252371774768125</v>
      </c>
      <c r="J143" s="17">
        <f t="shared" ca="1" si="19"/>
        <v>1</v>
      </c>
      <c r="K143" s="24">
        <f t="shared" ca="1" si="20"/>
        <v>0</v>
      </c>
      <c r="L143" s="17">
        <f t="shared" ca="1" si="21"/>
        <v>1</v>
      </c>
      <c r="N143" s="24" t="str">
        <f ca="1">IF(AND(L143=1,L142&lt;&gt;1),MAX($N$8:N142)+1,"")</f>
        <v/>
      </c>
      <c r="O143" s="24" t="str">
        <f ca="1">IF(AND(L143&lt;&gt;1,L142=1),MAX($O$8:O142)+1,"")</f>
        <v/>
      </c>
      <c r="P143" s="17" t="str">
        <f ca="1">IF(AND(L143=-1,L142&lt;&gt;-1),MAX($P$8:P142)+1,"")</f>
        <v/>
      </c>
      <c r="Q143" s="24" t="str">
        <f ca="1">IF(AND(L143&lt;&gt;-1,L142=-1),MAX($Q$8:Q142)+1,"")</f>
        <v/>
      </c>
    </row>
    <row r="144" spans="1:17" x14ac:dyDescent="0.3">
      <c r="A144" s="3">
        <v>40389</v>
      </c>
      <c r="B144" s="9">
        <v>12.228692000000001</v>
      </c>
      <c r="C144" s="9">
        <v>8.4377300000000002</v>
      </c>
      <c r="E144" s="14">
        <f t="shared" si="18"/>
        <v>1.4492869527704726</v>
      </c>
      <c r="F144" s="18">
        <f t="shared" ca="1" si="17"/>
        <v>0.64468279702765208</v>
      </c>
      <c r="G144" s="15">
        <f t="shared" ca="1" si="15"/>
        <v>1.2916400677167017</v>
      </c>
      <c r="H144" s="15">
        <f t="shared" ca="1" si="16"/>
        <v>0.2445340340716568</v>
      </c>
      <c r="J144" s="17">
        <f t="shared" ca="1" si="19"/>
        <v>1</v>
      </c>
      <c r="K144" s="24">
        <f t="shared" ca="1" si="20"/>
        <v>0</v>
      </c>
      <c r="L144" s="17">
        <f t="shared" ca="1" si="21"/>
        <v>1</v>
      </c>
      <c r="N144" s="24" t="str">
        <f ca="1">IF(AND(L144=1,L143&lt;&gt;1),MAX($N$8:N143)+1,"")</f>
        <v/>
      </c>
      <c r="O144" s="24" t="str">
        <f ca="1">IF(AND(L144&lt;&gt;1,L143=1),MAX($O$8:O143)+1,"")</f>
        <v/>
      </c>
      <c r="P144" s="17" t="str">
        <f ca="1">IF(AND(L144=-1,L143&lt;&gt;-1),MAX($P$8:P143)+1,"")</f>
        <v/>
      </c>
      <c r="Q144" s="24" t="str">
        <f ca="1">IF(AND(L144&lt;&gt;-1,L143=-1),MAX($Q$8:Q143)+1,"")</f>
        <v/>
      </c>
    </row>
    <row r="145" spans="1:17" x14ac:dyDescent="0.3">
      <c r="A145" s="3">
        <v>40392</v>
      </c>
      <c r="B145" s="9">
        <v>12.273904</v>
      </c>
      <c r="C145" s="9">
        <v>8.4900640000000003</v>
      </c>
      <c r="E145" s="14">
        <f t="shared" si="18"/>
        <v>1.4456786191482183</v>
      </c>
      <c r="F145" s="18">
        <f t="shared" ca="1" si="17"/>
        <v>0.5602073512297997</v>
      </c>
      <c r="G145" s="15">
        <f t="shared" ca="1" si="15"/>
        <v>1.314623671791463</v>
      </c>
      <c r="H145" s="15">
        <f t="shared" ca="1" si="16"/>
        <v>0.2339400707060624</v>
      </c>
      <c r="J145" s="17">
        <f t="shared" ca="1" si="19"/>
        <v>1</v>
      </c>
      <c r="K145" s="24">
        <f t="shared" ca="1" si="20"/>
        <v>0</v>
      </c>
      <c r="L145" s="17">
        <f t="shared" ca="1" si="21"/>
        <v>1</v>
      </c>
      <c r="N145" s="24" t="str">
        <f ca="1">IF(AND(L145=1,L144&lt;&gt;1),MAX($N$8:N144)+1,"")</f>
        <v/>
      </c>
      <c r="O145" s="24" t="str">
        <f ca="1">IF(AND(L145&lt;&gt;1,L144=1),MAX($O$8:O144)+1,"")</f>
        <v/>
      </c>
      <c r="P145" s="17" t="str">
        <f ca="1">IF(AND(L145=-1,L144&lt;&gt;-1),MAX($P$8:P144)+1,"")</f>
        <v/>
      </c>
      <c r="Q145" s="24" t="str">
        <f ca="1">IF(AND(L145&lt;&gt;-1,L144=-1),MAX($Q$8:Q144)+1,"")</f>
        <v/>
      </c>
    </row>
    <row r="146" spans="1:17" x14ac:dyDescent="0.3">
      <c r="A146" s="3">
        <v>40393</v>
      </c>
      <c r="B146" s="9">
        <v>11.899946999999999</v>
      </c>
      <c r="C146" s="9">
        <v>8.3548709999999993</v>
      </c>
      <c r="E146" s="14">
        <f t="shared" si="18"/>
        <v>1.4243124759197359</v>
      </c>
      <c r="F146" s="18">
        <f t="shared" ca="1" si="17"/>
        <v>0.39857660279047813</v>
      </c>
      <c r="G146" s="15">
        <f t="shared" ca="1" si="15"/>
        <v>1.3365594668805454</v>
      </c>
      <c r="H146" s="15">
        <f t="shared" ca="1" si="16"/>
        <v>0.22016598170796309</v>
      </c>
      <c r="J146" s="17">
        <f t="shared" ca="1" si="19"/>
        <v>1</v>
      </c>
      <c r="K146" s="24">
        <f t="shared" ca="1" si="20"/>
        <v>0</v>
      </c>
      <c r="L146" s="17">
        <f t="shared" ca="1" si="21"/>
        <v>1</v>
      </c>
      <c r="N146" s="24" t="str">
        <f ca="1">IF(AND(L146=1,L145&lt;&gt;1),MAX($N$8:N145)+1,"")</f>
        <v/>
      </c>
      <c r="O146" s="24" t="str">
        <f ca="1">IF(AND(L146&lt;&gt;1,L145=1),MAX($O$8:O145)+1,"")</f>
        <v/>
      </c>
      <c r="P146" s="17" t="str">
        <f ca="1">IF(AND(L146=-1,L145&lt;&gt;-1),MAX($P$8:P145)+1,"")</f>
        <v/>
      </c>
      <c r="Q146" s="24" t="str">
        <f ca="1">IF(AND(L146&lt;&gt;-1,L145=-1),MAX($Q$8:Q145)+1,"")</f>
        <v/>
      </c>
    </row>
    <row r="147" spans="1:17" x14ac:dyDescent="0.3">
      <c r="A147" s="3">
        <v>40394</v>
      </c>
      <c r="B147" s="9">
        <v>11.695963000000001</v>
      </c>
      <c r="C147" s="9">
        <v>8.2972350000000006</v>
      </c>
      <c r="E147" s="14">
        <f t="shared" si="18"/>
        <v>1.4096217595379665</v>
      </c>
      <c r="F147" s="18">
        <f t="shared" ca="1" si="17"/>
        <v>0.2552862642185032</v>
      </c>
      <c r="G147" s="15">
        <f t="shared" ca="1" si="15"/>
        <v>1.3578088423298549</v>
      </c>
      <c r="H147" s="15">
        <f t="shared" ca="1" si="16"/>
        <v>0.20296006667935815</v>
      </c>
      <c r="J147" s="17">
        <f t="shared" ca="1" si="19"/>
        <v>1</v>
      </c>
      <c r="K147" s="24">
        <f t="shared" ca="1" si="20"/>
        <v>0</v>
      </c>
      <c r="L147" s="17">
        <f t="shared" ca="1" si="21"/>
        <v>1</v>
      </c>
      <c r="N147" s="24" t="str">
        <f ca="1">IF(AND(L147=1,L146&lt;&gt;1),MAX($N$8:N146)+1,"")</f>
        <v/>
      </c>
      <c r="O147" s="24" t="str">
        <f ca="1">IF(AND(L147&lt;&gt;1,L146=1),MAX($O$8:O146)+1,"")</f>
        <v/>
      </c>
      <c r="P147" s="17" t="str">
        <f ca="1">IF(AND(L147=-1,L146&lt;&gt;-1),MAX($P$8:P146)+1,"")</f>
        <v/>
      </c>
      <c r="Q147" s="24" t="str">
        <f ca="1">IF(AND(L147&lt;&gt;-1,L146=-1),MAX($Q$8:Q146)+1,"")</f>
        <v/>
      </c>
    </row>
    <row r="148" spans="1:17" x14ac:dyDescent="0.3">
      <c r="A148" s="3">
        <v>40395</v>
      </c>
      <c r="B148" s="9">
        <v>11.717549999999999</v>
      </c>
      <c r="C148" s="9">
        <v>8.3155979999999996</v>
      </c>
      <c r="E148" s="14">
        <f t="shared" si="18"/>
        <v>1.4091049134409817</v>
      </c>
      <c r="F148" s="18">
        <f t="shared" ca="1" si="17"/>
        <v>0.16421960687779763</v>
      </c>
      <c r="G148" s="15">
        <f t="shared" ca="1" si="15"/>
        <v>1.3794257222736213</v>
      </c>
      <c r="H148" s="15">
        <f t="shared" ca="1" si="16"/>
        <v>0.18072867017301941</v>
      </c>
      <c r="J148" s="17">
        <f t="shared" ca="1" si="19"/>
        <v>1</v>
      </c>
      <c r="K148" s="24">
        <f t="shared" ca="1" si="20"/>
        <v>0</v>
      </c>
      <c r="L148" s="17">
        <f t="shared" ca="1" si="21"/>
        <v>1</v>
      </c>
      <c r="N148" s="24" t="str">
        <f ca="1">IF(AND(L148=1,L147&lt;&gt;1),MAX($N$8:N147)+1,"")</f>
        <v/>
      </c>
      <c r="O148" s="24" t="str">
        <f ca="1">IF(AND(L148&lt;&gt;1,L147=1),MAX($O$8:O147)+1,"")</f>
        <v/>
      </c>
      <c r="P148" s="17" t="str">
        <f ca="1">IF(AND(L148=-1,L147&lt;&gt;-1),MAX($P$8:P147)+1,"")</f>
        <v/>
      </c>
      <c r="Q148" s="24" t="str">
        <f ca="1">IF(AND(L148&lt;&gt;-1,L147=-1),MAX($Q$8:Q147)+1,"")</f>
        <v/>
      </c>
    </row>
    <row r="149" spans="1:17" x14ac:dyDescent="0.3">
      <c r="A149" s="3">
        <v>40396</v>
      </c>
      <c r="B149" s="9">
        <v>11.853581999999999</v>
      </c>
      <c r="C149" s="9">
        <v>8.3287080000000007</v>
      </c>
      <c r="E149" s="14">
        <f t="shared" si="18"/>
        <v>1.4232197839088605</v>
      </c>
      <c r="F149" s="18">
        <f t="shared" ca="1" si="17"/>
        <v>0.14006428987760886</v>
      </c>
      <c r="G149" s="15">
        <f t="shared" ca="1" si="15"/>
        <v>1.4020272697288909</v>
      </c>
      <c r="H149" s="15">
        <f t="shared" ca="1" si="16"/>
        <v>0.15130561971568954</v>
      </c>
      <c r="J149" s="17">
        <f t="shared" ca="1" si="19"/>
        <v>1</v>
      </c>
      <c r="K149" s="24">
        <f t="shared" ca="1" si="20"/>
        <v>0</v>
      </c>
      <c r="L149" s="17">
        <f t="shared" ca="1" si="21"/>
        <v>1</v>
      </c>
      <c r="N149" s="24" t="str">
        <f ca="1">IF(AND(L149=1,L148&lt;&gt;1),MAX($N$8:N148)+1,"")</f>
        <v/>
      </c>
      <c r="O149" s="24" t="str">
        <f ca="1">IF(AND(L149&lt;&gt;1,L148=1),MAX($O$8:O148)+1,"")</f>
        <v/>
      </c>
      <c r="P149" s="17" t="str">
        <f ca="1">IF(AND(L149=-1,L148&lt;&gt;-1),MAX($P$8:P148)+1,"")</f>
        <v/>
      </c>
      <c r="Q149" s="24" t="str">
        <f ca="1">IF(AND(L149&lt;&gt;-1,L148=-1),MAX($Q$8:Q148)+1,"")</f>
        <v/>
      </c>
    </row>
    <row r="150" spans="1:17" x14ac:dyDescent="0.3">
      <c r="A150" s="3">
        <v>40399</v>
      </c>
      <c r="B150" s="9">
        <v>11.899946999999999</v>
      </c>
      <c r="C150" s="9">
        <v>8.3810979999999997</v>
      </c>
      <c r="E150" s="14">
        <f t="shared" si="18"/>
        <v>1.4198553697856773</v>
      </c>
      <c r="F150" s="18">
        <f t="shared" ca="1" si="17"/>
        <v>-3.7120854771377249E-2</v>
      </c>
      <c r="G150" s="15">
        <f t="shared" ca="1" si="15"/>
        <v>1.4240151655394437</v>
      </c>
      <c r="H150" s="15">
        <f t="shared" ca="1" si="16"/>
        <v>0.11206088274060841</v>
      </c>
      <c r="J150" s="17">
        <f t="shared" ca="1" si="19"/>
        <v>0</v>
      </c>
      <c r="K150" s="24">
        <f t="shared" ca="1" si="20"/>
        <v>0</v>
      </c>
      <c r="L150" s="17">
        <f t="shared" ca="1" si="21"/>
        <v>0</v>
      </c>
      <c r="N150" s="24" t="str">
        <f ca="1">IF(AND(L150=1,L149&lt;&gt;1),MAX($N$8:N149)+1,"")</f>
        <v/>
      </c>
      <c r="O150" s="24">
        <f ca="1">IF(AND(L150&lt;&gt;1,L149=1),MAX($O$8:O149)+1,"")</f>
        <v>5</v>
      </c>
      <c r="P150" s="17" t="str">
        <f ca="1">IF(AND(L150=-1,L149&lt;&gt;-1),MAX($P$8:P149)+1,"")</f>
        <v/>
      </c>
      <c r="Q150" s="24" t="str">
        <f ca="1">IF(AND(L150&lt;&gt;-1,L149=-1),MAX($Q$8:Q149)+1,"")</f>
        <v/>
      </c>
    </row>
    <row r="151" spans="1:17" x14ac:dyDescent="0.3">
      <c r="A151" s="3">
        <v>40400</v>
      </c>
      <c r="B151" s="9">
        <v>11.844289</v>
      </c>
      <c r="C151" s="9">
        <v>8.2684510000000007</v>
      </c>
      <c r="E151" s="14">
        <f t="shared" si="18"/>
        <v>1.4324677016287573</v>
      </c>
      <c r="F151" s="18">
        <f t="shared" ca="1" si="17"/>
        <v>-0.40105656483421886</v>
      </c>
      <c r="G151" s="15">
        <f t="shared" ca="1" si="15"/>
        <v>1.4465716158271826</v>
      </c>
      <c r="H151" s="15">
        <f t="shared" ca="1" si="16"/>
        <v>3.5166895233981248E-2</v>
      </c>
      <c r="J151" s="17">
        <f t="shared" ca="1" si="19"/>
        <v>0</v>
      </c>
      <c r="K151" s="24">
        <f t="shared" ca="1" si="20"/>
        <v>0</v>
      </c>
      <c r="L151" s="17">
        <f t="shared" ca="1" si="21"/>
        <v>0</v>
      </c>
      <c r="N151" s="24" t="str">
        <f ca="1">IF(AND(L151=1,L150&lt;&gt;1),MAX($N$8:N150)+1,"")</f>
        <v/>
      </c>
      <c r="O151" s="24" t="str">
        <f ca="1">IF(AND(L151&lt;&gt;1,L150=1),MAX($O$8:O150)+1,"")</f>
        <v/>
      </c>
      <c r="P151" s="17" t="str">
        <f ca="1">IF(AND(L151=-1,L150&lt;&gt;-1),MAX($P$8:P150)+1,"")</f>
        <v/>
      </c>
      <c r="Q151" s="24" t="str">
        <f ca="1">IF(AND(L151&lt;&gt;-1,L150=-1),MAX($Q$8:Q150)+1,"")</f>
        <v/>
      </c>
    </row>
    <row r="152" spans="1:17" x14ac:dyDescent="0.3">
      <c r="A152" s="3">
        <v>40401</v>
      </c>
      <c r="B152" s="9">
        <v>11.722351</v>
      </c>
      <c r="C152" s="9">
        <v>8.1060879999999997</v>
      </c>
      <c r="E152" s="14">
        <f t="shared" si="18"/>
        <v>1.4461169185431986</v>
      </c>
      <c r="F152" s="18">
        <f t="shared" ca="1" si="17"/>
        <v>-0.11572382333115956</v>
      </c>
      <c r="G152" s="15">
        <f t="shared" ca="1" si="15"/>
        <v>1.4497729244310822</v>
      </c>
      <c r="H152" s="15">
        <f t="shared" ca="1" si="16"/>
        <v>3.1592508635161977E-2</v>
      </c>
      <c r="J152" s="17">
        <f t="shared" ca="1" si="19"/>
        <v>0</v>
      </c>
      <c r="K152" s="24">
        <f t="shared" ca="1" si="20"/>
        <v>0</v>
      </c>
      <c r="L152" s="17">
        <f t="shared" ca="1" si="21"/>
        <v>0</v>
      </c>
      <c r="N152" s="24" t="str">
        <f ca="1">IF(AND(L152=1,L151&lt;&gt;1),MAX($N$8:N151)+1,"")</f>
        <v/>
      </c>
      <c r="O152" s="24" t="str">
        <f ca="1">IF(AND(L152&lt;&gt;1,L151=1),MAX($O$8:O151)+1,"")</f>
        <v/>
      </c>
      <c r="P152" s="17" t="str">
        <f ca="1">IF(AND(L152=-1,L151&lt;&gt;-1),MAX($P$8:P151)+1,"")</f>
        <v/>
      </c>
      <c r="Q152" s="24" t="str">
        <f ca="1">IF(AND(L152&lt;&gt;-1,L151=-1),MAX($Q$8:Q151)+1,"")</f>
        <v/>
      </c>
    </row>
    <row r="153" spans="1:17" x14ac:dyDescent="0.3">
      <c r="A153" s="3">
        <v>40402</v>
      </c>
      <c r="B153" s="9">
        <v>11.778613</v>
      </c>
      <c r="C153" s="9">
        <v>8.1191469999999999</v>
      </c>
      <c r="E153" s="14">
        <f t="shared" si="18"/>
        <v>1.4507205005648993</v>
      </c>
      <c r="F153" s="18">
        <f t="shared" ca="1" si="17"/>
        <v>-0.12002547881037309</v>
      </c>
      <c r="G153" s="15">
        <f t="shared" ca="1" si="15"/>
        <v>1.4537578830637925</v>
      </c>
      <c r="H153" s="15">
        <f t="shared" ca="1" si="16"/>
        <v>2.5306147736281131E-2</v>
      </c>
      <c r="J153" s="17">
        <f t="shared" ca="1" si="19"/>
        <v>0</v>
      </c>
      <c r="K153" s="24">
        <f t="shared" ca="1" si="20"/>
        <v>0</v>
      </c>
      <c r="L153" s="17">
        <f t="shared" ca="1" si="21"/>
        <v>0</v>
      </c>
      <c r="N153" s="24" t="str">
        <f ca="1">IF(AND(L153=1,L152&lt;&gt;1),MAX($N$8:N152)+1,"")</f>
        <v/>
      </c>
      <c r="O153" s="24" t="str">
        <f ca="1">IF(AND(L153&lt;&gt;1,L152=1),MAX($O$8:O152)+1,"")</f>
        <v/>
      </c>
      <c r="P153" s="17" t="str">
        <f ca="1">IF(AND(L153=-1,L152&lt;&gt;-1),MAX($P$8:P152)+1,"")</f>
        <v/>
      </c>
      <c r="Q153" s="24" t="str">
        <f ca="1">IF(AND(L153&lt;&gt;-1,L152=-1),MAX($Q$8:Q152)+1,"")</f>
        <v/>
      </c>
    </row>
    <row r="154" spans="1:17" x14ac:dyDescent="0.3">
      <c r="A154" s="3">
        <v>40403</v>
      </c>
      <c r="B154" s="9">
        <v>11.797442999999999</v>
      </c>
      <c r="C154" s="9">
        <v>8.0955960000000005</v>
      </c>
      <c r="E154" s="14">
        <f t="shared" si="18"/>
        <v>1.4572667657822844</v>
      </c>
      <c r="F154" s="18">
        <f t="shared" ca="1" si="17"/>
        <v>0.2102086494537061</v>
      </c>
      <c r="G154" s="15">
        <f t="shared" ca="1" si="15"/>
        <v>1.4522238883836969</v>
      </c>
      <c r="H154" s="15">
        <f t="shared" ca="1" si="16"/>
        <v>2.3989866314697662E-2</v>
      </c>
      <c r="J154" s="17">
        <f t="shared" ca="1" si="19"/>
        <v>0</v>
      </c>
      <c r="K154" s="24">
        <f t="shared" ca="1" si="20"/>
        <v>0</v>
      </c>
      <c r="L154" s="17">
        <f t="shared" ca="1" si="21"/>
        <v>0</v>
      </c>
      <c r="N154" s="24" t="str">
        <f ca="1">IF(AND(L154=1,L153&lt;&gt;1),MAX($N$8:N153)+1,"")</f>
        <v/>
      </c>
      <c r="O154" s="24" t="str">
        <f ca="1">IF(AND(L154&lt;&gt;1,L153=1),MAX($O$8:O153)+1,"")</f>
        <v/>
      </c>
      <c r="P154" s="17" t="str">
        <f ca="1">IF(AND(L154=-1,L153&lt;&gt;-1),MAX($P$8:P153)+1,"")</f>
        <v/>
      </c>
      <c r="Q154" s="24" t="str">
        <f ca="1">IF(AND(L154&lt;&gt;-1,L153=-1),MAX($Q$8:Q153)+1,"")</f>
        <v/>
      </c>
    </row>
    <row r="155" spans="1:17" x14ac:dyDescent="0.3">
      <c r="A155" s="3">
        <v>40406</v>
      </c>
      <c r="B155" s="9">
        <v>11.853714</v>
      </c>
      <c r="C155" s="9">
        <v>8.1925129999999999</v>
      </c>
      <c r="E155" s="14">
        <f t="shared" si="18"/>
        <v>1.4468959646447921</v>
      </c>
      <c r="F155" s="18">
        <f t="shared" ca="1" si="17"/>
        <v>-0.15120796056073391</v>
      </c>
      <c r="G155" s="15">
        <f t="shared" ca="1" si="15"/>
        <v>1.4503184522953847</v>
      </c>
      <c r="H155" s="15">
        <f t="shared" ca="1" si="16"/>
        <v>2.2634308656110335E-2</v>
      </c>
      <c r="J155" s="17">
        <f t="shared" ca="1" si="19"/>
        <v>0</v>
      </c>
      <c r="K155" s="24">
        <f t="shared" ca="1" si="20"/>
        <v>0</v>
      </c>
      <c r="L155" s="17">
        <f t="shared" ca="1" si="21"/>
        <v>0</v>
      </c>
      <c r="N155" s="24" t="str">
        <f ca="1">IF(AND(L155=1,L154&lt;&gt;1),MAX($N$8:N154)+1,"")</f>
        <v/>
      </c>
      <c r="O155" s="24" t="str">
        <f ca="1">IF(AND(L155&lt;&gt;1,L154=1),MAX($O$8:O154)+1,"")</f>
        <v/>
      </c>
      <c r="P155" s="17" t="str">
        <f ca="1">IF(AND(L155=-1,L154&lt;&gt;-1),MAX($P$8:P154)+1,"")</f>
        <v/>
      </c>
      <c r="Q155" s="24" t="str">
        <f ca="1">IF(AND(L155&lt;&gt;-1,L154=-1),MAX($Q$8:Q154)+1,"")</f>
        <v/>
      </c>
    </row>
    <row r="156" spans="1:17" x14ac:dyDescent="0.3">
      <c r="A156" s="3">
        <v>40407</v>
      </c>
      <c r="B156" s="9">
        <v>11.931972999999999</v>
      </c>
      <c r="C156" s="9">
        <v>8.2370409999999996</v>
      </c>
      <c r="E156" s="14">
        <f t="shared" si="18"/>
        <v>1.4485751618815543</v>
      </c>
      <c r="F156" s="18">
        <f t="shared" ca="1" si="17"/>
        <v>-2.1534460300405078E-2</v>
      </c>
      <c r="G156" s="15">
        <f t="shared" ca="1" si="15"/>
        <v>1.449046736503375</v>
      </c>
      <c r="H156" s="15">
        <f t="shared" ca="1" si="16"/>
        <v>2.1898604155489797E-2</v>
      </c>
      <c r="J156" s="17">
        <f t="shared" ca="1" si="19"/>
        <v>0</v>
      </c>
      <c r="K156" s="24">
        <f t="shared" ca="1" si="20"/>
        <v>0</v>
      </c>
      <c r="L156" s="17">
        <f t="shared" ca="1" si="21"/>
        <v>0</v>
      </c>
      <c r="N156" s="24" t="str">
        <f ca="1">IF(AND(L156=1,L155&lt;&gt;1),MAX($N$8:N155)+1,"")</f>
        <v/>
      </c>
      <c r="O156" s="24" t="str">
        <f ca="1">IF(AND(L156&lt;&gt;1,L155=1),MAX($O$8:O155)+1,"")</f>
        <v/>
      </c>
      <c r="P156" s="17" t="str">
        <f ca="1">IF(AND(L156=-1,L155&lt;&gt;-1),MAX($P$8:P155)+1,"")</f>
        <v/>
      </c>
      <c r="Q156" s="24" t="str">
        <f ca="1">IF(AND(L156&lt;&gt;-1,L155=-1),MAX($Q$8:Q155)+1,"")</f>
        <v/>
      </c>
    </row>
    <row r="157" spans="1:17" x14ac:dyDescent="0.3">
      <c r="A157" s="3">
        <v>40408</v>
      </c>
      <c r="B157" s="9">
        <v>11.903795000000001</v>
      </c>
      <c r="C157" s="9">
        <v>8.3287080000000007</v>
      </c>
      <c r="E157" s="14">
        <f t="shared" si="18"/>
        <v>1.4292486901930046</v>
      </c>
      <c r="F157" s="18">
        <f t="shared" ca="1" si="17"/>
        <v>-0.82454134213361829</v>
      </c>
      <c r="G157" s="15">
        <f t="shared" ca="1" si="15"/>
        <v>1.4468655262876622</v>
      </c>
      <c r="H157" s="15">
        <f t="shared" ca="1" si="16"/>
        <v>2.1365618913748472E-2</v>
      </c>
      <c r="J157" s="17">
        <f t="shared" ca="1" si="19"/>
        <v>0</v>
      </c>
      <c r="K157" s="24">
        <f t="shared" ca="1" si="20"/>
        <v>0</v>
      </c>
      <c r="L157" s="17">
        <f t="shared" ca="1" si="21"/>
        <v>0</v>
      </c>
      <c r="N157" s="24" t="str">
        <f ca="1">IF(AND(L157=1,L156&lt;&gt;1),MAX($N$8:N156)+1,"")</f>
        <v/>
      </c>
      <c r="O157" s="24" t="str">
        <f ca="1">IF(AND(L157&lt;&gt;1,L156=1),MAX($O$8:O156)+1,"")</f>
        <v/>
      </c>
      <c r="P157" s="17" t="str">
        <f ca="1">IF(AND(L157=-1,L156&lt;&gt;-1),MAX($P$8:P156)+1,"")</f>
        <v/>
      </c>
      <c r="Q157" s="24" t="str">
        <f ca="1">IF(AND(L157&lt;&gt;-1,L156=-1),MAX($Q$8:Q156)+1,"")</f>
        <v/>
      </c>
    </row>
    <row r="158" spans="1:17" x14ac:dyDescent="0.3">
      <c r="A158" s="3">
        <v>40409</v>
      </c>
      <c r="B158" s="9">
        <v>11.763019</v>
      </c>
      <c r="C158" s="9">
        <v>8.1846440000000005</v>
      </c>
      <c r="E158" s="14">
        <f t="shared" si="18"/>
        <v>1.4372059432273412</v>
      </c>
      <c r="F158" s="18">
        <f t="shared" ca="1" si="17"/>
        <v>-0.39478057751645917</v>
      </c>
      <c r="G158" s="15">
        <f t="shared" ca="1" si="15"/>
        <v>1.4454774119517282</v>
      </c>
      <c r="H158" s="15">
        <f t="shared" ca="1" si="16"/>
        <v>2.095206602214909E-2</v>
      </c>
      <c r="J158" s="17">
        <f t="shared" ca="1" si="19"/>
        <v>0</v>
      </c>
      <c r="K158" s="24">
        <f t="shared" ca="1" si="20"/>
        <v>0</v>
      </c>
      <c r="L158" s="17">
        <f t="shared" ca="1" si="21"/>
        <v>0</v>
      </c>
      <c r="N158" s="24" t="str">
        <f ca="1">IF(AND(L158=1,L157&lt;&gt;1),MAX($N$8:N157)+1,"")</f>
        <v/>
      </c>
      <c r="O158" s="24" t="str">
        <f ca="1">IF(AND(L158&lt;&gt;1,L157=1),MAX($O$8:O157)+1,"")</f>
        <v/>
      </c>
      <c r="P158" s="17" t="str">
        <f ca="1">IF(AND(L158=-1,L157&lt;&gt;-1),MAX($P$8:P157)+1,"")</f>
        <v/>
      </c>
      <c r="Q158" s="24" t="str">
        <f ca="1">IF(AND(L158&lt;&gt;-1,L157=-1),MAX($Q$8:Q157)+1,"")</f>
        <v/>
      </c>
    </row>
    <row r="159" spans="1:17" x14ac:dyDescent="0.3">
      <c r="A159" s="3">
        <v>40410</v>
      </c>
      <c r="B159" s="9">
        <v>11.737947</v>
      </c>
      <c r="C159" s="9">
        <v>8.1584819999999993</v>
      </c>
      <c r="E159" s="14">
        <f t="shared" si="18"/>
        <v>1.4387415453021777</v>
      </c>
      <c r="F159" s="18">
        <f t="shared" ca="1" si="17"/>
        <v>-0.25569494666167714</v>
      </c>
      <c r="G159" s="15">
        <f t="shared" ref="G159:G222" ca="1" si="22">IF(ISNUMBER(E159),IF(ROW(E159)&gt;$J$1,AVERAGE(OFFSET(E159,0,0,-$J$1)),""),"")</f>
        <v>1.443858921768929</v>
      </c>
      <c r="H159" s="15">
        <f t="shared" ref="H159:H222" ca="1" si="23">IF(ISNUMBER(E159),IF(ROW(E159)&gt;$J$1,_xlfn.STDEV.P(OFFSET(E159,0,0,-$J$1)),""),"")</f>
        <v>2.0013600321645876E-2</v>
      </c>
      <c r="J159" s="17">
        <f t="shared" ca="1" si="19"/>
        <v>0</v>
      </c>
      <c r="K159" s="24">
        <f t="shared" ca="1" si="20"/>
        <v>0</v>
      </c>
      <c r="L159" s="17">
        <f t="shared" ca="1" si="21"/>
        <v>0</v>
      </c>
      <c r="N159" s="24" t="str">
        <f ca="1">IF(AND(L159=1,L158&lt;&gt;1),MAX($N$8:N158)+1,"")</f>
        <v/>
      </c>
      <c r="O159" s="24" t="str">
        <f ca="1">IF(AND(L159&lt;&gt;1,L158=1),MAX($O$8:O158)+1,"")</f>
        <v/>
      </c>
      <c r="P159" s="17" t="str">
        <f ca="1">IF(AND(L159=-1,L158&lt;&gt;-1),MAX($P$8:P158)+1,"")</f>
        <v/>
      </c>
      <c r="Q159" s="24" t="str">
        <f ca="1">IF(AND(L159&lt;&gt;-1,L158=-1),MAX($Q$8:Q158)+1,"")</f>
        <v/>
      </c>
    </row>
    <row r="160" spans="1:17" x14ac:dyDescent="0.3">
      <c r="A160" s="3">
        <v>40413</v>
      </c>
      <c r="B160" s="9">
        <v>11.656598000000001</v>
      </c>
      <c r="C160" s="9">
        <v>8.1584819999999993</v>
      </c>
      <c r="E160" s="14">
        <f t="shared" si="18"/>
        <v>1.4287704501891407</v>
      </c>
      <c r="F160" s="18">
        <f t="shared" ca="1" si="17"/>
        <v>-0.68122993122568554</v>
      </c>
      <c r="G160" s="15">
        <f t="shared" ca="1" si="22"/>
        <v>1.4419219003093457</v>
      </c>
      <c r="H160" s="15">
        <f t="shared" ca="1" si="23"/>
        <v>1.9305449624831678E-2</v>
      </c>
      <c r="J160" s="17">
        <f t="shared" ca="1" si="19"/>
        <v>0</v>
      </c>
      <c r="K160" s="24">
        <f t="shared" ca="1" si="20"/>
        <v>0</v>
      </c>
      <c r="L160" s="17">
        <f t="shared" ca="1" si="21"/>
        <v>0</v>
      </c>
      <c r="N160" s="24" t="str">
        <f ca="1">IF(AND(L160=1,L159&lt;&gt;1),MAX($N$8:N159)+1,"")</f>
        <v/>
      </c>
      <c r="O160" s="24" t="str">
        <f ca="1">IF(AND(L160&lt;&gt;1,L159=1),MAX($O$8:O159)+1,"")</f>
        <v/>
      </c>
      <c r="P160" s="17" t="str">
        <f ca="1">IF(AND(L160=-1,L159&lt;&gt;-1),MAX($P$8:P159)+1,"")</f>
        <v/>
      </c>
      <c r="Q160" s="24" t="str">
        <f ca="1">IF(AND(L160&lt;&gt;-1,L159=-1),MAX($Q$8:Q159)+1,"")</f>
        <v/>
      </c>
    </row>
    <row r="161" spans="1:17" x14ac:dyDescent="0.3">
      <c r="A161" s="3">
        <v>40414</v>
      </c>
      <c r="B161" s="9">
        <v>11.456388</v>
      </c>
      <c r="C161" s="9">
        <v>7.9751399999999997</v>
      </c>
      <c r="E161" s="14">
        <f t="shared" si="18"/>
        <v>1.4365124624771479</v>
      </c>
      <c r="F161" s="18">
        <f t="shared" ca="1" si="17"/>
        <v>-0.20309310057431676</v>
      </c>
      <c r="G161" s="15">
        <f t="shared" ca="1" si="22"/>
        <v>1.440139218982496</v>
      </c>
      <c r="H161" s="15">
        <f t="shared" ca="1" si="23"/>
        <v>1.7857605674895541E-2</v>
      </c>
      <c r="J161" s="17">
        <f t="shared" ca="1" si="19"/>
        <v>0</v>
      </c>
      <c r="K161" s="24">
        <f t="shared" ca="1" si="20"/>
        <v>0</v>
      </c>
      <c r="L161" s="17">
        <f t="shared" ca="1" si="21"/>
        <v>0</v>
      </c>
      <c r="N161" s="24" t="str">
        <f ca="1">IF(AND(L161=1,L160&lt;&gt;1),MAX($N$8:N160)+1,"")</f>
        <v/>
      </c>
      <c r="O161" s="24" t="str">
        <f ca="1">IF(AND(L161&lt;&gt;1,L160=1),MAX($O$8:O160)+1,"")</f>
        <v/>
      </c>
      <c r="P161" s="17" t="str">
        <f ca="1">IF(AND(L161=-1,L160&lt;&gt;-1),MAX($P$8:P160)+1,"")</f>
        <v/>
      </c>
      <c r="Q161" s="24" t="str">
        <f ca="1">IF(AND(L161&lt;&gt;-1,L160=-1),MAX($Q$8:Q160)+1,"")</f>
        <v/>
      </c>
    </row>
    <row r="162" spans="1:17" x14ac:dyDescent="0.3">
      <c r="A162" s="3">
        <v>40415</v>
      </c>
      <c r="B162" s="9">
        <v>11.450138000000001</v>
      </c>
      <c r="C162" s="9">
        <v>7.8572470000000001</v>
      </c>
      <c r="E162" s="14">
        <f t="shared" si="18"/>
        <v>1.4572709754447073</v>
      </c>
      <c r="F162" s="18">
        <f t="shared" ca="1" si="17"/>
        <v>1.1701269221074904</v>
      </c>
      <c r="G162" s="15">
        <f t="shared" ca="1" si="22"/>
        <v>1.4389459415734651</v>
      </c>
      <c r="H162" s="15">
        <f t="shared" ca="1" si="23"/>
        <v>1.5660723230123921E-2</v>
      </c>
      <c r="J162" s="17">
        <f t="shared" ca="1" si="19"/>
        <v>1</v>
      </c>
      <c r="K162" s="24">
        <f t="shared" ca="1" si="20"/>
        <v>0</v>
      </c>
      <c r="L162" s="17">
        <f t="shared" ca="1" si="21"/>
        <v>1</v>
      </c>
      <c r="N162" s="24">
        <f ca="1">IF(AND(L162=1,L161&lt;&gt;1),MAX($N$8:N161)+1,"")</f>
        <v>6</v>
      </c>
      <c r="O162" s="24" t="str">
        <f ca="1">IF(AND(L162&lt;&gt;1,L161=1),MAX($O$8:O161)+1,"")</f>
        <v/>
      </c>
      <c r="P162" s="17" t="str">
        <f ca="1">IF(AND(L162=-1,L161&lt;&gt;-1),MAX($P$8:P161)+1,"")</f>
        <v/>
      </c>
      <c r="Q162" s="24" t="str">
        <f ca="1">IF(AND(L162&lt;&gt;-1,L161=-1),MAX($Q$8:Q161)+1,"")</f>
        <v/>
      </c>
    </row>
    <row r="163" spans="1:17" x14ac:dyDescent="0.3">
      <c r="A163" s="3">
        <v>40416</v>
      </c>
      <c r="B163" s="9">
        <v>11.165494000000001</v>
      </c>
      <c r="C163" s="9">
        <v>7.7394059999999998</v>
      </c>
      <c r="E163" s="14">
        <f t="shared" si="18"/>
        <v>1.44268100161692</v>
      </c>
      <c r="F163" s="18">
        <f t="shared" ca="1" si="17"/>
        <v>0.38471915830273506</v>
      </c>
      <c r="G163" s="15">
        <f t="shared" ca="1" si="22"/>
        <v>1.4374654503886781</v>
      </c>
      <c r="H163" s="15">
        <f t="shared" ca="1" si="23"/>
        <v>1.3556775418337236E-2</v>
      </c>
      <c r="J163" s="17">
        <f t="shared" ca="1" si="19"/>
        <v>1</v>
      </c>
      <c r="K163" s="24">
        <f t="shared" ca="1" si="20"/>
        <v>0</v>
      </c>
      <c r="L163" s="17">
        <f t="shared" ca="1" si="21"/>
        <v>1</v>
      </c>
      <c r="N163" s="24" t="str">
        <f ca="1">IF(AND(L163=1,L162&lt;&gt;1),MAX($N$8:N162)+1,"")</f>
        <v/>
      </c>
      <c r="O163" s="24" t="str">
        <f ca="1">IF(AND(L163&lt;&gt;1,L162=1),MAX($O$8:O162)+1,"")</f>
        <v/>
      </c>
      <c r="P163" s="17" t="str">
        <f ca="1">IF(AND(L163=-1,L162&lt;&gt;-1),MAX($P$8:P162)+1,"")</f>
        <v/>
      </c>
      <c r="Q163" s="24" t="str">
        <f ca="1">IF(AND(L163&lt;&gt;-1,L162=-1),MAX($Q$8:Q162)+1,"")</f>
        <v/>
      </c>
    </row>
    <row r="164" spans="1:17" x14ac:dyDescent="0.3">
      <c r="A164" s="3">
        <v>40417</v>
      </c>
      <c r="B164" s="9">
        <v>11.637841</v>
      </c>
      <c r="C164" s="9">
        <v>7.948912</v>
      </c>
      <c r="E164" s="14">
        <f t="shared" si="18"/>
        <v>1.4640797382081976</v>
      </c>
      <c r="F164" s="18">
        <f t="shared" ca="1" si="17"/>
        <v>1.7632550408998124</v>
      </c>
      <c r="G164" s="15">
        <f t="shared" ca="1" si="22"/>
        <v>1.4383520017856533</v>
      </c>
      <c r="H164" s="15">
        <f t="shared" ca="1" si="23"/>
        <v>1.4591046573395943E-2</v>
      </c>
      <c r="J164" s="17">
        <f t="shared" ca="1" si="19"/>
        <v>1</v>
      </c>
      <c r="K164" s="24">
        <f t="shared" ca="1" si="20"/>
        <v>0</v>
      </c>
      <c r="L164" s="17">
        <f t="shared" ca="1" si="21"/>
        <v>1</v>
      </c>
      <c r="N164" s="24" t="str">
        <f ca="1">IF(AND(L164=1,L163&lt;&gt;1),MAX($N$8:N163)+1,"")</f>
        <v/>
      </c>
      <c r="O164" s="24" t="str">
        <f ca="1">IF(AND(L164&lt;&gt;1,L163=1),MAX($O$8:O163)+1,"")</f>
        <v/>
      </c>
      <c r="P164" s="17" t="str">
        <f ca="1">IF(AND(L164=-1,L163&lt;&gt;-1),MAX($P$8:P163)+1,"")</f>
        <v/>
      </c>
      <c r="Q164" s="24" t="str">
        <f ca="1">IF(AND(L164&lt;&gt;-1,L163=-1),MAX($Q$8:Q163)+1,"")</f>
        <v/>
      </c>
    </row>
    <row r="165" spans="1:17" x14ac:dyDescent="0.3">
      <c r="A165" s="3">
        <v>40420</v>
      </c>
      <c r="B165" s="9">
        <v>11.497059999999999</v>
      </c>
      <c r="C165" s="9">
        <v>7.7839309999999999</v>
      </c>
      <c r="E165" s="14">
        <f t="shared" si="18"/>
        <v>1.4770249119628629</v>
      </c>
      <c r="F165" s="18">
        <f t="shared" ca="1" si="17"/>
        <v>2.2425632466509988</v>
      </c>
      <c r="G165" s="15">
        <f t="shared" ca="1" si="22"/>
        <v>1.4397572093717681</v>
      </c>
      <c r="H165" s="15">
        <f t="shared" ca="1" si="23"/>
        <v>1.6618350740720322E-2</v>
      </c>
      <c r="J165" s="17">
        <f t="shared" ca="1" si="19"/>
        <v>1</v>
      </c>
      <c r="K165" s="24">
        <f t="shared" ca="1" si="20"/>
        <v>0</v>
      </c>
      <c r="L165" s="17">
        <f t="shared" ca="1" si="21"/>
        <v>1</v>
      </c>
      <c r="N165" s="24" t="str">
        <f ca="1">IF(AND(L165=1,L164&lt;&gt;1),MAX($N$8:N164)+1,"")</f>
        <v/>
      </c>
      <c r="O165" s="24" t="str">
        <f ca="1">IF(AND(L165&lt;&gt;1,L164=1),MAX($O$8:O164)+1,"")</f>
        <v/>
      </c>
      <c r="P165" s="17" t="str">
        <f ca="1">IF(AND(L165=-1,L164&lt;&gt;-1),MAX($P$8:P164)+1,"")</f>
        <v/>
      </c>
      <c r="Q165" s="24" t="str">
        <f ca="1">IF(AND(L165&lt;&gt;-1,L164=-1),MAX($Q$8:Q164)+1,"")</f>
        <v/>
      </c>
    </row>
    <row r="166" spans="1:17" x14ac:dyDescent="0.3">
      <c r="A166" s="3">
        <v>40421</v>
      </c>
      <c r="B166" s="9">
        <v>11.831871</v>
      </c>
      <c r="C166" s="9">
        <v>7.97776</v>
      </c>
      <c r="E166" s="14">
        <f t="shared" si="18"/>
        <v>1.4831069122159604</v>
      </c>
      <c r="F166" s="18">
        <f t="shared" ca="1" si="17"/>
        <v>2.2188721846931898</v>
      </c>
      <c r="G166" s="15">
        <f t="shared" ca="1" si="22"/>
        <v>1.441294480255654</v>
      </c>
      <c r="H166" s="15">
        <f t="shared" ca="1" si="23"/>
        <v>1.8844002033442005E-2</v>
      </c>
      <c r="J166" s="17">
        <f t="shared" ca="1" si="19"/>
        <v>1</v>
      </c>
      <c r="K166" s="24">
        <f t="shared" ca="1" si="20"/>
        <v>0</v>
      </c>
      <c r="L166" s="17">
        <f t="shared" ca="1" si="21"/>
        <v>1</v>
      </c>
      <c r="N166" s="24" t="str">
        <f ca="1">IF(AND(L166=1,L165&lt;&gt;1),MAX($N$8:N165)+1,"")</f>
        <v/>
      </c>
      <c r="O166" s="24" t="str">
        <f ca="1">IF(AND(L166&lt;&gt;1,L165=1),MAX($O$8:O165)+1,"")</f>
        <v/>
      </c>
      <c r="P166" s="17" t="str">
        <f ca="1">IF(AND(L166=-1,L165&lt;&gt;-1),MAX($P$8:P165)+1,"")</f>
        <v/>
      </c>
      <c r="Q166" s="24" t="str">
        <f ca="1">IF(AND(L166&lt;&gt;-1,L165=-1),MAX($Q$8:Q165)+1,"")</f>
        <v/>
      </c>
    </row>
    <row r="167" spans="1:17" x14ac:dyDescent="0.3">
      <c r="A167" s="3">
        <v>40422</v>
      </c>
      <c r="B167" s="9">
        <v>11.993508</v>
      </c>
      <c r="C167" s="9">
        <v>8.1453659999999992</v>
      </c>
      <c r="E167" s="14">
        <f t="shared" si="18"/>
        <v>1.4724332829243034</v>
      </c>
      <c r="F167" s="18">
        <f t="shared" ca="1" si="17"/>
        <v>1.5021213371843087</v>
      </c>
      <c r="G167" s="15">
        <f t="shared" ca="1" si="22"/>
        <v>1.4425106013363853</v>
      </c>
      <c r="H167" s="15">
        <f t="shared" ca="1" si="23"/>
        <v>1.992028263442917E-2</v>
      </c>
      <c r="J167" s="17">
        <f t="shared" ca="1" si="19"/>
        <v>1</v>
      </c>
      <c r="K167" s="24">
        <f t="shared" ca="1" si="20"/>
        <v>0</v>
      </c>
      <c r="L167" s="17">
        <f t="shared" ca="1" si="21"/>
        <v>1</v>
      </c>
      <c r="N167" s="24" t="str">
        <f ca="1">IF(AND(L167=1,L166&lt;&gt;1),MAX($N$8:N166)+1,"")</f>
        <v/>
      </c>
      <c r="O167" s="24" t="str">
        <f ca="1">IF(AND(L167&lt;&gt;1,L166=1),MAX($O$8:O166)+1,"")</f>
        <v/>
      </c>
      <c r="P167" s="17" t="str">
        <f ca="1">IF(AND(L167=-1,L166&lt;&gt;-1),MAX($P$8:P166)+1,"")</f>
        <v/>
      </c>
      <c r="Q167" s="24" t="str">
        <f ca="1">IF(AND(L167&lt;&gt;-1,L166=-1),MAX($Q$8:Q166)+1,"")</f>
        <v/>
      </c>
    </row>
    <row r="168" spans="1:17" x14ac:dyDescent="0.3">
      <c r="A168" s="3">
        <v>40423</v>
      </c>
      <c r="B168" s="9">
        <v>11.865145</v>
      </c>
      <c r="C168" s="9">
        <v>8.0782319999999999</v>
      </c>
      <c r="E168" s="14">
        <f t="shared" si="18"/>
        <v>1.4687799261026422</v>
      </c>
      <c r="F168" s="18">
        <f t="shared" ca="1" si="17"/>
        <v>1.1989226609295009</v>
      </c>
      <c r="G168" s="15">
        <f t="shared" ca="1" si="22"/>
        <v>1.4445318490719716</v>
      </c>
      <c r="H168" s="15">
        <f t="shared" ca="1" si="23"/>
        <v>2.0224888410960137E-2</v>
      </c>
      <c r="J168" s="17">
        <f t="shared" ca="1" si="19"/>
        <v>1</v>
      </c>
      <c r="K168" s="24">
        <f t="shared" ca="1" si="20"/>
        <v>0</v>
      </c>
      <c r="L168" s="17">
        <f t="shared" ca="1" si="21"/>
        <v>1</v>
      </c>
      <c r="N168" s="24" t="str">
        <f ca="1">IF(AND(L168=1,L167&lt;&gt;1),MAX($N$8:N167)+1,"")</f>
        <v/>
      </c>
      <c r="O168" s="24" t="str">
        <f ca="1">IF(AND(L168&lt;&gt;1,L167=1),MAX($O$8:O167)+1,"")</f>
        <v/>
      </c>
      <c r="P168" s="17" t="str">
        <f ca="1">IF(AND(L168=-1,L167&lt;&gt;-1),MAX($P$8:P167)+1,"")</f>
        <v/>
      </c>
      <c r="Q168" s="24" t="str">
        <f ca="1">IF(AND(L168&lt;&gt;-1,L167=-1),MAX($Q$8:Q167)+1,"")</f>
        <v/>
      </c>
    </row>
    <row r="169" spans="1:17" x14ac:dyDescent="0.3">
      <c r="A169" s="3">
        <v>40424</v>
      </c>
      <c r="B169" s="9">
        <v>11.849468999999999</v>
      </c>
      <c r="C169" s="9">
        <v>8.0073989999999995</v>
      </c>
      <c r="E169" s="14">
        <f t="shared" si="18"/>
        <v>1.4798149811193373</v>
      </c>
      <c r="F169" s="18">
        <f t="shared" ca="1" si="17"/>
        <v>1.6045134262247849</v>
      </c>
      <c r="G169" s="15">
        <f t="shared" ca="1" si="22"/>
        <v>1.4477224500529431</v>
      </c>
      <c r="H169" s="15">
        <f t="shared" ca="1" si="23"/>
        <v>2.0001410110916822E-2</v>
      </c>
      <c r="J169" s="17">
        <f t="shared" ca="1" si="19"/>
        <v>1</v>
      </c>
      <c r="K169" s="24">
        <f t="shared" ca="1" si="20"/>
        <v>0</v>
      </c>
      <c r="L169" s="17">
        <f t="shared" ca="1" si="21"/>
        <v>1</v>
      </c>
      <c r="N169" s="24" t="str">
        <f ca="1">IF(AND(L169=1,L168&lt;&gt;1),MAX($N$8:N168)+1,"")</f>
        <v/>
      </c>
      <c r="O169" s="24" t="str">
        <f ca="1">IF(AND(L169&lt;&gt;1,L168=1),MAX($O$8:O168)+1,"")</f>
        <v/>
      </c>
      <c r="P169" s="17" t="str">
        <f ca="1">IF(AND(L169=-1,L168&lt;&gt;-1),MAX($P$8:P168)+1,"")</f>
        <v/>
      </c>
      <c r="Q169" s="24" t="str">
        <f ca="1">IF(AND(L169&lt;&gt;-1,L168=-1),MAX($Q$8:Q168)+1,"")</f>
        <v/>
      </c>
    </row>
    <row r="170" spans="1:17" x14ac:dyDescent="0.3">
      <c r="A170" s="3">
        <v>40427</v>
      </c>
      <c r="B170" s="9">
        <v>11.739877</v>
      </c>
      <c r="C170" s="9">
        <v>7.9602019999999998</v>
      </c>
      <c r="E170" s="14">
        <f t="shared" si="18"/>
        <v>1.4748214932234132</v>
      </c>
      <c r="F170" s="18">
        <f t="shared" ca="1" si="17"/>
        <v>1.2766276509786505</v>
      </c>
      <c r="G170" s="15">
        <f t="shared" ca="1" si="22"/>
        <v>1.4507095673157806</v>
      </c>
      <c r="H170" s="15">
        <f t="shared" ca="1" si="23"/>
        <v>1.888720324140605E-2</v>
      </c>
      <c r="J170" s="17">
        <f t="shared" ca="1" si="19"/>
        <v>1</v>
      </c>
      <c r="K170" s="24">
        <f t="shared" ca="1" si="20"/>
        <v>0</v>
      </c>
      <c r="L170" s="17">
        <f t="shared" ca="1" si="21"/>
        <v>1</v>
      </c>
      <c r="N170" s="24" t="str">
        <f ca="1">IF(AND(L170=1,L169&lt;&gt;1),MAX($N$8:N169)+1,"")</f>
        <v/>
      </c>
      <c r="O170" s="24" t="str">
        <f ca="1">IF(AND(L170&lt;&gt;1,L169=1),MAX($O$8:O169)+1,"")</f>
        <v/>
      </c>
      <c r="P170" s="17" t="str">
        <f ca="1">IF(AND(L170=-1,L169&lt;&gt;-1),MAX($P$8:P169)+1,"")</f>
        <v/>
      </c>
      <c r="Q170" s="24" t="str">
        <f ca="1">IF(AND(L170&lt;&gt;-1,L169=-1),MAX($Q$8:Q169)+1,"")</f>
        <v/>
      </c>
    </row>
    <row r="171" spans="1:17" x14ac:dyDescent="0.3">
      <c r="A171" s="3">
        <v>40429</v>
      </c>
      <c r="B171" s="9">
        <v>11.724266999999999</v>
      </c>
      <c r="C171" s="9">
        <v>8.0598510000000001</v>
      </c>
      <c r="E171" s="14">
        <f t="shared" si="18"/>
        <v>1.4546505884538063</v>
      </c>
      <c r="F171" s="18">
        <f t="shared" ca="1" si="17"/>
        <v>0.14021646028763354</v>
      </c>
      <c r="G171" s="15">
        <f t="shared" ca="1" si="22"/>
        <v>1.4521382402496419</v>
      </c>
      <c r="H171" s="15">
        <f t="shared" ca="1" si="23"/>
        <v>1.7917641045928176E-2</v>
      </c>
      <c r="J171" s="17">
        <f t="shared" ca="1" si="19"/>
        <v>1</v>
      </c>
      <c r="K171" s="24">
        <f t="shared" ca="1" si="20"/>
        <v>0</v>
      </c>
      <c r="L171" s="17">
        <f t="shared" ca="1" si="21"/>
        <v>1</v>
      </c>
      <c r="N171" s="24" t="str">
        <f ca="1">IF(AND(L171=1,L170&lt;&gt;1),MAX($N$8:N170)+1,"")</f>
        <v/>
      </c>
      <c r="O171" s="24" t="str">
        <f ca="1">IF(AND(L171&lt;&gt;1,L170=1),MAX($O$8:O170)+1,"")</f>
        <v/>
      </c>
      <c r="P171" s="17" t="str">
        <f ca="1">IF(AND(L171=-1,L170&lt;&gt;-1),MAX($P$8:P170)+1,"")</f>
        <v/>
      </c>
      <c r="Q171" s="24" t="str">
        <f ca="1">IF(AND(L171&lt;&gt;-1,L170=-1),MAX($Q$8:Q170)+1,"")</f>
        <v/>
      </c>
    </row>
    <row r="172" spans="1:17" x14ac:dyDescent="0.3">
      <c r="A172" s="3">
        <v>40430</v>
      </c>
      <c r="B172" s="9">
        <v>11.667889000000001</v>
      </c>
      <c r="C172" s="9">
        <v>8.1228010000000008</v>
      </c>
      <c r="E172" s="14">
        <f t="shared" si="18"/>
        <v>1.436436642975742</v>
      </c>
      <c r="F172" s="18">
        <f t="shared" ca="1" si="17"/>
        <v>-0.97591253420884572</v>
      </c>
      <c r="G172" s="15">
        <f t="shared" ca="1" si="22"/>
        <v>1.452891934485554</v>
      </c>
      <c r="H172" s="15">
        <f t="shared" ca="1" si="23"/>
        <v>1.6861440890450243E-2</v>
      </c>
      <c r="J172" s="17">
        <f t="shared" ca="1" si="19"/>
        <v>0</v>
      </c>
      <c r="K172" s="24">
        <f t="shared" ca="1" si="20"/>
        <v>0</v>
      </c>
      <c r="L172" s="17">
        <f t="shared" ca="1" si="21"/>
        <v>0</v>
      </c>
      <c r="N172" s="24" t="str">
        <f ca="1">IF(AND(L172=1,L171&lt;&gt;1),MAX($N$8:N171)+1,"")</f>
        <v/>
      </c>
      <c r="O172" s="24">
        <f ca="1">IF(AND(L172&lt;&gt;1,L171=1),MAX($O$8:O171)+1,"")</f>
        <v>6</v>
      </c>
      <c r="P172" s="17" t="str">
        <f ca="1">IF(AND(L172=-1,L171&lt;&gt;-1),MAX($P$8:P171)+1,"")</f>
        <v/>
      </c>
      <c r="Q172" s="24" t="str">
        <f ca="1">IF(AND(L172&lt;&gt;-1,L171=-1),MAX($Q$8:Q171)+1,"")</f>
        <v/>
      </c>
    </row>
    <row r="173" spans="1:17" x14ac:dyDescent="0.3">
      <c r="A173" s="3">
        <v>40431</v>
      </c>
      <c r="B173" s="9">
        <v>11.642863</v>
      </c>
      <c r="C173" s="9">
        <v>8.0886709999999997</v>
      </c>
      <c r="E173" s="14">
        <f t="shared" si="18"/>
        <v>1.4394037042673637</v>
      </c>
      <c r="F173" s="18">
        <f t="shared" ca="1" si="17"/>
        <v>-0.83463590583613789</v>
      </c>
      <c r="G173" s="15">
        <f t="shared" ca="1" si="22"/>
        <v>1.4532072073327633</v>
      </c>
      <c r="H173" s="15">
        <f t="shared" ca="1" si="23"/>
        <v>1.6538352794169844E-2</v>
      </c>
      <c r="J173" s="17">
        <f t="shared" ca="1" si="19"/>
        <v>0</v>
      </c>
      <c r="K173" s="24">
        <f t="shared" ca="1" si="20"/>
        <v>0</v>
      </c>
      <c r="L173" s="17">
        <f t="shared" ca="1" si="21"/>
        <v>0</v>
      </c>
      <c r="N173" s="24" t="str">
        <f ca="1">IF(AND(L173=1,L172&lt;&gt;1),MAX($N$8:N172)+1,"")</f>
        <v/>
      </c>
      <c r="O173" s="24" t="str">
        <f ca="1">IF(AND(L173&lt;&gt;1,L172=1),MAX($O$8:O172)+1,"")</f>
        <v/>
      </c>
      <c r="P173" s="17" t="str">
        <f ca="1">IF(AND(L173=-1,L172&lt;&gt;-1),MAX($P$8:P172)+1,"")</f>
        <v/>
      </c>
      <c r="Q173" s="24" t="str">
        <f ca="1">IF(AND(L173&lt;&gt;-1,L172=-1),MAX($Q$8:Q172)+1,"")</f>
        <v/>
      </c>
    </row>
    <row r="174" spans="1:17" x14ac:dyDescent="0.3">
      <c r="A174" s="3">
        <v>40434</v>
      </c>
      <c r="B174" s="9">
        <v>12.052975</v>
      </c>
      <c r="C174" s="9">
        <v>8.4164300000000001</v>
      </c>
      <c r="E174" s="14">
        <f t="shared" si="18"/>
        <v>1.432076901964372</v>
      </c>
      <c r="F174" s="18">
        <f t="shared" ca="1" si="17"/>
        <v>-1.2010224670013581</v>
      </c>
      <c r="G174" s="15">
        <f t="shared" ca="1" si="22"/>
        <v>1.4525690247609986</v>
      </c>
      <c r="H174" s="15">
        <f t="shared" ca="1" si="23"/>
        <v>1.7062231023696101E-2</v>
      </c>
      <c r="J174" s="17">
        <f t="shared" ca="1" si="19"/>
        <v>0</v>
      </c>
      <c r="K174" s="24">
        <f t="shared" ca="1" si="20"/>
        <v>-1</v>
      </c>
      <c r="L174" s="17">
        <f t="shared" ca="1" si="21"/>
        <v>-1</v>
      </c>
      <c r="N174" s="24" t="str">
        <f ca="1">IF(AND(L174=1,L173&lt;&gt;1),MAX($N$8:N173)+1,"")</f>
        <v/>
      </c>
      <c r="O174" s="24" t="str">
        <f ca="1">IF(AND(L174&lt;&gt;1,L173=1),MAX($O$8:O173)+1,"")</f>
        <v/>
      </c>
      <c r="P174" s="17">
        <f ca="1">IF(AND(L174=-1,L173&lt;&gt;-1),MAX($P$8:P173)+1,"")</f>
        <v>8</v>
      </c>
      <c r="Q174" s="24" t="str">
        <f ca="1">IF(AND(L174&lt;&gt;-1,L173=-1),MAX($Q$8:Q173)+1,"")</f>
        <v/>
      </c>
    </row>
    <row r="175" spans="1:17" x14ac:dyDescent="0.3">
      <c r="A175" s="3">
        <v>40435</v>
      </c>
      <c r="B175" s="9">
        <v>12.225137</v>
      </c>
      <c r="C175" s="9">
        <v>8.4557500000000001</v>
      </c>
      <c r="E175" s="14">
        <f t="shared" si="18"/>
        <v>1.4457779617420099</v>
      </c>
      <c r="F175" s="18">
        <f t="shared" ca="1" si="17"/>
        <v>-0.38360661235929433</v>
      </c>
      <c r="G175" s="15">
        <f t="shared" ca="1" si="22"/>
        <v>1.4523443639054128</v>
      </c>
      <c r="H175" s="15">
        <f t="shared" ca="1" si="23"/>
        <v>1.7117541647724877E-2</v>
      </c>
      <c r="J175" s="17">
        <f t="shared" ca="1" si="19"/>
        <v>0</v>
      </c>
      <c r="K175" s="24">
        <f t="shared" ca="1" si="20"/>
        <v>-1</v>
      </c>
      <c r="L175" s="17">
        <f t="shared" ca="1" si="21"/>
        <v>-1</v>
      </c>
      <c r="N175" s="24" t="str">
        <f ca="1">IF(AND(L175=1,L174&lt;&gt;1),MAX($N$8:N174)+1,"")</f>
        <v/>
      </c>
      <c r="O175" s="24" t="str">
        <f ca="1">IF(AND(L175&lt;&gt;1,L174=1),MAX($O$8:O174)+1,"")</f>
        <v/>
      </c>
      <c r="P175" s="17" t="str">
        <f ca="1">IF(AND(L175=-1,L174&lt;&gt;-1),MAX($P$8:P174)+1,"")</f>
        <v/>
      </c>
      <c r="Q175" s="24" t="str">
        <f ca="1">IF(AND(L175&lt;&gt;-1,L174=-1),MAX($Q$8:Q174)+1,"")</f>
        <v/>
      </c>
    </row>
    <row r="176" spans="1:17" x14ac:dyDescent="0.3">
      <c r="A176" s="3">
        <v>40436</v>
      </c>
      <c r="B176" s="9">
        <v>12.297197000000001</v>
      </c>
      <c r="C176" s="9">
        <v>8.5108259999999998</v>
      </c>
      <c r="E176" s="14">
        <f t="shared" si="18"/>
        <v>1.4448887804779467</v>
      </c>
      <c r="F176" s="18">
        <f t="shared" ca="1" si="17"/>
        <v>-0.40192358875996387</v>
      </c>
      <c r="G176" s="15">
        <f t="shared" ca="1" si="22"/>
        <v>1.4517817282097609</v>
      </c>
      <c r="H176" s="15">
        <f t="shared" ca="1" si="23"/>
        <v>1.7149895961769124E-2</v>
      </c>
      <c r="J176" s="17">
        <f t="shared" ca="1" si="19"/>
        <v>0</v>
      </c>
      <c r="K176" s="24">
        <f t="shared" ca="1" si="20"/>
        <v>-1</v>
      </c>
      <c r="L176" s="17">
        <f t="shared" ca="1" si="21"/>
        <v>-1</v>
      </c>
      <c r="N176" s="24" t="str">
        <f ca="1">IF(AND(L176=1,L175&lt;&gt;1),MAX($N$8:N175)+1,"")</f>
        <v/>
      </c>
      <c r="O176" s="24" t="str">
        <f ca="1">IF(AND(L176&lt;&gt;1,L175=1),MAX($O$8:O175)+1,"")</f>
        <v/>
      </c>
      <c r="P176" s="17" t="str">
        <f ca="1">IF(AND(L176=-1,L175&lt;&gt;-1),MAX($P$8:P175)+1,"")</f>
        <v/>
      </c>
      <c r="Q176" s="24" t="str">
        <f ca="1">IF(AND(L176&lt;&gt;-1,L175=-1),MAX($Q$8:Q175)+1,"")</f>
        <v/>
      </c>
    </row>
    <row r="177" spans="1:17" x14ac:dyDescent="0.3">
      <c r="A177" s="3">
        <v>40437</v>
      </c>
      <c r="B177" s="9">
        <v>12.178179</v>
      </c>
      <c r="C177" s="9">
        <v>8.4426179999999995</v>
      </c>
      <c r="E177" s="14">
        <f t="shared" si="18"/>
        <v>1.4424647662608923</v>
      </c>
      <c r="F177" s="18">
        <f t="shared" ca="1" si="17"/>
        <v>-0.5289917853032442</v>
      </c>
      <c r="G177" s="15">
        <f t="shared" ca="1" si="22"/>
        <v>1.451580310101402</v>
      </c>
      <c r="H177" s="15">
        <f t="shared" ca="1" si="23"/>
        <v>1.7231919462197775E-2</v>
      </c>
      <c r="J177" s="17">
        <f t="shared" ca="1" si="19"/>
        <v>0</v>
      </c>
      <c r="K177" s="24">
        <f t="shared" ca="1" si="20"/>
        <v>-1</v>
      </c>
      <c r="L177" s="17">
        <f t="shared" ca="1" si="21"/>
        <v>-1</v>
      </c>
      <c r="N177" s="24" t="str">
        <f ca="1">IF(AND(L177=1,L176&lt;&gt;1),MAX($N$8:N176)+1,"")</f>
        <v/>
      </c>
      <c r="O177" s="24" t="str">
        <f ca="1">IF(AND(L177&lt;&gt;1,L176=1),MAX($O$8:O176)+1,"")</f>
        <v/>
      </c>
      <c r="P177" s="17" t="str">
        <f ca="1">IF(AND(L177=-1,L176&lt;&gt;-1),MAX($P$8:P176)+1,"")</f>
        <v/>
      </c>
      <c r="Q177" s="24" t="str">
        <f ca="1">IF(AND(L177&lt;&gt;-1,L176=-1),MAX($Q$8:Q176)+1,"")</f>
        <v/>
      </c>
    </row>
    <row r="178" spans="1:17" x14ac:dyDescent="0.3">
      <c r="A178" s="3">
        <v>40438</v>
      </c>
      <c r="B178" s="9">
        <v>12.115544</v>
      </c>
      <c r="C178" s="9">
        <v>8.3509119999999992</v>
      </c>
      <c r="E178" s="14">
        <f t="shared" si="18"/>
        <v>1.4508048941241389</v>
      </c>
      <c r="F178" s="18">
        <f t="shared" ca="1" si="17"/>
        <v>-5.0914169578905599E-2</v>
      </c>
      <c r="G178" s="15">
        <f t="shared" ca="1" si="22"/>
        <v>1.4516816615669739</v>
      </c>
      <c r="H178" s="15">
        <f t="shared" ca="1" si="23"/>
        <v>1.7220499717198412E-2</v>
      </c>
      <c r="J178" s="17">
        <f t="shared" ca="1" si="19"/>
        <v>0</v>
      </c>
      <c r="K178" s="24">
        <f t="shared" ca="1" si="20"/>
        <v>-1</v>
      </c>
      <c r="L178" s="17">
        <f t="shared" ca="1" si="21"/>
        <v>-1</v>
      </c>
      <c r="N178" s="24" t="str">
        <f ca="1">IF(AND(L178=1,L177&lt;&gt;1),MAX($N$8:N177)+1,"")</f>
        <v/>
      </c>
      <c r="O178" s="24" t="str">
        <f ca="1">IF(AND(L178&lt;&gt;1,L177=1),MAX($O$8:O177)+1,"")</f>
        <v/>
      </c>
      <c r="P178" s="17" t="str">
        <f ca="1">IF(AND(L178=-1,L177&lt;&gt;-1),MAX($P$8:P177)+1,"")</f>
        <v/>
      </c>
      <c r="Q178" s="24" t="str">
        <f ca="1">IF(AND(L178&lt;&gt;-1,L177=-1),MAX($Q$8:Q177)+1,"")</f>
        <v/>
      </c>
    </row>
    <row r="179" spans="1:17" x14ac:dyDescent="0.3">
      <c r="A179" s="3">
        <v>40441</v>
      </c>
      <c r="B179" s="9">
        <v>12.209524</v>
      </c>
      <c r="C179" s="9">
        <v>7.3361919999999996</v>
      </c>
      <c r="E179" s="14">
        <f t="shared" si="18"/>
        <v>1.6642863218410859</v>
      </c>
      <c r="F179" s="18">
        <f t="shared" ca="1" si="17"/>
        <v>4.291231332356606</v>
      </c>
      <c r="G179" s="15">
        <f t="shared" ca="1" si="22"/>
        <v>1.4623651902782504</v>
      </c>
      <c r="H179" s="15">
        <f t="shared" ca="1" si="23"/>
        <v>4.7054357111982345E-2</v>
      </c>
      <c r="J179" s="17">
        <f t="shared" ca="1" si="19"/>
        <v>1</v>
      </c>
      <c r="K179" s="24">
        <f t="shared" ca="1" si="20"/>
        <v>0</v>
      </c>
      <c r="L179" s="17">
        <f t="shared" ca="1" si="21"/>
        <v>1</v>
      </c>
      <c r="N179" s="24">
        <f ca="1">IF(AND(L179=1,L178&lt;&gt;1),MAX($N$8:N178)+1,"")</f>
        <v>7</v>
      </c>
      <c r="O179" s="24" t="str">
        <f ca="1">IF(AND(L179&lt;&gt;1,L178=1),MAX($O$8:O178)+1,"")</f>
        <v/>
      </c>
      <c r="P179" s="17" t="str">
        <f ca="1">IF(AND(L179=-1,L178&lt;&gt;-1),MAX($P$8:P178)+1,"")</f>
        <v/>
      </c>
      <c r="Q179" s="24">
        <f ca="1">IF(AND(L179&lt;&gt;-1,L178=-1),MAX($Q$8:Q178)+1,"")</f>
        <v>8</v>
      </c>
    </row>
    <row r="180" spans="1:17" x14ac:dyDescent="0.3">
      <c r="A180" s="3">
        <v>40442</v>
      </c>
      <c r="B180" s="9">
        <v>12.01853</v>
      </c>
      <c r="C180" s="9">
        <v>8.4111799999999999</v>
      </c>
      <c r="E180" s="14">
        <f t="shared" si="18"/>
        <v>1.4288756155497802</v>
      </c>
      <c r="F180" s="18">
        <f t="shared" ca="1" si="17"/>
        <v>-0.70019377359366264</v>
      </c>
      <c r="G180" s="15">
        <f t="shared" ca="1" si="22"/>
        <v>1.4619865390201794</v>
      </c>
      <c r="H180" s="15">
        <f t="shared" ca="1" si="23"/>
        <v>4.7288228943341344E-2</v>
      </c>
      <c r="J180" s="17">
        <f t="shared" ca="1" si="19"/>
        <v>0</v>
      </c>
      <c r="K180" s="24">
        <f t="shared" ca="1" si="20"/>
        <v>0</v>
      </c>
      <c r="L180" s="17">
        <f t="shared" ca="1" si="21"/>
        <v>0</v>
      </c>
      <c r="N180" s="24" t="str">
        <f ca="1">IF(AND(L180=1,L179&lt;&gt;1),MAX($N$8:N179)+1,"")</f>
        <v/>
      </c>
      <c r="O180" s="24">
        <f ca="1">IF(AND(L180&lt;&gt;1,L179=1),MAX($O$8:O179)+1,"")</f>
        <v>7</v>
      </c>
      <c r="P180" s="17" t="str">
        <f ca="1">IF(AND(L180=-1,L179&lt;&gt;-1),MAX($P$8:P179)+1,"")</f>
        <v/>
      </c>
      <c r="Q180" s="24" t="str">
        <f ca="1">IF(AND(L180&lt;&gt;-1,L179=-1),MAX($Q$8:Q179)+1,"")</f>
        <v/>
      </c>
    </row>
    <row r="181" spans="1:17" x14ac:dyDescent="0.3">
      <c r="A181" s="3">
        <v>40443</v>
      </c>
      <c r="B181" s="9">
        <v>12.099944000000001</v>
      </c>
      <c r="C181" s="9">
        <v>8.4164300000000001</v>
      </c>
      <c r="E181" s="14">
        <f t="shared" si="18"/>
        <v>1.437657534132643</v>
      </c>
      <c r="F181" s="18">
        <f t="shared" ca="1" si="17"/>
        <v>-0.51317271656333741</v>
      </c>
      <c r="G181" s="15">
        <f t="shared" ca="1" si="22"/>
        <v>1.4619372657852006</v>
      </c>
      <c r="H181" s="15">
        <f t="shared" ca="1" si="23"/>
        <v>4.7312982294063381E-2</v>
      </c>
      <c r="J181" s="17">
        <f t="shared" ca="1" si="19"/>
        <v>0</v>
      </c>
      <c r="K181" s="24">
        <f t="shared" ca="1" si="20"/>
        <v>0</v>
      </c>
      <c r="L181" s="17">
        <f t="shared" ca="1" si="21"/>
        <v>0</v>
      </c>
      <c r="N181" s="24" t="str">
        <f ca="1">IF(AND(L181=1,L180&lt;&gt;1),MAX($N$8:N180)+1,"")</f>
        <v/>
      </c>
      <c r="O181" s="24" t="str">
        <f ca="1">IF(AND(L181&lt;&gt;1,L180=1),MAX($O$8:O180)+1,"")</f>
        <v/>
      </c>
      <c r="P181" s="17" t="str">
        <f ca="1">IF(AND(L181=-1,L180&lt;&gt;-1),MAX($P$8:P180)+1,"")</f>
        <v/>
      </c>
      <c r="Q181" s="24" t="str">
        <f ca="1">IF(AND(L181&lt;&gt;-1,L180=-1),MAX($Q$8:Q180)+1,"")</f>
        <v/>
      </c>
    </row>
    <row r="182" spans="1:17" x14ac:dyDescent="0.3">
      <c r="A182" s="3">
        <v>40444</v>
      </c>
      <c r="B182" s="9">
        <v>12.193851</v>
      </c>
      <c r="C182" s="9">
        <v>8.5737749999999995</v>
      </c>
      <c r="E182" s="14">
        <f t="shared" si="18"/>
        <v>1.4222266154640169</v>
      </c>
      <c r="F182" s="18">
        <f t="shared" ca="1" si="17"/>
        <v>-0.82904333598459656</v>
      </c>
      <c r="G182" s="15">
        <f t="shared" ca="1" si="22"/>
        <v>1.4616398187522406</v>
      </c>
      <c r="H182" s="15">
        <f t="shared" ca="1" si="23"/>
        <v>4.7540582714431248E-2</v>
      </c>
      <c r="J182" s="17">
        <f t="shared" ca="1" si="19"/>
        <v>0</v>
      </c>
      <c r="K182" s="24">
        <f t="shared" ca="1" si="20"/>
        <v>0</v>
      </c>
      <c r="L182" s="17">
        <f t="shared" ca="1" si="21"/>
        <v>0</v>
      </c>
      <c r="N182" s="24" t="str">
        <f ca="1">IF(AND(L182=1,L181&lt;&gt;1),MAX($N$8:N181)+1,"")</f>
        <v/>
      </c>
      <c r="O182" s="24" t="str">
        <f ca="1">IF(AND(L182&lt;&gt;1,L181=1),MAX($O$8:O181)+1,"")</f>
        <v/>
      </c>
      <c r="P182" s="17" t="str">
        <f ca="1">IF(AND(L182=-1,L181&lt;&gt;-1),MAX($P$8:P181)+1,"")</f>
        <v/>
      </c>
      <c r="Q182" s="24" t="str">
        <f ca="1">IF(AND(L182&lt;&gt;-1,L181=-1),MAX($Q$8:Q181)+1,"")</f>
        <v/>
      </c>
    </row>
    <row r="183" spans="1:17" x14ac:dyDescent="0.3">
      <c r="A183" s="3">
        <v>40445</v>
      </c>
      <c r="B183" s="9">
        <v>12.099944000000001</v>
      </c>
      <c r="C183" s="9">
        <v>8.4688800000000004</v>
      </c>
      <c r="E183" s="14">
        <f t="shared" si="18"/>
        <v>1.4287537431159729</v>
      </c>
      <c r="F183" s="18">
        <f t="shared" ca="1" si="17"/>
        <v>-0.68127116670195942</v>
      </c>
      <c r="G183" s="15">
        <f t="shared" ca="1" si="22"/>
        <v>1.4612871496903688</v>
      </c>
      <c r="H183" s="15">
        <f t="shared" ca="1" si="23"/>
        <v>4.7753975457218309E-2</v>
      </c>
      <c r="J183" s="17">
        <f t="shared" ca="1" si="19"/>
        <v>0</v>
      </c>
      <c r="K183" s="24">
        <f t="shared" ca="1" si="20"/>
        <v>0</v>
      </c>
      <c r="L183" s="17">
        <f t="shared" ca="1" si="21"/>
        <v>0</v>
      </c>
      <c r="N183" s="24" t="str">
        <f ca="1">IF(AND(L183=1,L182&lt;&gt;1),MAX($N$8:N182)+1,"")</f>
        <v/>
      </c>
      <c r="O183" s="24" t="str">
        <f ca="1">IF(AND(L183&lt;&gt;1,L182=1),MAX($O$8:O182)+1,"")</f>
        <v/>
      </c>
      <c r="P183" s="17" t="str">
        <f ca="1">IF(AND(L183=-1,L182&lt;&gt;-1),MAX($P$8:P182)+1,"")</f>
        <v/>
      </c>
      <c r="Q183" s="24" t="str">
        <f ca="1">IF(AND(L183&lt;&gt;-1,L182=-1),MAX($Q$8:Q182)+1,"")</f>
        <v/>
      </c>
    </row>
    <row r="184" spans="1:17" x14ac:dyDescent="0.3">
      <c r="A184" s="3">
        <v>40448</v>
      </c>
      <c r="B184" s="9">
        <v>12.115544</v>
      </c>
      <c r="C184" s="9">
        <v>8.560651</v>
      </c>
      <c r="E184" s="14">
        <f t="shared" si="18"/>
        <v>1.4152596572386842</v>
      </c>
      <c r="F184" s="18">
        <f t="shared" ca="1" si="17"/>
        <v>-0.90578365277806405</v>
      </c>
      <c r="G184" s="15">
        <f t="shared" ca="1" si="22"/>
        <v>1.4593775443173678</v>
      </c>
      <c r="H184" s="15">
        <f t="shared" ca="1" si="23"/>
        <v>4.8706870501993245E-2</v>
      </c>
      <c r="J184" s="17">
        <f t="shared" ca="1" si="19"/>
        <v>0</v>
      </c>
      <c r="K184" s="24">
        <f t="shared" ca="1" si="20"/>
        <v>0</v>
      </c>
      <c r="L184" s="17">
        <f t="shared" ca="1" si="21"/>
        <v>0</v>
      </c>
      <c r="N184" s="24" t="str">
        <f ca="1">IF(AND(L184=1,L183&lt;&gt;1),MAX($N$8:N183)+1,"")</f>
        <v/>
      </c>
      <c r="O184" s="24" t="str">
        <f ca="1">IF(AND(L184&lt;&gt;1,L183=1),MAX($O$8:O183)+1,"")</f>
        <v/>
      </c>
      <c r="P184" s="17" t="str">
        <f ca="1">IF(AND(L184=-1,L183&lt;&gt;-1),MAX($P$8:P183)+1,"")</f>
        <v/>
      </c>
      <c r="Q184" s="24" t="str">
        <f ca="1">IF(AND(L184&lt;&gt;-1,L183=-1),MAX($Q$8:Q183)+1,"")</f>
        <v/>
      </c>
    </row>
    <row r="185" spans="1:17" x14ac:dyDescent="0.3">
      <c r="A185" s="3">
        <v>40449</v>
      </c>
      <c r="B185" s="9">
        <v>12.225137</v>
      </c>
      <c r="C185" s="9">
        <v>8.5711499999999994</v>
      </c>
      <c r="E185" s="14">
        <f t="shared" si="18"/>
        <v>1.4263123384843341</v>
      </c>
      <c r="F185" s="18">
        <f t="shared" ca="1" si="17"/>
        <v>-0.65854291823274946</v>
      </c>
      <c r="G185" s="15">
        <f t="shared" ca="1" si="22"/>
        <v>1.4586335141749773</v>
      </c>
      <c r="H185" s="15">
        <f t="shared" ca="1" si="23"/>
        <v>4.907983184661608E-2</v>
      </c>
      <c r="J185" s="17">
        <f t="shared" ca="1" si="19"/>
        <v>0</v>
      </c>
      <c r="K185" s="24">
        <f t="shared" ca="1" si="20"/>
        <v>0</v>
      </c>
      <c r="L185" s="17">
        <f t="shared" ca="1" si="21"/>
        <v>0</v>
      </c>
      <c r="N185" s="24" t="str">
        <f ca="1">IF(AND(L185=1,L184&lt;&gt;1),MAX($N$8:N184)+1,"")</f>
        <v/>
      </c>
      <c r="O185" s="24" t="str">
        <f ca="1">IF(AND(L185&lt;&gt;1,L184=1),MAX($O$8:O184)+1,"")</f>
        <v/>
      </c>
      <c r="P185" s="17" t="str">
        <f ca="1">IF(AND(L185=-1,L184&lt;&gt;-1),MAX($P$8:P184)+1,"")</f>
        <v/>
      </c>
      <c r="Q185" s="24" t="str">
        <f ca="1">IF(AND(L185&lt;&gt;-1,L184=-1),MAX($Q$8:Q184)+1,"")</f>
        <v/>
      </c>
    </row>
    <row r="186" spans="1:17" x14ac:dyDescent="0.3">
      <c r="A186" s="3">
        <v>40450</v>
      </c>
      <c r="B186" s="9">
        <v>12.447425000000001</v>
      </c>
      <c r="C186" s="9">
        <v>8.8097049999999992</v>
      </c>
      <c r="E186" s="14">
        <f t="shared" si="18"/>
        <v>1.4129218855795969</v>
      </c>
      <c r="F186" s="18">
        <f t="shared" ca="1" si="17"/>
        <v>-0.86823714109877259</v>
      </c>
      <c r="G186" s="15">
        <f t="shared" ca="1" si="22"/>
        <v>1.4563081572373138</v>
      </c>
      <c r="H186" s="15">
        <f t="shared" ca="1" si="23"/>
        <v>4.997053178675432E-2</v>
      </c>
      <c r="J186" s="17">
        <f t="shared" ca="1" si="19"/>
        <v>0</v>
      </c>
      <c r="K186" s="24">
        <f t="shared" ca="1" si="20"/>
        <v>0</v>
      </c>
      <c r="L186" s="17">
        <f t="shared" ca="1" si="21"/>
        <v>0</v>
      </c>
      <c r="N186" s="24" t="str">
        <f ca="1">IF(AND(L186=1,L185&lt;&gt;1),MAX($N$8:N185)+1,"")</f>
        <v/>
      </c>
      <c r="O186" s="24" t="str">
        <f ca="1">IF(AND(L186&lt;&gt;1,L185=1),MAX($O$8:O185)+1,"")</f>
        <v/>
      </c>
      <c r="P186" s="17" t="str">
        <f ca="1">IF(AND(L186=-1,L185&lt;&gt;-1),MAX($P$8:P185)+1,"")</f>
        <v/>
      </c>
      <c r="Q186" s="24" t="str">
        <f ca="1">IF(AND(L186&lt;&gt;-1,L185=-1),MAX($Q$8:Q185)+1,"")</f>
        <v/>
      </c>
    </row>
    <row r="187" spans="1:17" x14ac:dyDescent="0.3">
      <c r="A187" s="3">
        <v>40451</v>
      </c>
      <c r="B187" s="9">
        <v>12.669701999999999</v>
      </c>
      <c r="C187" s="9">
        <v>8.893599</v>
      </c>
      <c r="E187" s="14">
        <f t="shared" si="18"/>
        <v>1.4245866043656792</v>
      </c>
      <c r="F187" s="18">
        <f t="shared" ca="1" si="17"/>
        <v>-0.58470493455931005</v>
      </c>
      <c r="G187" s="15">
        <f t="shared" ca="1" si="22"/>
        <v>1.4539245978010784</v>
      </c>
      <c r="H187" s="15">
        <f t="shared" ca="1" si="23"/>
        <v>5.017572402995224E-2</v>
      </c>
      <c r="J187" s="17">
        <f t="shared" ca="1" si="19"/>
        <v>0</v>
      </c>
      <c r="K187" s="24">
        <f t="shared" ca="1" si="20"/>
        <v>0</v>
      </c>
      <c r="L187" s="17">
        <f t="shared" ca="1" si="21"/>
        <v>0</v>
      </c>
      <c r="N187" s="24" t="str">
        <f ca="1">IF(AND(L187=1,L186&lt;&gt;1),MAX($N$8:N186)+1,"")</f>
        <v/>
      </c>
      <c r="O187" s="24" t="str">
        <f ca="1">IF(AND(L187&lt;&gt;1,L186=1),MAX($O$8:O186)+1,"")</f>
        <v/>
      </c>
      <c r="P187" s="17" t="str">
        <f ca="1">IF(AND(L187=-1,L186&lt;&gt;-1),MAX($P$8:P186)+1,"")</f>
        <v/>
      </c>
      <c r="Q187" s="24" t="str">
        <f ca="1">IF(AND(L187&lt;&gt;-1,L186=-1),MAX($Q$8:Q186)+1,"")</f>
        <v/>
      </c>
    </row>
    <row r="188" spans="1:17" x14ac:dyDescent="0.3">
      <c r="A188" s="3">
        <v>40452</v>
      </c>
      <c r="B188" s="9">
        <v>12.781352999999999</v>
      </c>
      <c r="C188" s="9">
        <v>8.9958670000000005</v>
      </c>
      <c r="E188" s="14">
        <f t="shared" si="18"/>
        <v>1.4208027975513642</v>
      </c>
      <c r="F188" s="18">
        <f t="shared" ca="1" si="17"/>
        <v>-0.6032986260980443</v>
      </c>
      <c r="G188" s="15">
        <f t="shared" ca="1" si="22"/>
        <v>1.451092592589051</v>
      </c>
      <c r="H188" s="15">
        <f t="shared" ca="1" si="23"/>
        <v>5.0206968369200793E-2</v>
      </c>
      <c r="J188" s="17">
        <f t="shared" ca="1" si="19"/>
        <v>0</v>
      </c>
      <c r="K188" s="24">
        <f t="shared" ca="1" si="20"/>
        <v>0</v>
      </c>
      <c r="L188" s="17">
        <f t="shared" ca="1" si="21"/>
        <v>0</v>
      </c>
      <c r="N188" s="24" t="str">
        <f ca="1">IF(AND(L188=1,L187&lt;&gt;1),MAX($N$8:N187)+1,"")</f>
        <v/>
      </c>
      <c r="O188" s="24" t="str">
        <f ca="1">IF(AND(L188&lt;&gt;1,L187=1),MAX($O$8:O187)+1,"")</f>
        <v/>
      </c>
      <c r="P188" s="17" t="str">
        <f ca="1">IF(AND(L188=-1,L187&lt;&gt;-1),MAX($P$8:P187)+1,"")</f>
        <v/>
      </c>
      <c r="Q188" s="24" t="str">
        <f ca="1">IF(AND(L188&lt;&gt;-1,L187=-1),MAX($Q$8:Q187)+1,"")</f>
        <v/>
      </c>
    </row>
    <row r="189" spans="1:17" x14ac:dyDescent="0.3">
      <c r="A189" s="3">
        <v>40455</v>
      </c>
      <c r="B189" s="9">
        <v>12.796972</v>
      </c>
      <c r="C189" s="9">
        <v>8.9575110000000002</v>
      </c>
      <c r="E189" s="14">
        <f t="shared" si="18"/>
        <v>1.4286303416205686</v>
      </c>
      <c r="F189" s="18">
        <f t="shared" ca="1" si="17"/>
        <v>-0.40787647626196133</v>
      </c>
      <c r="G189" s="15">
        <f t="shared" ca="1" si="22"/>
        <v>1.4491015498025177</v>
      </c>
      <c r="H189" s="15">
        <f t="shared" ca="1" si="23"/>
        <v>5.018972501076864E-2</v>
      </c>
      <c r="J189" s="17">
        <f t="shared" ca="1" si="19"/>
        <v>0</v>
      </c>
      <c r="K189" s="24">
        <f t="shared" ca="1" si="20"/>
        <v>0</v>
      </c>
      <c r="L189" s="17">
        <f t="shared" ca="1" si="21"/>
        <v>0</v>
      </c>
      <c r="N189" s="24" t="str">
        <f ca="1">IF(AND(L189=1,L188&lt;&gt;1),MAX($N$8:N188)+1,"")</f>
        <v/>
      </c>
      <c r="O189" s="24" t="str">
        <f ca="1">IF(AND(L189&lt;&gt;1,L188=1),MAX($O$8:O188)+1,"")</f>
        <v/>
      </c>
      <c r="P189" s="17" t="str">
        <f ca="1">IF(AND(L189=-1,L188&lt;&gt;-1),MAX($P$8:P188)+1,"")</f>
        <v/>
      </c>
      <c r="Q189" s="24" t="str">
        <f ca="1">IF(AND(L189&lt;&gt;-1,L188=-1),MAX($Q$8:Q188)+1,"")</f>
        <v/>
      </c>
    </row>
    <row r="190" spans="1:17" x14ac:dyDescent="0.3">
      <c r="A190" s="3">
        <v>40456</v>
      </c>
      <c r="B190" s="9">
        <v>13.11655</v>
      </c>
      <c r="C190" s="9">
        <v>9.1832220000000007</v>
      </c>
      <c r="E190" s="14">
        <f t="shared" si="18"/>
        <v>1.4283167716080478</v>
      </c>
      <c r="F190" s="18">
        <f t="shared" ca="1" si="17"/>
        <v>-0.37757956521125186</v>
      </c>
      <c r="G190" s="15">
        <f t="shared" ca="1" si="22"/>
        <v>1.447262315507309</v>
      </c>
      <c r="H190" s="15">
        <f t="shared" ca="1" si="23"/>
        <v>5.0176295660124881E-2</v>
      </c>
      <c r="J190" s="17">
        <f t="shared" ca="1" si="19"/>
        <v>0</v>
      </c>
      <c r="K190" s="24">
        <f t="shared" ca="1" si="20"/>
        <v>0</v>
      </c>
      <c r="L190" s="17">
        <f t="shared" ca="1" si="21"/>
        <v>0</v>
      </c>
      <c r="N190" s="24" t="str">
        <f ca="1">IF(AND(L190=1,L189&lt;&gt;1),MAX($N$8:N189)+1,"")</f>
        <v/>
      </c>
      <c r="O190" s="24" t="str">
        <f ca="1">IF(AND(L190&lt;&gt;1,L189=1),MAX($O$8:O189)+1,"")</f>
        <v/>
      </c>
      <c r="P190" s="17" t="str">
        <f ca="1">IF(AND(L190=-1,L189&lt;&gt;-1),MAX($P$8:P189)+1,"")</f>
        <v/>
      </c>
      <c r="Q190" s="24" t="str">
        <f ca="1">IF(AND(L190&lt;&gt;-1,L189=-1),MAX($Q$8:Q189)+1,"")</f>
        <v/>
      </c>
    </row>
    <row r="191" spans="1:17" x14ac:dyDescent="0.3">
      <c r="A191" s="3">
        <v>40457</v>
      </c>
      <c r="B191" s="9">
        <v>13.00062</v>
      </c>
      <c r="C191" s="9">
        <v>9.1464879999999997</v>
      </c>
      <c r="E191" s="14">
        <f t="shared" si="18"/>
        <v>1.4213783476236999</v>
      </c>
      <c r="F191" s="18">
        <f t="shared" ca="1" si="17"/>
        <v>-0.465216994202586</v>
      </c>
      <c r="G191" s="15">
        <f t="shared" ca="1" si="22"/>
        <v>1.4446061048938708</v>
      </c>
      <c r="H191" s="15">
        <f t="shared" ca="1" si="23"/>
        <v>4.9928866657128201E-2</v>
      </c>
      <c r="J191" s="17">
        <f t="shared" ca="1" si="19"/>
        <v>0</v>
      </c>
      <c r="K191" s="24">
        <f t="shared" ca="1" si="20"/>
        <v>0</v>
      </c>
      <c r="L191" s="17">
        <f t="shared" ca="1" si="21"/>
        <v>0</v>
      </c>
      <c r="N191" s="24" t="str">
        <f ca="1">IF(AND(L191=1,L190&lt;&gt;1),MAX($N$8:N190)+1,"")</f>
        <v/>
      </c>
      <c r="O191" s="24" t="str">
        <f ca="1">IF(AND(L191&lt;&gt;1,L190=1),MAX($O$8:O190)+1,"")</f>
        <v/>
      </c>
      <c r="P191" s="17" t="str">
        <f ca="1">IF(AND(L191=-1,L190&lt;&gt;-1),MAX($P$8:P190)+1,"")</f>
        <v/>
      </c>
      <c r="Q191" s="24" t="str">
        <f ca="1">IF(AND(L191&lt;&gt;-1,L190=-1),MAX($Q$8:Q190)+1,"")</f>
        <v/>
      </c>
    </row>
    <row r="192" spans="1:17" x14ac:dyDescent="0.3">
      <c r="A192" s="3">
        <v>40458</v>
      </c>
      <c r="B192" s="9">
        <v>13.025663</v>
      </c>
      <c r="C192" s="9">
        <v>9.1412340000000007</v>
      </c>
      <c r="E192" s="14">
        <f t="shared" si="18"/>
        <v>1.424934861092058</v>
      </c>
      <c r="F192" s="18">
        <f t="shared" ca="1" si="17"/>
        <v>-0.35061828528375999</v>
      </c>
      <c r="G192" s="15">
        <f t="shared" ca="1" si="22"/>
        <v>1.4423385307060821</v>
      </c>
      <c r="H192" s="15">
        <f t="shared" ca="1" si="23"/>
        <v>4.9637084956761585E-2</v>
      </c>
      <c r="J192" s="17">
        <f t="shared" ca="1" si="19"/>
        <v>0</v>
      </c>
      <c r="K192" s="24">
        <f t="shared" ca="1" si="20"/>
        <v>0</v>
      </c>
      <c r="L192" s="17">
        <f t="shared" ca="1" si="21"/>
        <v>0</v>
      </c>
      <c r="N192" s="24" t="str">
        <f ca="1">IF(AND(L192=1,L191&lt;&gt;1),MAX($N$8:N191)+1,"")</f>
        <v/>
      </c>
      <c r="O192" s="24" t="str">
        <f ca="1">IF(AND(L192&lt;&gt;1,L191=1),MAX($O$8:O191)+1,"")</f>
        <v/>
      </c>
      <c r="P192" s="17" t="str">
        <f ca="1">IF(AND(L192=-1,L191&lt;&gt;-1),MAX($P$8:P191)+1,"")</f>
        <v/>
      </c>
      <c r="Q192" s="24" t="str">
        <f ca="1">IF(AND(L192&lt;&gt;-1,L191=-1),MAX($Q$8:Q191)+1,"")</f>
        <v/>
      </c>
    </row>
    <row r="193" spans="1:17" x14ac:dyDescent="0.3">
      <c r="A193" s="3">
        <v>40459</v>
      </c>
      <c r="B193" s="9">
        <v>13.310757000000001</v>
      </c>
      <c r="C193" s="9">
        <v>9.3485510000000005</v>
      </c>
      <c r="E193" s="14">
        <f t="shared" si="18"/>
        <v>1.4238310300708634</v>
      </c>
      <c r="F193" s="18">
        <f t="shared" ca="1" si="17"/>
        <v>-0.34416489523946142</v>
      </c>
      <c r="G193" s="15">
        <f t="shared" ca="1" si="22"/>
        <v>1.4409376416886757</v>
      </c>
      <c r="H193" s="15">
        <f t="shared" ca="1" si="23"/>
        <v>4.9704696366286522E-2</v>
      </c>
      <c r="J193" s="17">
        <f t="shared" ca="1" si="19"/>
        <v>0</v>
      </c>
      <c r="K193" s="24">
        <f t="shared" ca="1" si="20"/>
        <v>0</v>
      </c>
      <c r="L193" s="17">
        <f t="shared" ca="1" si="21"/>
        <v>0</v>
      </c>
      <c r="N193" s="24" t="str">
        <f ca="1">IF(AND(L193=1,L192&lt;&gt;1),MAX($N$8:N192)+1,"")</f>
        <v/>
      </c>
      <c r="O193" s="24" t="str">
        <f ca="1">IF(AND(L193&lt;&gt;1,L192=1),MAX($O$8:O192)+1,"")</f>
        <v/>
      </c>
      <c r="P193" s="17" t="str">
        <f ca="1">IF(AND(L193=-1,L192&lt;&gt;-1),MAX($P$8:P192)+1,"")</f>
        <v/>
      </c>
      <c r="Q193" s="24" t="str">
        <f ca="1">IF(AND(L193&lt;&gt;-1,L192=-1),MAX($Q$8:Q192)+1,"")</f>
        <v/>
      </c>
    </row>
    <row r="194" spans="1:17" x14ac:dyDescent="0.3">
      <c r="A194" s="3">
        <v>40462</v>
      </c>
      <c r="B194" s="9">
        <v>13.210518</v>
      </c>
      <c r="C194" s="9">
        <v>9.3170710000000003</v>
      </c>
      <c r="E194" s="14">
        <f t="shared" si="18"/>
        <v>1.4178831523340329</v>
      </c>
      <c r="F194" s="18">
        <f t="shared" ref="F194:F257" ca="1" si="24">IF(ISNUMBER(G194),(E194-G194)/H194,"")</f>
        <v>-0.44483867979371555</v>
      </c>
      <c r="G194" s="15">
        <f t="shared" ca="1" si="22"/>
        <v>1.4400943012049616</v>
      </c>
      <c r="H194" s="15">
        <f t="shared" ca="1" si="23"/>
        <v>4.9930794869791052E-2</v>
      </c>
      <c r="J194" s="17">
        <f t="shared" ca="1" si="19"/>
        <v>0</v>
      </c>
      <c r="K194" s="24">
        <f t="shared" ca="1" si="20"/>
        <v>0</v>
      </c>
      <c r="L194" s="17">
        <f t="shared" ca="1" si="21"/>
        <v>0</v>
      </c>
      <c r="N194" s="24" t="str">
        <f ca="1">IF(AND(L194=1,L193&lt;&gt;1),MAX($N$8:N193)+1,"")</f>
        <v/>
      </c>
      <c r="O194" s="24" t="str">
        <f ca="1">IF(AND(L194&lt;&gt;1,L193=1),MAX($O$8:O193)+1,"")</f>
        <v/>
      </c>
      <c r="P194" s="17" t="str">
        <f ca="1">IF(AND(L194=-1,L193&lt;&gt;-1),MAX($P$8:P193)+1,"")</f>
        <v/>
      </c>
      <c r="Q194" s="24" t="str">
        <f ca="1">IF(AND(L194&lt;&gt;-1,L193=-1),MAX($Q$8:Q193)+1,"")</f>
        <v/>
      </c>
    </row>
    <row r="195" spans="1:17" x14ac:dyDescent="0.3">
      <c r="A195" s="3">
        <v>40464</v>
      </c>
      <c r="B195" s="9">
        <v>13.364008999999999</v>
      </c>
      <c r="C195" s="9">
        <v>9.5113070000000004</v>
      </c>
      <c r="E195" s="14">
        <f t="shared" ref="E195:E258" si="25">IF(ISNUMBER(B195),B195/C195,"")</f>
        <v>1.4050654657661663</v>
      </c>
      <c r="F195" s="18">
        <f t="shared" ca="1" si="24"/>
        <v>-0.6632336146197878</v>
      </c>
      <c r="G195" s="15">
        <f t="shared" ca="1" si="22"/>
        <v>1.4385334721821799</v>
      </c>
      <c r="H195" s="15">
        <f t="shared" ca="1" si="23"/>
        <v>5.0461866947440183E-2</v>
      </c>
      <c r="J195" s="17">
        <f t="shared" ca="1" si="19"/>
        <v>0</v>
      </c>
      <c r="K195" s="24">
        <f t="shared" ca="1" si="20"/>
        <v>0</v>
      </c>
      <c r="L195" s="17">
        <f t="shared" ca="1" si="21"/>
        <v>0</v>
      </c>
      <c r="N195" s="24" t="str">
        <f ca="1">IF(AND(L195=1,L194&lt;&gt;1),MAX($N$8:N194)+1,"")</f>
        <v/>
      </c>
      <c r="O195" s="24" t="str">
        <f ca="1">IF(AND(L195&lt;&gt;1,L194=1),MAX($O$8:O194)+1,"")</f>
        <v/>
      </c>
      <c r="P195" s="17" t="str">
        <f ca="1">IF(AND(L195=-1,L194&lt;&gt;-1),MAX($P$8:P194)+1,"")</f>
        <v/>
      </c>
      <c r="Q195" s="24" t="str">
        <f ca="1">IF(AND(L195&lt;&gt;-1,L194=-1),MAX($Q$8:Q194)+1,"")</f>
        <v/>
      </c>
    </row>
    <row r="196" spans="1:17" x14ac:dyDescent="0.3">
      <c r="A196" s="3">
        <v>40465</v>
      </c>
      <c r="B196" s="9">
        <v>13.266937</v>
      </c>
      <c r="C196" s="9">
        <v>9.4798279999999995</v>
      </c>
      <c r="E196" s="14">
        <f t="shared" si="25"/>
        <v>1.399491319884707</v>
      </c>
      <c r="F196" s="18">
        <f t="shared" ca="1" si="24"/>
        <v>-0.73499422747865828</v>
      </c>
      <c r="G196" s="15">
        <f t="shared" ca="1" si="22"/>
        <v>1.4370523093603769</v>
      </c>
      <c r="H196" s="15">
        <f t="shared" ca="1" si="23"/>
        <v>5.1103788399155178E-2</v>
      </c>
      <c r="J196" s="17">
        <f t="shared" ca="1" si="19"/>
        <v>0</v>
      </c>
      <c r="K196" s="24">
        <f t="shared" ca="1" si="20"/>
        <v>0</v>
      </c>
      <c r="L196" s="17">
        <f t="shared" ca="1" si="21"/>
        <v>0</v>
      </c>
      <c r="N196" s="24" t="str">
        <f ca="1">IF(AND(L196=1,L195&lt;&gt;1),MAX($N$8:N195)+1,"")</f>
        <v/>
      </c>
      <c r="O196" s="24" t="str">
        <f ca="1">IF(AND(L196&lt;&gt;1,L195=1),MAX($O$8:O195)+1,"")</f>
        <v/>
      </c>
      <c r="P196" s="17" t="str">
        <f ca="1">IF(AND(L196=-1,L195&lt;&gt;-1),MAX($P$8:P195)+1,"")</f>
        <v/>
      </c>
      <c r="Q196" s="24" t="str">
        <f ca="1">IF(AND(L196&lt;&gt;-1,L195=-1),MAX($Q$8:Q195)+1,"")</f>
        <v/>
      </c>
    </row>
    <row r="197" spans="1:17" x14ac:dyDescent="0.3">
      <c r="A197" s="3">
        <v>40466</v>
      </c>
      <c r="B197" s="9">
        <v>13.398479</v>
      </c>
      <c r="C197" s="9">
        <v>9.3984170000000002</v>
      </c>
      <c r="E197" s="14">
        <f t="shared" si="25"/>
        <v>1.4256101852045935</v>
      </c>
      <c r="F197" s="18">
        <f t="shared" ca="1" si="24"/>
        <v>-0.20589635823404523</v>
      </c>
      <c r="G197" s="15">
        <f t="shared" ca="1" si="22"/>
        <v>1.4361355922450398</v>
      </c>
      <c r="H197" s="15">
        <f t="shared" ca="1" si="23"/>
        <v>5.1119928155708219E-2</v>
      </c>
      <c r="J197" s="17">
        <f t="shared" ca="1" si="19"/>
        <v>0</v>
      </c>
      <c r="K197" s="24">
        <f t="shared" ca="1" si="20"/>
        <v>0</v>
      </c>
      <c r="L197" s="17">
        <f t="shared" ca="1" si="21"/>
        <v>0</v>
      </c>
      <c r="N197" s="24" t="str">
        <f ca="1">IF(AND(L197=1,L196&lt;&gt;1),MAX($N$8:N196)+1,"")</f>
        <v/>
      </c>
      <c r="O197" s="24" t="str">
        <f ca="1">IF(AND(L197&lt;&gt;1,L196=1),MAX($O$8:O196)+1,"")</f>
        <v/>
      </c>
      <c r="P197" s="17" t="str">
        <f ca="1">IF(AND(L197=-1,L196&lt;&gt;-1),MAX($P$8:P196)+1,"")</f>
        <v/>
      </c>
      <c r="Q197" s="24" t="str">
        <f ca="1">IF(AND(L197&lt;&gt;-1,L196=-1),MAX($Q$8:Q196)+1,"")</f>
        <v/>
      </c>
    </row>
    <row r="198" spans="1:17" x14ac:dyDescent="0.3">
      <c r="A198" s="3">
        <v>40469</v>
      </c>
      <c r="B198" s="9">
        <v>13.470506</v>
      </c>
      <c r="C198" s="9">
        <v>9.4378460000000004</v>
      </c>
      <c r="E198" s="14">
        <f t="shared" si="25"/>
        <v>1.4272860565853691</v>
      </c>
      <c r="F198" s="18">
        <f t="shared" ca="1" si="24"/>
        <v>-0.1574782972024972</v>
      </c>
      <c r="G198" s="15">
        <f t="shared" ca="1" si="22"/>
        <v>1.4353354684317408</v>
      </c>
      <c r="H198" s="15">
        <f t="shared" ca="1" si="23"/>
        <v>5.1114420141469517E-2</v>
      </c>
      <c r="J198" s="17">
        <f t="shared" ca="1" si="19"/>
        <v>0</v>
      </c>
      <c r="K198" s="24">
        <f t="shared" ca="1" si="20"/>
        <v>0</v>
      </c>
      <c r="L198" s="17">
        <f t="shared" ca="1" si="21"/>
        <v>0</v>
      </c>
      <c r="N198" s="24" t="str">
        <f ca="1">IF(AND(L198=1,L197&lt;&gt;1),MAX($N$8:N197)+1,"")</f>
        <v/>
      </c>
      <c r="O198" s="24" t="str">
        <f ca="1">IF(AND(L198&lt;&gt;1,L197=1),MAX($O$8:O197)+1,"")</f>
        <v/>
      </c>
      <c r="P198" s="17" t="str">
        <f ca="1">IF(AND(L198=-1,L197&lt;&gt;-1),MAX($P$8:P197)+1,"")</f>
        <v/>
      </c>
      <c r="Q198" s="24" t="str">
        <f ca="1">IF(AND(L198&lt;&gt;-1,L197=-1),MAX($Q$8:Q197)+1,"")</f>
        <v/>
      </c>
    </row>
    <row r="199" spans="1:17" x14ac:dyDescent="0.3">
      <c r="A199" s="3">
        <v>40470</v>
      </c>
      <c r="B199" s="9">
        <v>13.201090000000001</v>
      </c>
      <c r="C199" s="9">
        <v>9.2645710000000001</v>
      </c>
      <c r="E199" s="14">
        <f t="shared" si="25"/>
        <v>1.4249003002945306</v>
      </c>
      <c r="F199" s="18">
        <f t="shared" ca="1" si="24"/>
        <v>-0.18846136527302854</v>
      </c>
      <c r="G199" s="15">
        <f t="shared" ca="1" si="22"/>
        <v>1.4345370836150879</v>
      </c>
      <c r="H199" s="15">
        <f t="shared" ca="1" si="23"/>
        <v>5.1133999303232487E-2</v>
      </c>
      <c r="J199" s="17">
        <f t="shared" ca="1" si="19"/>
        <v>0</v>
      </c>
      <c r="K199" s="24">
        <f t="shared" ca="1" si="20"/>
        <v>0</v>
      </c>
      <c r="L199" s="17">
        <f t="shared" ca="1" si="21"/>
        <v>0</v>
      </c>
      <c r="N199" s="24" t="str">
        <f ca="1">IF(AND(L199=1,L198&lt;&gt;1),MAX($N$8:N198)+1,"")</f>
        <v/>
      </c>
      <c r="O199" s="24" t="str">
        <f ca="1">IF(AND(L199&lt;&gt;1,L198=1),MAX($O$8:O198)+1,"")</f>
        <v/>
      </c>
      <c r="P199" s="17" t="str">
        <f ca="1">IF(AND(L199=-1,L198&lt;&gt;-1),MAX($P$8:P198)+1,"")</f>
        <v/>
      </c>
      <c r="Q199" s="24" t="str">
        <f ca="1">IF(AND(L199&lt;&gt;-1,L198=-1),MAX($Q$8:Q198)+1,"")</f>
        <v/>
      </c>
    </row>
    <row r="200" spans="1:17" x14ac:dyDescent="0.3">
      <c r="A200" s="3">
        <v>40471</v>
      </c>
      <c r="B200" s="9">
        <v>13.329544</v>
      </c>
      <c r="C200" s="9">
        <v>9.4325860000000006</v>
      </c>
      <c r="E200" s="14">
        <f t="shared" si="25"/>
        <v>1.4131378181974699</v>
      </c>
      <c r="F200" s="18">
        <f t="shared" ca="1" si="24"/>
        <v>-0.38458017826663343</v>
      </c>
      <c r="G200" s="15">
        <f t="shared" ca="1" si="22"/>
        <v>1.4328249438002396</v>
      </c>
      <c r="H200" s="15">
        <f t="shared" ca="1" si="23"/>
        <v>5.1191212431963826E-2</v>
      </c>
      <c r="J200" s="17">
        <f t="shared" ref="J200:J263" ca="1" si="26">IF(ISNUMBER(F200),IF(AND(J199&lt;&gt;1,F200&gt;$L$1),1,IF(AND(J199=1,F200&gt;$N$1),1,0)),"")</f>
        <v>0</v>
      </c>
      <c r="K200" s="24">
        <f t="shared" ca="1" si="20"/>
        <v>0</v>
      </c>
      <c r="L200" s="17">
        <f t="shared" ca="1" si="21"/>
        <v>0</v>
      </c>
      <c r="N200" s="24" t="str">
        <f ca="1">IF(AND(L200=1,L199&lt;&gt;1),MAX($N$8:N199)+1,"")</f>
        <v/>
      </c>
      <c r="O200" s="24" t="str">
        <f ca="1">IF(AND(L200&lt;&gt;1,L199=1),MAX($O$8:O199)+1,"")</f>
        <v/>
      </c>
      <c r="P200" s="17" t="str">
        <f ca="1">IF(AND(L200=-1,L199&lt;&gt;-1),MAX($P$8:P199)+1,"")</f>
        <v/>
      </c>
      <c r="Q200" s="24" t="str">
        <f ca="1">IF(AND(L200&lt;&gt;-1,L199=-1),MAX($Q$8:Q199)+1,"")</f>
        <v/>
      </c>
    </row>
    <row r="201" spans="1:17" x14ac:dyDescent="0.3">
      <c r="A201" s="3">
        <v>40472</v>
      </c>
      <c r="B201" s="9">
        <v>13.160364</v>
      </c>
      <c r="C201" s="9">
        <v>9.2645710000000001</v>
      </c>
      <c r="E201" s="14">
        <f t="shared" si="25"/>
        <v>1.420504414073787</v>
      </c>
      <c r="F201" s="18">
        <f t="shared" ca="1" si="24"/>
        <v>-0.14873497194863142</v>
      </c>
      <c r="G201" s="15">
        <f t="shared" ca="1" si="22"/>
        <v>1.4217439479926348</v>
      </c>
      <c r="H201" s="15">
        <f t="shared" ca="1" si="23"/>
        <v>8.3338430942514873E-3</v>
      </c>
      <c r="J201" s="17">
        <f t="shared" ca="1" si="26"/>
        <v>0</v>
      </c>
      <c r="K201" s="24">
        <f t="shared" ref="K201:K264" ca="1" si="27">IF(ISNUMBER(F201),IF(AND(K200&lt;&gt;-1,F201&lt;$P$1),-1,IF(AND(K200=-1,F201&lt;R194),-1,0)),"")</f>
        <v>0</v>
      </c>
      <c r="L201" s="17">
        <f t="shared" ref="L201:L264" ca="1" si="28">IF(ISNUMBER(F201),IF(J201=1,1,IF(K201=-1,-1,0)),"")</f>
        <v>0</v>
      </c>
      <c r="N201" s="24" t="str">
        <f ca="1">IF(AND(L201=1,L200&lt;&gt;1),MAX($N$8:N200)+1,"")</f>
        <v/>
      </c>
      <c r="O201" s="24" t="str">
        <f ca="1">IF(AND(L201&lt;&gt;1,L200=1),MAX($O$8:O200)+1,"")</f>
        <v/>
      </c>
      <c r="P201" s="17" t="str">
        <f ca="1">IF(AND(L201=-1,L200&lt;&gt;-1),MAX($P$8:P200)+1,"")</f>
        <v/>
      </c>
      <c r="Q201" s="24" t="str">
        <f ca="1">IF(AND(L201&lt;&gt;-1,L200=-1),MAX($Q$8:Q200)+1,"")</f>
        <v/>
      </c>
    </row>
    <row r="202" spans="1:17" x14ac:dyDescent="0.3">
      <c r="A202" s="3">
        <v>40473</v>
      </c>
      <c r="B202" s="9">
        <v>13.279458</v>
      </c>
      <c r="C202" s="9">
        <v>9.3827090000000002</v>
      </c>
      <c r="E202" s="14">
        <f t="shared" si="25"/>
        <v>1.415311718609199</v>
      </c>
      <c r="F202" s="18">
        <f t="shared" ca="1" si="24"/>
        <v>-0.70195212050710176</v>
      </c>
      <c r="G202" s="15">
        <f t="shared" ca="1" si="22"/>
        <v>1.4211274072226083</v>
      </c>
      <c r="H202" s="15">
        <f t="shared" ca="1" si="23"/>
        <v>8.2850217892467652E-3</v>
      </c>
      <c r="J202" s="17">
        <f t="shared" ca="1" si="26"/>
        <v>0</v>
      </c>
      <c r="K202" s="24">
        <f t="shared" ca="1" si="27"/>
        <v>0</v>
      </c>
      <c r="L202" s="17">
        <f t="shared" ca="1" si="28"/>
        <v>0</v>
      </c>
      <c r="N202" s="24" t="str">
        <f ca="1">IF(AND(L202=1,L201&lt;&gt;1),MAX($N$8:N201)+1,"")</f>
        <v/>
      </c>
      <c r="O202" s="24" t="str">
        <f ca="1">IF(AND(L202&lt;&gt;1,L201=1),MAX($O$8:O201)+1,"")</f>
        <v/>
      </c>
      <c r="P202" s="17" t="str">
        <f ca="1">IF(AND(L202=-1,L201&lt;&gt;-1),MAX($P$8:P201)+1,"")</f>
        <v/>
      </c>
      <c r="Q202" s="24" t="str">
        <f ca="1">IF(AND(L202&lt;&gt;-1,L201=-1),MAX($Q$8:Q201)+1,"")</f>
        <v/>
      </c>
    </row>
    <row r="203" spans="1:17" x14ac:dyDescent="0.3">
      <c r="A203" s="3">
        <v>40476</v>
      </c>
      <c r="B203" s="9">
        <v>13.313924</v>
      </c>
      <c r="C203" s="9">
        <v>9.4981679999999997</v>
      </c>
      <c r="E203" s="14">
        <f t="shared" si="25"/>
        <v>1.4017359979313906</v>
      </c>
      <c r="F203" s="18">
        <f t="shared" ca="1" si="24"/>
        <v>-2.1128115772644995</v>
      </c>
      <c r="G203" s="15">
        <f t="shared" ca="1" si="22"/>
        <v>1.4194946101225514</v>
      </c>
      <c r="H203" s="15">
        <f t="shared" ca="1" si="23"/>
        <v>8.4052039387976351E-3</v>
      </c>
      <c r="J203" s="17">
        <f t="shared" ca="1" si="26"/>
        <v>0</v>
      </c>
      <c r="K203" s="24">
        <f t="shared" ca="1" si="27"/>
        <v>-1</v>
      </c>
      <c r="L203" s="17">
        <f t="shared" ca="1" si="28"/>
        <v>-1</v>
      </c>
      <c r="N203" s="24" t="str">
        <f ca="1">IF(AND(L203=1,L202&lt;&gt;1),MAX($N$8:N202)+1,"")</f>
        <v/>
      </c>
      <c r="O203" s="24" t="str">
        <f ca="1">IF(AND(L203&lt;&gt;1,L202=1),MAX($O$8:O202)+1,"")</f>
        <v/>
      </c>
      <c r="P203" s="17">
        <f ca="1">IF(AND(L203=-1,L202&lt;&gt;-1),MAX($P$8:P202)+1,"")</f>
        <v>9</v>
      </c>
      <c r="Q203" s="24" t="str">
        <f ca="1">IF(AND(L203&lt;&gt;-1,L202=-1),MAX($Q$8:Q202)+1,"")</f>
        <v/>
      </c>
    </row>
    <row r="204" spans="1:17" x14ac:dyDescent="0.3">
      <c r="A204" s="3">
        <v>40477</v>
      </c>
      <c r="B204" s="9">
        <v>13.282552000000001</v>
      </c>
      <c r="C204" s="9">
        <v>9.6845160000000003</v>
      </c>
      <c r="E204" s="14">
        <f t="shared" si="25"/>
        <v>1.3715246069085951</v>
      </c>
      <c r="F204" s="18">
        <f t="shared" ca="1" si="24"/>
        <v>-3.5065711800979051</v>
      </c>
      <c r="G204" s="15">
        <f t="shared" ca="1" si="22"/>
        <v>1.4171899733700322</v>
      </c>
      <c r="H204" s="15">
        <f t="shared" ca="1" si="23"/>
        <v>1.30227975181619E-2</v>
      </c>
      <c r="J204" s="17">
        <f t="shared" ca="1" si="26"/>
        <v>0</v>
      </c>
      <c r="K204" s="24">
        <f t="shared" ca="1" si="27"/>
        <v>-1</v>
      </c>
      <c r="L204" s="17">
        <f t="shared" ca="1" si="28"/>
        <v>-1</v>
      </c>
      <c r="N204" s="24" t="str">
        <f ca="1">IF(AND(L204=1,L203&lt;&gt;1),MAX($N$8:N203)+1,"")</f>
        <v/>
      </c>
      <c r="O204" s="24" t="str">
        <f ca="1">IF(AND(L204&lt;&gt;1,L203=1),MAX($O$8:O203)+1,"")</f>
        <v/>
      </c>
      <c r="P204" s="17" t="str">
        <f ca="1">IF(AND(L204=-1,L203&lt;&gt;-1),MAX($P$8:P203)+1,"")</f>
        <v/>
      </c>
      <c r="Q204" s="24" t="str">
        <f ca="1">IF(AND(L204&lt;&gt;-1,L203=-1),MAX($Q$8:Q203)+1,"")</f>
        <v/>
      </c>
    </row>
    <row r="205" spans="1:17" x14ac:dyDescent="0.3">
      <c r="A205" s="3">
        <v>40478</v>
      </c>
      <c r="B205" s="9">
        <v>13.013133</v>
      </c>
      <c r="C205" s="9">
        <v>9.2514889999999994</v>
      </c>
      <c r="E205" s="14">
        <f t="shared" si="25"/>
        <v>1.4065987648042386</v>
      </c>
      <c r="F205" s="18">
        <f t="shared" ca="1" si="24"/>
        <v>-0.74031682050141778</v>
      </c>
      <c r="G205" s="15">
        <f t="shared" ca="1" si="22"/>
        <v>1.416182928901317</v>
      </c>
      <c r="H205" s="15">
        <f t="shared" ca="1" si="23"/>
        <v>1.29460304448939E-2</v>
      </c>
      <c r="J205" s="17">
        <f t="shared" ca="1" si="26"/>
        <v>0</v>
      </c>
      <c r="K205" s="24">
        <f t="shared" ca="1" si="27"/>
        <v>-1</v>
      </c>
      <c r="L205" s="17">
        <f t="shared" ca="1" si="28"/>
        <v>-1</v>
      </c>
      <c r="N205" s="24" t="str">
        <f ca="1">IF(AND(L205=1,L204&lt;&gt;1),MAX($N$8:N204)+1,"")</f>
        <v/>
      </c>
      <c r="O205" s="24" t="str">
        <f ca="1">IF(AND(L205&lt;&gt;1,L204=1),MAX($O$8:O204)+1,"")</f>
        <v/>
      </c>
      <c r="P205" s="17" t="str">
        <f ca="1">IF(AND(L205=-1,L204&lt;&gt;-1),MAX($P$8:P204)+1,"")</f>
        <v/>
      </c>
      <c r="Q205" s="24" t="str">
        <f ca="1">IF(AND(L205&lt;&gt;-1,L204=-1),MAX($Q$8:Q204)+1,"")</f>
        <v/>
      </c>
    </row>
    <row r="206" spans="1:17" x14ac:dyDescent="0.3">
      <c r="A206" s="3">
        <v>40479</v>
      </c>
      <c r="B206" s="9">
        <v>12.887851</v>
      </c>
      <c r="C206" s="9">
        <v>9.1438609999999994</v>
      </c>
      <c r="E206" s="14">
        <f t="shared" si="25"/>
        <v>1.40945394948589</v>
      </c>
      <c r="F206" s="18">
        <f t="shared" ca="1" si="24"/>
        <v>-0.49650764493157229</v>
      </c>
      <c r="G206" s="15">
        <f t="shared" ca="1" si="22"/>
        <v>1.4159190330943718</v>
      </c>
      <c r="H206" s="15">
        <f t="shared" ca="1" si="23"/>
        <v>1.3021115937445159E-2</v>
      </c>
      <c r="J206" s="17">
        <f t="shared" ca="1" si="26"/>
        <v>0</v>
      </c>
      <c r="K206" s="24">
        <f t="shared" ca="1" si="27"/>
        <v>-1</v>
      </c>
      <c r="L206" s="17">
        <f t="shared" ca="1" si="28"/>
        <v>-1</v>
      </c>
      <c r="N206" s="24" t="str">
        <f ca="1">IF(AND(L206=1,L205&lt;&gt;1),MAX($N$8:N205)+1,"")</f>
        <v/>
      </c>
      <c r="O206" s="24" t="str">
        <f ca="1">IF(AND(L206&lt;&gt;1,L205=1),MAX($O$8:O205)+1,"")</f>
        <v/>
      </c>
      <c r="P206" s="17" t="str">
        <f ca="1">IF(AND(L206=-1,L205&lt;&gt;-1),MAX($P$8:P205)+1,"")</f>
        <v/>
      </c>
      <c r="Q206" s="24" t="str">
        <f ca="1">IF(AND(L206&lt;&gt;-1,L205=-1),MAX($Q$8:Q205)+1,"")</f>
        <v/>
      </c>
    </row>
    <row r="207" spans="1:17" x14ac:dyDescent="0.3">
      <c r="A207" s="3">
        <v>40480</v>
      </c>
      <c r="B207" s="9">
        <v>13.00062</v>
      </c>
      <c r="C207" s="9">
        <v>9.1989900000000002</v>
      </c>
      <c r="E207" s="14">
        <f t="shared" si="25"/>
        <v>1.413266021595849</v>
      </c>
      <c r="F207" s="18">
        <f t="shared" ca="1" si="24"/>
        <v>-0.16056154916585577</v>
      </c>
      <c r="G207" s="15">
        <f t="shared" ca="1" si="22"/>
        <v>1.4153260186903498</v>
      </c>
      <c r="H207" s="15">
        <f t="shared" ca="1" si="23"/>
        <v>1.2829952782610825E-2</v>
      </c>
      <c r="J207" s="17">
        <f t="shared" ca="1" si="26"/>
        <v>0</v>
      </c>
      <c r="K207" s="24">
        <f t="shared" ca="1" si="27"/>
        <v>-1</v>
      </c>
      <c r="L207" s="17">
        <f t="shared" ca="1" si="28"/>
        <v>-1</v>
      </c>
      <c r="N207" s="24" t="str">
        <f ca="1">IF(AND(L207=1,L206&lt;&gt;1),MAX($N$8:N206)+1,"")</f>
        <v/>
      </c>
      <c r="O207" s="24" t="str">
        <f ca="1">IF(AND(L207&lt;&gt;1,L206=1),MAX($O$8:O206)+1,"")</f>
        <v/>
      </c>
      <c r="P207" s="17" t="str">
        <f ca="1">IF(AND(L207=-1,L206&lt;&gt;-1),MAX($P$8:P206)+1,"")</f>
        <v/>
      </c>
      <c r="Q207" s="24" t="str">
        <f ca="1">IF(AND(L207&lt;&gt;-1,L206=-1),MAX($Q$8:Q206)+1,"")</f>
        <v/>
      </c>
    </row>
    <row r="208" spans="1:17" x14ac:dyDescent="0.3">
      <c r="A208" s="3">
        <v>40483</v>
      </c>
      <c r="B208" s="9">
        <v>13.253401999999999</v>
      </c>
      <c r="C208" s="9">
        <v>9.4482959999999991</v>
      </c>
      <c r="E208" s="14">
        <f t="shared" si="25"/>
        <v>1.4027293387082709</v>
      </c>
      <c r="F208" s="18">
        <f t="shared" ca="1" si="24"/>
        <v>-0.92693407707542397</v>
      </c>
      <c r="G208" s="15">
        <f t="shared" ca="1" si="22"/>
        <v>1.4148627211052895</v>
      </c>
      <c r="H208" s="15">
        <f t="shared" ca="1" si="23"/>
        <v>1.3089800771270362E-2</v>
      </c>
      <c r="J208" s="17">
        <f t="shared" ca="1" si="26"/>
        <v>0</v>
      </c>
      <c r="K208" s="24">
        <f t="shared" ca="1" si="27"/>
        <v>-1</v>
      </c>
      <c r="L208" s="17">
        <f t="shared" ca="1" si="28"/>
        <v>-1</v>
      </c>
      <c r="N208" s="24" t="str">
        <f ca="1">IF(AND(L208=1,L207&lt;&gt;1),MAX($N$8:N207)+1,"")</f>
        <v/>
      </c>
      <c r="O208" s="24" t="str">
        <f ca="1">IF(AND(L208&lt;&gt;1,L207=1),MAX($O$8:O207)+1,"")</f>
        <v/>
      </c>
      <c r="P208" s="17" t="str">
        <f ca="1">IF(AND(L208=-1,L207&lt;&gt;-1),MAX($P$8:P207)+1,"")</f>
        <v/>
      </c>
      <c r="Q208" s="24" t="str">
        <f ca="1">IF(AND(L208&lt;&gt;-1,L207=-1),MAX($Q$8:Q207)+1,"")</f>
        <v/>
      </c>
    </row>
    <row r="209" spans="1:17" x14ac:dyDescent="0.3">
      <c r="A209" s="3">
        <v>40485</v>
      </c>
      <c r="B209" s="9">
        <v>13.21265</v>
      </c>
      <c r="C209" s="9">
        <v>9.5807029999999997</v>
      </c>
      <c r="E209" s="14">
        <f t="shared" si="25"/>
        <v>1.3790898225318122</v>
      </c>
      <c r="F209" s="18">
        <f t="shared" ca="1" si="24"/>
        <v>-2.2675607313650277</v>
      </c>
      <c r="G209" s="15">
        <f t="shared" ca="1" si="22"/>
        <v>1.4127946855673865</v>
      </c>
      <c r="H209" s="15">
        <f t="shared" ca="1" si="23"/>
        <v>1.4863929582730346E-2</v>
      </c>
      <c r="J209" s="17">
        <f t="shared" ca="1" si="26"/>
        <v>0</v>
      </c>
      <c r="K209" s="24">
        <f t="shared" ca="1" si="27"/>
        <v>-1</v>
      </c>
      <c r="L209" s="17">
        <f t="shared" ca="1" si="28"/>
        <v>-1</v>
      </c>
      <c r="N209" s="24" t="str">
        <f ca="1">IF(AND(L209=1,L208&lt;&gt;1),MAX($N$8:N208)+1,"")</f>
        <v/>
      </c>
      <c r="O209" s="24" t="str">
        <f ca="1">IF(AND(L209&lt;&gt;1,L208=1),MAX($O$8:O208)+1,"")</f>
        <v/>
      </c>
      <c r="P209" s="17" t="str">
        <f ca="1">IF(AND(L209=-1,L208&lt;&gt;-1),MAX($P$8:P208)+1,"")</f>
        <v/>
      </c>
      <c r="Q209" s="24" t="str">
        <f ca="1">IF(AND(L209&lt;&gt;-1,L208=-1),MAX($Q$8:Q208)+1,"")</f>
        <v/>
      </c>
    </row>
    <row r="210" spans="1:17" x14ac:dyDescent="0.3">
      <c r="A210" s="3">
        <v>40486</v>
      </c>
      <c r="B210" s="9">
        <v>13.563741</v>
      </c>
      <c r="C210" s="9">
        <v>9.6804769999999998</v>
      </c>
      <c r="E210" s="14">
        <f t="shared" si="25"/>
        <v>1.4011438692535503</v>
      </c>
      <c r="F210" s="18">
        <f t="shared" ca="1" si="24"/>
        <v>-0.7197234287882982</v>
      </c>
      <c r="G210" s="15">
        <f t="shared" ca="1" si="22"/>
        <v>1.411901097917486</v>
      </c>
      <c r="H210" s="15">
        <f t="shared" ca="1" si="23"/>
        <v>1.4946336653297775E-2</v>
      </c>
      <c r="J210" s="17">
        <f t="shared" ca="1" si="26"/>
        <v>0</v>
      </c>
      <c r="K210" s="24">
        <f t="shared" ca="1" si="27"/>
        <v>-1</v>
      </c>
      <c r="L210" s="17">
        <f t="shared" ca="1" si="28"/>
        <v>-1</v>
      </c>
      <c r="N210" s="24" t="str">
        <f ca="1">IF(AND(L210=1,L209&lt;&gt;1),MAX($N$8:N209)+1,"")</f>
        <v/>
      </c>
      <c r="O210" s="24" t="str">
        <f ca="1">IF(AND(L210&lt;&gt;1,L209=1),MAX($O$8:O209)+1,"")</f>
        <v/>
      </c>
      <c r="P210" s="17" t="str">
        <f ca="1">IF(AND(L210=-1,L209&lt;&gt;-1),MAX($P$8:P209)+1,"")</f>
        <v/>
      </c>
      <c r="Q210" s="24" t="str">
        <f ca="1">IF(AND(L210&lt;&gt;-1,L209=-1),MAX($Q$8:Q209)+1,"")</f>
        <v/>
      </c>
    </row>
    <row r="211" spans="1:17" x14ac:dyDescent="0.3">
      <c r="A211" s="3">
        <v>40487</v>
      </c>
      <c r="B211" s="9">
        <v>13.632656000000001</v>
      </c>
      <c r="C211" s="9">
        <v>9.6962639999999993</v>
      </c>
      <c r="E211" s="14">
        <f t="shared" si="25"/>
        <v>1.405969969464528</v>
      </c>
      <c r="F211" s="18">
        <f t="shared" ca="1" si="24"/>
        <v>-0.33723881156845681</v>
      </c>
      <c r="G211" s="15">
        <f t="shared" ca="1" si="22"/>
        <v>1.4108710810013021</v>
      </c>
      <c r="H211" s="15">
        <f t="shared" ca="1" si="23"/>
        <v>1.4533058973786582E-2</v>
      </c>
      <c r="J211" s="17">
        <f t="shared" ca="1" si="26"/>
        <v>0</v>
      </c>
      <c r="K211" s="24">
        <f t="shared" ca="1" si="27"/>
        <v>-1</v>
      </c>
      <c r="L211" s="17">
        <f t="shared" ca="1" si="28"/>
        <v>-1</v>
      </c>
      <c r="N211" s="24" t="str">
        <f ca="1">IF(AND(L211=1,L210&lt;&gt;1),MAX($N$8:N210)+1,"")</f>
        <v/>
      </c>
      <c r="O211" s="24" t="str">
        <f ca="1">IF(AND(L211&lt;&gt;1,L210=1),MAX($O$8:O210)+1,"")</f>
        <v/>
      </c>
      <c r="P211" s="17" t="str">
        <f ca="1">IF(AND(L211=-1,L210&lt;&gt;-1),MAX($P$8:P210)+1,"")</f>
        <v/>
      </c>
      <c r="Q211" s="24" t="str">
        <f ca="1">IF(AND(L211&lt;&gt;-1,L210=-1),MAX($Q$8:Q210)+1,"")</f>
        <v/>
      </c>
    </row>
    <row r="212" spans="1:17" x14ac:dyDescent="0.3">
      <c r="A212" s="3">
        <v>40490</v>
      </c>
      <c r="B212" s="9">
        <v>13.645249</v>
      </c>
      <c r="C212" s="9">
        <v>9.7461880000000001</v>
      </c>
      <c r="E212" s="14">
        <f t="shared" si="25"/>
        <v>1.4000601055510113</v>
      </c>
      <c r="F212" s="18">
        <f t="shared" ca="1" si="24"/>
        <v>-0.6718888281029618</v>
      </c>
      <c r="G212" s="15">
        <f t="shared" ca="1" si="22"/>
        <v>1.4095866870896188</v>
      </c>
      <c r="H212" s="15">
        <f t="shared" ca="1" si="23"/>
        <v>1.4178806284821184E-2</v>
      </c>
      <c r="J212" s="17">
        <f t="shared" ca="1" si="26"/>
        <v>0</v>
      </c>
      <c r="K212" s="24">
        <f t="shared" ca="1" si="27"/>
        <v>-1</v>
      </c>
      <c r="L212" s="17">
        <f t="shared" ca="1" si="28"/>
        <v>-1</v>
      </c>
      <c r="N212" s="24" t="str">
        <f ca="1">IF(AND(L212=1,L211&lt;&gt;1),MAX($N$8:N211)+1,"")</f>
        <v/>
      </c>
      <c r="O212" s="24" t="str">
        <f ca="1">IF(AND(L212&lt;&gt;1,L211=1),MAX($O$8:O211)+1,"")</f>
        <v/>
      </c>
      <c r="P212" s="17" t="str">
        <f ca="1">IF(AND(L212=-1,L211&lt;&gt;-1),MAX($P$8:P211)+1,"")</f>
        <v/>
      </c>
      <c r="Q212" s="24" t="str">
        <f ca="1">IF(AND(L212&lt;&gt;-1,L211=-1),MAX($Q$8:Q211)+1,"")</f>
        <v/>
      </c>
    </row>
    <row r="213" spans="1:17" x14ac:dyDescent="0.3">
      <c r="A213" s="3">
        <v>40491</v>
      </c>
      <c r="B213" s="9">
        <v>13.278465000000001</v>
      </c>
      <c r="C213" s="9">
        <v>9.4571909999999999</v>
      </c>
      <c r="E213" s="14">
        <f t="shared" si="25"/>
        <v>1.4040601485155582</v>
      </c>
      <c r="F213" s="18">
        <f t="shared" ca="1" si="24"/>
        <v>-0.33896869890569115</v>
      </c>
      <c r="G213" s="15">
        <f t="shared" ca="1" si="22"/>
        <v>1.408799496221067</v>
      </c>
      <c r="H213" s="15">
        <f t="shared" ca="1" si="23"/>
        <v>1.3981667690288635E-2</v>
      </c>
      <c r="J213" s="17">
        <f t="shared" ca="1" si="26"/>
        <v>0</v>
      </c>
      <c r="K213" s="24">
        <f t="shared" ca="1" si="27"/>
        <v>-1</v>
      </c>
      <c r="L213" s="17">
        <f t="shared" ca="1" si="28"/>
        <v>-1</v>
      </c>
      <c r="N213" s="24" t="str">
        <f ca="1">IF(AND(L213=1,L212&lt;&gt;1),MAX($N$8:N212)+1,"")</f>
        <v/>
      </c>
      <c r="O213" s="24" t="str">
        <f ca="1">IF(AND(L213&lt;&gt;1,L212=1),MAX($O$8:O212)+1,"")</f>
        <v/>
      </c>
      <c r="P213" s="17" t="str">
        <f ca="1">IF(AND(L213=-1,L212&lt;&gt;-1),MAX($P$8:P212)+1,"")</f>
        <v/>
      </c>
      <c r="Q213" s="24" t="str">
        <f ca="1">IF(AND(L213&lt;&gt;-1,L212=-1),MAX($Q$8:Q212)+1,"")</f>
        <v/>
      </c>
    </row>
    <row r="214" spans="1:17" x14ac:dyDescent="0.3">
      <c r="A214" s="3">
        <v>40492</v>
      </c>
      <c r="B214" s="9">
        <v>13.432047000000001</v>
      </c>
      <c r="C214" s="9">
        <v>9.5885359999999995</v>
      </c>
      <c r="E214" s="14">
        <f t="shared" si="25"/>
        <v>1.4008444041926735</v>
      </c>
      <c r="F214" s="18">
        <f t="shared" ca="1" si="24"/>
        <v>-0.50391270074402528</v>
      </c>
      <c r="G214" s="15">
        <f t="shared" ca="1" si="22"/>
        <v>1.4077044754529136</v>
      </c>
      <c r="H214" s="15">
        <f t="shared" ca="1" si="23"/>
        <v>1.3613610552207058E-2</v>
      </c>
      <c r="J214" s="17">
        <f t="shared" ca="1" si="26"/>
        <v>0</v>
      </c>
      <c r="K214" s="24">
        <f t="shared" ca="1" si="27"/>
        <v>-1</v>
      </c>
      <c r="L214" s="17">
        <f t="shared" ca="1" si="28"/>
        <v>-1</v>
      </c>
      <c r="N214" s="24" t="str">
        <f ca="1">IF(AND(L214=1,L213&lt;&gt;1),MAX($N$8:N213)+1,"")</f>
        <v/>
      </c>
      <c r="O214" s="24" t="str">
        <f ca="1">IF(AND(L214&lt;&gt;1,L213=1),MAX($O$8:O213)+1,"")</f>
        <v/>
      </c>
      <c r="P214" s="17" t="str">
        <f ca="1">IF(AND(L214=-1,L213&lt;&gt;-1),MAX($P$8:P213)+1,"")</f>
        <v/>
      </c>
      <c r="Q214" s="24" t="str">
        <f ca="1">IF(AND(L214&lt;&gt;-1,L213=-1),MAX($Q$8:Q213)+1,"")</f>
        <v/>
      </c>
    </row>
    <row r="215" spans="1:17" x14ac:dyDescent="0.3">
      <c r="A215" s="3">
        <v>40493</v>
      </c>
      <c r="B215" s="9">
        <v>13.165630999999999</v>
      </c>
      <c r="C215" s="9">
        <v>9.3521490000000007</v>
      </c>
      <c r="E215" s="14">
        <f t="shared" si="25"/>
        <v>1.4077653168271804</v>
      </c>
      <c r="F215" s="18">
        <f t="shared" ca="1" si="24"/>
        <v>6.0150453634059589E-2</v>
      </c>
      <c r="G215" s="15">
        <f t="shared" ca="1" si="22"/>
        <v>1.4069742157600187</v>
      </c>
      <c r="H215" s="15">
        <f t="shared" ca="1" si="23"/>
        <v>1.3152038253520067E-2</v>
      </c>
      <c r="J215" s="17">
        <f t="shared" ca="1" si="26"/>
        <v>0</v>
      </c>
      <c r="K215" s="24">
        <f t="shared" ca="1" si="27"/>
        <v>0</v>
      </c>
      <c r="L215" s="17">
        <f t="shared" ca="1" si="28"/>
        <v>0</v>
      </c>
      <c r="N215" s="24" t="str">
        <f ca="1">IF(AND(L215=1,L214&lt;&gt;1),MAX($N$8:N214)+1,"")</f>
        <v/>
      </c>
      <c r="O215" s="24" t="str">
        <f ca="1">IF(AND(L215&lt;&gt;1,L214=1),MAX($O$8:O214)+1,"")</f>
        <v/>
      </c>
      <c r="P215" s="17" t="str">
        <f ca="1">IF(AND(L215=-1,L214&lt;&gt;-1),MAX($P$8:P214)+1,"")</f>
        <v/>
      </c>
      <c r="Q215" s="24">
        <f ca="1">IF(AND(L215&lt;&gt;-1,L214=-1),MAX($Q$8:Q214)+1,"")</f>
        <v>9</v>
      </c>
    </row>
    <row r="216" spans="1:17" x14ac:dyDescent="0.3">
      <c r="A216" s="3">
        <v>40494</v>
      </c>
      <c r="B216" s="9">
        <v>13.165630999999999</v>
      </c>
      <c r="C216" s="9">
        <v>9.3153210000000009</v>
      </c>
      <c r="E216" s="14">
        <f t="shared" si="25"/>
        <v>1.4133308986346256</v>
      </c>
      <c r="F216" s="18">
        <f t="shared" ca="1" si="24"/>
        <v>0.50435466439156784</v>
      </c>
      <c r="G216" s="15">
        <f t="shared" ca="1" si="22"/>
        <v>1.4067672951373185</v>
      </c>
      <c r="H216" s="15">
        <f t="shared" ca="1" si="23"/>
        <v>1.3013864965886985E-2</v>
      </c>
      <c r="J216" s="17">
        <f t="shared" ca="1" si="26"/>
        <v>0</v>
      </c>
      <c r="K216" s="24">
        <f t="shared" ca="1" si="27"/>
        <v>0</v>
      </c>
      <c r="L216" s="17">
        <f t="shared" ca="1" si="28"/>
        <v>0</v>
      </c>
      <c r="N216" s="24" t="str">
        <f ca="1">IF(AND(L216=1,L215&lt;&gt;1),MAX($N$8:N215)+1,"")</f>
        <v/>
      </c>
      <c r="O216" s="24" t="str">
        <f ca="1">IF(AND(L216&lt;&gt;1,L215=1),MAX($O$8:O215)+1,"")</f>
        <v/>
      </c>
      <c r="P216" s="17" t="str">
        <f ca="1">IF(AND(L216=-1,L215&lt;&gt;-1),MAX($P$8:P215)+1,"")</f>
        <v/>
      </c>
      <c r="Q216" s="24" t="str">
        <f ca="1">IF(AND(L216&lt;&gt;-1,L215=-1),MAX($Q$8:Q215)+1,"")</f>
        <v/>
      </c>
    </row>
    <row r="217" spans="1:17" x14ac:dyDescent="0.3">
      <c r="A217" s="3">
        <v>40498</v>
      </c>
      <c r="B217" s="9">
        <v>12.899143</v>
      </c>
      <c r="C217" s="9">
        <v>9.2129139999999996</v>
      </c>
      <c r="E217" s="14">
        <f t="shared" si="25"/>
        <v>1.4001154249350425</v>
      </c>
      <c r="F217" s="18">
        <f t="shared" ca="1" si="24"/>
        <v>-0.49120258898661151</v>
      </c>
      <c r="G217" s="15">
        <f t="shared" ca="1" si="22"/>
        <v>1.4065422932813583</v>
      </c>
      <c r="H217" s="15">
        <f t="shared" ca="1" si="23"/>
        <v>1.3083946400964426E-2</v>
      </c>
      <c r="J217" s="17">
        <f t="shared" ca="1" si="26"/>
        <v>0</v>
      </c>
      <c r="K217" s="24">
        <f t="shared" ca="1" si="27"/>
        <v>0</v>
      </c>
      <c r="L217" s="17">
        <f t="shared" ca="1" si="28"/>
        <v>0</v>
      </c>
      <c r="N217" s="24" t="str">
        <f ca="1">IF(AND(L217=1,L216&lt;&gt;1),MAX($N$8:N216)+1,"")</f>
        <v/>
      </c>
      <c r="O217" s="24" t="str">
        <f ca="1">IF(AND(L217&lt;&gt;1,L216=1),MAX($O$8:O216)+1,"")</f>
        <v/>
      </c>
      <c r="P217" s="17" t="str">
        <f ca="1">IF(AND(L217=-1,L216&lt;&gt;-1),MAX($P$8:P216)+1,"")</f>
        <v/>
      </c>
      <c r="Q217" s="24" t="str">
        <f ca="1">IF(AND(L217&lt;&gt;-1,L216=-1),MAX($Q$8:Q216)+1,"")</f>
        <v/>
      </c>
    </row>
    <row r="218" spans="1:17" x14ac:dyDescent="0.3">
      <c r="A218" s="3">
        <v>40499</v>
      </c>
      <c r="B218" s="9">
        <v>12.883514</v>
      </c>
      <c r="C218" s="9">
        <v>9.1366870000000002</v>
      </c>
      <c r="E218" s="14">
        <f t="shared" si="25"/>
        <v>1.4100859534752586</v>
      </c>
      <c r="F218" s="18">
        <f t="shared" ca="1" si="24"/>
        <v>0.23535803841372427</v>
      </c>
      <c r="G218" s="15">
        <f t="shared" ca="1" si="22"/>
        <v>1.4070238675354743</v>
      </c>
      <c r="H218" s="15">
        <f t="shared" ca="1" si="23"/>
        <v>1.3010330815222076E-2</v>
      </c>
      <c r="J218" s="17">
        <f t="shared" ca="1" si="26"/>
        <v>0</v>
      </c>
      <c r="K218" s="24">
        <f t="shared" ca="1" si="27"/>
        <v>0</v>
      </c>
      <c r="L218" s="17">
        <f t="shared" ca="1" si="28"/>
        <v>0</v>
      </c>
      <c r="N218" s="24" t="str">
        <f ca="1">IF(AND(L218=1,L217&lt;&gt;1),MAX($N$8:N217)+1,"")</f>
        <v/>
      </c>
      <c r="O218" s="24" t="str">
        <f ca="1">IF(AND(L218&lt;&gt;1,L217=1),MAX($O$8:O217)+1,"")</f>
        <v/>
      </c>
      <c r="P218" s="17" t="str">
        <f ca="1">IF(AND(L218=-1,L217&lt;&gt;-1),MAX($P$8:P217)+1,"")</f>
        <v/>
      </c>
      <c r="Q218" s="24" t="str">
        <f ca="1">IF(AND(L218&lt;&gt;-1,L217=-1),MAX($Q$8:Q217)+1,"")</f>
        <v/>
      </c>
    </row>
    <row r="219" spans="1:17" x14ac:dyDescent="0.3">
      <c r="A219" s="3">
        <v>40500</v>
      </c>
      <c r="B219" s="9">
        <v>13.012048</v>
      </c>
      <c r="C219" s="9">
        <v>9.1866040000000009</v>
      </c>
      <c r="E219" s="14">
        <f t="shared" si="25"/>
        <v>1.4164154675655987</v>
      </c>
      <c r="F219" s="18">
        <f t="shared" ca="1" si="24"/>
        <v>0.78188903428077972</v>
      </c>
      <c r="G219" s="15">
        <f t="shared" ca="1" si="22"/>
        <v>1.4066059258246106</v>
      </c>
      <c r="H219" s="15">
        <f t="shared" ca="1" si="23"/>
        <v>1.2545951293473924E-2</v>
      </c>
      <c r="J219" s="17">
        <f t="shared" ca="1" si="26"/>
        <v>0</v>
      </c>
      <c r="K219" s="24">
        <f t="shared" ca="1" si="27"/>
        <v>0</v>
      </c>
      <c r="L219" s="17">
        <f t="shared" ca="1" si="28"/>
        <v>0</v>
      </c>
      <c r="N219" s="24" t="str">
        <f ca="1">IF(AND(L219=1,L218&lt;&gt;1),MAX($N$8:N218)+1,"")</f>
        <v/>
      </c>
      <c r="O219" s="24" t="str">
        <f ca="1">IF(AND(L219&lt;&gt;1,L218=1),MAX($O$8:O218)+1,"")</f>
        <v/>
      </c>
      <c r="P219" s="17" t="str">
        <f ca="1">IF(AND(L219=-1,L218&lt;&gt;-1),MAX($P$8:P218)+1,"")</f>
        <v/>
      </c>
      <c r="Q219" s="24" t="str">
        <f ca="1">IF(AND(L219&lt;&gt;-1,L218=-1),MAX($Q$8:Q218)+1,"")</f>
        <v/>
      </c>
    </row>
    <row r="220" spans="1:17" x14ac:dyDescent="0.3">
      <c r="A220" s="3">
        <v>40501</v>
      </c>
      <c r="B220" s="9">
        <v>13.143672</v>
      </c>
      <c r="C220" s="9">
        <v>9.2707239999999995</v>
      </c>
      <c r="E220" s="14">
        <f t="shared" si="25"/>
        <v>1.4177611155288412</v>
      </c>
      <c r="F220" s="18">
        <f t="shared" ca="1" si="24"/>
        <v>0.96759443383176391</v>
      </c>
      <c r="G220" s="15">
        <f t="shared" ca="1" si="22"/>
        <v>1.406172973958405</v>
      </c>
      <c r="H220" s="15">
        <f t="shared" ca="1" si="23"/>
        <v>1.1976238354892222E-2</v>
      </c>
      <c r="J220" s="17">
        <f t="shared" ca="1" si="26"/>
        <v>0</v>
      </c>
      <c r="K220" s="24">
        <f t="shared" ca="1" si="27"/>
        <v>0</v>
      </c>
      <c r="L220" s="17">
        <f t="shared" ca="1" si="28"/>
        <v>0</v>
      </c>
      <c r="N220" s="24" t="str">
        <f ca="1">IF(AND(L220=1,L219&lt;&gt;1),MAX($N$8:N219)+1,"")</f>
        <v/>
      </c>
      <c r="O220" s="24" t="str">
        <f ca="1">IF(AND(L220&lt;&gt;1,L219=1),MAX($O$8:O219)+1,"")</f>
        <v/>
      </c>
      <c r="P220" s="17" t="str">
        <f ca="1">IF(AND(L220=-1,L219&lt;&gt;-1),MAX($P$8:P219)+1,"")</f>
        <v/>
      </c>
      <c r="Q220" s="24" t="str">
        <f ca="1">IF(AND(L220&lt;&gt;-1,L219=-1),MAX($Q$8:Q219)+1,"")</f>
        <v/>
      </c>
    </row>
    <row r="221" spans="1:17" x14ac:dyDescent="0.3">
      <c r="A221" s="3">
        <v>40504</v>
      </c>
      <c r="B221" s="9">
        <v>12.939890999999999</v>
      </c>
      <c r="C221" s="9">
        <v>9.0763060000000007</v>
      </c>
      <c r="E221" s="14">
        <f t="shared" si="25"/>
        <v>1.4256781338134699</v>
      </c>
      <c r="F221" s="18">
        <f t="shared" ca="1" si="24"/>
        <v>1.6181028041342111</v>
      </c>
      <c r="G221" s="15">
        <f t="shared" ca="1" si="22"/>
        <v>1.4062083300274475</v>
      </c>
      <c r="H221" s="15">
        <f t="shared" ca="1" si="23"/>
        <v>1.2032488749341215E-2</v>
      </c>
      <c r="J221" s="17">
        <f t="shared" ca="1" si="26"/>
        <v>1</v>
      </c>
      <c r="K221" s="24">
        <f t="shared" ca="1" si="27"/>
        <v>0</v>
      </c>
      <c r="L221" s="17">
        <f t="shared" ca="1" si="28"/>
        <v>1</v>
      </c>
      <c r="N221" s="24">
        <f ca="1">IF(AND(L221=1,L220&lt;&gt;1),MAX($N$8:N220)+1,"")</f>
        <v>8</v>
      </c>
      <c r="O221" s="24" t="str">
        <f ca="1">IF(AND(L221&lt;&gt;1,L220=1),MAX($O$8:O220)+1,"")</f>
        <v/>
      </c>
      <c r="P221" s="17" t="str">
        <f ca="1">IF(AND(L221=-1,L220&lt;&gt;-1),MAX($P$8:P220)+1,"")</f>
        <v/>
      </c>
      <c r="Q221" s="24" t="str">
        <f ca="1">IF(AND(L221&lt;&gt;-1,L220=-1),MAX($Q$8:Q220)+1,"")</f>
        <v/>
      </c>
    </row>
    <row r="222" spans="1:17" x14ac:dyDescent="0.3">
      <c r="A222" s="3">
        <v>40505</v>
      </c>
      <c r="B222" s="9">
        <v>12.598233</v>
      </c>
      <c r="C222" s="9">
        <v>8.9107629999999993</v>
      </c>
      <c r="E222" s="14">
        <f t="shared" si="25"/>
        <v>1.413822026239504</v>
      </c>
      <c r="F222" s="18">
        <f t="shared" ca="1" si="24"/>
        <v>0.62919690144789076</v>
      </c>
      <c r="G222" s="15">
        <f t="shared" ca="1" si="22"/>
        <v>1.4062394303929944</v>
      </c>
      <c r="H222" s="15">
        <f t="shared" ca="1" si="23"/>
        <v>1.2051228842768937E-2</v>
      </c>
      <c r="J222" s="17">
        <f t="shared" ca="1" si="26"/>
        <v>1</v>
      </c>
      <c r="K222" s="24">
        <f t="shared" ca="1" si="27"/>
        <v>0</v>
      </c>
      <c r="L222" s="17">
        <f t="shared" ca="1" si="28"/>
        <v>1</v>
      </c>
      <c r="N222" s="24" t="str">
        <f ca="1">IF(AND(L222=1,L221&lt;&gt;1),MAX($N$8:N221)+1,"")</f>
        <v/>
      </c>
      <c r="O222" s="24" t="str">
        <f ca="1">IF(AND(L222&lt;&gt;1,L221=1),MAX($O$8:O221)+1,"")</f>
        <v/>
      </c>
      <c r="P222" s="17" t="str">
        <f ca="1">IF(AND(L222=-1,L221&lt;&gt;-1),MAX($P$8:P221)+1,"")</f>
        <v/>
      </c>
      <c r="Q222" s="24" t="str">
        <f ca="1">IF(AND(L222&lt;&gt;-1,L221=-1),MAX($Q$8:Q221)+1,"")</f>
        <v/>
      </c>
    </row>
    <row r="223" spans="1:17" x14ac:dyDescent="0.3">
      <c r="A223" s="3">
        <v>40506</v>
      </c>
      <c r="B223" s="9">
        <v>12.707974</v>
      </c>
      <c r="C223" s="9">
        <v>9.1025510000000001</v>
      </c>
      <c r="E223" s="14">
        <f t="shared" si="25"/>
        <v>1.3960892940890965</v>
      </c>
      <c r="F223" s="18">
        <f t="shared" ca="1" si="24"/>
        <v>-0.76559904549191493</v>
      </c>
      <c r="G223" s="15">
        <f t="shared" ref="G223:G286" ca="1" si="29">IF(ISNUMBER(E223),IF(ROW(E223)&gt;$J$1,AVERAGE(OFFSET(E223,0,0,-$J$1)),""),"")</f>
        <v>1.4051296522118721</v>
      </c>
      <c r="H223" s="15">
        <f t="shared" ref="H223:H286" ca="1" si="30">IF(ISNUMBER(E223),IF(ROW(E223)&gt;$J$1,_xlfn.STDEV.P(OFFSET(E223,0,0,-$J$1)),""),"")</f>
        <v>1.1808214986693141E-2</v>
      </c>
      <c r="J223" s="17">
        <f t="shared" ca="1" si="26"/>
        <v>0</v>
      </c>
      <c r="K223" s="24">
        <f t="shared" ca="1" si="27"/>
        <v>0</v>
      </c>
      <c r="L223" s="17">
        <f t="shared" ca="1" si="28"/>
        <v>0</v>
      </c>
      <c r="N223" s="24" t="str">
        <f ca="1">IF(AND(L223=1,L222&lt;&gt;1),MAX($N$8:N222)+1,"")</f>
        <v/>
      </c>
      <c r="O223" s="24">
        <f ca="1">IF(AND(L223&lt;&gt;1,L222=1),MAX($O$8:O222)+1,"")</f>
        <v>8</v>
      </c>
      <c r="P223" s="17" t="str">
        <f ca="1">IF(AND(L223=-1,L222&lt;&gt;-1),MAX($P$8:P222)+1,"")</f>
        <v/>
      </c>
      <c r="Q223" s="24" t="str">
        <f ca="1">IF(AND(L223&lt;&gt;-1,L222=-1),MAX($Q$8:Q222)+1,"")</f>
        <v/>
      </c>
    </row>
    <row r="224" spans="1:17" x14ac:dyDescent="0.3">
      <c r="A224" s="3">
        <v>40507</v>
      </c>
      <c r="B224" s="9">
        <v>12.68601</v>
      </c>
      <c r="C224" s="9">
        <v>9.0710460000000008</v>
      </c>
      <c r="E224" s="14">
        <f t="shared" si="25"/>
        <v>1.3985167752428991</v>
      </c>
      <c r="F224" s="18">
        <f t="shared" ca="1" si="24"/>
        <v>-0.50135500775315234</v>
      </c>
      <c r="G224" s="15">
        <f t="shared" ca="1" si="29"/>
        <v>1.4043662456952222</v>
      </c>
      <c r="H224" s="15">
        <f t="shared" ca="1" si="30"/>
        <v>1.1667322280349382E-2</v>
      </c>
      <c r="J224" s="17">
        <f t="shared" ca="1" si="26"/>
        <v>0</v>
      </c>
      <c r="K224" s="24">
        <f t="shared" ca="1" si="27"/>
        <v>0</v>
      </c>
      <c r="L224" s="17">
        <f t="shared" ca="1" si="28"/>
        <v>0</v>
      </c>
      <c r="N224" s="24" t="str">
        <f ca="1">IF(AND(L224=1,L223&lt;&gt;1),MAX($N$8:N223)+1,"")</f>
        <v/>
      </c>
      <c r="O224" s="24" t="str">
        <f ca="1">IF(AND(L224&lt;&gt;1,L223=1),MAX($O$8:O223)+1,"")</f>
        <v/>
      </c>
      <c r="P224" s="17" t="str">
        <f ca="1">IF(AND(L224=-1,L223&lt;&gt;-1),MAX($P$8:P223)+1,"")</f>
        <v/>
      </c>
      <c r="Q224" s="24" t="str">
        <f ca="1">IF(AND(L224&lt;&gt;-1,L223=-1),MAX($Q$8:Q223)+1,"")</f>
        <v/>
      </c>
    </row>
    <row r="225" spans="1:17" x14ac:dyDescent="0.3">
      <c r="A225" s="3">
        <v>40508</v>
      </c>
      <c r="B225" s="9">
        <v>12.570014</v>
      </c>
      <c r="C225" s="9">
        <v>8.9975120000000004</v>
      </c>
      <c r="E225" s="14">
        <f t="shared" si="25"/>
        <v>1.3970544301580259</v>
      </c>
      <c r="F225" s="18">
        <f t="shared" ca="1" si="24"/>
        <v>-0.60387805888736956</v>
      </c>
      <c r="G225" s="15">
        <f t="shared" ca="1" si="29"/>
        <v>1.4041534471600692</v>
      </c>
      <c r="H225" s="15">
        <f t="shared" ca="1" si="30"/>
        <v>1.1755712759498264E-2</v>
      </c>
      <c r="J225" s="17">
        <f t="shared" ca="1" si="26"/>
        <v>0</v>
      </c>
      <c r="K225" s="24">
        <f t="shared" ca="1" si="27"/>
        <v>0</v>
      </c>
      <c r="L225" s="17">
        <f t="shared" ca="1" si="28"/>
        <v>0</v>
      </c>
      <c r="N225" s="24" t="str">
        <f ca="1">IF(AND(L225=1,L224&lt;&gt;1),MAX($N$8:N224)+1,"")</f>
        <v/>
      </c>
      <c r="O225" s="24" t="str">
        <f ca="1">IF(AND(L225&lt;&gt;1,L224=1),MAX($O$8:O224)+1,"")</f>
        <v/>
      </c>
      <c r="P225" s="17" t="str">
        <f ca="1">IF(AND(L225=-1,L224&lt;&gt;-1),MAX($P$8:P224)+1,"")</f>
        <v/>
      </c>
      <c r="Q225" s="24" t="str">
        <f ca="1">IF(AND(L225&lt;&gt;-1,L224=-1),MAX($Q$8:Q224)+1,"")</f>
        <v/>
      </c>
    </row>
    <row r="226" spans="1:17" x14ac:dyDescent="0.3">
      <c r="A226" s="3">
        <v>40511</v>
      </c>
      <c r="B226" s="9">
        <v>12.413325</v>
      </c>
      <c r="C226" s="9">
        <v>8.9712049999999994</v>
      </c>
      <c r="E226" s="14">
        <f t="shared" si="25"/>
        <v>1.3836853577640909</v>
      </c>
      <c r="F226" s="18">
        <f t="shared" ca="1" si="24"/>
        <v>-2.0176822445371201</v>
      </c>
      <c r="G226" s="15">
        <f t="shared" ca="1" si="29"/>
        <v>1.4047062085625919</v>
      </c>
      <c r="H226" s="15">
        <f t="shared" ca="1" si="30"/>
        <v>1.0418315795470288E-2</v>
      </c>
      <c r="J226" s="17">
        <f t="shared" ca="1" si="26"/>
        <v>0</v>
      </c>
      <c r="K226" s="24">
        <f t="shared" ca="1" si="27"/>
        <v>-1</v>
      </c>
      <c r="L226" s="17">
        <f t="shared" ca="1" si="28"/>
        <v>-1</v>
      </c>
      <c r="N226" s="24" t="str">
        <f ca="1">IF(AND(L226=1,L225&lt;&gt;1),MAX($N$8:N225)+1,"")</f>
        <v/>
      </c>
      <c r="O226" s="24" t="str">
        <f ca="1">IF(AND(L226&lt;&gt;1,L225=1),MAX($O$8:O225)+1,"")</f>
        <v/>
      </c>
      <c r="P226" s="17">
        <f ca="1">IF(AND(L226=-1,L225&lt;&gt;-1),MAX($P$8:P225)+1,"")</f>
        <v>10</v>
      </c>
      <c r="Q226" s="24" t="str">
        <f ca="1">IF(AND(L226&lt;&gt;-1,L225=-1),MAX($Q$8:Q225)+1,"")</f>
        <v/>
      </c>
    </row>
    <row r="227" spans="1:17" x14ac:dyDescent="0.3">
      <c r="A227" s="3">
        <v>40512</v>
      </c>
      <c r="B227" s="9">
        <v>12.303595</v>
      </c>
      <c r="C227" s="9">
        <v>8.8188809999999993</v>
      </c>
      <c r="E227" s="14">
        <f t="shared" si="25"/>
        <v>1.3951424222642306</v>
      </c>
      <c r="F227" s="18">
        <f t="shared" ca="1" si="24"/>
        <v>-0.85347868764790469</v>
      </c>
      <c r="G227" s="15">
        <f t="shared" ca="1" si="29"/>
        <v>1.404185465719864</v>
      </c>
      <c r="H227" s="15">
        <f t="shared" ca="1" si="30"/>
        <v>1.0595511740961103E-2</v>
      </c>
      <c r="J227" s="17">
        <f t="shared" ca="1" si="26"/>
        <v>0</v>
      </c>
      <c r="K227" s="24">
        <f t="shared" ca="1" si="27"/>
        <v>-1</v>
      </c>
      <c r="L227" s="17">
        <f t="shared" ca="1" si="28"/>
        <v>-1</v>
      </c>
      <c r="N227" s="24" t="str">
        <f ca="1">IF(AND(L227=1,L226&lt;&gt;1),MAX($N$8:N226)+1,"")</f>
        <v/>
      </c>
      <c r="O227" s="24" t="str">
        <f ca="1">IF(AND(L227&lt;&gt;1,L226=1),MAX($O$8:O226)+1,"")</f>
        <v/>
      </c>
      <c r="P227" s="17" t="str">
        <f ca="1">IF(AND(L227=-1,L226&lt;&gt;-1),MAX($P$8:P226)+1,"")</f>
        <v/>
      </c>
      <c r="Q227" s="24" t="str">
        <f ca="1">IF(AND(L227&lt;&gt;-1,L226=-1),MAX($Q$8:Q226)+1,"")</f>
        <v/>
      </c>
    </row>
    <row r="228" spans="1:17" x14ac:dyDescent="0.3">
      <c r="A228" s="3">
        <v>40513</v>
      </c>
      <c r="B228" s="9">
        <v>12.550280000000001</v>
      </c>
      <c r="C228" s="9">
        <v>9.0132399999999997</v>
      </c>
      <c r="E228" s="14">
        <f t="shared" si="25"/>
        <v>1.3924271405177273</v>
      </c>
      <c r="F228" s="18">
        <f t="shared" ca="1" si="24"/>
        <v>-1.0168600637190646</v>
      </c>
      <c r="G228" s="15">
        <f t="shared" ca="1" si="29"/>
        <v>1.4034115198576751</v>
      </c>
      <c r="H228" s="15">
        <f t="shared" ca="1" si="30"/>
        <v>1.0802252671595248E-2</v>
      </c>
      <c r="J228" s="17">
        <f t="shared" ca="1" si="26"/>
        <v>0</v>
      </c>
      <c r="K228" s="24">
        <f t="shared" ca="1" si="27"/>
        <v>-1</v>
      </c>
      <c r="L228" s="17">
        <f t="shared" ca="1" si="28"/>
        <v>-1</v>
      </c>
      <c r="N228" s="24" t="str">
        <f ca="1">IF(AND(L228=1,L227&lt;&gt;1),MAX($N$8:N227)+1,"")</f>
        <v/>
      </c>
      <c r="O228" s="24" t="str">
        <f ca="1">IF(AND(L228&lt;&gt;1,L227=1),MAX($O$8:O227)+1,"")</f>
        <v/>
      </c>
      <c r="P228" s="17" t="str">
        <f ca="1">IF(AND(L228=-1,L227&lt;&gt;-1),MAX($P$8:P227)+1,"")</f>
        <v/>
      </c>
      <c r="Q228" s="24" t="str">
        <f ca="1">IF(AND(L228&lt;&gt;-1,L227=-1),MAX($Q$8:Q227)+1,"")</f>
        <v/>
      </c>
    </row>
    <row r="229" spans="1:17" x14ac:dyDescent="0.3">
      <c r="A229" s="3">
        <v>40514</v>
      </c>
      <c r="B229" s="9">
        <v>12.594156</v>
      </c>
      <c r="C229" s="9">
        <v>9.1115429999999993</v>
      </c>
      <c r="E229" s="14">
        <f t="shared" si="25"/>
        <v>1.3822198940399009</v>
      </c>
      <c r="F229" s="18">
        <f t="shared" ca="1" si="24"/>
        <v>-1.7302335337389498</v>
      </c>
      <c r="G229" s="15">
        <f t="shared" ca="1" si="29"/>
        <v>1.4020003322414956</v>
      </c>
      <c r="H229" s="15">
        <f t="shared" ca="1" si="30"/>
        <v>1.1432236062868426E-2</v>
      </c>
      <c r="J229" s="17">
        <f t="shared" ca="1" si="26"/>
        <v>0</v>
      </c>
      <c r="K229" s="24">
        <f t="shared" ca="1" si="27"/>
        <v>-1</v>
      </c>
      <c r="L229" s="17">
        <f t="shared" ca="1" si="28"/>
        <v>-1</v>
      </c>
      <c r="N229" s="24" t="str">
        <f ca="1">IF(AND(L229=1,L228&lt;&gt;1),MAX($N$8:N228)+1,"")</f>
        <v/>
      </c>
      <c r="O229" s="24" t="str">
        <f ca="1">IF(AND(L229&lt;&gt;1,L228=1),MAX($O$8:O228)+1,"")</f>
        <v/>
      </c>
      <c r="P229" s="17" t="str">
        <f ca="1">IF(AND(L229=-1,L228&lt;&gt;-1),MAX($P$8:P228)+1,"")</f>
        <v/>
      </c>
      <c r="Q229" s="24" t="str">
        <f ca="1">IF(AND(L229&lt;&gt;-1,L228=-1),MAX($Q$8:Q228)+1,"")</f>
        <v/>
      </c>
    </row>
    <row r="230" spans="1:17" x14ac:dyDescent="0.3">
      <c r="A230" s="3">
        <v>40515</v>
      </c>
      <c r="B230" s="9">
        <v>12.399692</v>
      </c>
      <c r="C230" s="9">
        <v>8.927467</v>
      </c>
      <c r="E230" s="14">
        <f t="shared" si="25"/>
        <v>1.3889373099894964</v>
      </c>
      <c r="F230" s="18">
        <f t="shared" ca="1" si="24"/>
        <v>-1.0584966665459685</v>
      </c>
      <c r="G230" s="15">
        <f t="shared" ca="1" si="29"/>
        <v>1.4013734218451877</v>
      </c>
      <c r="H230" s="15">
        <f t="shared" ca="1" si="30"/>
        <v>1.1748843665490364E-2</v>
      </c>
      <c r="J230" s="17">
        <f t="shared" ca="1" si="26"/>
        <v>0</v>
      </c>
      <c r="K230" s="24">
        <f t="shared" ca="1" si="27"/>
        <v>-1</v>
      </c>
      <c r="L230" s="17">
        <f t="shared" ca="1" si="28"/>
        <v>-1</v>
      </c>
      <c r="N230" s="24" t="str">
        <f ca="1">IF(AND(L230=1,L229&lt;&gt;1),MAX($N$8:N229)+1,"")</f>
        <v/>
      </c>
      <c r="O230" s="24" t="str">
        <f ca="1">IF(AND(L230&lt;&gt;1,L229=1),MAX($O$8:O229)+1,"")</f>
        <v/>
      </c>
      <c r="P230" s="17" t="str">
        <f ca="1">IF(AND(L230=-1,L229&lt;&gt;-1),MAX($P$8:P229)+1,"")</f>
        <v/>
      </c>
      <c r="Q230" s="24" t="str">
        <f ca="1">IF(AND(L230&lt;&gt;-1,L229=-1),MAX($Q$8:Q229)+1,"")</f>
        <v/>
      </c>
    </row>
    <row r="231" spans="1:17" x14ac:dyDescent="0.3">
      <c r="A231" s="3">
        <v>40518</v>
      </c>
      <c r="B231" s="9">
        <v>12.286781</v>
      </c>
      <c r="C231" s="9">
        <v>8.7697199999999995</v>
      </c>
      <c r="E231" s="14">
        <f t="shared" si="25"/>
        <v>1.4010459855046684</v>
      </c>
      <c r="F231" s="18">
        <f t="shared" ca="1" si="24"/>
        <v>-0.12388226790190043</v>
      </c>
      <c r="G231" s="15">
        <f t="shared" ca="1" si="29"/>
        <v>1.4023714292530449</v>
      </c>
      <c r="H231" s="15">
        <f t="shared" ca="1" si="30"/>
        <v>1.0699220887900584E-2</v>
      </c>
      <c r="J231" s="17">
        <f t="shared" ca="1" si="26"/>
        <v>0</v>
      </c>
      <c r="K231" s="24">
        <f t="shared" ca="1" si="27"/>
        <v>-1</v>
      </c>
      <c r="L231" s="17">
        <f t="shared" ca="1" si="28"/>
        <v>-1</v>
      </c>
      <c r="N231" s="24" t="str">
        <f ca="1">IF(AND(L231=1,L230&lt;&gt;1),MAX($N$8:N230)+1,"")</f>
        <v/>
      </c>
      <c r="O231" s="24" t="str">
        <f ca="1">IF(AND(L231&lt;&gt;1,L230=1),MAX($O$8:O230)+1,"")</f>
        <v/>
      </c>
      <c r="P231" s="17" t="str">
        <f ca="1">IF(AND(L231=-1,L230&lt;&gt;-1),MAX($P$8:P230)+1,"")</f>
        <v/>
      </c>
      <c r="Q231" s="24" t="str">
        <f ca="1">IF(AND(L231&lt;&gt;-1,L230=-1),MAX($Q$8:Q230)+1,"")</f>
        <v/>
      </c>
    </row>
    <row r="232" spans="1:17" x14ac:dyDescent="0.3">
      <c r="A232" s="3">
        <v>40519</v>
      </c>
      <c r="B232" s="9">
        <v>12.327564000000001</v>
      </c>
      <c r="C232" s="9">
        <v>8.9463220000000003</v>
      </c>
      <c r="E232" s="14">
        <f t="shared" si="25"/>
        <v>1.3779477197444938</v>
      </c>
      <c r="F232" s="18">
        <f t="shared" ca="1" si="24"/>
        <v>-1.9722009664957441</v>
      </c>
      <c r="G232" s="15">
        <f t="shared" ca="1" si="29"/>
        <v>1.401317058820815</v>
      </c>
      <c r="H232" s="15">
        <f t="shared" ca="1" si="30"/>
        <v>1.1849370055752706E-2</v>
      </c>
      <c r="J232" s="17">
        <f t="shared" ca="1" si="26"/>
        <v>0</v>
      </c>
      <c r="K232" s="24">
        <f t="shared" ca="1" si="27"/>
        <v>-1</v>
      </c>
      <c r="L232" s="17">
        <f t="shared" ca="1" si="28"/>
        <v>-1</v>
      </c>
      <c r="N232" s="24" t="str">
        <f ca="1">IF(AND(L232=1,L231&lt;&gt;1),MAX($N$8:N231)+1,"")</f>
        <v/>
      </c>
      <c r="O232" s="24" t="str">
        <f ca="1">IF(AND(L232&lt;&gt;1,L231=1),MAX($O$8:O231)+1,"")</f>
        <v/>
      </c>
      <c r="P232" s="17" t="str">
        <f ca="1">IF(AND(L232=-1,L231&lt;&gt;-1),MAX($P$8:P231)+1,"")</f>
        <v/>
      </c>
      <c r="Q232" s="24" t="str">
        <f ca="1">IF(AND(L232&lt;&gt;-1,L231=-1),MAX($Q$8:Q231)+1,"")</f>
        <v/>
      </c>
    </row>
    <row r="233" spans="1:17" x14ac:dyDescent="0.3">
      <c r="A233" s="3">
        <v>40520</v>
      </c>
      <c r="B233" s="9">
        <v>12.211478</v>
      </c>
      <c r="C233" s="9">
        <v>8.9219150000000003</v>
      </c>
      <c r="E233" s="14">
        <f t="shared" si="25"/>
        <v>1.3687059336476528</v>
      </c>
      <c r="F233" s="18">
        <f t="shared" ca="1" si="24"/>
        <v>-2.2737325419026253</v>
      </c>
      <c r="G233" s="15">
        <f t="shared" ca="1" si="29"/>
        <v>1.3996232390109571</v>
      </c>
      <c r="H233" s="15">
        <f t="shared" ca="1" si="30"/>
        <v>1.359759989072116E-2</v>
      </c>
      <c r="J233" s="17">
        <f t="shared" ca="1" si="26"/>
        <v>0</v>
      </c>
      <c r="K233" s="24">
        <f t="shared" ca="1" si="27"/>
        <v>-1</v>
      </c>
      <c r="L233" s="17">
        <f t="shared" ca="1" si="28"/>
        <v>-1</v>
      </c>
      <c r="N233" s="24" t="str">
        <f ca="1">IF(AND(L233=1,L232&lt;&gt;1),MAX($N$8:N232)+1,"")</f>
        <v/>
      </c>
      <c r="O233" s="24" t="str">
        <f ca="1">IF(AND(L233&lt;&gt;1,L232=1),MAX($O$8:O232)+1,"")</f>
        <v/>
      </c>
      <c r="P233" s="17" t="str">
        <f ca="1">IF(AND(L233=-1,L232&lt;&gt;-1),MAX($P$8:P232)+1,"")</f>
        <v/>
      </c>
      <c r="Q233" s="24" t="str">
        <f ca="1">IF(AND(L233&lt;&gt;-1,L232=-1),MAX($Q$8:Q232)+1,"")</f>
        <v/>
      </c>
    </row>
    <row r="234" spans="1:17" x14ac:dyDescent="0.3">
      <c r="A234" s="3">
        <v>40521</v>
      </c>
      <c r="B234" s="9">
        <v>12.042088</v>
      </c>
      <c r="C234" s="9">
        <v>8.8376929999999998</v>
      </c>
      <c r="E234" s="14">
        <f t="shared" si="25"/>
        <v>1.3625827464248872</v>
      </c>
      <c r="F234" s="18">
        <f t="shared" ca="1" si="24"/>
        <v>-2.2606083101968486</v>
      </c>
      <c r="G234" s="15">
        <f t="shared" ca="1" si="29"/>
        <v>1.3979197226870423</v>
      </c>
      <c r="H234" s="15">
        <f t="shared" ca="1" si="30"/>
        <v>1.5631622737456045E-2</v>
      </c>
      <c r="J234" s="17">
        <f t="shared" ca="1" si="26"/>
        <v>0</v>
      </c>
      <c r="K234" s="24">
        <f t="shared" ca="1" si="27"/>
        <v>-1</v>
      </c>
      <c r="L234" s="17">
        <f t="shared" ca="1" si="28"/>
        <v>-1</v>
      </c>
      <c r="N234" s="24" t="str">
        <f ca="1">IF(AND(L234=1,L233&lt;&gt;1),MAX($N$8:N233)+1,"")</f>
        <v/>
      </c>
      <c r="O234" s="24" t="str">
        <f ca="1">IF(AND(L234&lt;&gt;1,L233=1),MAX($O$8:O233)+1,"")</f>
        <v/>
      </c>
      <c r="P234" s="17" t="str">
        <f ca="1">IF(AND(L234=-1,L233&lt;&gt;-1),MAX($P$8:P233)+1,"")</f>
        <v/>
      </c>
      <c r="Q234" s="24" t="str">
        <f ca="1">IF(AND(L234&lt;&gt;-1,L233=-1),MAX($Q$8:Q233)+1,"")</f>
        <v/>
      </c>
    </row>
    <row r="235" spans="1:17" x14ac:dyDescent="0.3">
      <c r="A235" s="3">
        <v>40522</v>
      </c>
      <c r="B235" s="9">
        <v>12.042088</v>
      </c>
      <c r="C235" s="9">
        <v>8.8105709999999995</v>
      </c>
      <c r="E235" s="14">
        <f t="shared" si="25"/>
        <v>1.3667772497378434</v>
      </c>
      <c r="F235" s="18">
        <f t="shared" ca="1" si="24"/>
        <v>-1.747878851254598</v>
      </c>
      <c r="G235" s="15">
        <f t="shared" ca="1" si="29"/>
        <v>1.3962250454698732</v>
      </c>
      <c r="H235" s="15">
        <f t="shared" ca="1" si="30"/>
        <v>1.6847732730957122E-2</v>
      </c>
      <c r="J235" s="17">
        <f t="shared" ca="1" si="26"/>
        <v>0</v>
      </c>
      <c r="K235" s="24">
        <f t="shared" ca="1" si="27"/>
        <v>-1</v>
      </c>
      <c r="L235" s="17">
        <f t="shared" ca="1" si="28"/>
        <v>-1</v>
      </c>
      <c r="N235" s="24" t="str">
        <f ca="1">IF(AND(L235=1,L234&lt;&gt;1),MAX($N$8:N234)+1,"")</f>
        <v/>
      </c>
      <c r="O235" s="24" t="str">
        <f ca="1">IF(AND(L235&lt;&gt;1,L234=1),MAX($O$8:O234)+1,"")</f>
        <v/>
      </c>
      <c r="P235" s="17" t="str">
        <f ca="1">IF(AND(L235=-1,L234&lt;&gt;-1),MAX($P$8:P234)+1,"")</f>
        <v/>
      </c>
      <c r="Q235" s="24" t="str">
        <f ca="1">IF(AND(L235&lt;&gt;-1,L234=-1),MAX($Q$8:Q234)+1,"")</f>
        <v/>
      </c>
    </row>
    <row r="236" spans="1:17" x14ac:dyDescent="0.3">
      <c r="A236" s="3">
        <v>40525</v>
      </c>
      <c r="B236" s="9">
        <v>12.076603</v>
      </c>
      <c r="C236" s="9">
        <v>8.9110370000000003</v>
      </c>
      <c r="E236" s="14">
        <f t="shared" si="25"/>
        <v>1.3552410342365315</v>
      </c>
      <c r="F236" s="18">
        <f t="shared" ca="1" si="24"/>
        <v>-2.0653954011577498</v>
      </c>
      <c r="G236" s="15">
        <f t="shared" ca="1" si="29"/>
        <v>1.3941521650173216</v>
      </c>
      <c r="H236" s="15">
        <f t="shared" ca="1" si="30"/>
        <v>1.8839555253671342E-2</v>
      </c>
      <c r="J236" s="17">
        <f t="shared" ca="1" si="26"/>
        <v>0</v>
      </c>
      <c r="K236" s="24">
        <f t="shared" ca="1" si="27"/>
        <v>-1</v>
      </c>
      <c r="L236" s="17">
        <f t="shared" ca="1" si="28"/>
        <v>-1</v>
      </c>
      <c r="N236" s="24" t="str">
        <f ca="1">IF(AND(L236=1,L235&lt;&gt;1),MAX($N$8:N235)+1,"")</f>
        <v/>
      </c>
      <c r="O236" s="24" t="str">
        <f ca="1">IF(AND(L236&lt;&gt;1,L235=1),MAX($O$8:O235)+1,"")</f>
        <v/>
      </c>
      <c r="P236" s="17" t="str">
        <f ca="1">IF(AND(L236=-1,L235&lt;&gt;-1),MAX($P$8:P235)+1,"")</f>
        <v/>
      </c>
      <c r="Q236" s="24" t="str">
        <f ca="1">IF(AND(L236&lt;&gt;-1,L235=-1),MAX($Q$8:Q235)+1,"")</f>
        <v/>
      </c>
    </row>
    <row r="237" spans="1:17" x14ac:dyDescent="0.3">
      <c r="A237" s="3">
        <v>40526</v>
      </c>
      <c r="B237" s="9">
        <v>12.129927</v>
      </c>
      <c r="C237" s="9">
        <v>8.9463220000000003</v>
      </c>
      <c r="E237" s="14">
        <f t="shared" si="25"/>
        <v>1.3558562949109143</v>
      </c>
      <c r="F237" s="18">
        <f t="shared" ca="1" si="24"/>
        <v>-1.7799870538937181</v>
      </c>
      <c r="G237" s="15">
        <f t="shared" ca="1" si="29"/>
        <v>1.3917926640211276</v>
      </c>
      <c r="H237" s="15">
        <f t="shared" ca="1" si="30"/>
        <v>2.0189118247575182E-2</v>
      </c>
      <c r="J237" s="17">
        <f t="shared" ca="1" si="26"/>
        <v>0</v>
      </c>
      <c r="K237" s="24">
        <f t="shared" ca="1" si="27"/>
        <v>-1</v>
      </c>
      <c r="L237" s="17">
        <f t="shared" ca="1" si="28"/>
        <v>-1</v>
      </c>
      <c r="N237" s="24" t="str">
        <f ca="1">IF(AND(L237=1,L236&lt;&gt;1),MAX($N$8:N236)+1,"")</f>
        <v/>
      </c>
      <c r="O237" s="24" t="str">
        <f ca="1">IF(AND(L237&lt;&gt;1,L236=1),MAX($O$8:O236)+1,"")</f>
        <v/>
      </c>
      <c r="P237" s="17" t="str">
        <f ca="1">IF(AND(L237=-1,L236&lt;&gt;-1),MAX($P$8:P236)+1,"")</f>
        <v/>
      </c>
      <c r="Q237" s="24" t="str">
        <f ca="1">IF(AND(L237&lt;&gt;-1,L236=-1),MAX($Q$8:Q236)+1,"")</f>
        <v/>
      </c>
    </row>
    <row r="238" spans="1:17" x14ac:dyDescent="0.3">
      <c r="A238" s="3">
        <v>40527</v>
      </c>
      <c r="B238" s="9">
        <v>12.060900999999999</v>
      </c>
      <c r="C238" s="9">
        <v>8.8485709999999997</v>
      </c>
      <c r="E238" s="14">
        <f t="shared" si="25"/>
        <v>1.363033759914454</v>
      </c>
      <c r="F238" s="18">
        <f t="shared" ca="1" si="24"/>
        <v>-1.2934570885993593</v>
      </c>
      <c r="G238" s="15">
        <f t="shared" ca="1" si="29"/>
        <v>1.3895064304429376</v>
      </c>
      <c r="H238" s="15">
        <f t="shared" ca="1" si="30"/>
        <v>2.0466601298037675E-2</v>
      </c>
      <c r="J238" s="17">
        <f t="shared" ca="1" si="26"/>
        <v>0</v>
      </c>
      <c r="K238" s="24">
        <f t="shared" ca="1" si="27"/>
        <v>-1</v>
      </c>
      <c r="L238" s="17">
        <f t="shared" ca="1" si="28"/>
        <v>-1</v>
      </c>
      <c r="N238" s="24" t="str">
        <f ca="1">IF(AND(L238=1,L237&lt;&gt;1),MAX($N$8:N237)+1,"")</f>
        <v/>
      </c>
      <c r="O238" s="24" t="str">
        <f ca="1">IF(AND(L238&lt;&gt;1,L237=1),MAX($O$8:O237)+1,"")</f>
        <v/>
      </c>
      <c r="P238" s="17" t="str">
        <f ca="1">IF(AND(L238=-1,L237&lt;&gt;-1),MAX($P$8:P237)+1,"")</f>
        <v/>
      </c>
      <c r="Q238" s="24" t="str">
        <f ca="1">IF(AND(L238&lt;&gt;-1,L237=-1),MAX($Q$8:Q237)+1,"")</f>
        <v/>
      </c>
    </row>
    <row r="239" spans="1:17" x14ac:dyDescent="0.3">
      <c r="A239" s="3">
        <v>40528</v>
      </c>
      <c r="B239" s="9">
        <v>11.963698000000001</v>
      </c>
      <c r="C239" s="9">
        <v>8.7155369999999994</v>
      </c>
      <c r="E239" s="14">
        <f t="shared" si="25"/>
        <v>1.3726862728022382</v>
      </c>
      <c r="F239" s="18">
        <f t="shared" ca="1" si="24"/>
        <v>-0.75535646959573444</v>
      </c>
      <c r="G239" s="15">
        <f t="shared" ca="1" si="29"/>
        <v>1.3882596508005376</v>
      </c>
      <c r="H239" s="15">
        <f t="shared" ca="1" si="30"/>
        <v>2.0617256388409878E-2</v>
      </c>
      <c r="J239" s="17">
        <f t="shared" ca="1" si="26"/>
        <v>0</v>
      </c>
      <c r="K239" s="24">
        <f t="shared" ca="1" si="27"/>
        <v>-1</v>
      </c>
      <c r="L239" s="17">
        <f t="shared" ca="1" si="28"/>
        <v>-1</v>
      </c>
      <c r="N239" s="24" t="str">
        <f ca="1">IF(AND(L239=1,L238&lt;&gt;1),MAX($N$8:N238)+1,"")</f>
        <v/>
      </c>
      <c r="O239" s="24" t="str">
        <f ca="1">IF(AND(L239&lt;&gt;1,L238=1),MAX($O$8:O238)+1,"")</f>
        <v/>
      </c>
      <c r="P239" s="17" t="str">
        <f ca="1">IF(AND(L239=-1,L238&lt;&gt;-1),MAX($P$8:P238)+1,"")</f>
        <v/>
      </c>
      <c r="Q239" s="24" t="str">
        <f ca="1">IF(AND(L239&lt;&gt;-1,L238=-1),MAX($Q$8:Q238)+1,"")</f>
        <v/>
      </c>
    </row>
    <row r="240" spans="1:17" x14ac:dyDescent="0.3">
      <c r="A240" s="3">
        <v>40529</v>
      </c>
      <c r="B240" s="9">
        <v>12.076603</v>
      </c>
      <c r="C240" s="9">
        <v>8.7426639999999995</v>
      </c>
      <c r="E240" s="14">
        <f t="shared" si="25"/>
        <v>1.3813413165598039</v>
      </c>
      <c r="F240" s="18">
        <f t="shared" ca="1" si="24"/>
        <v>-0.27923497165110972</v>
      </c>
      <c r="G240" s="15">
        <f t="shared" ca="1" si="29"/>
        <v>1.3869530763952895</v>
      </c>
      <c r="H240" s="15">
        <f t="shared" ca="1" si="30"/>
        <v>2.009690907375775E-2</v>
      </c>
      <c r="J240" s="17">
        <f t="shared" ca="1" si="26"/>
        <v>0</v>
      </c>
      <c r="K240" s="24">
        <f t="shared" ca="1" si="27"/>
        <v>-1</v>
      </c>
      <c r="L240" s="17">
        <f t="shared" ca="1" si="28"/>
        <v>-1</v>
      </c>
      <c r="N240" s="24" t="str">
        <f ca="1">IF(AND(L240=1,L239&lt;&gt;1),MAX($N$8:N239)+1,"")</f>
        <v/>
      </c>
      <c r="O240" s="24" t="str">
        <f ca="1">IF(AND(L240&lt;&gt;1,L239=1),MAX($O$8:O239)+1,"")</f>
        <v/>
      </c>
      <c r="P240" s="17" t="str">
        <f ca="1">IF(AND(L240=-1,L239&lt;&gt;-1),MAX($P$8:P239)+1,"")</f>
        <v/>
      </c>
      <c r="Q240" s="24" t="str">
        <f ca="1">IF(AND(L240&lt;&gt;-1,L239=-1),MAX($Q$8:Q239)+1,"")</f>
        <v/>
      </c>
    </row>
    <row r="241" spans="1:17" x14ac:dyDescent="0.3">
      <c r="A241" s="3">
        <v>40532</v>
      </c>
      <c r="B241" s="9">
        <v>11.813101</v>
      </c>
      <c r="C241" s="9">
        <v>8.6425699999999992</v>
      </c>
      <c r="E241" s="14">
        <f t="shared" si="25"/>
        <v>1.3668504854458803</v>
      </c>
      <c r="F241" s="18">
        <f t="shared" ca="1" si="24"/>
        <v>-0.91842314194367292</v>
      </c>
      <c r="G241" s="15">
        <f t="shared" ca="1" si="29"/>
        <v>1.384700122662575</v>
      </c>
      <c r="H241" s="15">
        <f t="shared" ca="1" si="30"/>
        <v>1.9435090865545141E-2</v>
      </c>
      <c r="J241" s="17">
        <f t="shared" ca="1" si="26"/>
        <v>0</v>
      </c>
      <c r="K241" s="24">
        <f t="shared" ca="1" si="27"/>
        <v>-1</v>
      </c>
      <c r="L241" s="17">
        <f t="shared" ca="1" si="28"/>
        <v>-1</v>
      </c>
      <c r="N241" s="24" t="str">
        <f ca="1">IF(AND(L241=1,L240&lt;&gt;1),MAX($N$8:N240)+1,"")</f>
        <v/>
      </c>
      <c r="O241" s="24" t="str">
        <f ca="1">IF(AND(L241&lt;&gt;1,L240=1),MAX($O$8:O240)+1,"")</f>
        <v/>
      </c>
      <c r="P241" s="17" t="str">
        <f ca="1">IF(AND(L241=-1,L240&lt;&gt;-1),MAX($P$8:P240)+1,"")</f>
        <v/>
      </c>
      <c r="Q241" s="24" t="str">
        <f ca="1">IF(AND(L241&lt;&gt;-1,L240=-1),MAX($Q$8:Q240)+1,"")</f>
        <v/>
      </c>
    </row>
    <row r="242" spans="1:17" x14ac:dyDescent="0.3">
      <c r="A242" s="3">
        <v>40533</v>
      </c>
      <c r="B242" s="9">
        <v>12.085972999999999</v>
      </c>
      <c r="C242" s="9">
        <v>8.7816069999999993</v>
      </c>
      <c r="E242" s="14">
        <f t="shared" si="25"/>
        <v>1.3762826097774588</v>
      </c>
      <c r="F242" s="18">
        <f t="shared" ca="1" si="24"/>
        <v>-0.36083831658788329</v>
      </c>
      <c r="G242" s="15">
        <f t="shared" ca="1" si="29"/>
        <v>1.3828147360375123</v>
      </c>
      <c r="H242" s="15">
        <f t="shared" ca="1" si="30"/>
        <v>1.8102640323294453E-2</v>
      </c>
      <c r="J242" s="17">
        <f t="shared" ca="1" si="26"/>
        <v>0</v>
      </c>
      <c r="K242" s="24">
        <f t="shared" ca="1" si="27"/>
        <v>-1</v>
      </c>
      <c r="L242" s="17">
        <f t="shared" ca="1" si="28"/>
        <v>-1</v>
      </c>
      <c r="N242" s="24" t="str">
        <f ca="1">IF(AND(L242=1,L241&lt;&gt;1),MAX($N$8:N241)+1,"")</f>
        <v/>
      </c>
      <c r="O242" s="24" t="str">
        <f ca="1">IF(AND(L242&lt;&gt;1,L241=1),MAX($O$8:O241)+1,"")</f>
        <v/>
      </c>
      <c r="P242" s="17" t="str">
        <f ca="1">IF(AND(L242=-1,L241&lt;&gt;-1),MAX($P$8:P241)+1,"")</f>
        <v/>
      </c>
      <c r="Q242" s="24" t="str">
        <f ca="1">IF(AND(L242&lt;&gt;-1,L241=-1),MAX($Q$8:Q241)+1,"")</f>
        <v/>
      </c>
    </row>
    <row r="243" spans="1:17" x14ac:dyDescent="0.3">
      <c r="A243" s="3">
        <v>40534</v>
      </c>
      <c r="B243" s="9">
        <v>12.368281</v>
      </c>
      <c r="C243" s="9">
        <v>8.9561200000000003</v>
      </c>
      <c r="E243" s="14">
        <f t="shared" si="25"/>
        <v>1.3809865209488037</v>
      </c>
      <c r="F243" s="18">
        <f t="shared" ca="1" si="24"/>
        <v>1.3111948300168663E-2</v>
      </c>
      <c r="G243" s="15">
        <f t="shared" ca="1" si="29"/>
        <v>1.3807832990891182</v>
      </c>
      <c r="H243" s="15">
        <f t="shared" ca="1" si="30"/>
        <v>1.5498982686108595E-2</v>
      </c>
      <c r="J243" s="17">
        <f t="shared" ca="1" si="26"/>
        <v>0</v>
      </c>
      <c r="K243" s="24">
        <f t="shared" ca="1" si="27"/>
        <v>0</v>
      </c>
      <c r="L243" s="17">
        <f t="shared" ca="1" si="28"/>
        <v>0</v>
      </c>
      <c r="N243" s="24" t="str">
        <f ca="1">IF(AND(L243=1,L242&lt;&gt;1),MAX($N$8:N242)+1,"")</f>
        <v/>
      </c>
      <c r="O243" s="24" t="str">
        <f ca="1">IF(AND(L243&lt;&gt;1,L242=1),MAX($O$8:O242)+1,"")</f>
        <v/>
      </c>
      <c r="P243" s="17" t="str">
        <f ca="1">IF(AND(L243=-1,L242&lt;&gt;-1),MAX($P$8:P242)+1,"")</f>
        <v/>
      </c>
      <c r="Q243" s="24">
        <f ca="1">IF(AND(L243&lt;&gt;-1,L242=-1),MAX($Q$8:Q242)+1,"")</f>
        <v>10</v>
      </c>
    </row>
    <row r="244" spans="1:17" x14ac:dyDescent="0.3">
      <c r="A244" s="3">
        <v>40535</v>
      </c>
      <c r="B244" s="9">
        <v>12.336933999999999</v>
      </c>
      <c r="C244" s="9">
        <v>8.9206500000000002</v>
      </c>
      <c r="E244" s="14">
        <f t="shared" si="25"/>
        <v>1.3829635732822159</v>
      </c>
      <c r="F244" s="18">
        <f t="shared" ca="1" si="24"/>
        <v>0.26072279370537504</v>
      </c>
      <c r="G244" s="15">
        <f t="shared" ca="1" si="29"/>
        <v>1.3793806421365142</v>
      </c>
      <c r="H244" s="15">
        <f t="shared" ca="1" si="30"/>
        <v>1.3742301142072196E-2</v>
      </c>
      <c r="J244" s="17">
        <f t="shared" ca="1" si="26"/>
        <v>0</v>
      </c>
      <c r="K244" s="24">
        <f t="shared" ca="1" si="27"/>
        <v>0</v>
      </c>
      <c r="L244" s="17">
        <f t="shared" ca="1" si="28"/>
        <v>0</v>
      </c>
      <c r="N244" s="24" t="str">
        <f ca="1">IF(AND(L244=1,L243&lt;&gt;1),MAX($N$8:N243)+1,"")</f>
        <v/>
      </c>
      <c r="O244" s="24" t="str">
        <f ca="1">IF(AND(L244&lt;&gt;1,L243=1),MAX($O$8:O243)+1,"")</f>
        <v/>
      </c>
      <c r="P244" s="17" t="str">
        <f ca="1">IF(AND(L244=-1,L243&lt;&gt;-1),MAX($P$8:P243)+1,"")</f>
        <v/>
      </c>
      <c r="Q244" s="24" t="str">
        <f ca="1">IF(AND(L244&lt;&gt;-1,L243=-1),MAX($Q$8:Q243)+1,"")</f>
        <v/>
      </c>
    </row>
    <row r="245" spans="1:17" x14ac:dyDescent="0.3">
      <c r="A245" s="3">
        <v>40539</v>
      </c>
      <c r="B245" s="9">
        <v>12.123659</v>
      </c>
      <c r="C245" s="9">
        <v>8.7407039999999991</v>
      </c>
      <c r="E245" s="14">
        <f t="shared" si="25"/>
        <v>1.3870346141454968</v>
      </c>
      <c r="F245" s="18">
        <f t="shared" ca="1" si="24"/>
        <v>0.6034302584487361</v>
      </c>
      <c r="G245" s="15">
        <f t="shared" ca="1" si="29"/>
        <v>1.3789690657754414</v>
      </c>
      <c r="H245" s="15">
        <f t="shared" ca="1" si="30"/>
        <v>1.3366164949682508E-2</v>
      </c>
      <c r="J245" s="17">
        <f t="shared" ca="1" si="26"/>
        <v>0</v>
      </c>
      <c r="K245" s="24">
        <f t="shared" ca="1" si="27"/>
        <v>0</v>
      </c>
      <c r="L245" s="17">
        <f t="shared" ca="1" si="28"/>
        <v>0</v>
      </c>
      <c r="N245" s="24" t="str">
        <f ca="1">IF(AND(L245=1,L244&lt;&gt;1),MAX($N$8:N244)+1,"")</f>
        <v/>
      </c>
      <c r="O245" s="24" t="str">
        <f ca="1">IF(AND(L245&lt;&gt;1,L244=1),MAX($O$8:O244)+1,"")</f>
        <v/>
      </c>
      <c r="P245" s="17" t="str">
        <f ca="1">IF(AND(L245=-1,L244&lt;&gt;-1),MAX($P$8:P244)+1,"")</f>
        <v/>
      </c>
      <c r="Q245" s="24" t="str">
        <f ca="1">IF(AND(L245&lt;&gt;-1,L244=-1),MAX($Q$8:Q244)+1,"")</f>
        <v/>
      </c>
    </row>
    <row r="246" spans="1:17" x14ac:dyDescent="0.3">
      <c r="A246" s="3">
        <v>40540</v>
      </c>
      <c r="B246" s="9">
        <v>12.117378</v>
      </c>
      <c r="C246" s="9">
        <v>8.7243919999999999</v>
      </c>
      <c r="E246" s="14">
        <f t="shared" si="25"/>
        <v>1.388908017888238</v>
      </c>
      <c r="F246" s="18">
        <f t="shared" ca="1" si="24"/>
        <v>0.80632020038679209</v>
      </c>
      <c r="G246" s="15">
        <f t="shared" ca="1" si="29"/>
        <v>1.3785323040775024</v>
      </c>
      <c r="H246" s="15">
        <f t="shared" ca="1" si="30"/>
        <v>1.2867981982540461E-2</v>
      </c>
      <c r="J246" s="17">
        <f t="shared" ca="1" si="26"/>
        <v>0</v>
      </c>
      <c r="K246" s="24">
        <f t="shared" ca="1" si="27"/>
        <v>0</v>
      </c>
      <c r="L246" s="17">
        <f t="shared" ca="1" si="28"/>
        <v>0</v>
      </c>
      <c r="N246" s="24" t="str">
        <f ca="1">IF(AND(L246=1,L245&lt;&gt;1),MAX($N$8:N245)+1,"")</f>
        <v/>
      </c>
      <c r="O246" s="24" t="str">
        <f ca="1">IF(AND(L246&lt;&gt;1,L245=1),MAX($O$8:O245)+1,"")</f>
        <v/>
      </c>
      <c r="P246" s="17" t="str">
        <f ca="1">IF(AND(L246=-1,L245&lt;&gt;-1),MAX($P$8:P245)+1,"")</f>
        <v/>
      </c>
      <c r="Q246" s="24" t="str">
        <f ca="1">IF(AND(L246&lt;&gt;-1,L245=-1),MAX($Q$8:Q245)+1,"")</f>
        <v/>
      </c>
    </row>
    <row r="247" spans="1:17" x14ac:dyDescent="0.3">
      <c r="A247" s="3">
        <v>40541</v>
      </c>
      <c r="B247" s="9">
        <v>12.387154000000001</v>
      </c>
      <c r="C247" s="9">
        <v>8.8552090000000003</v>
      </c>
      <c r="E247" s="14">
        <f t="shared" si="25"/>
        <v>1.3988550693721629</v>
      </c>
      <c r="F247" s="18">
        <f t="shared" ca="1" si="24"/>
        <v>1.5581114739862501</v>
      </c>
      <c r="G247" s="15">
        <f t="shared" ca="1" si="29"/>
        <v>1.3786141513145085</v>
      </c>
      <c r="H247" s="15">
        <f t="shared" ca="1" si="30"/>
        <v>1.2990673899519078E-2</v>
      </c>
      <c r="J247" s="17">
        <f t="shared" ca="1" si="26"/>
        <v>1</v>
      </c>
      <c r="K247" s="24">
        <f t="shared" ca="1" si="27"/>
        <v>0</v>
      </c>
      <c r="L247" s="17">
        <f t="shared" ca="1" si="28"/>
        <v>1</v>
      </c>
      <c r="N247" s="24">
        <f ca="1">IF(AND(L247=1,L246&lt;&gt;1),MAX($N$8:N246)+1,"")</f>
        <v>9</v>
      </c>
      <c r="O247" s="24" t="str">
        <f ca="1">IF(AND(L247&lt;&gt;1,L246=1),MAX($O$8:O246)+1,"")</f>
        <v/>
      </c>
      <c r="P247" s="17" t="str">
        <f ca="1">IF(AND(L247=-1,L246&lt;&gt;-1),MAX($P$8:P246)+1,"")</f>
        <v/>
      </c>
      <c r="Q247" s="24" t="str">
        <f ca="1">IF(AND(L247&lt;&gt;-1,L246=-1),MAX($Q$8:Q246)+1,"")</f>
        <v/>
      </c>
    </row>
    <row r="248" spans="1:17" x14ac:dyDescent="0.3">
      <c r="A248" s="3">
        <v>40542</v>
      </c>
      <c r="B248" s="9">
        <v>12.481253000000001</v>
      </c>
      <c r="C248" s="9">
        <v>8.9015570000000004</v>
      </c>
      <c r="E248" s="14">
        <f t="shared" si="25"/>
        <v>1.4021426813309177</v>
      </c>
      <c r="F248" s="18">
        <f t="shared" ca="1" si="24"/>
        <v>1.6372731913402205</v>
      </c>
      <c r="G248" s="15">
        <f t="shared" ca="1" si="29"/>
        <v>1.3794531205675462</v>
      </c>
      <c r="H248" s="15">
        <f t="shared" ca="1" si="30"/>
        <v>1.3858139792051754E-2</v>
      </c>
      <c r="J248" s="17">
        <f t="shared" ca="1" si="26"/>
        <v>1</v>
      </c>
      <c r="K248" s="24">
        <f t="shared" ca="1" si="27"/>
        <v>0</v>
      </c>
      <c r="L248" s="17">
        <f t="shared" ca="1" si="28"/>
        <v>1</v>
      </c>
      <c r="N248" s="24" t="str">
        <f ca="1">IF(AND(L248=1,L247&lt;&gt;1),MAX($N$8:N247)+1,"")</f>
        <v/>
      </c>
      <c r="O248" s="24" t="str">
        <f ca="1">IF(AND(L248&lt;&gt;1,L247=1),MAX($O$8:O247)+1,"")</f>
        <v/>
      </c>
      <c r="P248" s="17" t="str">
        <f ca="1">IF(AND(L248=-1,L247&lt;&gt;-1),MAX($P$8:P247)+1,"")</f>
        <v/>
      </c>
      <c r="Q248" s="24" t="str">
        <f ca="1">IF(AND(L248&lt;&gt;-1,L247=-1),MAX($Q$8:Q247)+1,"")</f>
        <v/>
      </c>
    </row>
    <row r="249" spans="1:17" x14ac:dyDescent="0.3">
      <c r="A249" s="3">
        <v>40546</v>
      </c>
      <c r="B249" s="9">
        <v>12.454991</v>
      </c>
      <c r="C249" s="9">
        <v>9.0079060000000002</v>
      </c>
      <c r="E249" s="14">
        <f t="shared" si="25"/>
        <v>1.3826732872212475</v>
      </c>
      <c r="F249" s="18">
        <f t="shared" ca="1" si="24"/>
        <v>0.28147420225617636</v>
      </c>
      <c r="G249" s="15">
        <f t="shared" ca="1" si="29"/>
        <v>1.3788863417019561</v>
      </c>
      <c r="H249" s="15">
        <f t="shared" ca="1" si="30"/>
        <v>1.3453970164714366E-2</v>
      </c>
      <c r="J249" s="17">
        <f t="shared" ca="1" si="26"/>
        <v>1</v>
      </c>
      <c r="K249" s="24">
        <f t="shared" ca="1" si="27"/>
        <v>0</v>
      </c>
      <c r="L249" s="17">
        <f t="shared" ca="1" si="28"/>
        <v>1</v>
      </c>
      <c r="N249" s="24" t="str">
        <f ca="1">IF(AND(L249=1,L248&lt;&gt;1),MAX($N$8:N248)+1,"")</f>
        <v/>
      </c>
      <c r="O249" s="24" t="str">
        <f ca="1">IF(AND(L249&lt;&gt;1,L248=1),MAX($O$8:O248)+1,"")</f>
        <v/>
      </c>
      <c r="P249" s="17" t="str">
        <f ca="1">IF(AND(L249=-1,L248&lt;&gt;-1),MAX($P$8:P248)+1,"")</f>
        <v/>
      </c>
      <c r="Q249" s="24" t="str">
        <f ca="1">IF(AND(L249&lt;&gt;-1,L248=-1),MAX($Q$8:Q248)+1,"")</f>
        <v/>
      </c>
    </row>
    <row r="250" spans="1:17" x14ac:dyDescent="0.3">
      <c r="A250" s="3">
        <v>40547</v>
      </c>
      <c r="B250" s="9">
        <v>12.555426000000001</v>
      </c>
      <c r="C250" s="9">
        <v>9.0962289999999992</v>
      </c>
      <c r="E250" s="14">
        <f t="shared" si="25"/>
        <v>1.380289128604832</v>
      </c>
      <c r="F250" s="18">
        <f t="shared" ca="1" si="24"/>
        <v>0.14883141329619282</v>
      </c>
      <c r="G250" s="15">
        <f t="shared" ca="1" si="29"/>
        <v>1.3783346138877335</v>
      </c>
      <c r="H250" s="15">
        <f t="shared" ca="1" si="30"/>
        <v>1.3132407156604671E-2</v>
      </c>
      <c r="J250" s="17">
        <f t="shared" ca="1" si="26"/>
        <v>1</v>
      </c>
      <c r="K250" s="24">
        <f t="shared" ca="1" si="27"/>
        <v>0</v>
      </c>
      <c r="L250" s="17">
        <f t="shared" ca="1" si="28"/>
        <v>1</v>
      </c>
      <c r="N250" s="24" t="str">
        <f ca="1">IF(AND(L250=1,L249&lt;&gt;1),MAX($N$8:N249)+1,"")</f>
        <v/>
      </c>
      <c r="O250" s="24" t="str">
        <f ca="1">IF(AND(L250&lt;&gt;1,L249=1),MAX($O$8:O249)+1,"")</f>
        <v/>
      </c>
      <c r="P250" s="17" t="str">
        <f ca="1">IF(AND(L250=-1,L249&lt;&gt;-1),MAX($P$8:P249)+1,"")</f>
        <v/>
      </c>
      <c r="Q250" s="24" t="str">
        <f ca="1">IF(AND(L250&lt;&gt;-1,L249=-1),MAX($Q$8:Q249)+1,"")</f>
        <v/>
      </c>
    </row>
    <row r="251" spans="1:17" x14ac:dyDescent="0.3">
      <c r="A251" s="3">
        <v>40548</v>
      </c>
      <c r="B251" s="9">
        <v>12.743751</v>
      </c>
      <c r="C251" s="9">
        <v>9.2654739999999993</v>
      </c>
      <c r="E251" s="14">
        <f t="shared" si="25"/>
        <v>1.3754019492149026</v>
      </c>
      <c r="F251" s="18">
        <f t="shared" ca="1" si="24"/>
        <v>-0.19994341355198963</v>
      </c>
      <c r="G251" s="15">
        <f t="shared" ca="1" si="29"/>
        <v>1.3780247073047791</v>
      </c>
      <c r="H251" s="15">
        <f t="shared" ca="1" si="30"/>
        <v>1.311750181355476E-2</v>
      </c>
      <c r="J251" s="17">
        <f t="shared" ca="1" si="26"/>
        <v>0</v>
      </c>
      <c r="K251" s="24">
        <f t="shared" ca="1" si="27"/>
        <v>0</v>
      </c>
      <c r="L251" s="17">
        <f t="shared" ca="1" si="28"/>
        <v>0</v>
      </c>
      <c r="N251" s="24" t="str">
        <f ca="1">IF(AND(L251=1,L250&lt;&gt;1),MAX($N$8:N250)+1,"")</f>
        <v/>
      </c>
      <c r="O251" s="24">
        <f ca="1">IF(AND(L251&lt;&gt;1,L250=1),MAX($O$8:O250)+1,"")</f>
        <v>9</v>
      </c>
      <c r="P251" s="17" t="str">
        <f ca="1">IF(AND(L251=-1,L250&lt;&gt;-1),MAX($P$8:P250)+1,"")</f>
        <v/>
      </c>
      <c r="Q251" s="24" t="str">
        <f ca="1">IF(AND(L251&lt;&gt;-1,L250=-1),MAX($Q$8:Q250)+1,"")</f>
        <v/>
      </c>
    </row>
    <row r="252" spans="1:17" x14ac:dyDescent="0.3">
      <c r="A252" s="3">
        <v>40549</v>
      </c>
      <c r="B252" s="9">
        <v>12.442449999999999</v>
      </c>
      <c r="C252" s="9">
        <v>9.0198260000000001</v>
      </c>
      <c r="E252" s="14">
        <f t="shared" si="25"/>
        <v>1.3794556569051331</v>
      </c>
      <c r="F252" s="18">
        <f t="shared" ca="1" si="24"/>
        <v>0.14426954963875382</v>
      </c>
      <c r="G252" s="15">
        <f t="shared" ca="1" si="29"/>
        <v>1.3775937230736717</v>
      </c>
      <c r="H252" s="15">
        <f t="shared" ca="1" si="30"/>
        <v>1.290593778190618E-2</v>
      </c>
      <c r="J252" s="17">
        <f t="shared" ca="1" si="26"/>
        <v>0</v>
      </c>
      <c r="K252" s="24">
        <f t="shared" ca="1" si="27"/>
        <v>0</v>
      </c>
      <c r="L252" s="17">
        <f t="shared" ca="1" si="28"/>
        <v>0</v>
      </c>
      <c r="N252" s="24" t="str">
        <f ca="1">IF(AND(L252=1,L251&lt;&gt;1),MAX($N$8:N251)+1,"")</f>
        <v/>
      </c>
      <c r="O252" s="24" t="str">
        <f ca="1">IF(AND(L252&lt;&gt;1,L251=1),MAX($O$8:O251)+1,"")</f>
        <v/>
      </c>
      <c r="P252" s="17" t="str">
        <f ca="1">IF(AND(L252=-1,L251&lt;&gt;-1),MAX($P$8:P251)+1,"")</f>
        <v/>
      </c>
      <c r="Q252" s="24" t="str">
        <f ca="1">IF(AND(L252&lt;&gt;-1,L251=-1),MAX($Q$8:Q251)+1,"")</f>
        <v/>
      </c>
    </row>
    <row r="253" spans="1:17" x14ac:dyDescent="0.3">
      <c r="A253" s="3">
        <v>40550</v>
      </c>
      <c r="B253" s="9">
        <v>12.13796</v>
      </c>
      <c r="C253" s="9">
        <v>8.8669799999999999</v>
      </c>
      <c r="E253" s="14">
        <f t="shared" si="25"/>
        <v>1.3688944826761762</v>
      </c>
      <c r="F253" s="18">
        <f t="shared" ca="1" si="24"/>
        <v>-0.60553780324092399</v>
      </c>
      <c r="G253" s="15">
        <f t="shared" ca="1" si="29"/>
        <v>1.376132291126922</v>
      </c>
      <c r="H253" s="15">
        <f t="shared" ca="1" si="30"/>
        <v>1.1952694632784389E-2</v>
      </c>
      <c r="J253" s="17">
        <f t="shared" ca="1" si="26"/>
        <v>0</v>
      </c>
      <c r="K253" s="24">
        <f t="shared" ca="1" si="27"/>
        <v>0</v>
      </c>
      <c r="L253" s="17">
        <f t="shared" ca="1" si="28"/>
        <v>0</v>
      </c>
      <c r="N253" s="24" t="str">
        <f ca="1">IF(AND(L253=1,L252&lt;&gt;1),MAX($N$8:N252)+1,"")</f>
        <v/>
      </c>
      <c r="O253" s="24" t="str">
        <f ca="1">IF(AND(L253&lt;&gt;1,L252=1),MAX($O$8:O252)+1,"")</f>
        <v/>
      </c>
      <c r="P253" s="17" t="str">
        <f ca="1">IF(AND(L253=-1,L252&lt;&gt;-1),MAX($P$8:P252)+1,"")</f>
        <v/>
      </c>
      <c r="Q253" s="24" t="str">
        <f ca="1">IF(AND(L253&lt;&gt;-1,L252=-1),MAX($Q$8:Q252)+1,"")</f>
        <v/>
      </c>
    </row>
    <row r="254" spans="1:17" x14ac:dyDescent="0.3">
      <c r="A254" s="3">
        <v>40553</v>
      </c>
      <c r="B254" s="9">
        <v>12.235227999999999</v>
      </c>
      <c r="C254" s="9">
        <v>8.8833680000000008</v>
      </c>
      <c r="E254" s="14">
        <f t="shared" si="25"/>
        <v>1.3773186025840647</v>
      </c>
      <c r="F254" s="18">
        <f t="shared" ca="1" si="24"/>
        <v>0.1016738358237521</v>
      </c>
      <c r="G254" s="15">
        <f t="shared" ca="1" si="29"/>
        <v>1.3761036948923573</v>
      </c>
      <c r="H254" s="15">
        <f t="shared" ca="1" si="30"/>
        <v>1.1949069117579071E-2</v>
      </c>
      <c r="J254" s="17">
        <f t="shared" ca="1" si="26"/>
        <v>0</v>
      </c>
      <c r="K254" s="24">
        <f t="shared" ca="1" si="27"/>
        <v>0</v>
      </c>
      <c r="L254" s="17">
        <f t="shared" ca="1" si="28"/>
        <v>0</v>
      </c>
      <c r="N254" s="24" t="str">
        <f ca="1">IF(AND(L254=1,L253&lt;&gt;1),MAX($N$8:N253)+1,"")</f>
        <v/>
      </c>
      <c r="O254" s="24" t="str">
        <f ca="1">IF(AND(L254&lt;&gt;1,L253=1),MAX($O$8:O253)+1,"")</f>
        <v/>
      </c>
      <c r="P254" s="17" t="str">
        <f ca="1">IF(AND(L254=-1,L253&lt;&gt;-1),MAX($P$8:P253)+1,"")</f>
        <v/>
      </c>
      <c r="Q254" s="24" t="str">
        <f ca="1">IF(AND(L254&lt;&gt;-1,L253=-1),MAX($Q$8:Q253)+1,"")</f>
        <v/>
      </c>
    </row>
    <row r="255" spans="1:17" x14ac:dyDescent="0.3">
      <c r="A255" s="3">
        <v>40554</v>
      </c>
      <c r="B255" s="9">
        <v>12.310570999999999</v>
      </c>
      <c r="C255" s="9">
        <v>8.9297620000000002</v>
      </c>
      <c r="E255" s="14">
        <f t="shared" si="25"/>
        <v>1.3786001239450725</v>
      </c>
      <c r="F255" s="18">
        <f t="shared" ca="1" si="24"/>
        <v>0.1727467482446757</v>
      </c>
      <c r="G255" s="15">
        <f t="shared" ca="1" si="29"/>
        <v>1.3765534308149672</v>
      </c>
      <c r="H255" s="15">
        <f t="shared" ca="1" si="30"/>
        <v>1.1847940125659562E-2</v>
      </c>
      <c r="J255" s="17">
        <f t="shared" ca="1" si="26"/>
        <v>0</v>
      </c>
      <c r="K255" s="24">
        <f t="shared" ca="1" si="27"/>
        <v>0</v>
      </c>
      <c r="L255" s="17">
        <f t="shared" ca="1" si="28"/>
        <v>0</v>
      </c>
      <c r="N255" s="24" t="str">
        <f ca="1">IF(AND(L255=1,L254&lt;&gt;1),MAX($N$8:N254)+1,"")</f>
        <v/>
      </c>
      <c r="O255" s="24" t="str">
        <f ca="1">IF(AND(L255&lt;&gt;1,L254=1),MAX($O$8:O254)+1,"")</f>
        <v/>
      </c>
      <c r="P255" s="17" t="str">
        <f ca="1">IF(AND(L255=-1,L254&lt;&gt;-1),MAX($P$8:P254)+1,"")</f>
        <v/>
      </c>
      <c r="Q255" s="24" t="str">
        <f ca="1">IF(AND(L255&lt;&gt;-1,L254=-1),MAX($Q$8:Q254)+1,"")</f>
        <v/>
      </c>
    </row>
    <row r="256" spans="1:17" x14ac:dyDescent="0.3">
      <c r="A256" s="3">
        <v>40555</v>
      </c>
      <c r="B256" s="9">
        <v>12.633872</v>
      </c>
      <c r="C256" s="9">
        <v>9.1044499999999999</v>
      </c>
      <c r="E256" s="14">
        <f t="shared" si="25"/>
        <v>1.3876590019166453</v>
      </c>
      <c r="F256" s="18">
        <f t="shared" ca="1" si="24"/>
        <v>0.85515681802756294</v>
      </c>
      <c r="G256" s="15">
        <f t="shared" ca="1" si="29"/>
        <v>1.3776932606100472</v>
      </c>
      <c r="H256" s="15">
        <f t="shared" ca="1" si="30"/>
        <v>1.1653700346544974E-2</v>
      </c>
      <c r="J256" s="17">
        <f t="shared" ca="1" si="26"/>
        <v>0</v>
      </c>
      <c r="K256" s="24">
        <f t="shared" ca="1" si="27"/>
        <v>0</v>
      </c>
      <c r="L256" s="17">
        <f t="shared" ca="1" si="28"/>
        <v>0</v>
      </c>
      <c r="N256" s="24" t="str">
        <f ca="1">IF(AND(L256=1,L255&lt;&gt;1),MAX($N$8:N255)+1,"")</f>
        <v/>
      </c>
      <c r="O256" s="24" t="str">
        <f ca="1">IF(AND(L256&lt;&gt;1,L255=1),MAX($O$8:O255)+1,"")</f>
        <v/>
      </c>
      <c r="P256" s="17" t="str">
        <f ca="1">IF(AND(L256=-1,L255&lt;&gt;-1),MAX($P$8:P255)+1,"")</f>
        <v/>
      </c>
      <c r="Q256" s="24" t="str">
        <f ca="1">IF(AND(L256&lt;&gt;-1,L255=-1),MAX($Q$8:Q255)+1,"")</f>
        <v/>
      </c>
    </row>
    <row r="257" spans="1:17" x14ac:dyDescent="0.3">
      <c r="A257" s="3">
        <v>40556</v>
      </c>
      <c r="B257" s="9">
        <v>12.574246</v>
      </c>
      <c r="C257" s="9">
        <v>8.9925470000000001</v>
      </c>
      <c r="E257" s="14">
        <f t="shared" si="25"/>
        <v>1.398296389220985</v>
      </c>
      <c r="F257" s="18">
        <f t="shared" ca="1" si="24"/>
        <v>1.5777485398521589</v>
      </c>
      <c r="G257" s="15">
        <f t="shared" ca="1" si="29"/>
        <v>1.3791259487683718</v>
      </c>
      <c r="H257" s="15">
        <f t="shared" ca="1" si="30"/>
        <v>1.2150504322069931E-2</v>
      </c>
      <c r="J257" s="17">
        <f t="shared" ca="1" si="26"/>
        <v>1</v>
      </c>
      <c r="K257" s="24">
        <f t="shared" ca="1" si="27"/>
        <v>0</v>
      </c>
      <c r="L257" s="17">
        <f t="shared" ca="1" si="28"/>
        <v>1</v>
      </c>
      <c r="N257" s="24">
        <f ca="1">IF(AND(L257=1,L256&lt;&gt;1),MAX($N$8:N256)+1,"")</f>
        <v>10</v>
      </c>
      <c r="O257" s="24" t="str">
        <f ca="1">IF(AND(L257&lt;&gt;1,L256=1),MAX($O$8:O256)+1,"")</f>
        <v/>
      </c>
      <c r="P257" s="17" t="str">
        <f ca="1">IF(AND(L257=-1,L256&lt;&gt;-1),MAX($P$8:P256)+1,"")</f>
        <v/>
      </c>
      <c r="Q257" s="24" t="str">
        <f ca="1">IF(AND(L257&lt;&gt;-1,L256=-1),MAX($Q$8:Q256)+1,"")</f>
        <v/>
      </c>
    </row>
    <row r="258" spans="1:17" x14ac:dyDescent="0.3">
      <c r="A258" s="3">
        <v>40557</v>
      </c>
      <c r="B258" s="9">
        <v>12.432999000000001</v>
      </c>
      <c r="C258" s="9">
        <v>9.0771730000000002</v>
      </c>
      <c r="E258" s="14">
        <f t="shared" si="25"/>
        <v>1.3696994648003293</v>
      </c>
      <c r="F258" s="18">
        <f t="shared" ref="F258:F321" ca="1" si="31">IF(ISNUMBER(G258),(E258-G258)/H258,"")</f>
        <v>-0.90079398546626455</v>
      </c>
      <c r="G258" s="15">
        <f t="shared" ca="1" si="29"/>
        <v>1.3797831501576354</v>
      </c>
      <c r="H258" s="15">
        <f t="shared" ca="1" si="30"/>
        <v>1.1194219233254111E-2</v>
      </c>
      <c r="J258" s="17">
        <f t="shared" ca="1" si="26"/>
        <v>0</v>
      </c>
      <c r="K258" s="24">
        <f t="shared" ca="1" si="27"/>
        <v>0</v>
      </c>
      <c r="L258" s="17">
        <f t="shared" ca="1" si="28"/>
        <v>0</v>
      </c>
      <c r="N258" s="24" t="str">
        <f ca="1">IF(AND(L258=1,L257&lt;&gt;1),MAX($N$8:N257)+1,"")</f>
        <v/>
      </c>
      <c r="O258" s="24">
        <f ca="1">IF(AND(L258&lt;&gt;1,L257=1),MAX($O$8:O257)+1,"")</f>
        <v>10</v>
      </c>
      <c r="P258" s="17" t="str">
        <f ca="1">IF(AND(L258=-1,L257&lt;&gt;-1),MAX($P$8:P257)+1,"")</f>
        <v/>
      </c>
      <c r="Q258" s="24" t="str">
        <f ca="1">IF(AND(L258&lt;&gt;-1,L257=-1),MAX($Q$8:Q257)+1,"")</f>
        <v/>
      </c>
    </row>
    <row r="259" spans="1:17" x14ac:dyDescent="0.3">
      <c r="A259" s="3">
        <v>40560</v>
      </c>
      <c r="B259" s="9">
        <v>12.257218999999999</v>
      </c>
      <c r="C259" s="9">
        <v>8.9515989999999999</v>
      </c>
      <c r="E259" s="14">
        <f t="shared" ref="E259:E322" si="32">IF(ISNUMBER(B259),B259/C259,"")</f>
        <v>1.3692770420122706</v>
      </c>
      <c r="F259" s="18">
        <f t="shared" ca="1" si="31"/>
        <v>-1.0903780378944743</v>
      </c>
      <c r="G259" s="15">
        <f t="shared" ca="1" si="29"/>
        <v>1.3803931841167878</v>
      </c>
      <c r="H259" s="15">
        <f t="shared" ca="1" si="30"/>
        <v>1.0194759723868336E-2</v>
      </c>
      <c r="J259" s="17">
        <f t="shared" ca="1" si="26"/>
        <v>0</v>
      </c>
      <c r="K259" s="24">
        <f t="shared" ca="1" si="27"/>
        <v>-1</v>
      </c>
      <c r="L259" s="17">
        <f t="shared" ca="1" si="28"/>
        <v>-1</v>
      </c>
      <c r="N259" s="24" t="str">
        <f ca="1">IF(AND(L259=1,L258&lt;&gt;1),MAX($N$8:N258)+1,"")</f>
        <v/>
      </c>
      <c r="O259" s="24" t="str">
        <f ca="1">IF(AND(L259&lt;&gt;1,L258=1),MAX($O$8:O258)+1,"")</f>
        <v/>
      </c>
      <c r="P259" s="17">
        <f ca="1">IF(AND(L259=-1,L258&lt;&gt;-1),MAX($P$8:P258)+1,"")</f>
        <v>11</v>
      </c>
      <c r="Q259" s="24" t="str">
        <f ca="1">IF(AND(L259&lt;&gt;-1,L258=-1),MAX($Q$8:Q258)+1,"")</f>
        <v/>
      </c>
    </row>
    <row r="260" spans="1:17" x14ac:dyDescent="0.3">
      <c r="A260" s="3">
        <v>40561</v>
      </c>
      <c r="B260" s="9">
        <v>12.100256999999999</v>
      </c>
      <c r="C260" s="9">
        <v>8.9597639999999998</v>
      </c>
      <c r="E260" s="14">
        <f t="shared" si="32"/>
        <v>1.3505106830938849</v>
      </c>
      <c r="F260" s="18">
        <f t="shared" ca="1" si="31"/>
        <v>-2.566007486066888</v>
      </c>
      <c r="G260" s="15">
        <f t="shared" ca="1" si="29"/>
        <v>1.3798239533522165</v>
      </c>
      <c r="H260" s="15">
        <f t="shared" ca="1" si="30"/>
        <v>1.1423688519031675E-2</v>
      </c>
      <c r="J260" s="17">
        <f t="shared" ca="1" si="26"/>
        <v>0</v>
      </c>
      <c r="K260" s="24">
        <f t="shared" ca="1" si="27"/>
        <v>-1</v>
      </c>
      <c r="L260" s="17">
        <f t="shared" ca="1" si="28"/>
        <v>-1</v>
      </c>
      <c r="N260" s="24" t="str">
        <f ca="1">IF(AND(L260=1,L259&lt;&gt;1),MAX($N$8:N259)+1,"")</f>
        <v/>
      </c>
      <c r="O260" s="24" t="str">
        <f ca="1">IF(AND(L260&lt;&gt;1,L259=1),MAX($O$8:O259)+1,"")</f>
        <v/>
      </c>
      <c r="P260" s="17" t="str">
        <f ca="1">IF(AND(L260=-1,L259&lt;&gt;-1),MAX($P$8:P259)+1,"")</f>
        <v/>
      </c>
      <c r="Q260" s="24" t="str">
        <f ca="1">IF(AND(L260&lt;&gt;-1,L259=-1),MAX($Q$8:Q259)+1,"")</f>
        <v/>
      </c>
    </row>
    <row r="261" spans="1:17" x14ac:dyDescent="0.3">
      <c r="A261" s="3">
        <v>40562</v>
      </c>
      <c r="B261" s="9">
        <v>11.968456</v>
      </c>
      <c r="C261" s="9">
        <v>8.85337</v>
      </c>
      <c r="E261" s="14">
        <f t="shared" si="32"/>
        <v>1.3518531361504149</v>
      </c>
      <c r="F261" s="18">
        <f t="shared" ca="1" si="31"/>
        <v>-2.117644483843089</v>
      </c>
      <c r="G261" s="15">
        <f t="shared" ca="1" si="29"/>
        <v>1.3788769925953153</v>
      </c>
      <c r="H261" s="15">
        <f t="shared" ca="1" si="30"/>
        <v>1.2761281060670586E-2</v>
      </c>
      <c r="J261" s="17">
        <f t="shared" ca="1" si="26"/>
        <v>0</v>
      </c>
      <c r="K261" s="24">
        <f t="shared" ca="1" si="27"/>
        <v>-1</v>
      </c>
      <c r="L261" s="17">
        <f t="shared" ca="1" si="28"/>
        <v>-1</v>
      </c>
      <c r="N261" s="24" t="str">
        <f ca="1">IF(AND(L261=1,L260&lt;&gt;1),MAX($N$8:N260)+1,"")</f>
        <v/>
      </c>
      <c r="O261" s="24" t="str">
        <f ca="1">IF(AND(L261&lt;&gt;1,L260=1),MAX($O$8:O260)+1,"")</f>
        <v/>
      </c>
      <c r="P261" s="17" t="str">
        <f ca="1">IF(AND(L261=-1,L260&lt;&gt;-1),MAX($P$8:P260)+1,"")</f>
        <v/>
      </c>
      <c r="Q261" s="24" t="str">
        <f ca="1">IF(AND(L261&lt;&gt;-1,L260=-1),MAX($Q$8:Q260)+1,"")</f>
        <v/>
      </c>
    </row>
    <row r="262" spans="1:17" x14ac:dyDescent="0.3">
      <c r="A262" s="3">
        <v>40563</v>
      </c>
      <c r="B262" s="9">
        <v>11.676515999999999</v>
      </c>
      <c r="C262" s="9">
        <v>8.6950710000000004</v>
      </c>
      <c r="E262" s="14">
        <f t="shared" si="32"/>
        <v>1.3428890919924632</v>
      </c>
      <c r="F262" s="18">
        <f t="shared" ca="1" si="31"/>
        <v>-2.3169648327856445</v>
      </c>
      <c r="G262" s="15">
        <f t="shared" ca="1" si="29"/>
        <v>1.3771291642058909</v>
      </c>
      <c r="H262" s="15">
        <f t="shared" ca="1" si="30"/>
        <v>1.4777985288737213E-2</v>
      </c>
      <c r="J262" s="17">
        <f t="shared" ca="1" si="26"/>
        <v>0</v>
      </c>
      <c r="K262" s="24">
        <f t="shared" ca="1" si="27"/>
        <v>-1</v>
      </c>
      <c r="L262" s="17">
        <f t="shared" ca="1" si="28"/>
        <v>-1</v>
      </c>
      <c r="N262" s="24" t="str">
        <f ca="1">IF(AND(L262=1,L261&lt;&gt;1),MAX($N$8:N261)+1,"")</f>
        <v/>
      </c>
      <c r="O262" s="24" t="str">
        <f ca="1">IF(AND(L262&lt;&gt;1,L261=1),MAX($O$8:O261)+1,"")</f>
        <v/>
      </c>
      <c r="P262" s="17" t="str">
        <f ca="1">IF(AND(L262=-1,L261&lt;&gt;-1),MAX($P$8:P261)+1,"")</f>
        <v/>
      </c>
      <c r="Q262" s="24" t="str">
        <f ca="1">IF(AND(L262&lt;&gt;-1,L261=-1),MAX($Q$8:Q261)+1,"")</f>
        <v/>
      </c>
    </row>
    <row r="263" spans="1:17" x14ac:dyDescent="0.3">
      <c r="A263" s="3">
        <v>40564</v>
      </c>
      <c r="B263" s="9">
        <v>11.679688000000001</v>
      </c>
      <c r="C263" s="9">
        <v>8.6241230000000009</v>
      </c>
      <c r="E263" s="14">
        <f t="shared" si="32"/>
        <v>1.354304431882523</v>
      </c>
      <c r="F263" s="18">
        <f t="shared" ca="1" si="31"/>
        <v>-1.4457602024884586</v>
      </c>
      <c r="G263" s="15">
        <f t="shared" ca="1" si="29"/>
        <v>1.3765588890439202</v>
      </c>
      <c r="H263" s="15">
        <f t="shared" ca="1" si="30"/>
        <v>1.5392910334018435E-2</v>
      </c>
      <c r="J263" s="17">
        <f t="shared" ca="1" si="26"/>
        <v>0</v>
      </c>
      <c r="K263" s="24">
        <f t="shared" ca="1" si="27"/>
        <v>-1</v>
      </c>
      <c r="L263" s="17">
        <f t="shared" ca="1" si="28"/>
        <v>-1</v>
      </c>
      <c r="N263" s="24" t="str">
        <f ca="1">IF(AND(L263=1,L262&lt;&gt;1),MAX($N$8:N262)+1,"")</f>
        <v/>
      </c>
      <c r="O263" s="24" t="str">
        <f ca="1">IF(AND(L263&lt;&gt;1,L262=1),MAX($O$8:O262)+1,"")</f>
        <v/>
      </c>
      <c r="P263" s="17" t="str">
        <f ca="1">IF(AND(L263=-1,L262&lt;&gt;-1),MAX($P$8:P262)+1,"")</f>
        <v/>
      </c>
      <c r="Q263" s="24" t="str">
        <f ca="1">IF(AND(L263&lt;&gt;-1,L262=-1),MAX($Q$8:Q262)+1,"")</f>
        <v/>
      </c>
    </row>
    <row r="264" spans="1:17" x14ac:dyDescent="0.3">
      <c r="A264" s="3">
        <v>40567</v>
      </c>
      <c r="B264" s="9">
        <v>11.764412999999999</v>
      </c>
      <c r="C264" s="9">
        <v>8.7578619999999994</v>
      </c>
      <c r="E264" s="14">
        <f t="shared" si="32"/>
        <v>1.3432973709793554</v>
      </c>
      <c r="F264" s="18">
        <f t="shared" ca="1" si="31"/>
        <v>-1.8815026721844419</v>
      </c>
      <c r="G264" s="15">
        <f t="shared" ca="1" si="29"/>
        <v>1.3750595600076425</v>
      </c>
      <c r="H264" s="15">
        <f t="shared" ca="1" si="30"/>
        <v>1.6881288290391264E-2</v>
      </c>
      <c r="J264" s="17">
        <f t="shared" ref="J264:J327" ca="1" si="33">IF(ISNUMBER(F264),IF(AND(J263&lt;&gt;1,F264&gt;$L$1),1,IF(AND(J263=1,F264&gt;$N$1),1,0)),"")</f>
        <v>0</v>
      </c>
      <c r="K264" s="24">
        <f t="shared" ca="1" si="27"/>
        <v>-1</v>
      </c>
      <c r="L264" s="17">
        <f t="shared" ca="1" si="28"/>
        <v>-1</v>
      </c>
      <c r="N264" s="24" t="str">
        <f ca="1">IF(AND(L264=1,L263&lt;&gt;1),MAX($N$8:N263)+1,"")</f>
        <v/>
      </c>
      <c r="O264" s="24" t="str">
        <f ca="1">IF(AND(L264&lt;&gt;1,L263=1),MAX($O$8:O263)+1,"")</f>
        <v/>
      </c>
      <c r="P264" s="17" t="str">
        <f ca="1">IF(AND(L264=-1,L263&lt;&gt;-1),MAX($P$8:P263)+1,"")</f>
        <v/>
      </c>
      <c r="Q264" s="24" t="str">
        <f ca="1">IF(AND(L264&lt;&gt;-1,L263=-1),MAX($Q$8:Q263)+1,"")</f>
        <v/>
      </c>
    </row>
    <row r="265" spans="1:17" x14ac:dyDescent="0.3">
      <c r="A265" s="3">
        <v>40569</v>
      </c>
      <c r="B265" s="9">
        <v>11.59807</v>
      </c>
      <c r="C265" s="9">
        <v>8.7059610000000003</v>
      </c>
      <c r="E265" s="14">
        <f t="shared" si="32"/>
        <v>1.3321987084481541</v>
      </c>
      <c r="F265" s="18">
        <f t="shared" ca="1" si="31"/>
        <v>-2.1362617839370839</v>
      </c>
      <c r="G265" s="15">
        <f t="shared" ca="1" si="29"/>
        <v>1.3728419321667038</v>
      </c>
      <c r="H265" s="15">
        <f t="shared" ca="1" si="30"/>
        <v>1.9025394745228786E-2</v>
      </c>
      <c r="J265" s="17">
        <f t="shared" ca="1" si="33"/>
        <v>0</v>
      </c>
      <c r="K265" s="24">
        <f t="shared" ref="K265:K328" ca="1" si="34">IF(ISNUMBER(F265),IF(AND(K264&lt;&gt;-1,F265&lt;$P$1),-1,IF(AND(K264=-1,F265&lt;R258),-1,0)),"")</f>
        <v>-1</v>
      </c>
      <c r="L265" s="17">
        <f t="shared" ref="L265:L328" ca="1" si="35">IF(ISNUMBER(F265),IF(J265=1,1,IF(K265=-1,-1,0)),"")</f>
        <v>-1</v>
      </c>
      <c r="N265" s="24" t="str">
        <f ca="1">IF(AND(L265=1,L264&lt;&gt;1),MAX($N$8:N264)+1,"")</f>
        <v/>
      </c>
      <c r="O265" s="24" t="str">
        <f ca="1">IF(AND(L265&lt;&gt;1,L264=1),MAX($O$8:O264)+1,"")</f>
        <v/>
      </c>
      <c r="P265" s="17" t="str">
        <f ca="1">IF(AND(L265=-1,L264&lt;&gt;-1),MAX($P$8:P264)+1,"")</f>
        <v/>
      </c>
      <c r="Q265" s="24" t="str">
        <f ca="1">IF(AND(L265&lt;&gt;-1,L264=-1),MAX($Q$8:Q264)+1,"")</f>
        <v/>
      </c>
    </row>
    <row r="266" spans="1:17" x14ac:dyDescent="0.3">
      <c r="A266" s="3">
        <v>40570</v>
      </c>
      <c r="B266" s="9">
        <v>11.645155000000001</v>
      </c>
      <c r="C266" s="9">
        <v>8.7414649999999998</v>
      </c>
      <c r="E266" s="14">
        <f t="shared" si="32"/>
        <v>1.3321742980152642</v>
      </c>
      <c r="F266" s="18">
        <f t="shared" ca="1" si="31"/>
        <v>-1.8559876898086807</v>
      </c>
      <c r="G266" s="15">
        <f t="shared" ca="1" si="29"/>
        <v>1.3705333287454788</v>
      </c>
      <c r="H266" s="15">
        <f t="shared" ca="1" si="30"/>
        <v>2.0667718294063019E-2</v>
      </c>
      <c r="J266" s="17">
        <f t="shared" ca="1" si="33"/>
        <v>0</v>
      </c>
      <c r="K266" s="24">
        <f t="shared" ca="1" si="34"/>
        <v>-1</v>
      </c>
      <c r="L266" s="17">
        <f t="shared" ca="1" si="35"/>
        <v>-1</v>
      </c>
      <c r="N266" s="24" t="str">
        <f ca="1">IF(AND(L266=1,L265&lt;&gt;1),MAX($N$8:N265)+1,"")</f>
        <v/>
      </c>
      <c r="O266" s="24" t="str">
        <f ca="1">IF(AND(L266&lt;&gt;1,L265=1),MAX($O$8:O265)+1,"")</f>
        <v/>
      </c>
      <c r="P266" s="17" t="str">
        <f ca="1">IF(AND(L266=-1,L265&lt;&gt;-1),MAX($P$8:P265)+1,"")</f>
        <v/>
      </c>
      <c r="Q266" s="24" t="str">
        <f ca="1">IF(AND(L266&lt;&gt;-1,L265=-1),MAX($Q$8:Q265)+1,"")</f>
        <v/>
      </c>
    </row>
    <row r="267" spans="1:17" x14ac:dyDescent="0.3">
      <c r="A267" s="3">
        <v>40571</v>
      </c>
      <c r="B267" s="9">
        <v>11.390924</v>
      </c>
      <c r="C267" s="9">
        <v>8.5340539999999994</v>
      </c>
      <c r="E267" s="14">
        <f t="shared" si="32"/>
        <v>1.3347611814970939</v>
      </c>
      <c r="F267" s="18">
        <f t="shared" ca="1" si="31"/>
        <v>-1.5448940157415036</v>
      </c>
      <c r="G267" s="15">
        <f t="shared" ca="1" si="29"/>
        <v>1.3681572636250967</v>
      </c>
      <c r="H267" s="15">
        <f t="shared" ca="1" si="30"/>
        <v>2.161707003051189E-2</v>
      </c>
      <c r="J267" s="17">
        <f t="shared" ca="1" si="33"/>
        <v>0</v>
      </c>
      <c r="K267" s="24">
        <f t="shared" ca="1" si="34"/>
        <v>-1</v>
      </c>
      <c r="L267" s="17">
        <f t="shared" ca="1" si="35"/>
        <v>-1</v>
      </c>
      <c r="N267" s="24" t="str">
        <f ca="1">IF(AND(L267=1,L266&lt;&gt;1),MAX($N$8:N266)+1,"")</f>
        <v/>
      </c>
      <c r="O267" s="24" t="str">
        <f ca="1">IF(AND(L267&lt;&gt;1,L266=1),MAX($O$8:O266)+1,"")</f>
        <v/>
      </c>
      <c r="P267" s="17" t="str">
        <f ca="1">IF(AND(L267=-1,L266&lt;&gt;-1),MAX($P$8:P266)+1,"")</f>
        <v/>
      </c>
      <c r="Q267" s="24" t="str">
        <f ca="1">IF(AND(L267&lt;&gt;-1,L266=-1),MAX($Q$8:Q266)+1,"")</f>
        <v/>
      </c>
    </row>
    <row r="268" spans="1:17" x14ac:dyDescent="0.3">
      <c r="A268" s="3">
        <v>40574</v>
      </c>
      <c r="B268" s="9">
        <v>11.171163</v>
      </c>
      <c r="C268" s="9">
        <v>8.4057650000000006</v>
      </c>
      <c r="E268" s="14">
        <f t="shared" si="32"/>
        <v>1.3289882598430958</v>
      </c>
      <c r="F268" s="18">
        <f t="shared" ca="1" si="31"/>
        <v>-1.6137588809375565</v>
      </c>
      <c r="G268" s="15">
        <f t="shared" ca="1" si="29"/>
        <v>1.3654336382594083</v>
      </c>
      <c r="H268" s="15">
        <f t="shared" ca="1" si="30"/>
        <v>2.258415358503784E-2</v>
      </c>
      <c r="J268" s="17">
        <f t="shared" ca="1" si="33"/>
        <v>0</v>
      </c>
      <c r="K268" s="24">
        <f t="shared" ca="1" si="34"/>
        <v>-1</v>
      </c>
      <c r="L268" s="17">
        <f t="shared" ca="1" si="35"/>
        <v>-1</v>
      </c>
      <c r="N268" s="24" t="str">
        <f ca="1">IF(AND(L268=1,L267&lt;&gt;1),MAX($N$8:N267)+1,"")</f>
        <v/>
      </c>
      <c r="O268" s="24" t="str">
        <f ca="1">IF(AND(L268&lt;&gt;1,L267=1),MAX($O$8:O267)+1,"")</f>
        <v/>
      </c>
      <c r="P268" s="17" t="str">
        <f ca="1">IF(AND(L268=-1,L267&lt;&gt;-1),MAX($P$8:P267)+1,"")</f>
        <v/>
      </c>
      <c r="Q268" s="24" t="str">
        <f ca="1">IF(AND(L268&lt;&gt;-1,L267=-1),MAX($Q$8:Q267)+1,"")</f>
        <v/>
      </c>
    </row>
    <row r="269" spans="1:17" x14ac:dyDescent="0.3">
      <c r="A269" s="3">
        <v>40575</v>
      </c>
      <c r="B269" s="9">
        <v>11.339694</v>
      </c>
      <c r="C269" s="9">
        <v>8.452159</v>
      </c>
      <c r="E269" s="14">
        <f t="shared" si="32"/>
        <v>1.3416328301443454</v>
      </c>
      <c r="F269" s="18">
        <f t="shared" ca="1" si="31"/>
        <v>-0.96939722099262049</v>
      </c>
      <c r="G269" s="15">
        <f t="shared" ca="1" si="29"/>
        <v>1.3628326273854168</v>
      </c>
      <c r="H269" s="15">
        <f t="shared" ca="1" si="30"/>
        <v>2.1869050975165456E-2</v>
      </c>
      <c r="J269" s="17">
        <f t="shared" ca="1" si="33"/>
        <v>0</v>
      </c>
      <c r="K269" s="24">
        <f t="shared" ca="1" si="34"/>
        <v>-1</v>
      </c>
      <c r="L269" s="17">
        <f t="shared" ca="1" si="35"/>
        <v>-1</v>
      </c>
      <c r="N269" s="24" t="str">
        <f ca="1">IF(AND(L269=1,L268&lt;&gt;1),MAX($N$8:N268)+1,"")</f>
        <v/>
      </c>
      <c r="O269" s="24" t="str">
        <f ca="1">IF(AND(L269&lt;&gt;1,L268=1),MAX($O$8:O268)+1,"")</f>
        <v/>
      </c>
      <c r="P269" s="17" t="str">
        <f ca="1">IF(AND(L269=-1,L268&lt;&gt;-1),MAX($P$8:P268)+1,"")</f>
        <v/>
      </c>
      <c r="Q269" s="24" t="str">
        <f ca="1">IF(AND(L269&lt;&gt;-1,L268=-1),MAX($Q$8:Q268)+1,"")</f>
        <v/>
      </c>
    </row>
    <row r="270" spans="1:17" x14ac:dyDescent="0.3">
      <c r="A270" s="3">
        <v>40576</v>
      </c>
      <c r="B270" s="9">
        <v>11.232837</v>
      </c>
      <c r="C270" s="9">
        <v>8.3193149999999996</v>
      </c>
      <c r="E270" s="14">
        <f t="shared" si="32"/>
        <v>1.3502117662331574</v>
      </c>
      <c r="F270" s="18">
        <f t="shared" ca="1" si="31"/>
        <v>-0.50691887474119446</v>
      </c>
      <c r="G270" s="15">
        <f t="shared" ca="1" si="29"/>
        <v>1.3604721312446098</v>
      </c>
      <c r="H270" s="15">
        <f t="shared" ca="1" si="30"/>
        <v>2.0240645047377104E-2</v>
      </c>
      <c r="J270" s="17">
        <f t="shared" ca="1" si="33"/>
        <v>0</v>
      </c>
      <c r="K270" s="24">
        <f t="shared" ca="1" si="34"/>
        <v>-1</v>
      </c>
      <c r="L270" s="17">
        <f t="shared" ca="1" si="35"/>
        <v>-1</v>
      </c>
      <c r="N270" s="24" t="str">
        <f ca="1">IF(AND(L270=1,L269&lt;&gt;1),MAX($N$8:N269)+1,"")</f>
        <v/>
      </c>
      <c r="O270" s="24" t="str">
        <f ca="1">IF(AND(L270&lt;&gt;1,L269=1),MAX($O$8:O269)+1,"")</f>
        <v/>
      </c>
      <c r="P270" s="17" t="str">
        <f ca="1">IF(AND(L270=-1,L269&lt;&gt;-1),MAX($P$8:P269)+1,"")</f>
        <v/>
      </c>
      <c r="Q270" s="24" t="str">
        <f ca="1">IF(AND(L270&lt;&gt;-1,L269=-1),MAX($Q$8:Q269)+1,"")</f>
        <v/>
      </c>
    </row>
    <row r="271" spans="1:17" x14ac:dyDescent="0.3">
      <c r="A271" s="3">
        <v>40577</v>
      </c>
      <c r="B271" s="9">
        <v>11.116664999999999</v>
      </c>
      <c r="C271" s="9">
        <v>8.1991180000000004</v>
      </c>
      <c r="E271" s="14">
        <f t="shared" si="32"/>
        <v>1.3558366887755486</v>
      </c>
      <c r="F271" s="18">
        <f t="shared" ca="1" si="31"/>
        <v>-0.17367657067242645</v>
      </c>
      <c r="G271" s="15">
        <f t="shared" ca="1" si="29"/>
        <v>1.3592522858607141</v>
      </c>
      <c r="H271" s="15">
        <f t="shared" ca="1" si="30"/>
        <v>1.9666424042927923E-2</v>
      </c>
      <c r="J271" s="17">
        <f t="shared" ca="1" si="33"/>
        <v>0</v>
      </c>
      <c r="K271" s="24">
        <f t="shared" ca="1" si="34"/>
        <v>-1</v>
      </c>
      <c r="L271" s="17">
        <f t="shared" ca="1" si="35"/>
        <v>-1</v>
      </c>
      <c r="N271" s="24" t="str">
        <f ca="1">IF(AND(L271=1,L270&lt;&gt;1),MAX($N$8:N270)+1,"")</f>
        <v/>
      </c>
      <c r="O271" s="24" t="str">
        <f ca="1">IF(AND(L271&lt;&gt;1,L270=1),MAX($O$8:O270)+1,"")</f>
        <v/>
      </c>
      <c r="P271" s="17" t="str">
        <f ca="1">IF(AND(L271=-1,L270&lt;&gt;-1),MAX($P$8:P270)+1,"")</f>
        <v/>
      </c>
      <c r="Q271" s="24" t="str">
        <f ca="1">IF(AND(L271&lt;&gt;-1,L270=-1),MAX($Q$8:Q270)+1,"")</f>
        <v/>
      </c>
    </row>
    <row r="272" spans="1:17" x14ac:dyDescent="0.3">
      <c r="A272" s="3">
        <v>40578</v>
      </c>
      <c r="B272" s="9">
        <v>10.808786</v>
      </c>
      <c r="C272" s="9">
        <v>7.9777979999999999</v>
      </c>
      <c r="E272" s="14">
        <f t="shared" si="32"/>
        <v>1.3548583205541178</v>
      </c>
      <c r="F272" s="18">
        <f t="shared" ca="1" si="31"/>
        <v>-0.16920920639897818</v>
      </c>
      <c r="G272" s="15">
        <f t="shared" ca="1" si="29"/>
        <v>1.3580963400402273</v>
      </c>
      <c r="H272" s="15">
        <f t="shared" ca="1" si="30"/>
        <v>1.9136189779618402E-2</v>
      </c>
      <c r="J272" s="17">
        <f t="shared" ca="1" si="33"/>
        <v>0</v>
      </c>
      <c r="K272" s="24">
        <f t="shared" ca="1" si="34"/>
        <v>-1</v>
      </c>
      <c r="L272" s="17">
        <f t="shared" ca="1" si="35"/>
        <v>-1</v>
      </c>
      <c r="N272" s="24" t="str">
        <f ca="1">IF(AND(L272=1,L271&lt;&gt;1),MAX($N$8:N271)+1,"")</f>
        <v/>
      </c>
      <c r="O272" s="24" t="str">
        <f ca="1">IF(AND(L272&lt;&gt;1,L271=1),MAX($O$8:O271)+1,"")</f>
        <v/>
      </c>
      <c r="P272" s="17" t="str">
        <f ca="1">IF(AND(L272=-1,L271&lt;&gt;-1),MAX($P$8:P271)+1,"")</f>
        <v/>
      </c>
      <c r="Q272" s="24" t="str">
        <f ca="1">IF(AND(L272&lt;&gt;-1,L271=-1),MAX($Q$8:Q271)+1,"")</f>
        <v/>
      </c>
    </row>
    <row r="273" spans="1:17" x14ac:dyDescent="0.3">
      <c r="A273" s="3">
        <v>40581</v>
      </c>
      <c r="B273" s="9">
        <v>10.918747</v>
      </c>
      <c r="C273" s="9">
        <v>8.0597890000000003</v>
      </c>
      <c r="E273" s="14">
        <f t="shared" si="32"/>
        <v>1.3547187153410591</v>
      </c>
      <c r="F273" s="18">
        <f t="shared" ca="1" si="31"/>
        <v>-0.12987824195235725</v>
      </c>
      <c r="G273" s="15">
        <f t="shared" ca="1" si="29"/>
        <v>1.3571561930459615</v>
      </c>
      <c r="H273" s="15">
        <f t="shared" ca="1" si="30"/>
        <v>1.8767406058641103E-2</v>
      </c>
      <c r="J273" s="17">
        <f t="shared" ca="1" si="33"/>
        <v>0</v>
      </c>
      <c r="K273" s="24">
        <f t="shared" ca="1" si="34"/>
        <v>-1</v>
      </c>
      <c r="L273" s="17">
        <f t="shared" ca="1" si="35"/>
        <v>-1</v>
      </c>
      <c r="N273" s="24" t="str">
        <f ca="1">IF(AND(L273=1,L272&lt;&gt;1),MAX($N$8:N272)+1,"")</f>
        <v/>
      </c>
      <c r="O273" s="24" t="str">
        <f ca="1">IF(AND(L273&lt;&gt;1,L272=1),MAX($O$8:O272)+1,"")</f>
        <v/>
      </c>
      <c r="P273" s="17" t="str">
        <f ca="1">IF(AND(L273=-1,L272&lt;&gt;-1),MAX($P$8:P272)+1,"")</f>
        <v/>
      </c>
      <c r="Q273" s="24" t="str">
        <f ca="1">IF(AND(L273&lt;&gt;-1,L272=-1),MAX($Q$8:Q272)+1,"")</f>
        <v/>
      </c>
    </row>
    <row r="274" spans="1:17" x14ac:dyDescent="0.3">
      <c r="A274" s="3">
        <v>40582</v>
      </c>
      <c r="B274" s="9">
        <v>11.245461000000001</v>
      </c>
      <c r="C274" s="9">
        <v>8.2548130000000004</v>
      </c>
      <c r="E274" s="14">
        <f t="shared" si="32"/>
        <v>1.3622914292546664</v>
      </c>
      <c r="F274" s="18">
        <f t="shared" ca="1" si="31"/>
        <v>0.32553375423019804</v>
      </c>
      <c r="G274" s="15">
        <f t="shared" ca="1" si="29"/>
        <v>1.3563760008800314</v>
      </c>
      <c r="H274" s="15">
        <f t="shared" ca="1" si="30"/>
        <v>1.8171474686621752E-2</v>
      </c>
      <c r="J274" s="17">
        <f t="shared" ca="1" si="33"/>
        <v>0</v>
      </c>
      <c r="K274" s="24">
        <f t="shared" ca="1" si="34"/>
        <v>0</v>
      </c>
      <c r="L274" s="17">
        <f t="shared" ca="1" si="35"/>
        <v>0</v>
      </c>
      <c r="N274" s="24" t="str">
        <f ca="1">IF(AND(L274=1,L273&lt;&gt;1),MAX($N$8:N273)+1,"")</f>
        <v/>
      </c>
      <c r="O274" s="24" t="str">
        <f ca="1">IF(AND(L274&lt;&gt;1,L273=1),MAX($O$8:O273)+1,"")</f>
        <v/>
      </c>
      <c r="P274" s="17" t="str">
        <f ca="1">IF(AND(L274=-1,L273&lt;&gt;-1),MAX($P$8:P273)+1,"")</f>
        <v/>
      </c>
      <c r="Q274" s="24">
        <f ca="1">IF(AND(L274&lt;&gt;-1,L273=-1),MAX($Q$8:Q273)+1,"")</f>
        <v>11</v>
      </c>
    </row>
    <row r="275" spans="1:17" x14ac:dyDescent="0.3">
      <c r="A275" s="3">
        <v>40583</v>
      </c>
      <c r="B275" s="9">
        <v>10.981591</v>
      </c>
      <c r="C275" s="9">
        <v>8.1253010000000003</v>
      </c>
      <c r="E275" s="14">
        <f t="shared" si="32"/>
        <v>1.3515303617675209</v>
      </c>
      <c r="F275" s="18">
        <f t="shared" ca="1" si="31"/>
        <v>-0.22551926844361064</v>
      </c>
      <c r="G275" s="15">
        <f t="shared" ca="1" si="29"/>
        <v>1.3555867226569107</v>
      </c>
      <c r="H275" s="15">
        <f t="shared" ca="1" si="30"/>
        <v>1.7986759700774867E-2</v>
      </c>
      <c r="J275" s="17">
        <f t="shared" ca="1" si="33"/>
        <v>0</v>
      </c>
      <c r="K275" s="24">
        <f t="shared" ca="1" si="34"/>
        <v>0</v>
      </c>
      <c r="L275" s="17">
        <f t="shared" ca="1" si="35"/>
        <v>0</v>
      </c>
      <c r="N275" s="24" t="str">
        <f ca="1">IF(AND(L275=1,L274&lt;&gt;1),MAX($N$8:N274)+1,"")</f>
        <v/>
      </c>
      <c r="O275" s="24" t="str">
        <f ca="1">IF(AND(L275&lt;&gt;1,L274=1),MAX($O$8:O274)+1,"")</f>
        <v/>
      </c>
      <c r="P275" s="17" t="str">
        <f ca="1">IF(AND(L275=-1,L274&lt;&gt;-1),MAX($P$8:P274)+1,"")</f>
        <v/>
      </c>
      <c r="Q275" s="24" t="str">
        <f ca="1">IF(AND(L275&lt;&gt;-1,L274=-1),MAX($Q$8:Q274)+1,"")</f>
        <v/>
      </c>
    </row>
    <row r="276" spans="1:17" x14ac:dyDescent="0.3">
      <c r="A276" s="3">
        <v>40584</v>
      </c>
      <c r="B276" s="9">
        <v>10.918747</v>
      </c>
      <c r="C276" s="9">
        <v>8.1417070000000002</v>
      </c>
      <c r="E276" s="14">
        <f t="shared" si="32"/>
        <v>1.34108817720903</v>
      </c>
      <c r="F276" s="18">
        <f t="shared" ca="1" si="31"/>
        <v>-0.73122725107928843</v>
      </c>
      <c r="G276" s="15">
        <f t="shared" ca="1" si="29"/>
        <v>1.3539398851398634</v>
      </c>
      <c r="H276" s="15">
        <f t="shared" ca="1" si="30"/>
        <v>1.7575531972946014E-2</v>
      </c>
      <c r="J276" s="17">
        <f t="shared" ca="1" si="33"/>
        <v>0</v>
      </c>
      <c r="K276" s="24">
        <f t="shared" ca="1" si="34"/>
        <v>0</v>
      </c>
      <c r="L276" s="17">
        <f t="shared" ca="1" si="35"/>
        <v>0</v>
      </c>
      <c r="N276" s="24" t="str">
        <f ca="1">IF(AND(L276=1,L275&lt;&gt;1),MAX($N$8:N275)+1,"")</f>
        <v/>
      </c>
      <c r="O276" s="24" t="str">
        <f ca="1">IF(AND(L276&lt;&gt;1,L275=1),MAX($O$8:O275)+1,"")</f>
        <v/>
      </c>
      <c r="P276" s="17" t="str">
        <f ca="1">IF(AND(L276=-1,L275&lt;&gt;-1),MAX($P$8:P275)+1,"")</f>
        <v/>
      </c>
      <c r="Q276" s="24" t="str">
        <f ca="1">IF(AND(L276&lt;&gt;-1,L275=-1),MAX($Q$8:Q275)+1,"")</f>
        <v/>
      </c>
    </row>
    <row r="277" spans="1:17" x14ac:dyDescent="0.3">
      <c r="A277" s="3">
        <v>40585</v>
      </c>
      <c r="B277" s="9">
        <v>11.342798</v>
      </c>
      <c r="C277" s="9">
        <v>8.1417070000000002</v>
      </c>
      <c r="E277" s="14">
        <f t="shared" si="32"/>
        <v>1.3931719724131562</v>
      </c>
      <c r="F277" s="18">
        <f t="shared" ca="1" si="31"/>
        <v>2.0593450386894512</v>
      </c>
      <c r="G277" s="15">
        <f t="shared" ca="1" si="29"/>
        <v>1.3546022418884129</v>
      </c>
      <c r="H277" s="15">
        <f t="shared" ca="1" si="30"/>
        <v>1.8729124940271617E-2</v>
      </c>
      <c r="J277" s="17">
        <f t="shared" ca="1" si="33"/>
        <v>1</v>
      </c>
      <c r="K277" s="24">
        <f t="shared" ca="1" si="34"/>
        <v>0</v>
      </c>
      <c r="L277" s="17">
        <f t="shared" ca="1" si="35"/>
        <v>1</v>
      </c>
      <c r="N277" s="24">
        <f ca="1">IF(AND(L277=1,L276&lt;&gt;1),MAX($N$8:N276)+1,"")</f>
        <v>11</v>
      </c>
      <c r="O277" s="24" t="str">
        <f ca="1">IF(AND(L277&lt;&gt;1,L276=1),MAX($O$8:O276)+1,"")</f>
        <v/>
      </c>
      <c r="P277" s="17" t="str">
        <f ca="1">IF(AND(L277=-1,L276&lt;&gt;-1),MAX($P$8:P276)+1,"")</f>
        <v/>
      </c>
      <c r="Q277" s="24" t="str">
        <f ca="1">IF(AND(L277&lt;&gt;-1,L276=-1),MAX($Q$8:Q276)+1,"")</f>
        <v/>
      </c>
    </row>
    <row r="278" spans="1:17" x14ac:dyDescent="0.3">
      <c r="A278" s="3">
        <v>40588</v>
      </c>
      <c r="B278" s="9">
        <v>11.427581</v>
      </c>
      <c r="C278" s="9">
        <v>8.1417070000000002</v>
      </c>
      <c r="E278" s="14">
        <f t="shared" si="32"/>
        <v>1.4035853906312274</v>
      </c>
      <c r="F278" s="18">
        <f t="shared" ca="1" si="31"/>
        <v>2.3843799457268098</v>
      </c>
      <c r="G278" s="15">
        <f t="shared" ca="1" si="29"/>
        <v>1.3553261686481666</v>
      </c>
      <c r="H278" s="15">
        <f t="shared" ca="1" si="30"/>
        <v>2.0239736569479676E-2</v>
      </c>
      <c r="J278" s="17">
        <f t="shared" ca="1" si="33"/>
        <v>1</v>
      </c>
      <c r="K278" s="24">
        <f t="shared" ca="1" si="34"/>
        <v>0</v>
      </c>
      <c r="L278" s="17">
        <f t="shared" ca="1" si="35"/>
        <v>1</v>
      </c>
      <c r="N278" s="24" t="str">
        <f ca="1">IF(AND(L278=1,L277&lt;&gt;1),MAX($N$8:N277)+1,"")</f>
        <v/>
      </c>
      <c r="O278" s="24" t="str">
        <f ca="1">IF(AND(L278&lt;&gt;1,L277=1),MAX($O$8:O277)+1,"")</f>
        <v/>
      </c>
      <c r="P278" s="17" t="str">
        <f ca="1">IF(AND(L278=-1,L277&lt;&gt;-1),MAX($P$8:P277)+1,"")</f>
        <v/>
      </c>
      <c r="Q278" s="24" t="str">
        <f ca="1">IF(AND(L278&lt;&gt;-1,L277=-1),MAX($Q$8:Q277)+1,"")</f>
        <v/>
      </c>
    </row>
    <row r="279" spans="1:17" x14ac:dyDescent="0.3">
      <c r="A279" s="3">
        <v>40589</v>
      </c>
      <c r="B279" s="9">
        <v>11.62867</v>
      </c>
      <c r="C279" s="9">
        <v>8.1417070000000002</v>
      </c>
      <c r="E279" s="14">
        <f t="shared" si="32"/>
        <v>1.428284019555113</v>
      </c>
      <c r="F279" s="18">
        <f t="shared" ca="1" si="31"/>
        <v>3.009864763570512</v>
      </c>
      <c r="G279" s="15">
        <f t="shared" ca="1" si="29"/>
        <v>1.3566892427542632</v>
      </c>
      <c r="H279" s="15">
        <f t="shared" ca="1" si="30"/>
        <v>2.3786708847316804E-2</v>
      </c>
      <c r="J279" s="17">
        <f t="shared" ca="1" si="33"/>
        <v>1</v>
      </c>
      <c r="K279" s="24">
        <f t="shared" ca="1" si="34"/>
        <v>0</v>
      </c>
      <c r="L279" s="17">
        <f t="shared" ca="1" si="35"/>
        <v>1</v>
      </c>
      <c r="N279" s="24" t="str">
        <f ca="1">IF(AND(L279=1,L278&lt;&gt;1),MAX($N$8:N278)+1,"")</f>
        <v/>
      </c>
      <c r="O279" s="24" t="str">
        <f ca="1">IF(AND(L279&lt;&gt;1,L278=1),MAX($O$8:O278)+1,"")</f>
        <v/>
      </c>
      <c r="P279" s="17" t="str">
        <f ca="1">IF(AND(L279=-1,L278&lt;&gt;-1),MAX($P$8:P278)+1,"")</f>
        <v/>
      </c>
      <c r="Q279" s="24" t="str">
        <f ca="1">IF(AND(L279&lt;&gt;-1,L278=-1),MAX($Q$8:Q278)+1,"")</f>
        <v/>
      </c>
    </row>
    <row r="280" spans="1:17" x14ac:dyDescent="0.3">
      <c r="A280" s="3">
        <v>40590</v>
      </c>
      <c r="B280" s="9">
        <v>11.889369</v>
      </c>
      <c r="C280" s="9">
        <v>8.1417070000000002</v>
      </c>
      <c r="E280" s="14">
        <f t="shared" si="32"/>
        <v>1.4603042089330898</v>
      </c>
      <c r="F280" s="18">
        <f t="shared" ca="1" si="31"/>
        <v>3.1014705918595471</v>
      </c>
      <c r="G280" s="15">
        <f t="shared" ca="1" si="29"/>
        <v>1.360807640214843</v>
      </c>
      <c r="H280" s="15">
        <f t="shared" ca="1" si="30"/>
        <v>3.2080448861709708E-2</v>
      </c>
      <c r="J280" s="17">
        <f t="shared" ca="1" si="33"/>
        <v>1</v>
      </c>
      <c r="K280" s="24">
        <f t="shared" ca="1" si="34"/>
        <v>0</v>
      </c>
      <c r="L280" s="17">
        <f t="shared" ca="1" si="35"/>
        <v>1</v>
      </c>
      <c r="N280" s="24" t="str">
        <f ca="1">IF(AND(L280=1,L279&lt;&gt;1),MAX($N$8:N279)+1,"")</f>
        <v/>
      </c>
      <c r="O280" s="24" t="str">
        <f ca="1">IF(AND(L280&lt;&gt;1,L279=1),MAX($O$8:O279)+1,"")</f>
        <v/>
      </c>
      <c r="P280" s="17" t="str">
        <f ca="1">IF(AND(L280=-1,L279&lt;&gt;-1),MAX($P$8:P279)+1,"")</f>
        <v/>
      </c>
      <c r="Q280" s="24" t="str">
        <f ca="1">IF(AND(L280&lt;&gt;-1,L279=-1),MAX($Q$8:Q279)+1,"")</f>
        <v/>
      </c>
    </row>
    <row r="281" spans="1:17" x14ac:dyDescent="0.3">
      <c r="A281" s="3">
        <v>40591</v>
      </c>
      <c r="B281" s="9">
        <v>12.002435</v>
      </c>
      <c r="C281" s="9">
        <v>8.1417070000000002</v>
      </c>
      <c r="E281" s="14">
        <f t="shared" si="32"/>
        <v>1.474191468693236</v>
      </c>
      <c r="F281" s="18">
        <f t="shared" ca="1" si="31"/>
        <v>2.7260342594758411</v>
      </c>
      <c r="G281" s="15">
        <f t="shared" ca="1" si="29"/>
        <v>1.3655764777912505</v>
      </c>
      <c r="H281" s="15">
        <f t="shared" ca="1" si="30"/>
        <v>3.9843589831798351E-2</v>
      </c>
      <c r="J281" s="17">
        <f t="shared" ca="1" si="33"/>
        <v>1</v>
      </c>
      <c r="K281" s="24">
        <f t="shared" ca="1" si="34"/>
        <v>0</v>
      </c>
      <c r="L281" s="17">
        <f t="shared" ca="1" si="35"/>
        <v>1</v>
      </c>
      <c r="N281" s="24" t="str">
        <f ca="1">IF(AND(L281=1,L280&lt;&gt;1),MAX($N$8:N280)+1,"")</f>
        <v/>
      </c>
      <c r="O281" s="24" t="str">
        <f ca="1">IF(AND(L281&lt;&gt;1,L280=1),MAX($O$8:O280)+1,"")</f>
        <v/>
      </c>
      <c r="P281" s="17" t="str">
        <f ca="1">IF(AND(L281=-1,L280&lt;&gt;-1),MAX($P$8:P280)+1,"")</f>
        <v/>
      </c>
      <c r="Q281" s="24" t="str">
        <f ca="1">IF(AND(L281&lt;&gt;-1,L280=-1),MAX($Q$8:Q280)+1,"")</f>
        <v/>
      </c>
    </row>
    <row r="282" spans="1:17" x14ac:dyDescent="0.3">
      <c r="A282" s="3">
        <v>40592</v>
      </c>
      <c r="B282" s="9">
        <v>11.949039000000001</v>
      </c>
      <c r="C282" s="9">
        <v>8.1417070000000002</v>
      </c>
      <c r="E282" s="14">
        <f t="shared" si="32"/>
        <v>1.4676331388491382</v>
      </c>
      <c r="F282" s="18">
        <f t="shared" ca="1" si="31"/>
        <v>2.1510618213433146</v>
      </c>
      <c r="G282" s="15">
        <f t="shared" ca="1" si="29"/>
        <v>1.3709002257801257</v>
      </c>
      <c r="H282" s="15">
        <f t="shared" ca="1" si="30"/>
        <v>4.4969843316080893E-2</v>
      </c>
      <c r="J282" s="17">
        <f t="shared" ca="1" si="33"/>
        <v>1</v>
      </c>
      <c r="K282" s="24">
        <f t="shared" ca="1" si="34"/>
        <v>0</v>
      </c>
      <c r="L282" s="17">
        <f t="shared" ca="1" si="35"/>
        <v>1</v>
      </c>
      <c r="N282" s="24" t="str">
        <f ca="1">IF(AND(L282=1,L281&lt;&gt;1),MAX($N$8:N281)+1,"")</f>
        <v/>
      </c>
      <c r="O282" s="24" t="str">
        <f ca="1">IF(AND(L282&lt;&gt;1,L281=1),MAX($O$8:O281)+1,"")</f>
        <v/>
      </c>
      <c r="P282" s="17" t="str">
        <f ca="1">IF(AND(L282=-1,L281&lt;&gt;-1),MAX($P$8:P281)+1,"")</f>
        <v/>
      </c>
      <c r="Q282" s="24" t="str">
        <f ca="1">IF(AND(L282&lt;&gt;-1,L281=-1),MAX($Q$8:Q281)+1,"")</f>
        <v/>
      </c>
    </row>
    <row r="283" spans="1:17" x14ac:dyDescent="0.3">
      <c r="A283" s="3">
        <v>40595</v>
      </c>
      <c r="B283" s="9">
        <v>11.763748</v>
      </c>
      <c r="C283" s="9">
        <v>8.1417070000000002</v>
      </c>
      <c r="E283" s="14">
        <f t="shared" si="32"/>
        <v>1.4448748892584811</v>
      </c>
      <c r="F283" s="18">
        <f t="shared" ca="1" si="31"/>
        <v>1.4747626757343124</v>
      </c>
      <c r="G283" s="15">
        <f t="shared" ca="1" si="29"/>
        <v>1.3751284872850382</v>
      </c>
      <c r="H283" s="15">
        <f t="shared" ca="1" si="30"/>
        <v>4.7293305642356849E-2</v>
      </c>
      <c r="J283" s="17">
        <f t="shared" ca="1" si="33"/>
        <v>1</v>
      </c>
      <c r="K283" s="24">
        <f t="shared" ca="1" si="34"/>
        <v>0</v>
      </c>
      <c r="L283" s="17">
        <f t="shared" ca="1" si="35"/>
        <v>1</v>
      </c>
      <c r="N283" s="24" t="str">
        <f ca="1">IF(AND(L283=1,L282&lt;&gt;1),MAX($N$8:N282)+1,"")</f>
        <v/>
      </c>
      <c r="O283" s="24" t="str">
        <f ca="1">IF(AND(L283&lt;&gt;1,L282=1),MAX($O$8:O282)+1,"")</f>
        <v/>
      </c>
      <c r="P283" s="17" t="str">
        <f ca="1">IF(AND(L283=-1,L282&lt;&gt;-1),MAX($P$8:P282)+1,"")</f>
        <v/>
      </c>
      <c r="Q283" s="24" t="str">
        <f ca="1">IF(AND(L283&lt;&gt;-1,L282=-1),MAX($Q$8:Q282)+1,"")</f>
        <v/>
      </c>
    </row>
    <row r="284" spans="1:17" x14ac:dyDescent="0.3">
      <c r="A284" s="3">
        <v>40596</v>
      </c>
      <c r="B284" s="9">
        <v>11.506156000000001</v>
      </c>
      <c r="C284" s="9">
        <v>8.1417070000000002</v>
      </c>
      <c r="E284" s="14">
        <f t="shared" si="32"/>
        <v>1.413236315185501</v>
      </c>
      <c r="F284" s="18">
        <f t="shared" ca="1" si="31"/>
        <v>0.73675898862089639</v>
      </c>
      <c r="G284" s="15">
        <f t="shared" ca="1" si="29"/>
        <v>1.378326088339267</v>
      </c>
      <c r="H284" s="15">
        <f t="shared" ca="1" si="30"/>
        <v>4.738350992036186E-2</v>
      </c>
      <c r="J284" s="17">
        <f t="shared" ca="1" si="33"/>
        <v>1</v>
      </c>
      <c r="K284" s="24">
        <f t="shared" ca="1" si="34"/>
        <v>0</v>
      </c>
      <c r="L284" s="17">
        <f t="shared" ca="1" si="35"/>
        <v>1</v>
      </c>
      <c r="N284" s="24" t="str">
        <f ca="1">IF(AND(L284=1,L283&lt;&gt;1),MAX($N$8:N283)+1,"")</f>
        <v/>
      </c>
      <c r="O284" s="24" t="str">
        <f ca="1">IF(AND(L284&lt;&gt;1,L283=1),MAX($O$8:O283)+1,"")</f>
        <v/>
      </c>
      <c r="P284" s="17" t="str">
        <f ca="1">IF(AND(L284=-1,L283&lt;&gt;-1),MAX($P$8:P283)+1,"")</f>
        <v/>
      </c>
      <c r="Q284" s="24" t="str">
        <f ca="1">IF(AND(L284&lt;&gt;-1,L283=-1),MAX($Q$8:Q283)+1,"")</f>
        <v/>
      </c>
    </row>
    <row r="285" spans="1:17" x14ac:dyDescent="0.3">
      <c r="A285" s="3">
        <v>40597</v>
      </c>
      <c r="B285" s="9">
        <v>11.562723999999999</v>
      </c>
      <c r="C285" s="9">
        <v>8.1417070000000002</v>
      </c>
      <c r="E285" s="14">
        <f t="shared" si="32"/>
        <v>1.420184243918382</v>
      </c>
      <c r="F285" s="18">
        <f t="shared" ca="1" si="31"/>
        <v>0.81219341141067425</v>
      </c>
      <c r="G285" s="15">
        <f t="shared" ca="1" si="29"/>
        <v>1.3813206252499879</v>
      </c>
      <c r="H285" s="15">
        <f t="shared" ca="1" si="30"/>
        <v>4.7850201839107653E-2</v>
      </c>
      <c r="J285" s="17">
        <f t="shared" ca="1" si="33"/>
        <v>1</v>
      </c>
      <c r="K285" s="24">
        <f t="shared" ca="1" si="34"/>
        <v>0</v>
      </c>
      <c r="L285" s="17">
        <f t="shared" ca="1" si="35"/>
        <v>1</v>
      </c>
      <c r="N285" s="24" t="str">
        <f ca="1">IF(AND(L285=1,L284&lt;&gt;1),MAX($N$8:N284)+1,"")</f>
        <v/>
      </c>
      <c r="O285" s="24" t="str">
        <f ca="1">IF(AND(L285&lt;&gt;1,L284=1),MAX($O$8:O284)+1,"")</f>
        <v/>
      </c>
      <c r="P285" s="17" t="str">
        <f ca="1">IF(AND(L285=-1,L284&lt;&gt;-1),MAX($P$8:P284)+1,"")</f>
        <v/>
      </c>
      <c r="Q285" s="24" t="str">
        <f ca="1">IF(AND(L285&lt;&gt;-1,L284=-1),MAX($Q$8:Q284)+1,"")</f>
        <v/>
      </c>
    </row>
    <row r="286" spans="1:17" x14ac:dyDescent="0.3">
      <c r="A286" s="3">
        <v>40598</v>
      </c>
      <c r="B286" s="9">
        <v>11.455859999999999</v>
      </c>
      <c r="C286" s="9">
        <v>8.1417070000000002</v>
      </c>
      <c r="E286" s="14">
        <f t="shared" si="32"/>
        <v>1.4070587408758384</v>
      </c>
      <c r="F286" s="18">
        <f t="shared" ca="1" si="31"/>
        <v>0.481974333574472</v>
      </c>
      <c r="G286" s="15">
        <f t="shared" ca="1" si="29"/>
        <v>1.3842188693361916</v>
      </c>
      <c r="H286" s="15">
        <f t="shared" ca="1" si="30"/>
        <v>4.7388149012539973E-2</v>
      </c>
      <c r="J286" s="17">
        <f t="shared" ca="1" si="33"/>
        <v>1</v>
      </c>
      <c r="K286" s="24">
        <f t="shared" ca="1" si="34"/>
        <v>0</v>
      </c>
      <c r="L286" s="17">
        <f t="shared" ca="1" si="35"/>
        <v>1</v>
      </c>
      <c r="N286" s="24" t="str">
        <f ca="1">IF(AND(L286=1,L285&lt;&gt;1),MAX($N$8:N285)+1,"")</f>
        <v/>
      </c>
      <c r="O286" s="24" t="str">
        <f ca="1">IF(AND(L286&lt;&gt;1,L285=1),MAX($O$8:O285)+1,"")</f>
        <v/>
      </c>
      <c r="P286" s="17" t="str">
        <f ca="1">IF(AND(L286=-1,L285&lt;&gt;-1),MAX($P$8:P285)+1,"")</f>
        <v/>
      </c>
      <c r="Q286" s="24" t="str">
        <f ca="1">IF(AND(L286&lt;&gt;-1,L285=-1),MAX($Q$8:Q285)+1,"")</f>
        <v/>
      </c>
    </row>
    <row r="287" spans="1:17" x14ac:dyDescent="0.3">
      <c r="A287" s="3">
        <v>40599</v>
      </c>
      <c r="B287" s="9">
        <v>11.405646000000001</v>
      </c>
      <c r="C287" s="9">
        <v>8.1417070000000002</v>
      </c>
      <c r="E287" s="14">
        <f t="shared" si="32"/>
        <v>1.4008912381641836</v>
      </c>
      <c r="F287" s="18">
        <f t="shared" ca="1" si="31"/>
        <v>0.29390455140812982</v>
      </c>
      <c r="G287" s="15">
        <f t="shared" ref="G287:G350" ca="1" si="36">IF(ISNUMBER(E287),IF(ROW(E287)&gt;$J$1,AVERAGE(OFFSET(E287,0,0,-$J$1)),""),"")</f>
        <v>1.3873412570505568</v>
      </c>
      <c r="H287" s="15">
        <f t="shared" ref="H287:H350" ca="1" si="37">IF(ISNUMBER(E287),IF(ROW(E287)&gt;$J$1,_xlfn.STDEV.P(OFFSET(E287,0,0,-$J$1)),""),"")</f>
        <v>4.6103338817678502E-2</v>
      </c>
      <c r="J287" s="17">
        <f t="shared" ca="1" si="33"/>
        <v>1</v>
      </c>
      <c r="K287" s="24">
        <f t="shared" ca="1" si="34"/>
        <v>0</v>
      </c>
      <c r="L287" s="17">
        <f t="shared" ca="1" si="35"/>
        <v>1</v>
      </c>
      <c r="N287" s="24" t="str">
        <f ca="1">IF(AND(L287=1,L286&lt;&gt;1),MAX($N$8:N286)+1,"")</f>
        <v/>
      </c>
      <c r="O287" s="24" t="str">
        <f ca="1">IF(AND(L287&lt;&gt;1,L286=1),MAX($O$8:O286)+1,"")</f>
        <v/>
      </c>
      <c r="P287" s="17" t="str">
        <f ca="1">IF(AND(L287=-1,L286&lt;&gt;-1),MAX($P$8:P286)+1,"")</f>
        <v/>
      </c>
      <c r="Q287" s="24" t="str">
        <f ca="1">IF(AND(L287&lt;&gt;-1,L286=-1),MAX($Q$8:Q286)+1,"")</f>
        <v/>
      </c>
    </row>
    <row r="288" spans="1:17" x14ac:dyDescent="0.3">
      <c r="A288" s="3">
        <v>40602</v>
      </c>
      <c r="B288" s="9">
        <v>11.622396999999999</v>
      </c>
      <c r="C288" s="9">
        <v>8.1417070000000002</v>
      </c>
      <c r="E288" s="14">
        <f t="shared" si="32"/>
        <v>1.4275135423075282</v>
      </c>
      <c r="F288" s="18">
        <f t="shared" ca="1" si="31"/>
        <v>0.79314034148633417</v>
      </c>
      <c r="G288" s="15">
        <f t="shared" ca="1" si="36"/>
        <v>1.3916748590638415</v>
      </c>
      <c r="H288" s="15">
        <f t="shared" ca="1" si="37"/>
        <v>4.51858030276528E-2</v>
      </c>
      <c r="J288" s="17">
        <f t="shared" ca="1" si="33"/>
        <v>1</v>
      </c>
      <c r="K288" s="24">
        <f t="shared" ca="1" si="34"/>
        <v>0</v>
      </c>
      <c r="L288" s="17">
        <f t="shared" ca="1" si="35"/>
        <v>1</v>
      </c>
      <c r="N288" s="24" t="str">
        <f ca="1">IF(AND(L288=1,L287&lt;&gt;1),MAX($N$8:N287)+1,"")</f>
        <v/>
      </c>
      <c r="O288" s="24" t="str">
        <f ca="1">IF(AND(L288&lt;&gt;1,L287=1),MAX($O$8:O287)+1,"")</f>
        <v/>
      </c>
      <c r="P288" s="17" t="str">
        <f ca="1">IF(AND(L288=-1,L287&lt;&gt;-1),MAX($P$8:P287)+1,"")</f>
        <v/>
      </c>
      <c r="Q288" s="24" t="str">
        <f ca="1">IF(AND(L288&lt;&gt;-1,L287=-1),MAX($Q$8:Q287)+1,"")</f>
        <v/>
      </c>
    </row>
    <row r="289" spans="1:17" x14ac:dyDescent="0.3">
      <c r="A289" s="3">
        <v>40603</v>
      </c>
      <c r="B289" s="9">
        <v>11.379189</v>
      </c>
      <c r="C289" s="9">
        <v>8.1417070000000002</v>
      </c>
      <c r="E289" s="14">
        <f t="shared" si="32"/>
        <v>1.3976416739143278</v>
      </c>
      <c r="F289" s="18">
        <f t="shared" ca="1" si="31"/>
        <v>7.1543252370207977E-2</v>
      </c>
      <c r="G289" s="15">
        <f t="shared" ca="1" si="36"/>
        <v>1.3945330632646249</v>
      </c>
      <c r="H289" s="15">
        <f t="shared" ca="1" si="37"/>
        <v>4.345078741482266E-2</v>
      </c>
      <c r="J289" s="17">
        <f t="shared" ca="1" si="33"/>
        <v>1</v>
      </c>
      <c r="K289" s="24">
        <f t="shared" ca="1" si="34"/>
        <v>0</v>
      </c>
      <c r="L289" s="17">
        <f t="shared" ca="1" si="35"/>
        <v>1</v>
      </c>
      <c r="N289" s="24" t="str">
        <f ca="1">IF(AND(L289=1,L288&lt;&gt;1),MAX($N$8:N288)+1,"")</f>
        <v/>
      </c>
      <c r="O289" s="24" t="str">
        <f ca="1">IF(AND(L289&lt;&gt;1,L288=1),MAX($O$8:O288)+1,"")</f>
        <v/>
      </c>
      <c r="P289" s="17" t="str">
        <f ca="1">IF(AND(L289=-1,L288&lt;&gt;-1),MAX($P$8:P288)+1,"")</f>
        <v/>
      </c>
      <c r="Q289" s="24" t="str">
        <f ca="1">IF(AND(L289&lt;&gt;-1,L288=-1),MAX($Q$8:Q288)+1,"")</f>
        <v/>
      </c>
    </row>
    <row r="290" spans="1:17" x14ac:dyDescent="0.3">
      <c r="A290" s="3">
        <v>40604</v>
      </c>
      <c r="B290" s="9">
        <v>11.420057</v>
      </c>
      <c r="C290" s="9">
        <v>8.1417070000000002</v>
      </c>
      <c r="E290" s="14">
        <f t="shared" si="32"/>
        <v>1.4026612601018436</v>
      </c>
      <c r="F290" s="18">
        <f t="shared" ca="1" si="31"/>
        <v>0.11645079253488884</v>
      </c>
      <c r="G290" s="15">
        <f t="shared" ca="1" si="36"/>
        <v>1.3978818360036589</v>
      </c>
      <c r="H290" s="15">
        <f t="shared" ca="1" si="37"/>
        <v>4.1042435127719171E-2</v>
      </c>
      <c r="J290" s="17">
        <f t="shared" ca="1" si="33"/>
        <v>1</v>
      </c>
      <c r="K290" s="24">
        <f t="shared" ca="1" si="34"/>
        <v>0</v>
      </c>
      <c r="L290" s="17">
        <f t="shared" ca="1" si="35"/>
        <v>1</v>
      </c>
      <c r="N290" s="24" t="str">
        <f ca="1">IF(AND(L290=1,L289&lt;&gt;1),MAX($N$8:N289)+1,"")</f>
        <v/>
      </c>
      <c r="O290" s="24" t="str">
        <f ca="1">IF(AND(L290&lt;&gt;1,L289=1),MAX($O$8:O289)+1,"")</f>
        <v/>
      </c>
      <c r="P290" s="17" t="str">
        <f ca="1">IF(AND(L290=-1,L289&lt;&gt;-1),MAX($P$8:P289)+1,"")</f>
        <v/>
      </c>
      <c r="Q290" s="24" t="str">
        <f ca="1">IF(AND(L290&lt;&gt;-1,L289=-1),MAX($Q$8:Q289)+1,"")</f>
        <v/>
      </c>
    </row>
    <row r="291" spans="1:17" x14ac:dyDescent="0.3">
      <c r="A291" s="3">
        <v>40605</v>
      </c>
      <c r="B291" s="9">
        <v>11.699783</v>
      </c>
      <c r="C291" s="9">
        <v>8.1417070000000002</v>
      </c>
      <c r="E291" s="14">
        <f t="shared" si="32"/>
        <v>1.4370184286906911</v>
      </c>
      <c r="F291" s="18">
        <f t="shared" ca="1" si="31"/>
        <v>0.87234544329454089</v>
      </c>
      <c r="G291" s="15">
        <f t="shared" ca="1" si="36"/>
        <v>1.4022175450284928</v>
      </c>
      <c r="H291" s="15">
        <f t="shared" ca="1" si="37"/>
        <v>3.9893466435461149E-2</v>
      </c>
      <c r="J291" s="17">
        <f t="shared" ca="1" si="33"/>
        <v>1</v>
      </c>
      <c r="K291" s="24">
        <f t="shared" ca="1" si="34"/>
        <v>0</v>
      </c>
      <c r="L291" s="17">
        <f t="shared" ca="1" si="35"/>
        <v>1</v>
      </c>
      <c r="N291" s="24" t="str">
        <f ca="1">IF(AND(L291=1,L290&lt;&gt;1),MAX($N$8:N290)+1,"")</f>
        <v/>
      </c>
      <c r="O291" s="24" t="str">
        <f ca="1">IF(AND(L291&lt;&gt;1,L290=1),MAX($O$8:O290)+1,"")</f>
        <v/>
      </c>
      <c r="P291" s="17" t="str">
        <f ca="1">IF(AND(L291=-1,L290&lt;&gt;-1),MAX($P$8:P290)+1,"")</f>
        <v/>
      </c>
      <c r="Q291" s="24" t="str">
        <f ca="1">IF(AND(L291&lt;&gt;-1,L290=-1),MAX($Q$8:Q290)+1,"")</f>
        <v/>
      </c>
    </row>
    <row r="292" spans="1:17" x14ac:dyDescent="0.3">
      <c r="A292" s="3">
        <v>40606</v>
      </c>
      <c r="B292" s="9">
        <v>11.737549</v>
      </c>
      <c r="C292" s="9">
        <v>8.1417070000000002</v>
      </c>
      <c r="E292" s="14">
        <f t="shared" si="32"/>
        <v>1.4416570136950395</v>
      </c>
      <c r="F292" s="18">
        <f t="shared" ca="1" si="31"/>
        <v>0.90439811766491485</v>
      </c>
      <c r="G292" s="15">
        <f t="shared" ca="1" si="36"/>
        <v>1.4063741471858513</v>
      </c>
      <c r="H292" s="15">
        <f t="shared" ca="1" si="37"/>
        <v>3.9012538637614391E-2</v>
      </c>
      <c r="J292" s="17">
        <f t="shared" ca="1" si="33"/>
        <v>1</v>
      </c>
      <c r="K292" s="24">
        <f t="shared" ca="1" si="34"/>
        <v>0</v>
      </c>
      <c r="L292" s="17">
        <f t="shared" ca="1" si="35"/>
        <v>1</v>
      </c>
      <c r="N292" s="24" t="str">
        <f ca="1">IF(AND(L292=1,L291&lt;&gt;1),MAX($N$8:N291)+1,"")</f>
        <v/>
      </c>
      <c r="O292" s="24" t="str">
        <f ca="1">IF(AND(L292&lt;&gt;1,L291=1),MAX($O$8:O291)+1,"")</f>
        <v/>
      </c>
      <c r="P292" s="17" t="str">
        <f ca="1">IF(AND(L292=-1,L291&lt;&gt;-1),MAX($P$8:P291)+1,"")</f>
        <v/>
      </c>
      <c r="Q292" s="24" t="str">
        <f ca="1">IF(AND(L292&lt;&gt;-1,L291=-1),MAX($Q$8:Q291)+1,"")</f>
        <v/>
      </c>
    </row>
    <row r="293" spans="1:17" x14ac:dyDescent="0.3">
      <c r="A293" s="3">
        <v>40611</v>
      </c>
      <c r="B293" s="9">
        <v>11.382294999999999</v>
      </c>
      <c r="C293" s="9">
        <v>8.1417070000000002</v>
      </c>
      <c r="E293" s="14">
        <f t="shared" si="32"/>
        <v>1.3980231663949585</v>
      </c>
      <c r="F293" s="18">
        <f t="shared" ca="1" si="31"/>
        <v>-0.27391282829289937</v>
      </c>
      <c r="G293" s="15">
        <f t="shared" ca="1" si="36"/>
        <v>1.4082917143503699</v>
      </c>
      <c r="H293" s="15">
        <f t="shared" ca="1" si="37"/>
        <v>3.7488379129257544E-2</v>
      </c>
      <c r="J293" s="17">
        <f t="shared" ca="1" si="33"/>
        <v>0</v>
      </c>
      <c r="K293" s="24">
        <f t="shared" ca="1" si="34"/>
        <v>0</v>
      </c>
      <c r="L293" s="17">
        <f t="shared" ca="1" si="35"/>
        <v>0</v>
      </c>
      <c r="N293" s="24" t="str">
        <f ca="1">IF(AND(L293=1,L292&lt;&gt;1),MAX($N$8:N292)+1,"")</f>
        <v/>
      </c>
      <c r="O293" s="24">
        <f ca="1">IF(AND(L293&lt;&gt;1,L292=1),MAX($O$8:O292)+1,"")</f>
        <v>11</v>
      </c>
      <c r="P293" s="17" t="str">
        <f ca="1">IF(AND(L293=-1,L292&lt;&gt;-1),MAX($P$8:P292)+1,"")</f>
        <v/>
      </c>
      <c r="Q293" s="24" t="str">
        <f ca="1">IF(AND(L293&lt;&gt;-1,L292=-1),MAX($Q$8:Q292)+1,"")</f>
        <v/>
      </c>
    </row>
    <row r="294" spans="1:17" x14ac:dyDescent="0.3">
      <c r="A294" s="3">
        <v>40612</v>
      </c>
      <c r="B294" s="9">
        <v>10.945375</v>
      </c>
      <c r="C294" s="9">
        <v>8.2564589999999995</v>
      </c>
      <c r="E294" s="14">
        <f t="shared" si="32"/>
        <v>1.3256742387989817</v>
      </c>
      <c r="F294" s="18">
        <f t="shared" ca="1" si="31"/>
        <v>-2.0424488369218436</v>
      </c>
      <c r="G294" s="15">
        <f t="shared" ca="1" si="36"/>
        <v>1.4069651651796817</v>
      </c>
      <c r="H294" s="15">
        <f t="shared" ca="1" si="37"/>
        <v>3.9800716136034447E-2</v>
      </c>
      <c r="J294" s="17">
        <f t="shared" ca="1" si="33"/>
        <v>0</v>
      </c>
      <c r="K294" s="24">
        <f t="shared" ca="1" si="34"/>
        <v>-1</v>
      </c>
      <c r="L294" s="17">
        <f t="shared" ca="1" si="35"/>
        <v>-1</v>
      </c>
      <c r="N294" s="24" t="str">
        <f ca="1">IF(AND(L294=1,L293&lt;&gt;1),MAX($N$8:N293)+1,"")</f>
        <v/>
      </c>
      <c r="O294" s="24" t="str">
        <f ca="1">IF(AND(L294&lt;&gt;1,L293=1),MAX($O$8:O293)+1,"")</f>
        <v/>
      </c>
      <c r="P294" s="17">
        <f ca="1">IF(AND(L294=-1,L293&lt;&gt;-1),MAX($P$8:P293)+1,"")</f>
        <v>12</v>
      </c>
      <c r="Q294" s="24" t="str">
        <f ca="1">IF(AND(L294&lt;&gt;-1,L293=-1),MAX($Q$8:Q293)+1,"")</f>
        <v/>
      </c>
    </row>
    <row r="295" spans="1:17" x14ac:dyDescent="0.3">
      <c r="A295" s="3">
        <v>40613</v>
      </c>
      <c r="B295" s="9">
        <v>11.215711000000001</v>
      </c>
      <c r="C295" s="9">
        <v>8.3330000000000002</v>
      </c>
      <c r="E295" s="14">
        <f t="shared" si="32"/>
        <v>1.3459391575663027</v>
      </c>
      <c r="F295" s="18">
        <f t="shared" ca="1" si="31"/>
        <v>-1.5020563490804044</v>
      </c>
      <c r="G295" s="15">
        <f t="shared" ca="1" si="36"/>
        <v>1.4065660943717384</v>
      </c>
      <c r="H295" s="15">
        <f t="shared" ca="1" si="37"/>
        <v>4.0362624772734411E-2</v>
      </c>
      <c r="J295" s="17">
        <f t="shared" ca="1" si="33"/>
        <v>0</v>
      </c>
      <c r="K295" s="24">
        <f t="shared" ca="1" si="34"/>
        <v>-1</v>
      </c>
      <c r="L295" s="17">
        <f t="shared" ca="1" si="35"/>
        <v>-1</v>
      </c>
      <c r="N295" s="24" t="str">
        <f ca="1">IF(AND(L295=1,L294&lt;&gt;1),MAX($N$8:N294)+1,"")</f>
        <v/>
      </c>
      <c r="O295" s="24" t="str">
        <f ca="1">IF(AND(L295&lt;&gt;1,L294=1),MAX($O$8:O294)+1,"")</f>
        <v/>
      </c>
      <c r="P295" s="17" t="str">
        <f ca="1">IF(AND(L295=-1,L294&lt;&gt;-1),MAX($P$8:P294)+1,"")</f>
        <v/>
      </c>
      <c r="Q295" s="24" t="str">
        <f ca="1">IF(AND(L295&lt;&gt;-1,L294=-1),MAX($Q$8:Q294)+1,"")</f>
        <v/>
      </c>
    </row>
    <row r="296" spans="1:17" x14ac:dyDescent="0.3">
      <c r="A296" s="3">
        <v>40616</v>
      </c>
      <c r="B296" s="9">
        <v>11.269147999999999</v>
      </c>
      <c r="C296" s="9">
        <v>8.3848920000000007</v>
      </c>
      <c r="E296" s="14">
        <f t="shared" si="32"/>
        <v>1.3439824865961301</v>
      </c>
      <c r="F296" s="18">
        <f t="shared" ca="1" si="31"/>
        <v>-1.4900938387479266</v>
      </c>
      <c r="G296" s="15">
        <f t="shared" ca="1" si="36"/>
        <v>1.4057338697054411</v>
      </c>
      <c r="H296" s="15">
        <f t="shared" ca="1" si="37"/>
        <v>4.1441271350533583E-2</v>
      </c>
      <c r="J296" s="17">
        <f t="shared" ca="1" si="33"/>
        <v>0</v>
      </c>
      <c r="K296" s="24">
        <f t="shared" ca="1" si="34"/>
        <v>-1</v>
      </c>
      <c r="L296" s="17">
        <f t="shared" ca="1" si="35"/>
        <v>-1</v>
      </c>
      <c r="N296" s="24" t="str">
        <f ca="1">IF(AND(L296=1,L295&lt;&gt;1),MAX($N$8:N295)+1,"")</f>
        <v/>
      </c>
      <c r="O296" s="24" t="str">
        <f ca="1">IF(AND(L296&lt;&gt;1,L295=1),MAX($O$8:O295)+1,"")</f>
        <v/>
      </c>
      <c r="P296" s="17" t="str">
        <f ca="1">IF(AND(L296=-1,L295&lt;&gt;-1),MAX($P$8:P295)+1,"")</f>
        <v/>
      </c>
      <c r="Q296" s="24" t="str">
        <f ca="1">IF(AND(L296&lt;&gt;-1,L295=-1),MAX($Q$8:Q295)+1,"")</f>
        <v/>
      </c>
    </row>
    <row r="297" spans="1:17" x14ac:dyDescent="0.3">
      <c r="A297" s="3">
        <v>40617</v>
      </c>
      <c r="B297" s="9">
        <v>11.404313999999999</v>
      </c>
      <c r="C297" s="9">
        <v>8.4668220000000005</v>
      </c>
      <c r="E297" s="14">
        <f t="shared" si="32"/>
        <v>1.3469415088683805</v>
      </c>
      <c r="F297" s="18">
        <f t="shared" ca="1" si="31"/>
        <v>-1.4040736086753789</v>
      </c>
      <c r="G297" s="15">
        <f t="shared" ca="1" si="36"/>
        <v>1.4055252854827527</v>
      </c>
      <c r="H297" s="15">
        <f t="shared" ca="1" si="37"/>
        <v>4.1724149113265427E-2</v>
      </c>
      <c r="J297" s="17">
        <f t="shared" ca="1" si="33"/>
        <v>0</v>
      </c>
      <c r="K297" s="24">
        <f t="shared" ca="1" si="34"/>
        <v>-1</v>
      </c>
      <c r="L297" s="17">
        <f t="shared" ca="1" si="35"/>
        <v>-1</v>
      </c>
      <c r="N297" s="24" t="str">
        <f ca="1">IF(AND(L297=1,L296&lt;&gt;1),MAX($N$8:N296)+1,"")</f>
        <v/>
      </c>
      <c r="O297" s="24" t="str">
        <f ca="1">IF(AND(L297&lt;&gt;1,L296=1),MAX($O$8:O296)+1,"")</f>
        <v/>
      </c>
      <c r="P297" s="17" t="str">
        <f ca="1">IF(AND(L297=-1,L296&lt;&gt;-1),MAX($P$8:P296)+1,"")</f>
        <v/>
      </c>
      <c r="Q297" s="24" t="str">
        <f ca="1">IF(AND(L297&lt;&gt;-1,L296=-1),MAX($Q$8:Q296)+1,"")</f>
        <v/>
      </c>
    </row>
    <row r="298" spans="1:17" x14ac:dyDescent="0.3">
      <c r="A298" s="3">
        <v>40618</v>
      </c>
      <c r="B298" s="9">
        <v>11.133979999999999</v>
      </c>
      <c r="C298" s="9">
        <v>8.3056280000000005</v>
      </c>
      <c r="E298" s="14">
        <f t="shared" si="32"/>
        <v>1.3405343942685608</v>
      </c>
      <c r="F298" s="18">
        <f t="shared" ca="1" si="31"/>
        <v>-1.5555746181059353</v>
      </c>
      <c r="G298" s="15">
        <f t="shared" ca="1" si="36"/>
        <v>1.4055001135309133</v>
      </c>
      <c r="H298" s="15">
        <f t="shared" ca="1" si="37"/>
        <v>4.1763164882090094E-2</v>
      </c>
      <c r="J298" s="17">
        <f t="shared" ca="1" si="33"/>
        <v>0</v>
      </c>
      <c r="K298" s="24">
        <f t="shared" ca="1" si="34"/>
        <v>-1</v>
      </c>
      <c r="L298" s="17">
        <f t="shared" ca="1" si="35"/>
        <v>-1</v>
      </c>
      <c r="N298" s="24" t="str">
        <f ca="1">IF(AND(L298=1,L297&lt;&gt;1),MAX($N$8:N297)+1,"")</f>
        <v/>
      </c>
      <c r="O298" s="24" t="str">
        <f ca="1">IF(AND(L298&lt;&gt;1,L297=1),MAX($O$8:O297)+1,"")</f>
        <v/>
      </c>
      <c r="P298" s="17" t="str">
        <f ca="1">IF(AND(L298=-1,L297&lt;&gt;-1),MAX($P$8:P297)+1,"")</f>
        <v/>
      </c>
      <c r="Q298" s="24" t="str">
        <f ca="1">IF(AND(L298&lt;&gt;-1,L297=-1),MAX($Q$8:Q297)+1,"")</f>
        <v/>
      </c>
    </row>
    <row r="299" spans="1:17" x14ac:dyDescent="0.3">
      <c r="A299" s="3">
        <v>40619</v>
      </c>
      <c r="B299" s="9">
        <v>11.074265</v>
      </c>
      <c r="C299" s="9">
        <v>8.3056280000000005</v>
      </c>
      <c r="E299" s="14">
        <f t="shared" si="32"/>
        <v>1.3333446910937981</v>
      </c>
      <c r="F299" s="18">
        <f t="shared" ca="1" si="31"/>
        <v>-1.565799939747559</v>
      </c>
      <c r="G299" s="15">
        <f t="shared" ca="1" si="36"/>
        <v>1.4027806916527608</v>
      </c>
      <c r="H299" s="15">
        <f t="shared" ca="1" si="37"/>
        <v>4.4345384615455598E-2</v>
      </c>
      <c r="J299" s="17">
        <f t="shared" ca="1" si="33"/>
        <v>0</v>
      </c>
      <c r="K299" s="24">
        <f t="shared" ca="1" si="34"/>
        <v>-1</v>
      </c>
      <c r="L299" s="17">
        <f t="shared" ca="1" si="35"/>
        <v>-1</v>
      </c>
      <c r="N299" s="24" t="str">
        <f ca="1">IF(AND(L299=1,L298&lt;&gt;1),MAX($N$8:N298)+1,"")</f>
        <v/>
      </c>
      <c r="O299" s="24" t="str">
        <f ca="1">IF(AND(L299&lt;&gt;1,L298=1),MAX($O$8:O298)+1,"")</f>
        <v/>
      </c>
      <c r="P299" s="17" t="str">
        <f ca="1">IF(AND(L299=-1,L298&lt;&gt;-1),MAX($P$8:P298)+1,"")</f>
        <v/>
      </c>
      <c r="Q299" s="24" t="str">
        <f ca="1">IF(AND(L299&lt;&gt;-1,L298=-1),MAX($Q$8:Q298)+1,"")</f>
        <v/>
      </c>
    </row>
    <row r="300" spans="1:17" x14ac:dyDescent="0.3">
      <c r="A300" s="3">
        <v>40620</v>
      </c>
      <c r="B300" s="9">
        <v>11.310013</v>
      </c>
      <c r="C300" s="9">
        <v>8.4149270000000005</v>
      </c>
      <c r="E300" s="14">
        <f t="shared" si="32"/>
        <v>1.3440417249014756</v>
      </c>
      <c r="F300" s="18">
        <f t="shared" ca="1" si="31"/>
        <v>-1.2180997038494672</v>
      </c>
      <c r="G300" s="15">
        <f t="shared" ca="1" si="36"/>
        <v>1.4000741613923173</v>
      </c>
      <c r="H300" s="15">
        <f t="shared" ca="1" si="37"/>
        <v>4.599987695076746E-2</v>
      </c>
      <c r="J300" s="17">
        <f t="shared" ca="1" si="33"/>
        <v>0</v>
      </c>
      <c r="K300" s="24">
        <f t="shared" ca="1" si="34"/>
        <v>-1</v>
      </c>
      <c r="L300" s="17">
        <f t="shared" ca="1" si="35"/>
        <v>-1</v>
      </c>
      <c r="N300" s="24" t="str">
        <f ca="1">IF(AND(L300=1,L299&lt;&gt;1),MAX($N$8:N299)+1,"")</f>
        <v/>
      </c>
      <c r="O300" s="24" t="str">
        <f ca="1">IF(AND(L300&lt;&gt;1,L299=1),MAX($O$8:O299)+1,"")</f>
        <v/>
      </c>
      <c r="P300" s="17" t="str">
        <f ca="1">IF(AND(L300=-1,L299&lt;&gt;-1),MAX($P$8:P299)+1,"")</f>
        <v/>
      </c>
      <c r="Q300" s="24" t="str">
        <f ca="1">IF(AND(L300&lt;&gt;-1,L299=-1),MAX($Q$8:Q299)+1,"")</f>
        <v/>
      </c>
    </row>
    <row r="301" spans="1:17" x14ac:dyDescent="0.3">
      <c r="A301" s="3">
        <v>40623</v>
      </c>
      <c r="B301" s="9">
        <v>11.313192000000001</v>
      </c>
      <c r="C301" s="9">
        <v>8.494192</v>
      </c>
      <c r="E301" s="14">
        <f t="shared" si="32"/>
        <v>1.3318738262568117</v>
      </c>
      <c r="F301" s="18">
        <f t="shared" ca="1" si="31"/>
        <v>-1.3388630593557607</v>
      </c>
      <c r="G301" s="15">
        <f t="shared" ca="1" si="36"/>
        <v>1.3956918798787581</v>
      </c>
      <c r="H301" s="15">
        <f t="shared" ca="1" si="37"/>
        <v>4.7665855873754999E-2</v>
      </c>
      <c r="J301" s="17">
        <f t="shared" ca="1" si="33"/>
        <v>0</v>
      </c>
      <c r="K301" s="24">
        <f t="shared" ca="1" si="34"/>
        <v>-1</v>
      </c>
      <c r="L301" s="17">
        <f t="shared" ca="1" si="35"/>
        <v>-1</v>
      </c>
      <c r="N301" s="24" t="str">
        <f ca="1">IF(AND(L301=1,L300&lt;&gt;1),MAX($N$8:N300)+1,"")</f>
        <v/>
      </c>
      <c r="O301" s="24" t="str">
        <f ca="1">IF(AND(L301&lt;&gt;1,L300=1),MAX($O$8:O300)+1,"")</f>
        <v/>
      </c>
      <c r="P301" s="17" t="str">
        <f ca="1">IF(AND(L301=-1,L300&lt;&gt;-1),MAX($P$8:P300)+1,"")</f>
        <v/>
      </c>
      <c r="Q301" s="24" t="str">
        <f ca="1">IF(AND(L301&lt;&gt;-1,L300=-1),MAX($Q$8:Q300)+1,"")</f>
        <v/>
      </c>
    </row>
    <row r="302" spans="1:17" x14ac:dyDescent="0.3">
      <c r="A302" s="3">
        <v>40624</v>
      </c>
      <c r="B302" s="9">
        <v>11.684116</v>
      </c>
      <c r="C302" s="9">
        <v>8.4886769999999991</v>
      </c>
      <c r="E302" s="14">
        <f t="shared" si="32"/>
        <v>1.3764354563143351</v>
      </c>
      <c r="F302" s="18">
        <f t="shared" ca="1" si="31"/>
        <v>-0.33826327897167918</v>
      </c>
      <c r="G302" s="15">
        <f t="shared" ca="1" si="36"/>
        <v>1.391879663850633</v>
      </c>
      <c r="H302" s="15">
        <f t="shared" ca="1" si="37"/>
        <v>4.5657357734035897E-2</v>
      </c>
      <c r="J302" s="17">
        <f t="shared" ca="1" si="33"/>
        <v>0</v>
      </c>
      <c r="K302" s="24">
        <f t="shared" ca="1" si="34"/>
        <v>-1</v>
      </c>
      <c r="L302" s="17">
        <f t="shared" ca="1" si="35"/>
        <v>-1</v>
      </c>
      <c r="N302" s="24" t="str">
        <f ca="1">IF(AND(L302=1,L301&lt;&gt;1),MAX($N$8:N301)+1,"")</f>
        <v/>
      </c>
      <c r="O302" s="24" t="str">
        <f ca="1">IF(AND(L302&lt;&gt;1,L301=1),MAX($O$8:O301)+1,"")</f>
        <v/>
      </c>
      <c r="P302" s="17" t="str">
        <f ca="1">IF(AND(L302=-1,L301&lt;&gt;-1),MAX($P$8:P301)+1,"")</f>
        <v/>
      </c>
      <c r="Q302" s="24" t="str">
        <f ca="1">IF(AND(L302&lt;&gt;-1,L301=-1),MAX($Q$8:Q301)+1,"")</f>
        <v/>
      </c>
    </row>
    <row r="303" spans="1:17" x14ac:dyDescent="0.3">
      <c r="A303" s="3">
        <v>40625</v>
      </c>
      <c r="B303" s="9">
        <v>11.561503999999999</v>
      </c>
      <c r="C303" s="9">
        <v>8.6526599999999991</v>
      </c>
      <c r="E303" s="14">
        <f t="shared" si="32"/>
        <v>1.3361791634017748</v>
      </c>
      <c r="F303" s="18">
        <f t="shared" ca="1" si="31"/>
        <v>-1.1404694820542227</v>
      </c>
      <c r="G303" s="15">
        <f t="shared" ca="1" si="36"/>
        <v>1.3856063772464757</v>
      </c>
      <c r="H303" s="15">
        <f t="shared" ca="1" si="37"/>
        <v>4.3339356837214314E-2</v>
      </c>
      <c r="J303" s="17">
        <f t="shared" ca="1" si="33"/>
        <v>0</v>
      </c>
      <c r="K303" s="24">
        <f t="shared" ca="1" si="34"/>
        <v>-1</v>
      </c>
      <c r="L303" s="17">
        <f t="shared" ca="1" si="35"/>
        <v>-1</v>
      </c>
      <c r="N303" s="24" t="str">
        <f ca="1">IF(AND(L303=1,L302&lt;&gt;1),MAX($N$8:N302)+1,"")</f>
        <v/>
      </c>
      <c r="O303" s="24" t="str">
        <f ca="1">IF(AND(L303&lt;&gt;1,L302=1),MAX($O$8:O302)+1,"")</f>
        <v/>
      </c>
      <c r="P303" s="17" t="str">
        <f ca="1">IF(AND(L303=-1,L302&lt;&gt;-1),MAX($P$8:P302)+1,"")</f>
        <v/>
      </c>
      <c r="Q303" s="24" t="str">
        <f ca="1">IF(AND(L303&lt;&gt;-1,L302=-1),MAX($Q$8:Q302)+1,"")</f>
        <v/>
      </c>
    </row>
    <row r="304" spans="1:17" x14ac:dyDescent="0.3">
      <c r="A304" s="3">
        <v>40626</v>
      </c>
      <c r="B304" s="9">
        <v>11.592919</v>
      </c>
      <c r="C304" s="9">
        <v>8.6744579999999996</v>
      </c>
      <c r="E304" s="14">
        <f t="shared" si="32"/>
        <v>1.3364430377090997</v>
      </c>
      <c r="F304" s="18">
        <f t="shared" ca="1" si="31"/>
        <v>-1.0645568838111676</v>
      </c>
      <c r="G304" s="15">
        <f t="shared" ca="1" si="36"/>
        <v>1.3796431908310194</v>
      </c>
      <c r="H304" s="15">
        <f t="shared" ca="1" si="37"/>
        <v>4.0580408411113718E-2</v>
      </c>
      <c r="J304" s="17">
        <f t="shared" ca="1" si="33"/>
        <v>0</v>
      </c>
      <c r="K304" s="24">
        <f t="shared" ca="1" si="34"/>
        <v>-1</v>
      </c>
      <c r="L304" s="17">
        <f t="shared" ca="1" si="35"/>
        <v>-1</v>
      </c>
      <c r="N304" s="24" t="str">
        <f ca="1">IF(AND(L304=1,L303&lt;&gt;1),MAX($N$8:N303)+1,"")</f>
        <v/>
      </c>
      <c r="O304" s="24" t="str">
        <f ca="1">IF(AND(L304&lt;&gt;1,L303=1),MAX($O$8:O303)+1,"")</f>
        <v/>
      </c>
      <c r="P304" s="17" t="str">
        <f ca="1">IF(AND(L304=-1,L303&lt;&gt;-1),MAX($P$8:P303)+1,"")</f>
        <v/>
      </c>
      <c r="Q304" s="24" t="str">
        <f ca="1">IF(AND(L304&lt;&gt;-1,L303=-1),MAX($Q$8:Q303)+1,"")</f>
        <v/>
      </c>
    </row>
    <row r="305" spans="1:17" x14ac:dyDescent="0.3">
      <c r="A305" s="3">
        <v>40627</v>
      </c>
      <c r="B305" s="9">
        <v>11.5992</v>
      </c>
      <c r="C305" s="9">
        <v>8.6471479999999996</v>
      </c>
      <c r="E305" s="14">
        <f t="shared" si="32"/>
        <v>1.3413902479754019</v>
      </c>
      <c r="F305" s="18">
        <f t="shared" ca="1" si="31"/>
        <v>-0.86688739079310628</v>
      </c>
      <c r="G305" s="15">
        <f t="shared" ca="1" si="36"/>
        <v>1.3749393434999702</v>
      </c>
      <c r="H305" s="15">
        <f t="shared" ca="1" si="37"/>
        <v>3.8700638492243596E-2</v>
      </c>
      <c r="J305" s="17">
        <f t="shared" ca="1" si="33"/>
        <v>0</v>
      </c>
      <c r="K305" s="24">
        <f t="shared" ca="1" si="34"/>
        <v>-1</v>
      </c>
      <c r="L305" s="17">
        <f t="shared" ca="1" si="35"/>
        <v>-1</v>
      </c>
      <c r="N305" s="24" t="str">
        <f ca="1">IF(AND(L305=1,L304&lt;&gt;1),MAX($N$8:N304)+1,"")</f>
        <v/>
      </c>
      <c r="O305" s="24" t="str">
        <f ca="1">IF(AND(L305&lt;&gt;1,L304=1),MAX($O$8:O304)+1,"")</f>
        <v/>
      </c>
      <c r="P305" s="17" t="str">
        <f ca="1">IF(AND(L305=-1,L304&lt;&gt;-1),MAX($P$8:P304)+1,"")</f>
        <v/>
      </c>
      <c r="Q305" s="24" t="str">
        <f ca="1">IF(AND(L305&lt;&gt;-1,L304=-1),MAX($Q$8:Q304)+1,"")</f>
        <v/>
      </c>
    </row>
    <row r="306" spans="1:17" x14ac:dyDescent="0.3">
      <c r="A306" s="3">
        <v>40630</v>
      </c>
      <c r="B306" s="9">
        <v>11.577248000000001</v>
      </c>
      <c r="C306" s="9">
        <v>8.6034299999999995</v>
      </c>
      <c r="E306" s="14">
        <f t="shared" si="32"/>
        <v>1.3456549306497527</v>
      </c>
      <c r="F306" s="18">
        <f t="shared" ca="1" si="31"/>
        <v>-0.68586829220348278</v>
      </c>
      <c r="G306" s="15">
        <f t="shared" ca="1" si="36"/>
        <v>1.3718674623847089</v>
      </c>
      <c r="H306" s="15">
        <f t="shared" ca="1" si="37"/>
        <v>3.8218025286959147E-2</v>
      </c>
      <c r="J306" s="17">
        <f t="shared" ca="1" si="33"/>
        <v>0</v>
      </c>
      <c r="K306" s="24">
        <f t="shared" ca="1" si="34"/>
        <v>-1</v>
      </c>
      <c r="L306" s="17">
        <f t="shared" ca="1" si="35"/>
        <v>-1</v>
      </c>
      <c r="N306" s="24" t="str">
        <f ca="1">IF(AND(L306=1,L305&lt;&gt;1),MAX($N$8:N305)+1,"")</f>
        <v/>
      </c>
      <c r="O306" s="24" t="str">
        <f ca="1">IF(AND(L306&lt;&gt;1,L305=1),MAX($O$8:O305)+1,"")</f>
        <v/>
      </c>
      <c r="P306" s="17" t="str">
        <f ca="1">IF(AND(L306=-1,L305&lt;&gt;-1),MAX($P$8:P305)+1,"")</f>
        <v/>
      </c>
      <c r="Q306" s="24" t="str">
        <f ca="1">IF(AND(L306&lt;&gt;-1,L305=-1),MAX($Q$8:Q305)+1,"")</f>
        <v/>
      </c>
    </row>
    <row r="307" spans="1:17" x14ac:dyDescent="0.3">
      <c r="A307" s="3">
        <v>40631</v>
      </c>
      <c r="B307" s="9">
        <v>11.495509999999999</v>
      </c>
      <c r="C307" s="9">
        <v>8.5979799999999997</v>
      </c>
      <c r="E307" s="14">
        <f t="shared" si="32"/>
        <v>1.3370012491306098</v>
      </c>
      <c r="F307" s="18">
        <f t="shared" ca="1" si="31"/>
        <v>-0.83213522998942135</v>
      </c>
      <c r="G307" s="15">
        <f t="shared" ca="1" si="36"/>
        <v>1.368086417167083</v>
      </c>
      <c r="H307" s="15">
        <f t="shared" ca="1" si="37"/>
        <v>3.7355909131342013E-2</v>
      </c>
      <c r="J307" s="17">
        <f t="shared" ca="1" si="33"/>
        <v>0</v>
      </c>
      <c r="K307" s="24">
        <f t="shared" ca="1" si="34"/>
        <v>-1</v>
      </c>
      <c r="L307" s="17">
        <f t="shared" ca="1" si="35"/>
        <v>-1</v>
      </c>
      <c r="N307" s="24" t="str">
        <f ca="1">IF(AND(L307=1,L306&lt;&gt;1),MAX($N$8:N306)+1,"")</f>
        <v/>
      </c>
      <c r="O307" s="24" t="str">
        <f ca="1">IF(AND(L307&lt;&gt;1,L306=1),MAX($O$8:O306)+1,"")</f>
        <v/>
      </c>
      <c r="P307" s="17" t="str">
        <f ca="1">IF(AND(L307=-1,L306&lt;&gt;-1),MAX($P$8:P306)+1,"")</f>
        <v/>
      </c>
      <c r="Q307" s="24" t="str">
        <f ca="1">IF(AND(L307&lt;&gt;-1,L306=-1),MAX($Q$8:Q306)+1,"")</f>
        <v/>
      </c>
    </row>
    <row r="308" spans="1:17" x14ac:dyDescent="0.3">
      <c r="A308" s="3">
        <v>40632</v>
      </c>
      <c r="B308" s="9">
        <v>11.822379</v>
      </c>
      <c r="C308" s="9">
        <v>8.5979799999999997</v>
      </c>
      <c r="E308" s="14">
        <f t="shared" si="32"/>
        <v>1.3750182019497603</v>
      </c>
      <c r="F308" s="18">
        <f t="shared" ca="1" si="31"/>
        <v>0.23031148743431651</v>
      </c>
      <c r="G308" s="15">
        <f t="shared" ca="1" si="36"/>
        <v>1.3666300290340794</v>
      </c>
      <c r="H308" s="15">
        <f t="shared" ca="1" si="37"/>
        <v>3.6420992322726435E-2</v>
      </c>
      <c r="J308" s="17">
        <f t="shared" ca="1" si="33"/>
        <v>0</v>
      </c>
      <c r="K308" s="24">
        <f t="shared" ca="1" si="34"/>
        <v>0</v>
      </c>
      <c r="L308" s="17">
        <f t="shared" ca="1" si="35"/>
        <v>0</v>
      </c>
      <c r="N308" s="24" t="str">
        <f ca="1">IF(AND(L308=1,L307&lt;&gt;1),MAX($N$8:N307)+1,"")</f>
        <v/>
      </c>
      <c r="O308" s="24" t="str">
        <f ca="1">IF(AND(L308&lt;&gt;1,L307=1),MAX($O$8:O307)+1,"")</f>
        <v/>
      </c>
      <c r="P308" s="17" t="str">
        <f ca="1">IF(AND(L308=-1,L307&lt;&gt;-1),MAX($P$8:P307)+1,"")</f>
        <v/>
      </c>
      <c r="Q308" s="24">
        <f ca="1">IF(AND(L308&lt;&gt;-1,L307=-1),MAX($Q$8:Q307)+1,"")</f>
        <v>12</v>
      </c>
    </row>
    <row r="309" spans="1:17" x14ac:dyDescent="0.3">
      <c r="A309" s="3">
        <v>40633</v>
      </c>
      <c r="B309" s="9">
        <v>12.227895999999999</v>
      </c>
      <c r="C309" s="9">
        <v>8.865748</v>
      </c>
      <c r="E309" s="14">
        <f t="shared" si="32"/>
        <v>1.3792289155974204</v>
      </c>
      <c r="F309" s="18">
        <f t="shared" ca="1" si="31"/>
        <v>0.3797636547792172</v>
      </c>
      <c r="G309" s="15">
        <f t="shared" ca="1" si="36"/>
        <v>1.3656453780083173</v>
      </c>
      <c r="H309" s="15">
        <f t="shared" ca="1" si="37"/>
        <v>3.5768398102762576E-2</v>
      </c>
      <c r="J309" s="17">
        <f t="shared" ca="1" si="33"/>
        <v>0</v>
      </c>
      <c r="K309" s="24">
        <f t="shared" ca="1" si="34"/>
        <v>0</v>
      </c>
      <c r="L309" s="17">
        <f t="shared" ca="1" si="35"/>
        <v>0</v>
      </c>
      <c r="N309" s="24" t="str">
        <f ca="1">IF(AND(L309=1,L308&lt;&gt;1),MAX($N$8:N308)+1,"")</f>
        <v/>
      </c>
      <c r="O309" s="24" t="str">
        <f ca="1">IF(AND(L309&lt;&gt;1,L308=1),MAX($O$8:O308)+1,"")</f>
        <v/>
      </c>
      <c r="P309" s="17" t="str">
        <f ca="1">IF(AND(L309=-1,L308&lt;&gt;-1),MAX($P$8:P308)+1,"")</f>
        <v/>
      </c>
      <c r="Q309" s="24" t="str">
        <f ca="1">IF(AND(L309&lt;&gt;-1,L308=-1),MAX($Q$8:Q308)+1,"")</f>
        <v/>
      </c>
    </row>
    <row r="310" spans="1:17" x14ac:dyDescent="0.3">
      <c r="A310" s="3">
        <v>40634</v>
      </c>
      <c r="B310" s="9">
        <v>12.217320000000001</v>
      </c>
      <c r="C310" s="9">
        <v>8.865748</v>
      </c>
      <c r="E310" s="14">
        <f t="shared" si="32"/>
        <v>1.3780360100467552</v>
      </c>
      <c r="F310" s="18">
        <f t="shared" ca="1" si="31"/>
        <v>0.43994070458817575</v>
      </c>
      <c r="G310" s="15">
        <f t="shared" ca="1" si="36"/>
        <v>1.3633963992691913</v>
      </c>
      <c r="H310" s="15">
        <f t="shared" ca="1" si="37"/>
        <v>3.3276327070639954E-2</v>
      </c>
      <c r="J310" s="17">
        <f t="shared" ca="1" si="33"/>
        <v>0</v>
      </c>
      <c r="K310" s="24">
        <f t="shared" ca="1" si="34"/>
        <v>0</v>
      </c>
      <c r="L310" s="17">
        <f t="shared" ca="1" si="35"/>
        <v>0</v>
      </c>
      <c r="N310" s="24" t="str">
        <f ca="1">IF(AND(L310=1,L309&lt;&gt;1),MAX($N$8:N309)+1,"")</f>
        <v/>
      </c>
      <c r="O310" s="24" t="str">
        <f ca="1">IF(AND(L310&lt;&gt;1,L309=1),MAX($O$8:O309)+1,"")</f>
        <v/>
      </c>
      <c r="P310" s="17" t="str">
        <f ca="1">IF(AND(L310=-1,L309&lt;&gt;-1),MAX($P$8:P309)+1,"")</f>
        <v/>
      </c>
      <c r="Q310" s="24" t="str">
        <f ca="1">IF(AND(L310&lt;&gt;-1,L309=-1),MAX($Q$8:Q309)+1,"")</f>
        <v/>
      </c>
    </row>
    <row r="311" spans="1:17" x14ac:dyDescent="0.3">
      <c r="A311" s="3">
        <v>40637</v>
      </c>
      <c r="B311" s="9">
        <v>12.110383000000001</v>
      </c>
      <c r="C311" s="9">
        <v>9.0706620000000004</v>
      </c>
      <c r="E311" s="14">
        <f t="shared" si="32"/>
        <v>1.3351156729244238</v>
      </c>
      <c r="F311" s="18">
        <f t="shared" ca="1" si="31"/>
        <v>-0.77325556900184766</v>
      </c>
      <c r="G311" s="15">
        <f t="shared" ca="1" si="36"/>
        <v>1.3605543083151046</v>
      </c>
      <c r="H311" s="15">
        <f t="shared" ca="1" si="37"/>
        <v>3.2898095287587928E-2</v>
      </c>
      <c r="J311" s="17">
        <f t="shared" ca="1" si="33"/>
        <v>0</v>
      </c>
      <c r="K311" s="24">
        <f t="shared" ca="1" si="34"/>
        <v>0</v>
      </c>
      <c r="L311" s="17">
        <f t="shared" ca="1" si="35"/>
        <v>0</v>
      </c>
      <c r="N311" s="24" t="str">
        <f ca="1">IF(AND(L311=1,L310&lt;&gt;1),MAX($N$8:N310)+1,"")</f>
        <v/>
      </c>
      <c r="O311" s="24" t="str">
        <f ca="1">IF(AND(L311&lt;&gt;1,L310=1),MAX($O$8:O310)+1,"")</f>
        <v/>
      </c>
      <c r="P311" s="17" t="str">
        <f ca="1">IF(AND(L311=-1,L310&lt;&gt;-1),MAX($P$8:P310)+1,"")</f>
        <v/>
      </c>
      <c r="Q311" s="24" t="str">
        <f ca="1">IF(AND(L311&lt;&gt;-1,L310=-1),MAX($Q$8:Q310)+1,"")</f>
        <v/>
      </c>
    </row>
    <row r="312" spans="1:17" x14ac:dyDescent="0.3">
      <c r="A312" s="3">
        <v>40638</v>
      </c>
      <c r="B312" s="9">
        <v>12.116673</v>
      </c>
      <c r="C312" s="9">
        <v>9.0706620000000004</v>
      </c>
      <c r="E312" s="14">
        <f t="shared" si="32"/>
        <v>1.3358091173499795</v>
      </c>
      <c r="F312" s="18">
        <f t="shared" ca="1" si="31"/>
        <v>-0.67955794191375174</v>
      </c>
      <c r="G312" s="15">
        <f t="shared" ca="1" si="36"/>
        <v>1.3575155745536565</v>
      </c>
      <c r="H312" s="15">
        <f t="shared" ca="1" si="37"/>
        <v>3.1942025638826047E-2</v>
      </c>
      <c r="J312" s="17">
        <f t="shared" ca="1" si="33"/>
        <v>0</v>
      </c>
      <c r="K312" s="24">
        <f t="shared" ca="1" si="34"/>
        <v>0</v>
      </c>
      <c r="L312" s="17">
        <f t="shared" ca="1" si="35"/>
        <v>0</v>
      </c>
      <c r="N312" s="24" t="str">
        <f ca="1">IF(AND(L312=1,L311&lt;&gt;1),MAX($N$8:N311)+1,"")</f>
        <v/>
      </c>
      <c r="O312" s="24" t="str">
        <f ca="1">IF(AND(L312&lt;&gt;1,L311=1),MAX($O$8:O311)+1,"")</f>
        <v/>
      </c>
      <c r="P312" s="17" t="str">
        <f ca="1">IF(AND(L312=-1,L311&lt;&gt;-1),MAX($P$8:P311)+1,"")</f>
        <v/>
      </c>
      <c r="Q312" s="24" t="str">
        <f ca="1">IF(AND(L312&lt;&gt;-1,L311=-1),MAX($Q$8:Q311)+1,"")</f>
        <v/>
      </c>
    </row>
    <row r="313" spans="1:17" x14ac:dyDescent="0.3">
      <c r="A313" s="3">
        <v>40639</v>
      </c>
      <c r="B313" s="9">
        <v>12.07577</v>
      </c>
      <c r="C313" s="9">
        <v>9.0269340000000007</v>
      </c>
      <c r="E313" s="14">
        <f t="shared" si="32"/>
        <v>1.3377487860219206</v>
      </c>
      <c r="F313" s="18">
        <f t="shared" ca="1" si="31"/>
        <v>-0.56444554164615779</v>
      </c>
      <c r="G313" s="15">
        <f t="shared" ca="1" si="36"/>
        <v>1.3530033180687122</v>
      </c>
      <c r="H313" s="15">
        <f t="shared" ca="1" si="37"/>
        <v>2.7025693217990629E-2</v>
      </c>
      <c r="J313" s="17">
        <f t="shared" ca="1" si="33"/>
        <v>0</v>
      </c>
      <c r="K313" s="24">
        <f t="shared" ca="1" si="34"/>
        <v>0</v>
      </c>
      <c r="L313" s="17">
        <f t="shared" ca="1" si="35"/>
        <v>0</v>
      </c>
      <c r="N313" s="24" t="str">
        <f ca="1">IF(AND(L313=1,L312&lt;&gt;1),MAX($N$8:N312)+1,"")</f>
        <v/>
      </c>
      <c r="O313" s="24" t="str">
        <f ca="1">IF(AND(L313&lt;&gt;1,L312=1),MAX($O$8:O312)+1,"")</f>
        <v/>
      </c>
      <c r="P313" s="17" t="str">
        <f ca="1">IF(AND(L313=-1,L312&lt;&gt;-1),MAX($P$8:P312)+1,"")</f>
        <v/>
      </c>
      <c r="Q313" s="24" t="str">
        <f ca="1">IF(AND(L313&lt;&gt;-1,L312=-1),MAX($Q$8:Q312)+1,"")</f>
        <v/>
      </c>
    </row>
    <row r="314" spans="1:17" x14ac:dyDescent="0.3">
      <c r="A314" s="3">
        <v>40640</v>
      </c>
      <c r="B314" s="9">
        <v>12.094642</v>
      </c>
      <c r="C314" s="9">
        <v>9.0569679999999995</v>
      </c>
      <c r="E314" s="14">
        <f t="shared" si="32"/>
        <v>1.3353963489768321</v>
      </c>
      <c r="F314" s="18">
        <f t="shared" ca="1" si="31"/>
        <v>-0.66978459283278768</v>
      </c>
      <c r="G314" s="15">
        <f t="shared" ca="1" si="36"/>
        <v>1.3481732878542483</v>
      </c>
      <c r="H314" s="15">
        <f t="shared" ca="1" si="37"/>
        <v>1.9076191083132198E-2</v>
      </c>
      <c r="J314" s="17">
        <f t="shared" ca="1" si="33"/>
        <v>0</v>
      </c>
      <c r="K314" s="24">
        <f t="shared" ca="1" si="34"/>
        <v>0</v>
      </c>
      <c r="L314" s="17">
        <f t="shared" ca="1" si="35"/>
        <v>0</v>
      </c>
      <c r="N314" s="24" t="str">
        <f ca="1">IF(AND(L314=1,L313&lt;&gt;1),MAX($N$8:N313)+1,"")</f>
        <v/>
      </c>
      <c r="O314" s="24" t="str">
        <f ca="1">IF(AND(L314&lt;&gt;1,L313=1),MAX($O$8:O313)+1,"")</f>
        <v/>
      </c>
      <c r="P314" s="17" t="str">
        <f ca="1">IF(AND(L314=-1,L313&lt;&gt;-1),MAX($P$8:P313)+1,"")</f>
        <v/>
      </c>
      <c r="Q314" s="24" t="str">
        <f ca="1">IF(AND(L314&lt;&gt;-1,L313=-1),MAX($Q$8:Q313)+1,"")</f>
        <v/>
      </c>
    </row>
    <row r="315" spans="1:17" x14ac:dyDescent="0.3">
      <c r="A315" s="3">
        <v>40641</v>
      </c>
      <c r="B315" s="9">
        <v>11.842974999999999</v>
      </c>
      <c r="C315" s="9">
        <v>8.865748</v>
      </c>
      <c r="E315" s="14">
        <f t="shared" si="32"/>
        <v>1.3358122743845189</v>
      </c>
      <c r="F315" s="18">
        <f t="shared" ca="1" si="31"/>
        <v>-0.6030620643905048</v>
      </c>
      <c r="G315" s="15">
        <f t="shared" ca="1" si="36"/>
        <v>1.3453455200355919</v>
      </c>
      <c r="H315" s="15">
        <f t="shared" ca="1" si="37"/>
        <v>1.580806721893209E-2</v>
      </c>
      <c r="J315" s="17">
        <f t="shared" ca="1" si="33"/>
        <v>0</v>
      </c>
      <c r="K315" s="24">
        <f t="shared" ca="1" si="34"/>
        <v>0</v>
      </c>
      <c r="L315" s="17">
        <f t="shared" ca="1" si="35"/>
        <v>0</v>
      </c>
      <c r="N315" s="24" t="str">
        <f ca="1">IF(AND(L315=1,L314&lt;&gt;1),MAX($N$8:N314)+1,"")</f>
        <v/>
      </c>
      <c r="O315" s="24" t="str">
        <f ca="1">IF(AND(L315&lt;&gt;1,L314=1),MAX($O$8:O314)+1,"")</f>
        <v/>
      </c>
      <c r="P315" s="17" t="str">
        <f ca="1">IF(AND(L315=-1,L314&lt;&gt;-1),MAX($P$8:P314)+1,"")</f>
        <v/>
      </c>
      <c r="Q315" s="24" t="str">
        <f ca="1">IF(AND(L315&lt;&gt;-1,L314=-1),MAX($Q$8:Q314)+1,"")</f>
        <v/>
      </c>
    </row>
    <row r="316" spans="1:17" x14ac:dyDescent="0.3">
      <c r="A316" s="3">
        <v>40644</v>
      </c>
      <c r="B316" s="9">
        <v>11.754897</v>
      </c>
      <c r="C316" s="9">
        <v>8.8083360000000006</v>
      </c>
      <c r="E316" s="14">
        <f t="shared" si="32"/>
        <v>1.3345195959827145</v>
      </c>
      <c r="F316" s="18">
        <f t="shared" ca="1" si="31"/>
        <v>-0.72861152029252418</v>
      </c>
      <c r="G316" s="15">
        <f t="shared" ca="1" si="36"/>
        <v>1.3457475817257618</v>
      </c>
      <c r="H316" s="15">
        <f t="shared" ca="1" si="37"/>
        <v>1.5410112838374358E-2</v>
      </c>
      <c r="J316" s="17">
        <f t="shared" ca="1" si="33"/>
        <v>0</v>
      </c>
      <c r="K316" s="24">
        <f t="shared" ca="1" si="34"/>
        <v>0</v>
      </c>
      <c r="L316" s="17">
        <f t="shared" ca="1" si="35"/>
        <v>0</v>
      </c>
      <c r="N316" s="24" t="str">
        <f ca="1">IF(AND(L316=1,L315&lt;&gt;1),MAX($N$8:N315)+1,"")</f>
        <v/>
      </c>
      <c r="O316" s="24" t="str">
        <f ca="1">IF(AND(L316&lt;&gt;1,L315=1),MAX($O$8:O315)+1,"")</f>
        <v/>
      </c>
      <c r="P316" s="17" t="str">
        <f ca="1">IF(AND(L316=-1,L315&lt;&gt;-1),MAX($P$8:P315)+1,"")</f>
        <v/>
      </c>
      <c r="Q316" s="24" t="str">
        <f ca="1">IF(AND(L316&lt;&gt;-1,L315=-1),MAX($Q$8:Q315)+1,"")</f>
        <v/>
      </c>
    </row>
    <row r="317" spans="1:17" x14ac:dyDescent="0.3">
      <c r="A317" s="3">
        <v>40645</v>
      </c>
      <c r="B317" s="9">
        <v>11.695141</v>
      </c>
      <c r="C317" s="9">
        <v>8.7018299999999993</v>
      </c>
      <c r="E317" s="14">
        <f t="shared" si="32"/>
        <v>1.3439863798764169</v>
      </c>
      <c r="F317" s="18">
        <f t="shared" ca="1" si="31"/>
        <v>-0.10849865748699461</v>
      </c>
      <c r="G317" s="15">
        <f t="shared" ca="1" si="36"/>
        <v>1.3456588191034942</v>
      </c>
      <c r="H317" s="15">
        <f t="shared" ca="1" si="37"/>
        <v>1.5414377152802481E-2</v>
      </c>
      <c r="J317" s="17">
        <f t="shared" ca="1" si="33"/>
        <v>0</v>
      </c>
      <c r="K317" s="24">
        <f t="shared" ca="1" si="34"/>
        <v>0</v>
      </c>
      <c r="L317" s="17">
        <f t="shared" ca="1" si="35"/>
        <v>0</v>
      </c>
      <c r="N317" s="24" t="str">
        <f ca="1">IF(AND(L317=1,L316&lt;&gt;1),MAX($N$8:N316)+1,"")</f>
        <v/>
      </c>
      <c r="O317" s="24" t="str">
        <f ca="1">IF(AND(L317&lt;&gt;1,L316=1),MAX($O$8:O316)+1,"")</f>
        <v/>
      </c>
      <c r="P317" s="17" t="str">
        <f ca="1">IF(AND(L317=-1,L316&lt;&gt;-1),MAX($P$8:P316)+1,"")</f>
        <v/>
      </c>
      <c r="Q317" s="24" t="str">
        <f ca="1">IF(AND(L317&lt;&gt;-1,L316=-1),MAX($Q$8:Q316)+1,"")</f>
        <v/>
      </c>
    </row>
    <row r="318" spans="1:17" x14ac:dyDescent="0.3">
      <c r="A318" s="3">
        <v>40646</v>
      </c>
      <c r="B318" s="9">
        <v>11.701427000000001</v>
      </c>
      <c r="C318" s="9">
        <v>8.7209629999999994</v>
      </c>
      <c r="E318" s="14">
        <f t="shared" si="32"/>
        <v>1.3417585878990659</v>
      </c>
      <c r="F318" s="18">
        <f t="shared" ca="1" si="31"/>
        <v>-0.24618105086149553</v>
      </c>
      <c r="G318" s="15">
        <f t="shared" ca="1" si="36"/>
        <v>1.3455577327990822</v>
      </c>
      <c r="H318" s="15">
        <f t="shared" ca="1" si="37"/>
        <v>1.5432320589750676E-2</v>
      </c>
      <c r="J318" s="17">
        <f t="shared" ca="1" si="33"/>
        <v>0</v>
      </c>
      <c r="K318" s="24">
        <f t="shared" ca="1" si="34"/>
        <v>0</v>
      </c>
      <c r="L318" s="17">
        <f t="shared" ca="1" si="35"/>
        <v>0</v>
      </c>
      <c r="N318" s="24" t="str">
        <f ca="1">IF(AND(L318=1,L317&lt;&gt;1),MAX($N$8:N317)+1,"")</f>
        <v/>
      </c>
      <c r="O318" s="24" t="str">
        <f ca="1">IF(AND(L318&lt;&gt;1,L317=1),MAX($O$8:O317)+1,"")</f>
        <v/>
      </c>
      <c r="P318" s="17" t="str">
        <f ca="1">IF(AND(L318=-1,L317&lt;&gt;-1),MAX($P$8:P317)+1,"")</f>
        <v/>
      </c>
      <c r="Q318" s="24" t="str">
        <f ca="1">IF(AND(L318&lt;&gt;-1,L317=-1),MAX($Q$8:Q317)+1,"")</f>
        <v/>
      </c>
    </row>
    <row r="319" spans="1:17" x14ac:dyDescent="0.3">
      <c r="A319" s="3">
        <v>40647</v>
      </c>
      <c r="B319" s="9">
        <v>11.588198</v>
      </c>
      <c r="C319" s="9">
        <v>8.6444259999999993</v>
      </c>
      <c r="E319" s="14">
        <f t="shared" si="32"/>
        <v>1.3405399039797439</v>
      </c>
      <c r="F319" s="18">
        <f t="shared" ca="1" si="31"/>
        <v>-0.30567163189718333</v>
      </c>
      <c r="G319" s="15">
        <f t="shared" ca="1" si="36"/>
        <v>1.3452667507586895</v>
      </c>
      <c r="H319" s="15">
        <f t="shared" ca="1" si="37"/>
        <v>1.5463805880866217E-2</v>
      </c>
      <c r="J319" s="17">
        <f t="shared" ca="1" si="33"/>
        <v>0</v>
      </c>
      <c r="K319" s="24">
        <f t="shared" ca="1" si="34"/>
        <v>0</v>
      </c>
      <c r="L319" s="17">
        <f t="shared" ca="1" si="35"/>
        <v>0</v>
      </c>
      <c r="N319" s="24" t="str">
        <f ca="1">IF(AND(L319=1,L318&lt;&gt;1),MAX($N$8:N318)+1,"")</f>
        <v/>
      </c>
      <c r="O319" s="24" t="str">
        <f ca="1">IF(AND(L319&lt;&gt;1,L318=1),MAX($O$8:O318)+1,"")</f>
        <v/>
      </c>
      <c r="P319" s="17" t="str">
        <f ca="1">IF(AND(L319=-1,L318&lt;&gt;-1),MAX($P$8:P318)+1,"")</f>
        <v/>
      </c>
      <c r="Q319" s="24" t="str">
        <f ca="1">IF(AND(L319&lt;&gt;-1,L318=-1),MAX($Q$8:Q318)+1,"")</f>
        <v/>
      </c>
    </row>
    <row r="320" spans="1:17" x14ac:dyDescent="0.3">
      <c r="A320" s="3">
        <v>40648</v>
      </c>
      <c r="B320" s="9">
        <v>11.632279</v>
      </c>
      <c r="C320" s="9">
        <v>8.6062159999999999</v>
      </c>
      <c r="E320" s="14">
        <f t="shared" si="32"/>
        <v>1.3516136476239966</v>
      </c>
      <c r="F320" s="18">
        <f t="shared" ca="1" si="31"/>
        <v>0.3774278414711254</v>
      </c>
      <c r="G320" s="15">
        <f t="shared" ca="1" si="36"/>
        <v>1.3457703531839367</v>
      </c>
      <c r="H320" s="15">
        <f t="shared" ca="1" si="37"/>
        <v>1.5481885006903935E-2</v>
      </c>
      <c r="J320" s="17">
        <f t="shared" ca="1" si="33"/>
        <v>0</v>
      </c>
      <c r="K320" s="24">
        <f t="shared" ca="1" si="34"/>
        <v>0</v>
      </c>
      <c r="L320" s="17">
        <f t="shared" ca="1" si="35"/>
        <v>0</v>
      </c>
      <c r="N320" s="24" t="str">
        <f ca="1">IF(AND(L320=1,L319&lt;&gt;1),MAX($N$8:N319)+1,"")</f>
        <v/>
      </c>
      <c r="O320" s="24" t="str">
        <f ca="1">IF(AND(L320&lt;&gt;1,L319=1),MAX($O$8:O319)+1,"")</f>
        <v/>
      </c>
      <c r="P320" s="17" t="str">
        <f ca="1">IF(AND(L320=-1,L319&lt;&gt;-1),MAX($P$8:P319)+1,"")</f>
        <v/>
      </c>
      <c r="Q320" s="24" t="str">
        <f ca="1">IF(AND(L320&lt;&gt;-1,L319=-1),MAX($Q$8:Q319)+1,"")</f>
        <v/>
      </c>
    </row>
    <row r="321" spans="1:17" x14ac:dyDescent="0.3">
      <c r="A321" s="3">
        <v>40651</v>
      </c>
      <c r="B321" s="9">
        <v>11.541027</v>
      </c>
      <c r="C321" s="9">
        <v>8.5870789999999992</v>
      </c>
      <c r="E321" s="14">
        <f t="shared" si="32"/>
        <v>1.3439991643258435</v>
      </c>
      <c r="F321" s="18">
        <f t="shared" ca="1" si="31"/>
        <v>-0.14789535782053886</v>
      </c>
      <c r="G321" s="15">
        <f t="shared" ca="1" si="36"/>
        <v>1.3462546474217569</v>
      </c>
      <c r="H321" s="15">
        <f t="shared" ca="1" si="37"/>
        <v>1.5250533411942983E-2</v>
      </c>
      <c r="J321" s="17">
        <f t="shared" ca="1" si="33"/>
        <v>0</v>
      </c>
      <c r="K321" s="24">
        <f t="shared" ca="1" si="34"/>
        <v>0</v>
      </c>
      <c r="L321" s="17">
        <f t="shared" ca="1" si="35"/>
        <v>0</v>
      </c>
      <c r="N321" s="24" t="str">
        <f ca="1">IF(AND(L321=1,L320&lt;&gt;1),MAX($N$8:N320)+1,"")</f>
        <v/>
      </c>
      <c r="O321" s="24" t="str">
        <f ca="1">IF(AND(L321&lt;&gt;1,L320=1),MAX($O$8:O320)+1,"")</f>
        <v/>
      </c>
      <c r="P321" s="17" t="str">
        <f ca="1">IF(AND(L321=-1,L320&lt;&gt;-1),MAX($P$8:P320)+1,"")</f>
        <v/>
      </c>
      <c r="Q321" s="24" t="str">
        <f ca="1">IF(AND(L321&lt;&gt;-1,L320=-1),MAX($Q$8:Q320)+1,"")</f>
        <v/>
      </c>
    </row>
    <row r="322" spans="1:17" x14ac:dyDescent="0.3">
      <c r="A322" s="3">
        <v>40652</v>
      </c>
      <c r="B322" s="9">
        <v>11.720283999999999</v>
      </c>
      <c r="C322" s="9">
        <v>8.6499310000000005</v>
      </c>
      <c r="E322" s="14">
        <f t="shared" si="32"/>
        <v>1.3549569354946298</v>
      </c>
      <c r="F322" s="18">
        <f t="shared" ref="F322:F385" ca="1" si="38">IF(ISNUMBER(G322),(E322-G322)/H322,"")</f>
        <v>0.53468177119738358</v>
      </c>
      <c r="G322" s="15">
        <f t="shared" ca="1" si="36"/>
        <v>1.3467507933578093</v>
      </c>
      <c r="H322" s="15">
        <f t="shared" ca="1" si="37"/>
        <v>1.5347712562639591E-2</v>
      </c>
      <c r="J322" s="17">
        <f t="shared" ca="1" si="33"/>
        <v>0</v>
      </c>
      <c r="K322" s="24">
        <f t="shared" ca="1" si="34"/>
        <v>0</v>
      </c>
      <c r="L322" s="17">
        <f t="shared" ca="1" si="35"/>
        <v>0</v>
      </c>
      <c r="N322" s="24" t="str">
        <f ca="1">IF(AND(L322=1,L321&lt;&gt;1),MAX($N$8:N321)+1,"")</f>
        <v/>
      </c>
      <c r="O322" s="24" t="str">
        <f ca="1">IF(AND(L322&lt;&gt;1,L321=1),MAX($O$8:O321)+1,"")</f>
        <v/>
      </c>
      <c r="P322" s="17" t="str">
        <f ca="1">IF(AND(L322=-1,L321&lt;&gt;-1),MAX($P$8:P321)+1,"")</f>
        <v/>
      </c>
      <c r="Q322" s="24" t="str">
        <f ca="1">IF(AND(L322&lt;&gt;-1,L321=-1),MAX($Q$8:Q321)+1,"")</f>
        <v/>
      </c>
    </row>
    <row r="323" spans="1:17" x14ac:dyDescent="0.3">
      <c r="A323" s="3">
        <v>40653</v>
      </c>
      <c r="B323" s="9">
        <v>11.921659</v>
      </c>
      <c r="C323" s="9">
        <v>8.8056149999999995</v>
      </c>
      <c r="E323" s="14">
        <f t="shared" ref="E323:E386" si="39">IF(ISNUMBER(B323),B323/C323,"")</f>
        <v>1.3538701158295021</v>
      </c>
      <c r="F323" s="18">
        <f t="shared" ca="1" si="38"/>
        <v>0.40634726799101978</v>
      </c>
      <c r="G323" s="15">
        <f t="shared" ca="1" si="36"/>
        <v>1.3477506247020228</v>
      </c>
      <c r="H323" s="15">
        <f t="shared" ca="1" si="37"/>
        <v>1.505975703425814E-2</v>
      </c>
      <c r="J323" s="17">
        <f t="shared" ca="1" si="33"/>
        <v>0</v>
      </c>
      <c r="K323" s="24">
        <f t="shared" ca="1" si="34"/>
        <v>0</v>
      </c>
      <c r="L323" s="17">
        <f t="shared" ca="1" si="35"/>
        <v>0</v>
      </c>
      <c r="N323" s="24" t="str">
        <f ca="1">IF(AND(L323=1,L322&lt;&gt;1),MAX($N$8:N322)+1,"")</f>
        <v/>
      </c>
      <c r="O323" s="24" t="str">
        <f ca="1">IF(AND(L323&lt;&gt;1,L322=1),MAX($O$8:O322)+1,"")</f>
        <v/>
      </c>
      <c r="P323" s="17" t="str">
        <f ca="1">IF(AND(L323=-1,L322&lt;&gt;-1),MAX($P$8:P322)+1,"")</f>
        <v/>
      </c>
      <c r="Q323" s="24" t="str">
        <f ca="1">IF(AND(L323&lt;&gt;-1,L322=-1),MAX($Q$8:Q322)+1,"")</f>
        <v/>
      </c>
    </row>
    <row r="324" spans="1:17" x14ac:dyDescent="0.3">
      <c r="A324" s="3">
        <v>40658</v>
      </c>
      <c r="B324" s="9">
        <v>11.88076</v>
      </c>
      <c r="C324" s="9">
        <v>8.7919970000000003</v>
      </c>
      <c r="E324" s="14">
        <f t="shared" si="39"/>
        <v>1.3513152927599952</v>
      </c>
      <c r="F324" s="18">
        <f t="shared" ca="1" si="38"/>
        <v>0.34264702247194312</v>
      </c>
      <c r="G324" s="15">
        <f t="shared" ca="1" si="36"/>
        <v>1.3466087990859164</v>
      </c>
      <c r="H324" s="15">
        <f t="shared" ca="1" si="37"/>
        <v>1.3735691149816449E-2</v>
      </c>
      <c r="J324" s="17">
        <f t="shared" ca="1" si="33"/>
        <v>0</v>
      </c>
      <c r="K324" s="24">
        <f t="shared" ca="1" si="34"/>
        <v>0</v>
      </c>
      <c r="L324" s="17">
        <f t="shared" ca="1" si="35"/>
        <v>0</v>
      </c>
      <c r="N324" s="24" t="str">
        <f ca="1">IF(AND(L324=1,L323&lt;&gt;1),MAX($N$8:N323)+1,"")</f>
        <v/>
      </c>
      <c r="O324" s="24" t="str">
        <f ca="1">IF(AND(L324&lt;&gt;1,L323=1),MAX($O$8:O323)+1,"")</f>
        <v/>
      </c>
      <c r="P324" s="17" t="str">
        <f ca="1">IF(AND(L324=-1,L323&lt;&gt;-1),MAX($P$8:P323)+1,"")</f>
        <v/>
      </c>
      <c r="Q324" s="24" t="str">
        <f ca="1">IF(AND(L324&lt;&gt;-1,L323=-1),MAX($Q$8:Q323)+1,"")</f>
        <v/>
      </c>
    </row>
    <row r="325" spans="1:17" x14ac:dyDescent="0.3">
      <c r="A325" s="3">
        <v>40659</v>
      </c>
      <c r="B325" s="9">
        <v>12.006558</v>
      </c>
      <c r="C325" s="9">
        <v>8.8411600000000004</v>
      </c>
      <c r="E325" s="14">
        <f t="shared" si="39"/>
        <v>1.358029715557687</v>
      </c>
      <c r="F325" s="18">
        <f t="shared" ca="1" si="38"/>
        <v>0.75917274995799799</v>
      </c>
      <c r="G325" s="15">
        <f t="shared" ca="1" si="36"/>
        <v>1.3476020060020941</v>
      </c>
      <c r="H325" s="15">
        <f t="shared" ca="1" si="37"/>
        <v>1.3735621511928392E-2</v>
      </c>
      <c r="J325" s="17">
        <f t="shared" ca="1" si="33"/>
        <v>0</v>
      </c>
      <c r="K325" s="24">
        <f t="shared" ca="1" si="34"/>
        <v>0</v>
      </c>
      <c r="L325" s="17">
        <f t="shared" ca="1" si="35"/>
        <v>0</v>
      </c>
      <c r="N325" s="24" t="str">
        <f ca="1">IF(AND(L325=1,L324&lt;&gt;1),MAX($N$8:N324)+1,"")</f>
        <v/>
      </c>
      <c r="O325" s="24" t="str">
        <f ca="1">IF(AND(L325&lt;&gt;1,L324=1),MAX($O$8:O324)+1,"")</f>
        <v/>
      </c>
      <c r="P325" s="17" t="str">
        <f ca="1">IF(AND(L325=-1,L324&lt;&gt;-1),MAX($P$8:P324)+1,"")</f>
        <v/>
      </c>
      <c r="Q325" s="24" t="str">
        <f ca="1">IF(AND(L325&lt;&gt;-1,L324=-1),MAX($Q$8:Q324)+1,"")</f>
        <v/>
      </c>
    </row>
    <row r="326" spans="1:17" x14ac:dyDescent="0.3">
      <c r="A326" s="3">
        <v>40660</v>
      </c>
      <c r="B326" s="9">
        <v>11.842974999999999</v>
      </c>
      <c r="C326" s="9">
        <v>8.7018299999999993</v>
      </c>
      <c r="E326" s="14">
        <f t="shared" si="39"/>
        <v>1.3609752201548411</v>
      </c>
      <c r="F326" s="18">
        <f t="shared" ca="1" si="38"/>
        <v>0.88954774328510033</v>
      </c>
      <c r="G326" s="15">
        <f t="shared" ca="1" si="36"/>
        <v>1.3487171052041733</v>
      </c>
      <c r="H326" s="15">
        <f t="shared" ca="1" si="37"/>
        <v>1.378016530669678E-2</v>
      </c>
      <c r="J326" s="17">
        <f t="shared" ca="1" si="33"/>
        <v>0</v>
      </c>
      <c r="K326" s="24">
        <f t="shared" ca="1" si="34"/>
        <v>0</v>
      </c>
      <c r="L326" s="17">
        <f t="shared" ca="1" si="35"/>
        <v>0</v>
      </c>
      <c r="N326" s="24" t="str">
        <f ca="1">IF(AND(L326=1,L325&lt;&gt;1),MAX($N$8:N325)+1,"")</f>
        <v/>
      </c>
      <c r="O326" s="24" t="str">
        <f ca="1">IF(AND(L326&lt;&gt;1,L325=1),MAX($O$8:O325)+1,"")</f>
        <v/>
      </c>
      <c r="P326" s="17" t="str">
        <f ca="1">IF(AND(L326=-1,L325&lt;&gt;-1),MAX($P$8:P325)+1,"")</f>
        <v/>
      </c>
      <c r="Q326" s="24" t="str">
        <f ca="1">IF(AND(L326&lt;&gt;-1,L325=-1),MAX($Q$8:Q325)+1,"")</f>
        <v/>
      </c>
    </row>
    <row r="327" spans="1:17" x14ac:dyDescent="0.3">
      <c r="A327" s="3">
        <v>40661</v>
      </c>
      <c r="B327" s="9">
        <v>11.52216</v>
      </c>
      <c r="C327" s="9">
        <v>8.4914690000000004</v>
      </c>
      <c r="E327" s="14">
        <f t="shared" si="39"/>
        <v>1.3569100941191683</v>
      </c>
      <c r="F327" s="18">
        <f t="shared" ca="1" si="38"/>
        <v>0.54319432309204496</v>
      </c>
      <c r="G327" s="15">
        <f t="shared" ca="1" si="36"/>
        <v>1.3494225527561627</v>
      </c>
      <c r="H327" s="15">
        <f t="shared" ca="1" si="37"/>
        <v>1.3784277641901613E-2</v>
      </c>
      <c r="J327" s="17">
        <f t="shared" ca="1" si="33"/>
        <v>0</v>
      </c>
      <c r="K327" s="24">
        <f t="shared" ca="1" si="34"/>
        <v>0</v>
      </c>
      <c r="L327" s="17">
        <f t="shared" ca="1" si="35"/>
        <v>0</v>
      </c>
      <c r="N327" s="24" t="str">
        <f ca="1">IF(AND(L327=1,L326&lt;&gt;1),MAX($N$8:N326)+1,"")</f>
        <v/>
      </c>
      <c r="O327" s="24" t="str">
        <f ca="1">IF(AND(L327&lt;&gt;1,L326=1),MAX($O$8:O326)+1,"")</f>
        <v/>
      </c>
      <c r="P327" s="17" t="str">
        <f ca="1">IF(AND(L327=-1,L326&lt;&gt;-1),MAX($P$8:P326)+1,"")</f>
        <v/>
      </c>
      <c r="Q327" s="24" t="str">
        <f ca="1">IF(AND(L327&lt;&gt;-1,L326=-1),MAX($Q$8:Q326)+1,"")</f>
        <v/>
      </c>
    </row>
    <row r="328" spans="1:17" x14ac:dyDescent="0.3">
      <c r="A328" s="3">
        <v>40662</v>
      </c>
      <c r="B328" s="9">
        <v>11.669994000000001</v>
      </c>
      <c r="C328" s="9">
        <v>8.5815680000000008</v>
      </c>
      <c r="E328" s="14">
        <f t="shared" si="39"/>
        <v>1.3598906400322179</v>
      </c>
      <c r="F328" s="18">
        <f t="shared" ca="1" si="38"/>
        <v>0.7052467821523376</v>
      </c>
      <c r="G328" s="15">
        <f t="shared" ca="1" si="36"/>
        <v>1.3500696304553657</v>
      </c>
      <c r="H328" s="15">
        <f t="shared" ca="1" si="37"/>
        <v>1.3925635430592978E-2</v>
      </c>
      <c r="J328" s="17">
        <f t="shared" ref="J328:J391" ca="1" si="40">IF(ISNUMBER(F328),IF(AND(J327&lt;&gt;1,F328&gt;$L$1),1,IF(AND(J327=1,F328&gt;$N$1),1,0)),"")</f>
        <v>0</v>
      </c>
      <c r="K328" s="24">
        <f t="shared" ca="1" si="34"/>
        <v>0</v>
      </c>
      <c r="L328" s="17">
        <f t="shared" ca="1" si="35"/>
        <v>0</v>
      </c>
      <c r="N328" s="24" t="str">
        <f ca="1">IF(AND(L328=1,L327&lt;&gt;1),MAX($N$8:N327)+1,"")</f>
        <v/>
      </c>
      <c r="O328" s="24" t="str">
        <f ca="1">IF(AND(L328&lt;&gt;1,L327=1),MAX($O$8:O327)+1,"")</f>
        <v/>
      </c>
      <c r="P328" s="17" t="str">
        <f ca="1">IF(AND(L328=-1,L327&lt;&gt;-1),MAX($P$8:P327)+1,"")</f>
        <v/>
      </c>
      <c r="Q328" s="24" t="str">
        <f ca="1">IF(AND(L328&lt;&gt;-1,L327=-1),MAX($Q$8:Q327)+1,"")</f>
        <v/>
      </c>
    </row>
    <row r="329" spans="1:17" x14ac:dyDescent="0.3">
      <c r="A329" s="3">
        <v>40665</v>
      </c>
      <c r="B329" s="9">
        <v>11.505193999999999</v>
      </c>
      <c r="C329" s="9">
        <v>8.5078200000000006</v>
      </c>
      <c r="E329" s="14">
        <f t="shared" si="39"/>
        <v>1.3523081118312328</v>
      </c>
      <c r="F329" s="18">
        <f t="shared" ca="1" si="38"/>
        <v>0.11314650124054527</v>
      </c>
      <c r="G329" s="15">
        <f t="shared" ca="1" si="36"/>
        <v>1.3507653969417577</v>
      </c>
      <c r="H329" s="15">
        <f t="shared" ca="1" si="37"/>
        <v>1.3634667201907999E-2</v>
      </c>
      <c r="J329" s="17">
        <f t="shared" ca="1" si="40"/>
        <v>0</v>
      </c>
      <c r="K329" s="24">
        <f t="shared" ref="K329:K392" ca="1" si="41">IF(ISNUMBER(F329),IF(AND(K328&lt;&gt;-1,F329&lt;$P$1),-1,IF(AND(K328=-1,F329&lt;R322),-1,0)),"")</f>
        <v>0</v>
      </c>
      <c r="L329" s="17">
        <f t="shared" ref="L329:L392" ca="1" si="42">IF(ISNUMBER(F329),IF(J329=1,1,IF(K329=-1,-1,0)),"")</f>
        <v>0</v>
      </c>
      <c r="N329" s="24" t="str">
        <f ca="1">IF(AND(L329=1,L328&lt;&gt;1),MAX($N$8:N328)+1,"")</f>
        <v/>
      </c>
      <c r="O329" s="24" t="str">
        <f ca="1">IF(AND(L329&lt;&gt;1,L328=1),MAX($O$8:O328)+1,"")</f>
        <v/>
      </c>
      <c r="P329" s="17" t="str">
        <f ca="1">IF(AND(L329=-1,L328&lt;&gt;-1),MAX($P$8:P328)+1,"")</f>
        <v/>
      </c>
      <c r="Q329" s="24" t="str">
        <f ca="1">IF(AND(L329&lt;&gt;-1,L328=-1),MAX($Q$8:Q328)+1,"")</f>
        <v/>
      </c>
    </row>
    <row r="330" spans="1:17" x14ac:dyDescent="0.3">
      <c r="A330" s="3">
        <v>40666</v>
      </c>
      <c r="B330" s="9">
        <v>11.111701</v>
      </c>
      <c r="C330" s="9">
        <v>8.2599540000000005</v>
      </c>
      <c r="E330" s="14">
        <f t="shared" si="39"/>
        <v>1.345249743521574</v>
      </c>
      <c r="F330" s="18">
        <f t="shared" ca="1" si="38"/>
        <v>-0.33040230638752022</v>
      </c>
      <c r="G330" s="15">
        <f t="shared" ca="1" si="36"/>
        <v>1.3494122851950221</v>
      </c>
      <c r="H330" s="15">
        <f t="shared" ca="1" si="37"/>
        <v>1.2598403803410376E-2</v>
      </c>
      <c r="J330" s="17">
        <f t="shared" ca="1" si="40"/>
        <v>0</v>
      </c>
      <c r="K330" s="24">
        <f t="shared" ca="1" si="41"/>
        <v>0</v>
      </c>
      <c r="L330" s="17">
        <f t="shared" ca="1" si="42"/>
        <v>0</v>
      </c>
      <c r="N330" s="24" t="str">
        <f ca="1">IF(AND(L330=1,L329&lt;&gt;1),MAX($N$8:N329)+1,"")</f>
        <v/>
      </c>
      <c r="O330" s="24" t="str">
        <f ca="1">IF(AND(L330&lt;&gt;1,L329=1),MAX($O$8:O329)+1,"")</f>
        <v/>
      </c>
      <c r="P330" s="17" t="str">
        <f ca="1">IF(AND(L330=-1,L329&lt;&gt;-1),MAX($P$8:P329)+1,"")</f>
        <v/>
      </c>
      <c r="Q330" s="24" t="str">
        <f ca="1">IF(AND(L330&lt;&gt;-1,L329=-1),MAX($Q$8:Q329)+1,"")</f>
        <v/>
      </c>
    </row>
    <row r="331" spans="1:17" x14ac:dyDescent="0.3">
      <c r="A331" s="3">
        <v>40667</v>
      </c>
      <c r="B331" s="9">
        <v>11.127389000000001</v>
      </c>
      <c r="C331" s="9">
        <v>8.2544989999999991</v>
      </c>
      <c r="E331" s="14">
        <f t="shared" si="39"/>
        <v>1.3480392934810461</v>
      </c>
      <c r="F331" s="18">
        <f t="shared" ca="1" si="38"/>
        <v>4.1451237292809504E-3</v>
      </c>
      <c r="G331" s="15">
        <f t="shared" ca="1" si="36"/>
        <v>1.3479945750988234</v>
      </c>
      <c r="H331" s="15">
        <f t="shared" ca="1" si="37"/>
        <v>1.0788189965685256E-2</v>
      </c>
      <c r="J331" s="17">
        <f t="shared" ca="1" si="40"/>
        <v>0</v>
      </c>
      <c r="K331" s="24">
        <f t="shared" ca="1" si="41"/>
        <v>0</v>
      </c>
      <c r="L331" s="17">
        <f t="shared" ca="1" si="42"/>
        <v>0</v>
      </c>
      <c r="N331" s="24" t="str">
        <f ca="1">IF(AND(L331=1,L330&lt;&gt;1),MAX($N$8:N330)+1,"")</f>
        <v/>
      </c>
      <c r="O331" s="24" t="str">
        <f ca="1">IF(AND(L331&lt;&gt;1,L330=1),MAX($O$8:O330)+1,"")</f>
        <v/>
      </c>
      <c r="P331" s="17" t="str">
        <f ca="1">IF(AND(L331=-1,L330&lt;&gt;-1),MAX($P$8:P330)+1,"")</f>
        <v/>
      </c>
      <c r="Q331" s="24" t="str">
        <f ca="1">IF(AND(L331&lt;&gt;-1,L330=-1),MAX($Q$8:Q330)+1,"")</f>
        <v/>
      </c>
    </row>
    <row r="332" spans="1:17" x14ac:dyDescent="0.3">
      <c r="A332" s="3">
        <v>40668</v>
      </c>
      <c r="B332" s="9">
        <v>11.253347</v>
      </c>
      <c r="C332" s="9">
        <v>8.3064470000000004</v>
      </c>
      <c r="E332" s="14">
        <f t="shared" si="39"/>
        <v>1.3547726242038263</v>
      </c>
      <c r="F332" s="18">
        <f t="shared" ca="1" si="38"/>
        <v>0.8968281599372977</v>
      </c>
      <c r="G332" s="15">
        <f t="shared" ca="1" si="36"/>
        <v>1.3469371484695991</v>
      </c>
      <c r="H332" s="15">
        <f t="shared" ca="1" si="37"/>
        <v>8.7368752278864457E-3</v>
      </c>
      <c r="J332" s="17">
        <f t="shared" ca="1" si="40"/>
        <v>0</v>
      </c>
      <c r="K332" s="24">
        <f t="shared" ca="1" si="41"/>
        <v>0</v>
      </c>
      <c r="L332" s="17">
        <f t="shared" ca="1" si="42"/>
        <v>0</v>
      </c>
      <c r="N332" s="24" t="str">
        <f ca="1">IF(AND(L332=1,L331&lt;&gt;1),MAX($N$8:N331)+1,"")</f>
        <v/>
      </c>
      <c r="O332" s="24" t="str">
        <f ca="1">IF(AND(L332&lt;&gt;1,L331=1),MAX($O$8:O331)+1,"")</f>
        <v/>
      </c>
      <c r="P332" s="17" t="str">
        <f ca="1">IF(AND(L332=-1,L331&lt;&gt;-1),MAX($P$8:P331)+1,"")</f>
        <v/>
      </c>
      <c r="Q332" s="24" t="str">
        <f ca="1">IF(AND(L332&lt;&gt;-1,L331=-1),MAX($Q$8:Q331)+1,"")</f>
        <v/>
      </c>
    </row>
    <row r="333" spans="1:17" x14ac:dyDescent="0.3">
      <c r="A333" s="3">
        <v>40669</v>
      </c>
      <c r="B333" s="9">
        <v>11.520879000000001</v>
      </c>
      <c r="C333" s="9">
        <v>8.4787909999999993</v>
      </c>
      <c r="E333" s="14">
        <f t="shared" si="39"/>
        <v>1.3587879451209497</v>
      </c>
      <c r="F333" s="18">
        <f t="shared" ca="1" si="38"/>
        <v>1.2424536998440843</v>
      </c>
      <c r="G333" s="15">
        <f t="shared" ca="1" si="36"/>
        <v>1.3480131608421684</v>
      </c>
      <c r="H333" s="15">
        <f t="shared" ca="1" si="37"/>
        <v>8.6721817321107758E-3</v>
      </c>
      <c r="J333" s="17">
        <f t="shared" ca="1" si="40"/>
        <v>1</v>
      </c>
      <c r="K333" s="24">
        <f t="shared" ca="1" si="41"/>
        <v>0</v>
      </c>
      <c r="L333" s="17">
        <f t="shared" ca="1" si="42"/>
        <v>1</v>
      </c>
      <c r="N333" s="24">
        <f ca="1">IF(AND(L333=1,L332&lt;&gt;1),MAX($N$8:N332)+1,"")</f>
        <v>12</v>
      </c>
      <c r="O333" s="24" t="str">
        <f ca="1">IF(AND(L333&lt;&gt;1,L332=1),MAX($O$8:O332)+1,"")</f>
        <v/>
      </c>
      <c r="P333" s="17" t="str">
        <f ca="1">IF(AND(L333=-1,L332&lt;&gt;-1),MAX($P$8:P332)+1,"")</f>
        <v/>
      </c>
      <c r="Q333" s="24" t="str">
        <f ca="1">IF(AND(L333&lt;&gt;-1,L332=-1),MAX($Q$8:Q332)+1,"")</f>
        <v/>
      </c>
    </row>
    <row r="334" spans="1:17" x14ac:dyDescent="0.3">
      <c r="A334" s="3">
        <v>40672</v>
      </c>
      <c r="B334" s="9">
        <v>11.583864</v>
      </c>
      <c r="C334" s="9">
        <v>8.5334690000000002</v>
      </c>
      <c r="E334" s="14">
        <f t="shared" si="39"/>
        <v>1.3574624809675877</v>
      </c>
      <c r="F334" s="18">
        <f t="shared" ca="1" si="38"/>
        <v>1.0009141810078652</v>
      </c>
      <c r="G334" s="15">
        <f t="shared" ca="1" si="36"/>
        <v>1.3489974046429687</v>
      </c>
      <c r="H334" s="15">
        <f t="shared" ca="1" si="37"/>
        <v>8.4573447806435813E-3</v>
      </c>
      <c r="J334" s="17">
        <f t="shared" ca="1" si="40"/>
        <v>1</v>
      </c>
      <c r="K334" s="24">
        <f t="shared" ca="1" si="41"/>
        <v>0</v>
      </c>
      <c r="L334" s="17">
        <f t="shared" ca="1" si="42"/>
        <v>1</v>
      </c>
      <c r="N334" s="24" t="str">
        <f ca="1">IF(AND(L334=1,L333&lt;&gt;1),MAX($N$8:N333)+1,"")</f>
        <v/>
      </c>
      <c r="O334" s="24" t="str">
        <f ca="1">IF(AND(L334&lt;&gt;1,L333=1),MAX($O$8:O333)+1,"")</f>
        <v/>
      </c>
      <c r="P334" s="17" t="str">
        <f ca="1">IF(AND(L334=-1,L333&lt;&gt;-1),MAX($P$8:P333)+1,"")</f>
        <v/>
      </c>
      <c r="Q334" s="24" t="str">
        <f ca="1">IF(AND(L334&lt;&gt;-1,L333=-1),MAX($Q$8:Q333)+1,"")</f>
        <v/>
      </c>
    </row>
    <row r="335" spans="1:17" x14ac:dyDescent="0.3">
      <c r="A335" s="3">
        <v>40673</v>
      </c>
      <c r="B335" s="9">
        <v>11.766434</v>
      </c>
      <c r="C335" s="9">
        <v>8.5334690000000002</v>
      </c>
      <c r="E335" s="14">
        <f t="shared" si="39"/>
        <v>1.3788570627021672</v>
      </c>
      <c r="F335" s="18">
        <f t="shared" ca="1" si="38"/>
        <v>2.7605792499496373</v>
      </c>
      <c r="G335" s="15">
        <f t="shared" ca="1" si="36"/>
        <v>1.350865962673889</v>
      </c>
      <c r="H335" s="15">
        <f t="shared" ca="1" si="37"/>
        <v>1.0139574884071472E-2</v>
      </c>
      <c r="J335" s="17">
        <f t="shared" ca="1" si="40"/>
        <v>1</v>
      </c>
      <c r="K335" s="24">
        <f t="shared" ca="1" si="41"/>
        <v>0</v>
      </c>
      <c r="L335" s="17">
        <f t="shared" ca="1" si="42"/>
        <v>1</v>
      </c>
      <c r="N335" s="24" t="str">
        <f ca="1">IF(AND(L335=1,L334&lt;&gt;1),MAX($N$8:N334)+1,"")</f>
        <v/>
      </c>
      <c r="O335" s="24" t="str">
        <f ca="1">IF(AND(L335&lt;&gt;1,L334=1),MAX($O$8:O334)+1,"")</f>
        <v/>
      </c>
      <c r="P335" s="17" t="str">
        <f ca="1">IF(AND(L335=-1,L334&lt;&gt;-1),MAX($P$8:P334)+1,"")</f>
        <v/>
      </c>
      <c r="Q335" s="24" t="str">
        <f ca="1">IF(AND(L335&lt;&gt;-1,L334=-1),MAX($Q$8:Q334)+1,"")</f>
        <v/>
      </c>
    </row>
    <row r="336" spans="1:17" x14ac:dyDescent="0.3">
      <c r="A336" s="3">
        <v>40674</v>
      </c>
      <c r="B336" s="9">
        <v>11.593332</v>
      </c>
      <c r="C336" s="9">
        <v>8.6072989999999994</v>
      </c>
      <c r="E336" s="14">
        <f t="shared" si="39"/>
        <v>1.3469187023710925</v>
      </c>
      <c r="F336" s="18">
        <f t="shared" ca="1" si="38"/>
        <v>-0.46520685170295401</v>
      </c>
      <c r="G336" s="15">
        <f t="shared" ca="1" si="36"/>
        <v>1.3513897060099918</v>
      </c>
      <c r="H336" s="15">
        <f t="shared" ca="1" si="37"/>
        <v>9.6107863040549996E-3</v>
      </c>
      <c r="J336" s="17">
        <f t="shared" ca="1" si="40"/>
        <v>0</v>
      </c>
      <c r="K336" s="24">
        <f t="shared" ca="1" si="41"/>
        <v>0</v>
      </c>
      <c r="L336" s="17">
        <f t="shared" ca="1" si="42"/>
        <v>0</v>
      </c>
      <c r="N336" s="24" t="str">
        <f ca="1">IF(AND(L336=1,L335&lt;&gt;1),MAX($N$8:N335)+1,"")</f>
        <v/>
      </c>
      <c r="O336" s="24">
        <f ca="1">IF(AND(L336&lt;&gt;1,L335=1),MAX($O$8:O335)+1,"")</f>
        <v>12</v>
      </c>
      <c r="P336" s="17" t="str">
        <f ca="1">IF(AND(L336=-1,L335&lt;&gt;-1),MAX($P$8:P335)+1,"")</f>
        <v/>
      </c>
      <c r="Q336" s="24" t="str">
        <f ca="1">IF(AND(L336&lt;&gt;-1,L335=-1),MAX($Q$8:Q335)+1,"")</f>
        <v/>
      </c>
    </row>
    <row r="337" spans="1:17" x14ac:dyDescent="0.3">
      <c r="A337" s="3">
        <v>40675</v>
      </c>
      <c r="B337" s="9">
        <v>11.533467999999999</v>
      </c>
      <c r="C337" s="9">
        <v>8.6319119999999998</v>
      </c>
      <c r="E337" s="14">
        <f t="shared" si="39"/>
        <v>1.3361429078517018</v>
      </c>
      <c r="F337" s="18">
        <f t="shared" ca="1" si="38"/>
        <v>-1.5919885525682276</v>
      </c>
      <c r="G337" s="15">
        <f t="shared" ca="1" si="36"/>
        <v>1.3514047348039546</v>
      </c>
      <c r="H337" s="15">
        <f t="shared" ca="1" si="37"/>
        <v>9.586643652451007E-3</v>
      </c>
      <c r="J337" s="17">
        <f t="shared" ca="1" si="40"/>
        <v>0</v>
      </c>
      <c r="K337" s="24">
        <f t="shared" ca="1" si="41"/>
        <v>-1</v>
      </c>
      <c r="L337" s="17">
        <f t="shared" ca="1" si="42"/>
        <v>-1</v>
      </c>
      <c r="N337" s="24" t="str">
        <f ca="1">IF(AND(L337=1,L336&lt;&gt;1),MAX($N$8:N336)+1,"")</f>
        <v/>
      </c>
      <c r="O337" s="24" t="str">
        <f ca="1">IF(AND(L337&lt;&gt;1,L336=1),MAX($O$8:O336)+1,"")</f>
        <v/>
      </c>
      <c r="P337" s="17">
        <f ca="1">IF(AND(L337=-1,L336&lt;&gt;-1),MAX($P$8:P336)+1,"")</f>
        <v>13</v>
      </c>
      <c r="Q337" s="24" t="str">
        <f ca="1">IF(AND(L337&lt;&gt;-1,L336=-1),MAX($Q$8:Q336)+1,"")</f>
        <v/>
      </c>
    </row>
    <row r="338" spans="1:17" x14ac:dyDescent="0.3">
      <c r="A338" s="3">
        <v>40676</v>
      </c>
      <c r="B338" s="9">
        <v>11.243876999999999</v>
      </c>
      <c r="C338" s="9">
        <v>8.4104159999999997</v>
      </c>
      <c r="E338" s="14">
        <f t="shared" si="39"/>
        <v>1.3368990309159499</v>
      </c>
      <c r="F338" s="18">
        <f t="shared" ca="1" si="38"/>
        <v>-1.5534627680385484</v>
      </c>
      <c r="G338" s="15">
        <f t="shared" ca="1" si="36"/>
        <v>1.3515128909372836</v>
      </c>
      <c r="H338" s="15">
        <f t="shared" ca="1" si="37"/>
        <v>9.4072805103566255E-3</v>
      </c>
      <c r="J338" s="17">
        <f t="shared" ca="1" si="40"/>
        <v>0</v>
      </c>
      <c r="K338" s="24">
        <f t="shared" ca="1" si="41"/>
        <v>-1</v>
      </c>
      <c r="L338" s="17">
        <f t="shared" ca="1" si="42"/>
        <v>-1</v>
      </c>
      <c r="N338" s="24" t="str">
        <f ca="1">IF(AND(L338=1,L337&lt;&gt;1),MAX($N$8:N337)+1,"")</f>
        <v/>
      </c>
      <c r="O338" s="24" t="str">
        <f ca="1">IF(AND(L338&lt;&gt;1,L337=1),MAX($O$8:O337)+1,"")</f>
        <v/>
      </c>
      <c r="P338" s="17" t="str">
        <f ca="1">IF(AND(L338=-1,L337&lt;&gt;-1),MAX($P$8:P337)+1,"")</f>
        <v/>
      </c>
      <c r="Q338" s="24" t="str">
        <f ca="1">IF(AND(L338&lt;&gt;-1,L337=-1),MAX($Q$8:Q337)+1,"")</f>
        <v/>
      </c>
    </row>
    <row r="339" spans="1:17" x14ac:dyDescent="0.3">
      <c r="A339" s="3">
        <v>40679</v>
      </c>
      <c r="B339" s="9">
        <v>11.133756999999999</v>
      </c>
      <c r="C339" s="9">
        <v>8.4104159999999997</v>
      </c>
      <c r="E339" s="14">
        <f t="shared" si="39"/>
        <v>1.32380574278371</v>
      </c>
      <c r="F339" s="18">
        <f t="shared" ca="1" si="38"/>
        <v>-2.4458181247266193</v>
      </c>
      <c r="G339" s="15">
        <f t="shared" ca="1" si="36"/>
        <v>1.3505955892512513</v>
      </c>
      <c r="H339" s="15">
        <f t="shared" ca="1" si="37"/>
        <v>1.0953327312731307E-2</v>
      </c>
      <c r="J339" s="17">
        <f t="shared" ca="1" si="40"/>
        <v>0</v>
      </c>
      <c r="K339" s="24">
        <f t="shared" ca="1" si="41"/>
        <v>-1</v>
      </c>
      <c r="L339" s="17">
        <f t="shared" ca="1" si="42"/>
        <v>-1</v>
      </c>
      <c r="N339" s="24" t="str">
        <f ca="1">IF(AND(L339=1,L338&lt;&gt;1),MAX($N$8:N338)+1,"")</f>
        <v/>
      </c>
      <c r="O339" s="24" t="str">
        <f ca="1">IF(AND(L339&lt;&gt;1,L338=1),MAX($O$8:O338)+1,"")</f>
        <v/>
      </c>
      <c r="P339" s="17" t="str">
        <f ca="1">IF(AND(L339=-1,L338&lt;&gt;-1),MAX($P$8:P338)+1,"")</f>
        <v/>
      </c>
      <c r="Q339" s="24" t="str">
        <f ca="1">IF(AND(L339&lt;&gt;-1,L338=-1),MAX($Q$8:Q338)+1,"")</f>
        <v/>
      </c>
    </row>
    <row r="340" spans="1:17" x14ac:dyDescent="0.3">
      <c r="A340" s="3">
        <v>40680</v>
      </c>
      <c r="B340" s="9">
        <v>11.1715</v>
      </c>
      <c r="C340" s="9">
        <v>8.3830080000000002</v>
      </c>
      <c r="E340" s="14">
        <f t="shared" si="39"/>
        <v>1.3326362088644075</v>
      </c>
      <c r="F340" s="18">
        <f t="shared" ca="1" si="38"/>
        <v>-1.5333894564842518</v>
      </c>
      <c r="G340" s="15">
        <f t="shared" ca="1" si="36"/>
        <v>1.3501809356587666</v>
      </c>
      <c r="H340" s="15">
        <f t="shared" ca="1" si="37"/>
        <v>1.1441794333571075E-2</v>
      </c>
      <c r="J340" s="17">
        <f t="shared" ca="1" si="40"/>
        <v>0</v>
      </c>
      <c r="K340" s="24">
        <f t="shared" ca="1" si="41"/>
        <v>-1</v>
      </c>
      <c r="L340" s="17">
        <f t="shared" ca="1" si="42"/>
        <v>-1</v>
      </c>
      <c r="N340" s="24" t="str">
        <f ca="1">IF(AND(L340=1,L339&lt;&gt;1),MAX($N$8:N339)+1,"")</f>
        <v/>
      </c>
      <c r="O340" s="24" t="str">
        <f ca="1">IF(AND(L340&lt;&gt;1,L339=1),MAX($O$8:O339)+1,"")</f>
        <v/>
      </c>
      <c r="P340" s="17" t="str">
        <f ca="1">IF(AND(L340=-1,L339&lt;&gt;-1),MAX($P$8:P339)+1,"")</f>
        <v/>
      </c>
      <c r="Q340" s="24" t="str">
        <f ca="1">IF(AND(L340&lt;&gt;-1,L339=-1),MAX($Q$8:Q339)+1,"")</f>
        <v/>
      </c>
    </row>
    <row r="341" spans="1:17" x14ac:dyDescent="0.3">
      <c r="A341" s="3">
        <v>40681</v>
      </c>
      <c r="B341" s="9">
        <v>10.922834999999999</v>
      </c>
      <c r="C341" s="9">
        <v>8.1642419999999998</v>
      </c>
      <c r="E341" s="14">
        <f t="shared" si="39"/>
        <v>1.3378872159840436</v>
      </c>
      <c r="F341" s="18">
        <f t="shared" ca="1" si="38"/>
        <v>-1.053389546660582</v>
      </c>
      <c r="G341" s="15">
        <f t="shared" ca="1" si="36"/>
        <v>1.3500603589316895</v>
      </c>
      <c r="H341" s="15">
        <f t="shared" ca="1" si="37"/>
        <v>1.1556164560619378E-2</v>
      </c>
      <c r="J341" s="17">
        <f t="shared" ca="1" si="40"/>
        <v>0</v>
      </c>
      <c r="K341" s="24">
        <f t="shared" ca="1" si="41"/>
        <v>-1</v>
      </c>
      <c r="L341" s="17">
        <f t="shared" ca="1" si="42"/>
        <v>-1</v>
      </c>
      <c r="N341" s="24" t="str">
        <f ca="1">IF(AND(L341=1,L340&lt;&gt;1),MAX($N$8:N340)+1,"")</f>
        <v/>
      </c>
      <c r="O341" s="24" t="str">
        <f ca="1">IF(AND(L341&lt;&gt;1,L340=1),MAX($O$8:O340)+1,"")</f>
        <v/>
      </c>
      <c r="P341" s="17" t="str">
        <f ca="1">IF(AND(L341=-1,L340&lt;&gt;-1),MAX($P$8:P340)+1,"")</f>
        <v/>
      </c>
      <c r="Q341" s="24" t="str">
        <f ca="1">IF(AND(L341&lt;&gt;-1,L340=-1),MAX($Q$8:Q340)+1,"")</f>
        <v/>
      </c>
    </row>
    <row r="342" spans="1:17" x14ac:dyDescent="0.3">
      <c r="A342" s="3">
        <v>40682</v>
      </c>
      <c r="B342" s="9">
        <v>10.903966</v>
      </c>
      <c r="C342" s="9">
        <v>8.1642419999999998</v>
      </c>
      <c r="E342" s="14">
        <f t="shared" si="39"/>
        <v>1.3355760400046937</v>
      </c>
      <c r="F342" s="18">
        <f t="shared" ca="1" si="38"/>
        <v>-1.1525379179494397</v>
      </c>
      <c r="G342" s="15">
        <f t="shared" ca="1" si="36"/>
        <v>1.3493313767671755</v>
      </c>
      <c r="H342" s="15">
        <f t="shared" ca="1" si="37"/>
        <v>1.1934823616870616E-2</v>
      </c>
      <c r="J342" s="17">
        <f t="shared" ca="1" si="40"/>
        <v>0</v>
      </c>
      <c r="K342" s="24">
        <f t="shared" ca="1" si="41"/>
        <v>-1</v>
      </c>
      <c r="L342" s="17">
        <f t="shared" ca="1" si="42"/>
        <v>-1</v>
      </c>
      <c r="N342" s="24" t="str">
        <f ca="1">IF(AND(L342=1,L341&lt;&gt;1),MAX($N$8:N341)+1,"")</f>
        <v/>
      </c>
      <c r="O342" s="24" t="str">
        <f ca="1">IF(AND(L342&lt;&gt;1,L341=1),MAX($O$8:O341)+1,"")</f>
        <v/>
      </c>
      <c r="P342" s="17" t="str">
        <f ca="1">IF(AND(L342=-1,L341&lt;&gt;-1),MAX($P$8:P341)+1,"")</f>
        <v/>
      </c>
      <c r="Q342" s="24" t="str">
        <f ca="1">IF(AND(L342&lt;&gt;-1,L341=-1),MAX($Q$8:Q341)+1,"")</f>
        <v/>
      </c>
    </row>
    <row r="343" spans="1:17" x14ac:dyDescent="0.3">
      <c r="A343" s="3">
        <v>40683</v>
      </c>
      <c r="B343" s="9">
        <v>10.875624999999999</v>
      </c>
      <c r="C343" s="9">
        <v>8.1642419999999998</v>
      </c>
      <c r="E343" s="14">
        <f t="shared" si="39"/>
        <v>1.3321046828352221</v>
      </c>
      <c r="F343" s="18">
        <f t="shared" ca="1" si="38"/>
        <v>-1.3430982482314475</v>
      </c>
      <c r="G343" s="15">
        <f t="shared" ca="1" si="36"/>
        <v>1.348790718517602</v>
      </c>
      <c r="H343" s="15">
        <f t="shared" ca="1" si="37"/>
        <v>1.2423540648907555E-2</v>
      </c>
      <c r="J343" s="17">
        <f t="shared" ca="1" si="40"/>
        <v>0</v>
      </c>
      <c r="K343" s="24">
        <f t="shared" ca="1" si="41"/>
        <v>-1</v>
      </c>
      <c r="L343" s="17">
        <f t="shared" ca="1" si="42"/>
        <v>-1</v>
      </c>
      <c r="N343" s="24" t="str">
        <f ca="1">IF(AND(L343=1,L342&lt;&gt;1),MAX($N$8:N342)+1,"")</f>
        <v/>
      </c>
      <c r="O343" s="24" t="str">
        <f ca="1">IF(AND(L343&lt;&gt;1,L342=1),MAX($O$8:O342)+1,"")</f>
        <v/>
      </c>
      <c r="P343" s="17" t="str">
        <f ca="1">IF(AND(L343=-1,L342&lt;&gt;-1),MAX($P$8:P342)+1,"")</f>
        <v/>
      </c>
      <c r="Q343" s="24" t="str">
        <f ca="1">IF(AND(L343&lt;&gt;-1,L342=-1),MAX($Q$8:Q342)+1,"")</f>
        <v/>
      </c>
    </row>
    <row r="344" spans="1:17" x14ac:dyDescent="0.3">
      <c r="A344" s="3">
        <v>40686</v>
      </c>
      <c r="B344" s="9">
        <v>10.82841</v>
      </c>
      <c r="C344" s="9">
        <v>8.1724219999999992</v>
      </c>
      <c r="E344" s="14">
        <f t="shared" si="39"/>
        <v>1.3249939858710185</v>
      </c>
      <c r="F344" s="18">
        <f t="shared" ca="1" si="38"/>
        <v>-1.688681648136398</v>
      </c>
      <c r="G344" s="15">
        <f t="shared" ca="1" si="36"/>
        <v>1.3474287662619835</v>
      </c>
      <c r="H344" s="15">
        <f t="shared" ca="1" si="37"/>
        <v>1.3285381774429591E-2</v>
      </c>
      <c r="J344" s="17">
        <f t="shared" ca="1" si="40"/>
        <v>0</v>
      </c>
      <c r="K344" s="24">
        <f t="shared" ca="1" si="41"/>
        <v>-1</v>
      </c>
      <c r="L344" s="17">
        <f t="shared" ca="1" si="42"/>
        <v>-1</v>
      </c>
      <c r="N344" s="24" t="str">
        <f ca="1">IF(AND(L344=1,L343&lt;&gt;1),MAX($N$8:N343)+1,"")</f>
        <v/>
      </c>
      <c r="O344" s="24" t="str">
        <f ca="1">IF(AND(L344&lt;&gt;1,L343=1),MAX($O$8:O343)+1,"")</f>
        <v/>
      </c>
      <c r="P344" s="17" t="str">
        <f ca="1">IF(AND(L344=-1,L343&lt;&gt;-1),MAX($P$8:P343)+1,"")</f>
        <v/>
      </c>
      <c r="Q344" s="24" t="str">
        <f ca="1">IF(AND(L344&lt;&gt;-1,L343=-1),MAX($Q$8:Q343)+1,"")</f>
        <v/>
      </c>
    </row>
    <row r="345" spans="1:17" x14ac:dyDescent="0.3">
      <c r="A345" s="3">
        <v>40687</v>
      </c>
      <c r="B345" s="9">
        <v>11.055016</v>
      </c>
      <c r="C345" s="9">
        <v>8.3310589999999998</v>
      </c>
      <c r="E345" s="14">
        <f t="shared" si="39"/>
        <v>1.3269640750353586</v>
      </c>
      <c r="F345" s="18">
        <f t="shared" ca="1" si="38"/>
        <v>-1.3880847700789414</v>
      </c>
      <c r="G345" s="15">
        <f t="shared" ca="1" si="36"/>
        <v>1.3462057644077041</v>
      </c>
      <c r="H345" s="15">
        <f t="shared" ca="1" si="37"/>
        <v>1.3862041992760431E-2</v>
      </c>
      <c r="J345" s="17">
        <f t="shared" ca="1" si="40"/>
        <v>0</v>
      </c>
      <c r="K345" s="24">
        <f t="shared" ca="1" si="41"/>
        <v>-1</v>
      </c>
      <c r="L345" s="17">
        <f t="shared" ca="1" si="42"/>
        <v>-1</v>
      </c>
      <c r="N345" s="24" t="str">
        <f ca="1">IF(AND(L345=1,L344&lt;&gt;1),MAX($N$8:N344)+1,"")</f>
        <v/>
      </c>
      <c r="O345" s="24" t="str">
        <f ca="1">IF(AND(L345&lt;&gt;1,L344=1),MAX($O$8:O344)+1,"")</f>
        <v/>
      </c>
      <c r="P345" s="17" t="str">
        <f ca="1">IF(AND(L345=-1,L344&lt;&gt;-1),MAX($P$8:P344)+1,"")</f>
        <v/>
      </c>
      <c r="Q345" s="24" t="str">
        <f ca="1">IF(AND(L345&lt;&gt;-1,L344=-1),MAX($Q$8:Q344)+1,"")</f>
        <v/>
      </c>
    </row>
    <row r="346" spans="1:17" x14ac:dyDescent="0.3">
      <c r="A346" s="3">
        <v>40688</v>
      </c>
      <c r="B346" s="9">
        <v>10.938529000000001</v>
      </c>
      <c r="C346" s="9">
        <v>8.2544989999999991</v>
      </c>
      <c r="E346" s="14">
        <f t="shared" si="39"/>
        <v>1.3251596493015507</v>
      </c>
      <c r="F346" s="18">
        <f t="shared" ca="1" si="38"/>
        <v>-1.371292221659518</v>
      </c>
      <c r="G346" s="15">
        <f t="shared" ca="1" si="36"/>
        <v>1.3450168715232294</v>
      </c>
      <c r="H346" s="15">
        <f t="shared" ca="1" si="37"/>
        <v>1.4480664228991033E-2</v>
      </c>
      <c r="J346" s="17">
        <f t="shared" ca="1" si="40"/>
        <v>0</v>
      </c>
      <c r="K346" s="24">
        <f t="shared" ca="1" si="41"/>
        <v>-1</v>
      </c>
      <c r="L346" s="17">
        <f t="shared" ca="1" si="42"/>
        <v>-1</v>
      </c>
      <c r="N346" s="24" t="str">
        <f ca="1">IF(AND(L346=1,L345&lt;&gt;1),MAX($N$8:N345)+1,"")</f>
        <v/>
      </c>
      <c r="O346" s="24" t="str">
        <f ca="1">IF(AND(L346&lt;&gt;1,L345=1),MAX($O$8:O345)+1,"")</f>
        <v/>
      </c>
      <c r="P346" s="17" t="str">
        <f ca="1">IF(AND(L346=-1,L345&lt;&gt;-1),MAX($P$8:P345)+1,"")</f>
        <v/>
      </c>
      <c r="Q346" s="24" t="str">
        <f ca="1">IF(AND(L346&lt;&gt;-1,L345=-1),MAX($Q$8:Q345)+1,"")</f>
        <v/>
      </c>
    </row>
    <row r="347" spans="1:17" x14ac:dyDescent="0.3">
      <c r="A347" s="3">
        <v>40689</v>
      </c>
      <c r="B347" s="9">
        <v>11.291095</v>
      </c>
      <c r="C347" s="9">
        <v>8.4951539999999994</v>
      </c>
      <c r="E347" s="14">
        <f t="shared" si="39"/>
        <v>1.329121873482223</v>
      </c>
      <c r="F347" s="18">
        <f t="shared" ca="1" si="38"/>
        <v>-1.0020180897283955</v>
      </c>
      <c r="G347" s="15">
        <f t="shared" ca="1" si="36"/>
        <v>1.3437028787016174</v>
      </c>
      <c r="H347" s="15">
        <f t="shared" ca="1" si="37"/>
        <v>1.4551638706788935E-2</v>
      </c>
      <c r="J347" s="17">
        <f t="shared" ca="1" si="40"/>
        <v>0</v>
      </c>
      <c r="K347" s="24">
        <f t="shared" ca="1" si="41"/>
        <v>-1</v>
      </c>
      <c r="L347" s="17">
        <f t="shared" ca="1" si="42"/>
        <v>-1</v>
      </c>
      <c r="N347" s="24" t="str">
        <f ca="1">IF(AND(L347=1,L346&lt;&gt;1),MAX($N$8:N346)+1,"")</f>
        <v/>
      </c>
      <c r="O347" s="24" t="str">
        <f ca="1">IF(AND(L347&lt;&gt;1,L346=1),MAX($O$8:O346)+1,"")</f>
        <v/>
      </c>
      <c r="P347" s="17" t="str">
        <f ca="1">IF(AND(L347=-1,L346&lt;&gt;-1),MAX($P$8:P346)+1,"")</f>
        <v/>
      </c>
      <c r="Q347" s="24" t="str">
        <f ca="1">IF(AND(L347&lt;&gt;-1,L346=-1),MAX($Q$8:Q346)+1,"")</f>
        <v/>
      </c>
    </row>
    <row r="348" spans="1:17" x14ac:dyDescent="0.3">
      <c r="A348" s="3">
        <v>40690</v>
      </c>
      <c r="B348" s="9">
        <v>11.237589</v>
      </c>
      <c r="C348" s="9">
        <v>8.489706</v>
      </c>
      <c r="E348" s="14">
        <f t="shared" si="39"/>
        <v>1.323672339183477</v>
      </c>
      <c r="F348" s="18">
        <f t="shared" ca="1" si="38"/>
        <v>-1.2546658146515199</v>
      </c>
      <c r="G348" s="15">
        <f t="shared" ca="1" si="36"/>
        <v>1.342007293202919</v>
      </c>
      <c r="H348" s="15">
        <f t="shared" ca="1" si="37"/>
        <v>1.4613416421594659E-2</v>
      </c>
      <c r="J348" s="17">
        <f t="shared" ca="1" si="40"/>
        <v>0</v>
      </c>
      <c r="K348" s="24">
        <f t="shared" ca="1" si="41"/>
        <v>-1</v>
      </c>
      <c r="L348" s="17">
        <f t="shared" ca="1" si="42"/>
        <v>-1</v>
      </c>
      <c r="N348" s="24" t="str">
        <f ca="1">IF(AND(L348=1,L347&lt;&gt;1),MAX($N$8:N347)+1,"")</f>
        <v/>
      </c>
      <c r="O348" s="24" t="str">
        <f ca="1">IF(AND(L348&lt;&gt;1,L347=1),MAX($O$8:O347)+1,"")</f>
        <v/>
      </c>
      <c r="P348" s="17" t="str">
        <f ca="1">IF(AND(L348=-1,L347&lt;&gt;-1),MAX($P$8:P347)+1,"")</f>
        <v/>
      </c>
      <c r="Q348" s="24" t="str">
        <f ca="1">IF(AND(L348&lt;&gt;-1,L347=-1),MAX($Q$8:Q347)+1,"")</f>
        <v/>
      </c>
    </row>
    <row r="349" spans="1:17" x14ac:dyDescent="0.3">
      <c r="A349" s="3">
        <v>40693</v>
      </c>
      <c r="B349" s="9">
        <v>11.190372</v>
      </c>
      <c r="C349" s="9">
        <v>8.4404780000000006</v>
      </c>
      <c r="E349" s="14">
        <f t="shared" si="39"/>
        <v>1.3257983730305321</v>
      </c>
      <c r="F349" s="18">
        <f t="shared" ca="1" si="38"/>
        <v>-1.0127711701154358</v>
      </c>
      <c r="G349" s="15">
        <f t="shared" ca="1" si="36"/>
        <v>1.3405931240625264</v>
      </c>
      <c r="H349" s="15">
        <f t="shared" ca="1" si="37"/>
        <v>1.4608187385811979E-2</v>
      </c>
      <c r="J349" s="17">
        <f t="shared" ca="1" si="40"/>
        <v>0</v>
      </c>
      <c r="K349" s="24">
        <f t="shared" ca="1" si="41"/>
        <v>-1</v>
      </c>
      <c r="L349" s="17">
        <f t="shared" ca="1" si="42"/>
        <v>-1</v>
      </c>
      <c r="N349" s="24" t="str">
        <f ca="1">IF(AND(L349=1,L348&lt;&gt;1),MAX($N$8:N348)+1,"")</f>
        <v/>
      </c>
      <c r="O349" s="24" t="str">
        <f ca="1">IF(AND(L349&lt;&gt;1,L348=1),MAX($O$8:O348)+1,"")</f>
        <v/>
      </c>
      <c r="P349" s="17" t="str">
        <f ca="1">IF(AND(L349=-1,L348&lt;&gt;-1),MAX($P$8:P348)+1,"")</f>
        <v/>
      </c>
      <c r="Q349" s="24" t="str">
        <f ca="1">IF(AND(L349&lt;&gt;-1,L348=-1),MAX($Q$8:Q348)+1,"")</f>
        <v/>
      </c>
    </row>
    <row r="350" spans="1:17" x14ac:dyDescent="0.3">
      <c r="A350" s="3">
        <v>40694</v>
      </c>
      <c r="B350" s="9">
        <v>11.281696</v>
      </c>
      <c r="C350" s="9">
        <v>8.4842429999999993</v>
      </c>
      <c r="E350" s="14">
        <f t="shared" si="39"/>
        <v>1.3297233471507124</v>
      </c>
      <c r="F350" s="18">
        <f t="shared" ca="1" si="38"/>
        <v>-0.67171112197524407</v>
      </c>
      <c r="G350" s="15">
        <f t="shared" ca="1" si="36"/>
        <v>1.3392218834770035</v>
      </c>
      <c r="H350" s="15">
        <f t="shared" ca="1" si="37"/>
        <v>1.4140805497398377E-2</v>
      </c>
      <c r="J350" s="17">
        <f t="shared" ca="1" si="40"/>
        <v>0</v>
      </c>
      <c r="K350" s="24">
        <f t="shared" ca="1" si="41"/>
        <v>-1</v>
      </c>
      <c r="L350" s="17">
        <f t="shared" ca="1" si="42"/>
        <v>-1</v>
      </c>
      <c r="N350" s="24" t="str">
        <f ca="1">IF(AND(L350=1,L349&lt;&gt;1),MAX($N$8:N349)+1,"")</f>
        <v/>
      </c>
      <c r="O350" s="24" t="str">
        <f ca="1">IF(AND(L350&lt;&gt;1,L349=1),MAX($O$8:O349)+1,"")</f>
        <v/>
      </c>
      <c r="P350" s="17" t="str">
        <f ca="1">IF(AND(L350=-1,L349&lt;&gt;-1),MAX($P$8:P349)+1,"")</f>
        <v/>
      </c>
      <c r="Q350" s="24" t="str">
        <f ca="1">IF(AND(L350&lt;&gt;-1,L349=-1),MAX($Q$8:Q349)+1,"")</f>
        <v/>
      </c>
    </row>
    <row r="351" spans="1:17" x14ac:dyDescent="0.3">
      <c r="A351" s="3">
        <v>40695</v>
      </c>
      <c r="B351" s="9">
        <v>11.157651</v>
      </c>
      <c r="C351" s="9">
        <v>8.3447580000000006</v>
      </c>
      <c r="E351" s="14">
        <f t="shared" si="39"/>
        <v>1.337085029907398</v>
      </c>
      <c r="F351" s="18">
        <f t="shared" ca="1" si="38"/>
        <v>-0.10430158268790735</v>
      </c>
      <c r="G351" s="15">
        <f t="shared" ref="G351:G414" ca="1" si="43">IF(ISNUMBER(E351),IF(ROW(E351)&gt;$J$1,AVERAGE(OFFSET(E351,0,0,-$J$1)),""),"")</f>
        <v>1.3385299252077383</v>
      </c>
      <c r="H351" s="15">
        <f t="shared" ref="H351:H414" ca="1" si="44">IF(ISNUMBER(E351),IF(ROW(E351)&gt;$J$1,_xlfn.STDEV.P(OFFSET(E351,0,0,-$J$1)),""),"")</f>
        <v>1.3853052495509542E-2</v>
      </c>
      <c r="J351" s="17">
        <f t="shared" ca="1" si="40"/>
        <v>0</v>
      </c>
      <c r="K351" s="24">
        <f t="shared" ca="1" si="41"/>
        <v>-1</v>
      </c>
      <c r="L351" s="17">
        <f t="shared" ca="1" si="42"/>
        <v>-1</v>
      </c>
      <c r="N351" s="24" t="str">
        <f ca="1">IF(AND(L351=1,L350&lt;&gt;1),MAX($N$8:N350)+1,"")</f>
        <v/>
      </c>
      <c r="O351" s="24" t="str">
        <f ca="1">IF(AND(L351&lt;&gt;1,L350=1),MAX($O$8:O350)+1,"")</f>
        <v/>
      </c>
      <c r="P351" s="17" t="str">
        <f ca="1">IF(AND(L351=-1,L350&lt;&gt;-1),MAX($P$8:P350)+1,"")</f>
        <v/>
      </c>
      <c r="Q351" s="24" t="str">
        <f ca="1">IF(AND(L351&lt;&gt;-1,L350=-1),MAX($Q$8:Q350)+1,"")</f>
        <v/>
      </c>
    </row>
    <row r="352" spans="1:17" x14ac:dyDescent="0.3">
      <c r="A352" s="3">
        <v>40696</v>
      </c>
      <c r="B352" s="9">
        <v>11.264741000000001</v>
      </c>
      <c r="C352" s="9">
        <v>8.4060009999999998</v>
      </c>
      <c r="E352" s="14">
        <f t="shared" si="39"/>
        <v>1.3400832333948094</v>
      </c>
      <c r="F352" s="18">
        <f t="shared" ca="1" si="38"/>
        <v>0.129757066737725</v>
      </c>
      <c r="G352" s="15">
        <f t="shared" ca="1" si="43"/>
        <v>1.3382950838383401</v>
      </c>
      <c r="H352" s="15">
        <f t="shared" ca="1" si="44"/>
        <v>1.3780748913534533E-2</v>
      </c>
      <c r="J352" s="17">
        <f t="shared" ca="1" si="40"/>
        <v>0</v>
      </c>
      <c r="K352" s="24">
        <f t="shared" ca="1" si="41"/>
        <v>0</v>
      </c>
      <c r="L352" s="17">
        <f t="shared" ca="1" si="42"/>
        <v>0</v>
      </c>
      <c r="N352" s="24" t="str">
        <f ca="1">IF(AND(L352=1,L351&lt;&gt;1),MAX($N$8:N351)+1,"")</f>
        <v/>
      </c>
      <c r="O352" s="24" t="str">
        <f ca="1">IF(AND(L352&lt;&gt;1,L351=1),MAX($O$8:O351)+1,"")</f>
        <v/>
      </c>
      <c r="P352" s="17" t="str">
        <f ca="1">IF(AND(L352=-1,L351&lt;&gt;-1),MAX($P$8:P351)+1,"")</f>
        <v/>
      </c>
      <c r="Q352" s="24">
        <f ca="1">IF(AND(L352&lt;&gt;-1,L351=-1),MAX($Q$8:Q351)+1,"")</f>
        <v>13</v>
      </c>
    </row>
    <row r="353" spans="1:17" x14ac:dyDescent="0.3">
      <c r="A353" s="3">
        <v>40697</v>
      </c>
      <c r="B353" s="9">
        <v>11.293106</v>
      </c>
      <c r="C353" s="9">
        <v>8.4470910000000003</v>
      </c>
      <c r="E353" s="14">
        <f t="shared" si="39"/>
        <v>1.336922497934496</v>
      </c>
      <c r="F353" s="18">
        <f t="shared" ca="1" si="38"/>
        <v>-6.3690625037333748E-2</v>
      </c>
      <c r="G353" s="15">
        <f t="shared" ca="1" si="43"/>
        <v>1.3377897749498604</v>
      </c>
      <c r="H353" s="15">
        <f t="shared" ca="1" si="44"/>
        <v>1.3617027857019796E-2</v>
      </c>
      <c r="J353" s="17">
        <f t="shared" ca="1" si="40"/>
        <v>0</v>
      </c>
      <c r="K353" s="24">
        <f t="shared" ca="1" si="41"/>
        <v>0</v>
      </c>
      <c r="L353" s="17">
        <f t="shared" ca="1" si="42"/>
        <v>0</v>
      </c>
      <c r="N353" s="24" t="str">
        <f ca="1">IF(AND(L353=1,L352&lt;&gt;1),MAX($N$8:N352)+1,"")</f>
        <v/>
      </c>
      <c r="O353" s="24" t="str">
        <f ca="1">IF(AND(L353&lt;&gt;1,L352=1),MAX($O$8:O352)+1,"")</f>
        <v/>
      </c>
      <c r="P353" s="17" t="str">
        <f ca="1">IF(AND(L353=-1,L352&lt;&gt;-1),MAX($P$8:P352)+1,"")</f>
        <v/>
      </c>
      <c r="Q353" s="24" t="str">
        <f ca="1">IF(AND(L353&lt;&gt;-1,L352=-1),MAX($Q$8:Q352)+1,"")</f>
        <v/>
      </c>
    </row>
    <row r="354" spans="1:17" x14ac:dyDescent="0.3">
      <c r="A354" s="3">
        <v>40700</v>
      </c>
      <c r="B354" s="9">
        <v>11.031670999999999</v>
      </c>
      <c r="C354" s="9">
        <v>8.310181</v>
      </c>
      <c r="E354" s="14">
        <f t="shared" si="39"/>
        <v>1.327488655180916</v>
      </c>
      <c r="F354" s="18">
        <f t="shared" ca="1" si="38"/>
        <v>-0.68377369594037751</v>
      </c>
      <c r="G354" s="15">
        <f t="shared" ca="1" si="43"/>
        <v>1.3365495945397283</v>
      </c>
      <c r="H354" s="15">
        <f t="shared" ca="1" si="44"/>
        <v>1.3251371634515813E-2</v>
      </c>
      <c r="J354" s="17">
        <f t="shared" ca="1" si="40"/>
        <v>0</v>
      </c>
      <c r="K354" s="24">
        <f t="shared" ca="1" si="41"/>
        <v>0</v>
      </c>
      <c r="L354" s="17">
        <f t="shared" ca="1" si="42"/>
        <v>0</v>
      </c>
      <c r="N354" s="24" t="str">
        <f ca="1">IF(AND(L354=1,L353&lt;&gt;1),MAX($N$8:N353)+1,"")</f>
        <v/>
      </c>
      <c r="O354" s="24" t="str">
        <f ca="1">IF(AND(L354&lt;&gt;1,L353=1),MAX($O$8:O353)+1,"")</f>
        <v/>
      </c>
      <c r="P354" s="17" t="str">
        <f ca="1">IF(AND(L354=-1,L353&lt;&gt;-1),MAX($P$8:P353)+1,"")</f>
        <v/>
      </c>
      <c r="Q354" s="24" t="str">
        <f ca="1">IF(AND(L354&lt;&gt;-1,L353=-1),MAX($Q$8:Q353)+1,"")</f>
        <v/>
      </c>
    </row>
    <row r="355" spans="1:17" x14ac:dyDescent="0.3">
      <c r="A355" s="3">
        <v>40701</v>
      </c>
      <c r="B355" s="9">
        <v>11.198608</v>
      </c>
      <c r="C355" s="9">
        <v>8.474456</v>
      </c>
      <c r="E355" s="14">
        <f t="shared" si="39"/>
        <v>1.3214544980822367</v>
      </c>
      <c r="F355" s="18">
        <f t="shared" ca="1" si="38"/>
        <v>-1.0572432599191937</v>
      </c>
      <c r="G355" s="15">
        <f t="shared" ca="1" si="43"/>
        <v>1.334852619674332</v>
      </c>
      <c r="H355" s="15">
        <f t="shared" ca="1" si="44"/>
        <v>1.2672695206512204E-2</v>
      </c>
      <c r="J355" s="17">
        <f t="shared" ca="1" si="40"/>
        <v>0</v>
      </c>
      <c r="K355" s="24">
        <f t="shared" ca="1" si="41"/>
        <v>-1</v>
      </c>
      <c r="L355" s="17">
        <f t="shared" ca="1" si="42"/>
        <v>-1</v>
      </c>
      <c r="N355" s="24" t="str">
        <f ca="1">IF(AND(L355=1,L354&lt;&gt;1),MAX($N$8:N354)+1,"")</f>
        <v/>
      </c>
      <c r="O355" s="24" t="str">
        <f ca="1">IF(AND(L355&lt;&gt;1,L354=1),MAX($O$8:O354)+1,"")</f>
        <v/>
      </c>
      <c r="P355" s="17">
        <f ca="1">IF(AND(L355=-1,L354&lt;&gt;-1),MAX($P$8:P354)+1,"")</f>
        <v>14</v>
      </c>
      <c r="Q355" s="24" t="str">
        <f ca="1">IF(AND(L355&lt;&gt;-1,L354=-1),MAX($Q$8:Q354)+1,"")</f>
        <v/>
      </c>
    </row>
    <row r="356" spans="1:17" x14ac:dyDescent="0.3">
      <c r="A356" s="3">
        <v>40702</v>
      </c>
      <c r="B356" s="9">
        <v>11.141949</v>
      </c>
      <c r="C356" s="9">
        <v>8.4580110000000008</v>
      </c>
      <c r="E356" s="14">
        <f t="shared" si="39"/>
        <v>1.3173249597334409</v>
      </c>
      <c r="F356" s="18">
        <f t="shared" ca="1" si="38"/>
        <v>-1.2908125228353409</v>
      </c>
      <c r="G356" s="15">
        <f t="shared" ca="1" si="43"/>
        <v>1.3330281868909617</v>
      </c>
      <c r="H356" s="15">
        <f t="shared" ca="1" si="44"/>
        <v>1.216538178838536E-2</v>
      </c>
      <c r="J356" s="17">
        <f t="shared" ca="1" si="40"/>
        <v>0</v>
      </c>
      <c r="K356" s="24">
        <f t="shared" ca="1" si="41"/>
        <v>-1</v>
      </c>
      <c r="L356" s="17">
        <f t="shared" ca="1" si="42"/>
        <v>-1</v>
      </c>
      <c r="N356" s="24" t="str">
        <f ca="1">IF(AND(L356=1,L355&lt;&gt;1),MAX($N$8:N355)+1,"")</f>
        <v/>
      </c>
      <c r="O356" s="24" t="str">
        <f ca="1">IF(AND(L356&lt;&gt;1,L355=1),MAX($O$8:O355)+1,"")</f>
        <v/>
      </c>
      <c r="P356" s="17" t="str">
        <f ca="1">IF(AND(L356=-1,L355&lt;&gt;-1),MAX($P$8:P355)+1,"")</f>
        <v/>
      </c>
      <c r="Q356" s="24" t="str">
        <f ca="1">IF(AND(L356&lt;&gt;-1,L355=-1),MAX($Q$8:Q355)+1,"")</f>
        <v/>
      </c>
    </row>
    <row r="357" spans="1:17" x14ac:dyDescent="0.3">
      <c r="A357" s="3">
        <v>40703</v>
      </c>
      <c r="B357" s="9">
        <v>11.056850000000001</v>
      </c>
      <c r="C357" s="9">
        <v>8.3950820000000004</v>
      </c>
      <c r="E357" s="14">
        <f t="shared" si="39"/>
        <v>1.3170627755631215</v>
      </c>
      <c r="F357" s="18">
        <f t="shared" ca="1" si="38"/>
        <v>-1.7545920617837816</v>
      </c>
      <c r="G357" s="15">
        <f t="shared" ca="1" si="43"/>
        <v>1.3302193556573689</v>
      </c>
      <c r="H357" s="15">
        <f t="shared" ca="1" si="44"/>
        <v>7.4983697811057109E-3</v>
      </c>
      <c r="J357" s="17">
        <f t="shared" ca="1" si="40"/>
        <v>0</v>
      </c>
      <c r="K357" s="24">
        <f t="shared" ca="1" si="41"/>
        <v>-1</v>
      </c>
      <c r="L357" s="17">
        <f t="shared" ca="1" si="42"/>
        <v>-1</v>
      </c>
      <c r="N357" s="24" t="str">
        <f ca="1">IF(AND(L357=1,L356&lt;&gt;1),MAX($N$8:N356)+1,"")</f>
        <v/>
      </c>
      <c r="O357" s="24" t="str">
        <f ca="1">IF(AND(L357&lt;&gt;1,L356=1),MAX($O$8:O356)+1,"")</f>
        <v/>
      </c>
      <c r="P357" s="17" t="str">
        <f ca="1">IF(AND(L357=-1,L356&lt;&gt;-1),MAX($P$8:P356)+1,"")</f>
        <v/>
      </c>
      <c r="Q357" s="24" t="str">
        <f ca="1">IF(AND(L357&lt;&gt;-1,L356=-1),MAX($Q$8:Q356)+1,"")</f>
        <v/>
      </c>
    </row>
    <row r="358" spans="1:17" x14ac:dyDescent="0.3">
      <c r="A358" s="3">
        <v>40704</v>
      </c>
      <c r="B358" s="9">
        <v>10.993829</v>
      </c>
      <c r="C358" s="9">
        <v>8.2745580000000007</v>
      </c>
      <c r="E358" s="14">
        <f t="shared" si="39"/>
        <v>1.3286303630961314</v>
      </c>
      <c r="F358" s="18">
        <f t="shared" ca="1" si="38"/>
        <v>-0.11558452707518455</v>
      </c>
      <c r="G358" s="15">
        <f t="shared" ca="1" si="43"/>
        <v>1.3293880675085068</v>
      </c>
      <c r="H358" s="15">
        <f t="shared" ca="1" si="44"/>
        <v>6.5554138737148743E-3</v>
      </c>
      <c r="J358" s="17">
        <f t="shared" ca="1" si="40"/>
        <v>0</v>
      </c>
      <c r="K358" s="24">
        <f t="shared" ca="1" si="41"/>
        <v>-1</v>
      </c>
      <c r="L358" s="17">
        <f t="shared" ca="1" si="42"/>
        <v>-1</v>
      </c>
      <c r="N358" s="24" t="str">
        <f ca="1">IF(AND(L358=1,L357&lt;&gt;1),MAX($N$8:N357)+1,"")</f>
        <v/>
      </c>
      <c r="O358" s="24" t="str">
        <f ca="1">IF(AND(L358&lt;&gt;1,L357=1),MAX($O$8:O357)+1,"")</f>
        <v/>
      </c>
      <c r="P358" s="17" t="str">
        <f ca="1">IF(AND(L358=-1,L357&lt;&gt;-1),MAX($P$8:P357)+1,"")</f>
        <v/>
      </c>
      <c r="Q358" s="24" t="str">
        <f ca="1">IF(AND(L358&lt;&gt;-1,L357=-1),MAX($Q$8:Q357)+1,"")</f>
        <v/>
      </c>
    </row>
    <row r="359" spans="1:17" x14ac:dyDescent="0.3">
      <c r="A359" s="3">
        <v>40707</v>
      </c>
      <c r="B359" s="9">
        <v>10.962353</v>
      </c>
      <c r="C359" s="9">
        <v>8.2828140000000001</v>
      </c>
      <c r="E359" s="14">
        <f t="shared" si="39"/>
        <v>1.3235058761430596</v>
      </c>
      <c r="F359" s="18">
        <f t="shared" ca="1" si="38"/>
        <v>-0.81762497508981635</v>
      </c>
      <c r="G359" s="15">
        <f t="shared" ca="1" si="43"/>
        <v>1.3288136569762958</v>
      </c>
      <c r="H359" s="15">
        <f t="shared" ca="1" si="44"/>
        <v>6.4917058491922664E-3</v>
      </c>
      <c r="J359" s="17">
        <f t="shared" ca="1" si="40"/>
        <v>0</v>
      </c>
      <c r="K359" s="24">
        <f t="shared" ca="1" si="41"/>
        <v>-1</v>
      </c>
      <c r="L359" s="17">
        <f t="shared" ca="1" si="42"/>
        <v>-1</v>
      </c>
      <c r="N359" s="24" t="str">
        <f ca="1">IF(AND(L359=1,L358&lt;&gt;1),MAX($N$8:N358)+1,"")</f>
        <v/>
      </c>
      <c r="O359" s="24" t="str">
        <f ca="1">IF(AND(L359&lt;&gt;1,L358=1),MAX($O$8:O358)+1,"")</f>
        <v/>
      </c>
      <c r="P359" s="17" t="str">
        <f ca="1">IF(AND(L359=-1,L358&lt;&gt;-1),MAX($P$8:P358)+1,"")</f>
        <v/>
      </c>
      <c r="Q359" s="24" t="str">
        <f ca="1">IF(AND(L359&lt;&gt;-1,L358=-1),MAX($Q$8:Q358)+1,"")</f>
        <v/>
      </c>
    </row>
    <row r="360" spans="1:17" x14ac:dyDescent="0.3">
      <c r="A360" s="3">
        <v>40708</v>
      </c>
      <c r="B360" s="9">
        <v>11.107286</v>
      </c>
      <c r="C360" s="9">
        <v>8.3594570000000008</v>
      </c>
      <c r="E360" s="14">
        <f t="shared" si="39"/>
        <v>1.3287090297850686</v>
      </c>
      <c r="F360" s="18">
        <f t="shared" ca="1" si="38"/>
        <v>4.2839669117254918E-2</v>
      </c>
      <c r="G360" s="15">
        <f t="shared" ca="1" si="43"/>
        <v>1.3284413841976195</v>
      </c>
      <c r="H360" s="15">
        <f t="shared" ca="1" si="44"/>
        <v>6.2476109868288034E-3</v>
      </c>
      <c r="J360" s="17">
        <f t="shared" ca="1" si="40"/>
        <v>0</v>
      </c>
      <c r="K360" s="24">
        <f t="shared" ca="1" si="41"/>
        <v>0</v>
      </c>
      <c r="L360" s="17">
        <f t="shared" ca="1" si="42"/>
        <v>0</v>
      </c>
      <c r="N360" s="24" t="str">
        <f ca="1">IF(AND(L360=1,L359&lt;&gt;1),MAX($N$8:N359)+1,"")</f>
        <v/>
      </c>
      <c r="O360" s="24" t="str">
        <f ca="1">IF(AND(L360&lt;&gt;1,L359=1),MAX($O$8:O359)+1,"")</f>
        <v/>
      </c>
      <c r="P360" s="17" t="str">
        <f ca="1">IF(AND(L360=-1,L359&lt;&gt;-1),MAX($P$8:P359)+1,"")</f>
        <v/>
      </c>
      <c r="Q360" s="24">
        <f ca="1">IF(AND(L360&lt;&gt;-1,L359=-1),MAX($Q$8:Q359)+1,"")</f>
        <v>14</v>
      </c>
    </row>
    <row r="361" spans="1:17" x14ac:dyDescent="0.3">
      <c r="A361" s="3">
        <v>40709</v>
      </c>
      <c r="B361" s="9">
        <v>11.21438</v>
      </c>
      <c r="C361" s="9">
        <v>8.4169269999999994</v>
      </c>
      <c r="E361" s="14">
        <f t="shared" si="39"/>
        <v>1.3323603733286509</v>
      </c>
      <c r="F361" s="18">
        <f t="shared" ca="1" si="38"/>
        <v>0.56817609561102311</v>
      </c>
      <c r="G361" s="15">
        <f t="shared" ca="1" si="43"/>
        <v>1.3288302310405713</v>
      </c>
      <c r="H361" s="15">
        <f t="shared" ca="1" si="44"/>
        <v>6.2131130037831293E-3</v>
      </c>
      <c r="J361" s="17">
        <f t="shared" ca="1" si="40"/>
        <v>0</v>
      </c>
      <c r="K361" s="24">
        <f t="shared" ca="1" si="41"/>
        <v>0</v>
      </c>
      <c r="L361" s="17">
        <f t="shared" ca="1" si="42"/>
        <v>0</v>
      </c>
      <c r="N361" s="24" t="str">
        <f ca="1">IF(AND(L361=1,L360&lt;&gt;1),MAX($N$8:N360)+1,"")</f>
        <v/>
      </c>
      <c r="O361" s="24" t="str">
        <f ca="1">IF(AND(L361&lt;&gt;1,L360=1),MAX($O$8:O360)+1,"")</f>
        <v/>
      </c>
      <c r="P361" s="17" t="str">
        <f ca="1">IF(AND(L361=-1,L360&lt;&gt;-1),MAX($P$8:P360)+1,"")</f>
        <v/>
      </c>
      <c r="Q361" s="24" t="str">
        <f ca="1">IF(AND(L361&lt;&gt;-1,L360=-1),MAX($Q$8:Q360)+1,"")</f>
        <v/>
      </c>
    </row>
    <row r="362" spans="1:17" x14ac:dyDescent="0.3">
      <c r="A362" s="3">
        <v>40710</v>
      </c>
      <c r="B362" s="9">
        <v>11.145063</v>
      </c>
      <c r="C362" s="9">
        <v>8.3238380000000003</v>
      </c>
      <c r="E362" s="14">
        <f t="shared" si="39"/>
        <v>1.3389331940386153</v>
      </c>
      <c r="F362" s="18">
        <f t="shared" ca="1" si="38"/>
        <v>1.5057839679230052</v>
      </c>
      <c r="G362" s="15">
        <f t="shared" ca="1" si="43"/>
        <v>1.3291164576393988</v>
      </c>
      <c r="H362" s="15">
        <f t="shared" ca="1" si="44"/>
        <v>6.5193524491811419E-3</v>
      </c>
      <c r="J362" s="17">
        <f t="shared" ca="1" si="40"/>
        <v>1</v>
      </c>
      <c r="K362" s="24">
        <f t="shared" ca="1" si="41"/>
        <v>0</v>
      </c>
      <c r="L362" s="17">
        <f t="shared" ca="1" si="42"/>
        <v>1</v>
      </c>
      <c r="N362" s="24">
        <f ca="1">IF(AND(L362=1,L361&lt;&gt;1),MAX($N$8:N361)+1,"")</f>
        <v>13</v>
      </c>
      <c r="O362" s="24" t="str">
        <f ca="1">IF(AND(L362&lt;&gt;1,L361=1),MAX($O$8:O361)+1,"")</f>
        <v/>
      </c>
      <c r="P362" s="17" t="str">
        <f ca="1">IF(AND(L362=-1,L361&lt;&gt;-1),MAX($P$8:P361)+1,"")</f>
        <v/>
      </c>
      <c r="Q362" s="24" t="str">
        <f ca="1">IF(AND(L362&lt;&gt;-1,L361=-1),MAX($Q$8:Q361)+1,"")</f>
        <v/>
      </c>
    </row>
    <row r="363" spans="1:17" x14ac:dyDescent="0.3">
      <c r="A363" s="3">
        <v>40711</v>
      </c>
      <c r="B363" s="9">
        <v>11.022197999999999</v>
      </c>
      <c r="C363" s="9">
        <v>8.2964640000000003</v>
      </c>
      <c r="E363" s="14">
        <f t="shared" si="39"/>
        <v>1.3285416534080059</v>
      </c>
      <c r="F363" s="18">
        <f t="shared" ca="1" si="38"/>
        <v>-2.4069635913943968E-2</v>
      </c>
      <c r="G363" s="15">
        <f t="shared" ca="1" si="43"/>
        <v>1.3286916593404881</v>
      </c>
      <c r="H363" s="15">
        <f t="shared" ca="1" si="44"/>
        <v>6.2321645835637486E-3</v>
      </c>
      <c r="J363" s="17">
        <f t="shared" ca="1" si="40"/>
        <v>0</v>
      </c>
      <c r="K363" s="24">
        <f t="shared" ca="1" si="41"/>
        <v>0</v>
      </c>
      <c r="L363" s="17">
        <f t="shared" ca="1" si="42"/>
        <v>0</v>
      </c>
      <c r="N363" s="24" t="str">
        <f ca="1">IF(AND(L363=1,L362&lt;&gt;1),MAX($N$8:N362)+1,"")</f>
        <v/>
      </c>
      <c r="O363" s="24">
        <f ca="1">IF(AND(L363&lt;&gt;1,L362=1),MAX($O$8:O362)+1,"")</f>
        <v>13</v>
      </c>
      <c r="P363" s="17" t="str">
        <f ca="1">IF(AND(L363=-1,L362&lt;&gt;-1),MAX($P$8:P362)+1,"")</f>
        <v/>
      </c>
      <c r="Q363" s="24" t="str">
        <f ca="1">IF(AND(L363&lt;&gt;-1,L362=-1),MAX($Q$8:Q362)+1,"")</f>
        <v/>
      </c>
    </row>
    <row r="364" spans="1:17" x14ac:dyDescent="0.3">
      <c r="A364" s="3">
        <v>40714</v>
      </c>
      <c r="B364" s="9">
        <v>11.088333</v>
      </c>
      <c r="C364" s="9">
        <v>8.3238380000000003</v>
      </c>
      <c r="E364" s="14">
        <f t="shared" si="39"/>
        <v>1.3321178283383219</v>
      </c>
      <c r="F364" s="18">
        <f t="shared" ca="1" si="38"/>
        <v>0.58755902979060204</v>
      </c>
      <c r="G364" s="15">
        <f t="shared" ca="1" si="43"/>
        <v>1.3285344679011075</v>
      </c>
      <c r="H364" s="15">
        <f t="shared" ca="1" si="44"/>
        <v>6.0987241375415023E-3</v>
      </c>
      <c r="J364" s="17">
        <f t="shared" ca="1" si="40"/>
        <v>0</v>
      </c>
      <c r="K364" s="24">
        <f t="shared" ca="1" si="41"/>
        <v>0</v>
      </c>
      <c r="L364" s="17">
        <f t="shared" ca="1" si="42"/>
        <v>0</v>
      </c>
      <c r="N364" s="24" t="str">
        <f ca="1">IF(AND(L364=1,L363&lt;&gt;1),MAX($N$8:N363)+1,"")</f>
        <v/>
      </c>
      <c r="O364" s="24" t="str">
        <f ca="1">IF(AND(L364&lt;&gt;1,L363=1),MAX($O$8:O363)+1,"")</f>
        <v/>
      </c>
      <c r="P364" s="17" t="str">
        <f ca="1">IF(AND(L364=-1,L363&lt;&gt;-1),MAX($P$8:P363)+1,"")</f>
        <v/>
      </c>
      <c r="Q364" s="24" t="str">
        <f ca="1">IF(AND(L364&lt;&gt;-1,L363=-1),MAX($Q$8:Q363)+1,"")</f>
        <v/>
      </c>
    </row>
    <row r="365" spans="1:17" x14ac:dyDescent="0.3">
      <c r="A365" s="3">
        <v>40715</v>
      </c>
      <c r="B365" s="9">
        <v>11.003306</v>
      </c>
      <c r="C365" s="9">
        <v>8.3293590000000002</v>
      </c>
      <c r="E365" s="14">
        <f t="shared" si="39"/>
        <v>1.321026744074784</v>
      </c>
      <c r="F365" s="18">
        <f t="shared" ca="1" si="38"/>
        <v>-1.1226669957853224</v>
      </c>
      <c r="G365" s="15">
        <f t="shared" ca="1" si="43"/>
        <v>1.3280309252301785</v>
      </c>
      <c r="H365" s="15">
        <f t="shared" ca="1" si="44"/>
        <v>6.2388768723845344E-3</v>
      </c>
      <c r="J365" s="17">
        <f t="shared" ca="1" si="40"/>
        <v>0</v>
      </c>
      <c r="K365" s="24">
        <f t="shared" ca="1" si="41"/>
        <v>-1</v>
      </c>
      <c r="L365" s="17">
        <f t="shared" ca="1" si="42"/>
        <v>-1</v>
      </c>
      <c r="N365" s="24" t="str">
        <f ca="1">IF(AND(L365=1,L364&lt;&gt;1),MAX($N$8:N364)+1,"")</f>
        <v/>
      </c>
      <c r="O365" s="24" t="str">
        <f ca="1">IF(AND(L365&lt;&gt;1,L364=1),MAX($O$8:O364)+1,"")</f>
        <v/>
      </c>
      <c r="P365" s="17">
        <f ca="1">IF(AND(L365=-1,L364&lt;&gt;-1),MAX($P$8:P364)+1,"")</f>
        <v>15</v>
      </c>
      <c r="Q365" s="24" t="str">
        <f ca="1">IF(AND(L365&lt;&gt;-1,L364=-1),MAX($Q$8:Q364)+1,"")</f>
        <v/>
      </c>
    </row>
    <row r="366" spans="1:17" x14ac:dyDescent="0.3">
      <c r="A366" s="3">
        <v>40716</v>
      </c>
      <c r="B366" s="9">
        <v>11.088333</v>
      </c>
      <c r="C366" s="9">
        <v>8.3922869999999996</v>
      </c>
      <c r="E366" s="14">
        <f t="shared" si="39"/>
        <v>1.3212528360862779</v>
      </c>
      <c r="F366" s="18">
        <f t="shared" ca="1" si="38"/>
        <v>-1.0375367572575234</v>
      </c>
      <c r="G366" s="15">
        <f t="shared" ca="1" si="43"/>
        <v>1.3278608729672359</v>
      </c>
      <c r="H366" s="15">
        <f t="shared" ca="1" si="44"/>
        <v>6.3689665303278062E-3</v>
      </c>
      <c r="J366" s="17">
        <f t="shared" ca="1" si="40"/>
        <v>0</v>
      </c>
      <c r="K366" s="24">
        <f t="shared" ca="1" si="41"/>
        <v>-1</v>
      </c>
      <c r="L366" s="17">
        <f t="shared" ca="1" si="42"/>
        <v>-1</v>
      </c>
      <c r="N366" s="24" t="str">
        <f ca="1">IF(AND(L366=1,L365&lt;&gt;1),MAX($N$8:N365)+1,"")</f>
        <v/>
      </c>
      <c r="O366" s="24" t="str">
        <f ca="1">IF(AND(L366&lt;&gt;1,L365=1),MAX($O$8:O365)+1,"")</f>
        <v/>
      </c>
      <c r="P366" s="17" t="str">
        <f ca="1">IF(AND(L366=-1,L365&lt;&gt;-1),MAX($P$8:P365)+1,"")</f>
        <v/>
      </c>
      <c r="Q366" s="24" t="str">
        <f ca="1">IF(AND(L366&lt;&gt;-1,L365=-1),MAX($Q$8:Q365)+1,"")</f>
        <v/>
      </c>
    </row>
    <row r="367" spans="1:17" x14ac:dyDescent="0.3">
      <c r="A367" s="3">
        <v>40718</v>
      </c>
      <c r="B367" s="9">
        <v>11.025376</v>
      </c>
      <c r="C367" s="9">
        <v>8.3320919999999994</v>
      </c>
      <c r="E367" s="14">
        <f t="shared" si="39"/>
        <v>1.323242230162605</v>
      </c>
      <c r="F367" s="18">
        <f t="shared" ca="1" si="38"/>
        <v>-0.69095627010583416</v>
      </c>
      <c r="G367" s="15">
        <f t="shared" ca="1" si="43"/>
        <v>1.3276916982002922</v>
      </c>
      <c r="H367" s="15">
        <f t="shared" ca="1" si="44"/>
        <v>6.4395797971493491E-3</v>
      </c>
      <c r="J367" s="17">
        <f t="shared" ca="1" si="40"/>
        <v>0</v>
      </c>
      <c r="K367" s="24">
        <f t="shared" ca="1" si="41"/>
        <v>-1</v>
      </c>
      <c r="L367" s="17">
        <f t="shared" ca="1" si="42"/>
        <v>-1</v>
      </c>
      <c r="N367" s="24" t="str">
        <f ca="1">IF(AND(L367=1,L366&lt;&gt;1),MAX($N$8:N366)+1,"")</f>
        <v/>
      </c>
      <c r="O367" s="24" t="str">
        <f ca="1">IF(AND(L367&lt;&gt;1,L366=1),MAX($O$8:O366)+1,"")</f>
        <v/>
      </c>
      <c r="P367" s="17" t="str">
        <f ca="1">IF(AND(L367=-1,L366&lt;&gt;-1),MAX($P$8:P366)+1,"")</f>
        <v/>
      </c>
      <c r="Q367" s="24" t="str">
        <f ca="1">IF(AND(L367&lt;&gt;-1,L366=-1),MAX($Q$8:Q366)+1,"")</f>
        <v/>
      </c>
    </row>
    <row r="368" spans="1:17" x14ac:dyDescent="0.3">
      <c r="A368" s="3">
        <v>40721</v>
      </c>
      <c r="B368" s="9">
        <v>11.028487999999999</v>
      </c>
      <c r="C368" s="9">
        <v>8.3731740000000006</v>
      </c>
      <c r="E368" s="14">
        <f t="shared" si="39"/>
        <v>1.317121559876816</v>
      </c>
      <c r="F368" s="18">
        <f t="shared" ca="1" si="38"/>
        <v>-1.5026231452500376</v>
      </c>
      <c r="G368" s="15">
        <f t="shared" ca="1" si="43"/>
        <v>1.3273263304991683</v>
      </c>
      <c r="H368" s="15">
        <f t="shared" ca="1" si="44"/>
        <v>6.7913040302957492E-3</v>
      </c>
      <c r="J368" s="17">
        <f t="shared" ca="1" si="40"/>
        <v>0</v>
      </c>
      <c r="K368" s="24">
        <f t="shared" ca="1" si="41"/>
        <v>-1</v>
      </c>
      <c r="L368" s="17">
        <f t="shared" ca="1" si="42"/>
        <v>-1</v>
      </c>
      <c r="N368" s="24" t="str">
        <f ca="1">IF(AND(L368=1,L367&lt;&gt;1),MAX($N$8:N367)+1,"")</f>
        <v/>
      </c>
      <c r="O368" s="24" t="str">
        <f ca="1">IF(AND(L368&lt;&gt;1,L367=1),MAX($O$8:O367)+1,"")</f>
        <v/>
      </c>
      <c r="P368" s="17" t="str">
        <f ca="1">IF(AND(L368=-1,L367&lt;&gt;-1),MAX($P$8:P367)+1,"")</f>
        <v/>
      </c>
      <c r="Q368" s="24" t="str">
        <f ca="1">IF(AND(L368&lt;&gt;-1,L367=-1),MAX($Q$8:Q367)+1,"")</f>
        <v/>
      </c>
    </row>
    <row r="369" spans="1:17" x14ac:dyDescent="0.3">
      <c r="A369" s="3">
        <v>40722</v>
      </c>
      <c r="B369" s="9">
        <v>11.356133</v>
      </c>
      <c r="C369" s="9">
        <v>8.5702800000000003</v>
      </c>
      <c r="E369" s="14">
        <f t="shared" si="39"/>
        <v>1.3250597413386727</v>
      </c>
      <c r="F369" s="18">
        <f t="shared" ca="1" si="38"/>
        <v>-0.30638508432308298</v>
      </c>
      <c r="G369" s="15">
        <f t="shared" ca="1" si="43"/>
        <v>1.327141688129007</v>
      </c>
      <c r="H369" s="15">
        <f t="shared" ca="1" si="44"/>
        <v>6.795196296628273E-3</v>
      </c>
      <c r="J369" s="17">
        <f t="shared" ca="1" si="40"/>
        <v>0</v>
      </c>
      <c r="K369" s="24">
        <f t="shared" ca="1" si="41"/>
        <v>-1</v>
      </c>
      <c r="L369" s="17">
        <f t="shared" ca="1" si="42"/>
        <v>-1</v>
      </c>
      <c r="N369" s="24" t="str">
        <f ca="1">IF(AND(L369=1,L368&lt;&gt;1),MAX($N$8:N368)+1,"")</f>
        <v/>
      </c>
      <c r="O369" s="24" t="str">
        <f ca="1">IF(AND(L369&lt;&gt;1,L368=1),MAX($O$8:O368)+1,"")</f>
        <v/>
      </c>
      <c r="P369" s="17" t="str">
        <f ca="1">IF(AND(L369=-1,L368&lt;&gt;-1),MAX($P$8:P368)+1,"")</f>
        <v/>
      </c>
      <c r="Q369" s="24" t="str">
        <f ca="1">IF(AND(L369&lt;&gt;-1,L368=-1),MAX($Q$8:Q368)+1,"")</f>
        <v/>
      </c>
    </row>
    <row r="370" spans="1:17" x14ac:dyDescent="0.3">
      <c r="A370" s="3">
        <v>40723</v>
      </c>
      <c r="B370" s="9">
        <v>11.460044</v>
      </c>
      <c r="C370" s="9">
        <v>8.6387350000000005</v>
      </c>
      <c r="E370" s="14">
        <f t="shared" si="39"/>
        <v>1.3265882099636115</v>
      </c>
      <c r="F370" s="18">
        <f t="shared" ca="1" si="38"/>
        <v>-0.1015638011444502</v>
      </c>
      <c r="G370" s="15">
        <f t="shared" ca="1" si="43"/>
        <v>1.3272742277099221</v>
      </c>
      <c r="H370" s="15">
        <f t="shared" ca="1" si="44"/>
        <v>6.7545497370161602E-3</v>
      </c>
      <c r="J370" s="17">
        <f t="shared" ca="1" si="40"/>
        <v>0</v>
      </c>
      <c r="K370" s="24">
        <f t="shared" ca="1" si="41"/>
        <v>-1</v>
      </c>
      <c r="L370" s="17">
        <f t="shared" ca="1" si="42"/>
        <v>-1</v>
      </c>
      <c r="N370" s="24" t="str">
        <f ca="1">IF(AND(L370=1,L369&lt;&gt;1),MAX($N$8:N369)+1,"")</f>
        <v/>
      </c>
      <c r="O370" s="24" t="str">
        <f ca="1">IF(AND(L370&lt;&gt;1,L369=1),MAX($O$8:O369)+1,"")</f>
        <v/>
      </c>
      <c r="P370" s="17" t="str">
        <f ca="1">IF(AND(L370=-1,L369&lt;&gt;-1),MAX($P$8:P369)+1,"")</f>
        <v/>
      </c>
      <c r="Q370" s="24" t="str">
        <f ca="1">IF(AND(L370&lt;&gt;-1,L369=-1),MAX($Q$8:Q369)+1,"")</f>
        <v/>
      </c>
    </row>
    <row r="371" spans="1:17" x14ac:dyDescent="0.3">
      <c r="A371" s="3">
        <v>40724</v>
      </c>
      <c r="B371" s="9">
        <v>11.482108</v>
      </c>
      <c r="C371" s="9">
        <v>8.6798169999999999</v>
      </c>
      <c r="E371" s="14">
        <f t="shared" si="39"/>
        <v>1.3228513919129863</v>
      </c>
      <c r="F371" s="18">
        <f t="shared" ca="1" si="38"/>
        <v>-0.62965569729529947</v>
      </c>
      <c r="G371" s="15">
        <f t="shared" ca="1" si="43"/>
        <v>1.3271402740227609</v>
      </c>
      <c r="H371" s="15">
        <f t="shared" ca="1" si="44"/>
        <v>6.811471933308345E-3</v>
      </c>
      <c r="J371" s="17">
        <f t="shared" ca="1" si="40"/>
        <v>0</v>
      </c>
      <c r="K371" s="24">
        <f t="shared" ca="1" si="41"/>
        <v>-1</v>
      </c>
      <c r="L371" s="17">
        <f t="shared" ca="1" si="42"/>
        <v>-1</v>
      </c>
      <c r="N371" s="24" t="str">
        <f ca="1">IF(AND(L371=1,L370&lt;&gt;1),MAX($N$8:N370)+1,"")</f>
        <v/>
      </c>
      <c r="O371" s="24" t="str">
        <f ca="1">IF(AND(L371&lt;&gt;1,L370=1),MAX($O$8:O370)+1,"")</f>
        <v/>
      </c>
      <c r="P371" s="17" t="str">
        <f ca="1">IF(AND(L371=-1,L370&lt;&gt;-1),MAX($P$8:P370)+1,"")</f>
        <v/>
      </c>
      <c r="Q371" s="24" t="str">
        <f ca="1">IF(AND(L371&lt;&gt;-1,L370=-1),MAX($Q$8:Q370)+1,"")</f>
        <v/>
      </c>
    </row>
    <row r="372" spans="1:17" x14ac:dyDescent="0.3">
      <c r="A372" s="3">
        <v>40725</v>
      </c>
      <c r="B372" s="9">
        <v>11.499903</v>
      </c>
      <c r="C372" s="9">
        <v>8.7071860000000001</v>
      </c>
      <c r="E372" s="14">
        <f t="shared" si="39"/>
        <v>1.32073703260732</v>
      </c>
      <c r="F372" s="18">
        <f t="shared" ca="1" si="38"/>
        <v>-0.86717241787177435</v>
      </c>
      <c r="G372" s="15">
        <f t="shared" ca="1" si="43"/>
        <v>1.3267318051798795</v>
      </c>
      <c r="H372" s="15">
        <f t="shared" ca="1" si="44"/>
        <v>6.9130111255982802E-3</v>
      </c>
      <c r="J372" s="17">
        <f t="shared" ca="1" si="40"/>
        <v>0</v>
      </c>
      <c r="K372" s="24">
        <f t="shared" ca="1" si="41"/>
        <v>-1</v>
      </c>
      <c r="L372" s="17">
        <f t="shared" ca="1" si="42"/>
        <v>-1</v>
      </c>
      <c r="N372" s="24" t="str">
        <f ca="1">IF(AND(L372=1,L371&lt;&gt;1),MAX($N$8:N371)+1,"")</f>
        <v/>
      </c>
      <c r="O372" s="24" t="str">
        <f ca="1">IF(AND(L372&lt;&gt;1,L371=1),MAX($O$8:O371)+1,"")</f>
        <v/>
      </c>
      <c r="P372" s="17" t="str">
        <f ca="1">IF(AND(L372=-1,L371&lt;&gt;-1),MAX($P$8:P371)+1,"")</f>
        <v/>
      </c>
      <c r="Q372" s="24" t="str">
        <f ca="1">IF(AND(L372&lt;&gt;-1,L371=-1),MAX($Q$8:Q371)+1,"")</f>
        <v/>
      </c>
    </row>
    <row r="373" spans="1:17" x14ac:dyDescent="0.3">
      <c r="A373" s="3">
        <v>40728</v>
      </c>
      <c r="B373" s="9">
        <v>11.600776</v>
      </c>
      <c r="C373" s="9">
        <v>8.8397539999999992</v>
      </c>
      <c r="E373" s="14">
        <f t="shared" si="39"/>
        <v>1.3123414972860106</v>
      </c>
      <c r="F373" s="18">
        <f t="shared" ca="1" si="38"/>
        <v>-1.856367914889729</v>
      </c>
      <c r="G373" s="15">
        <f t="shared" ca="1" si="43"/>
        <v>1.3256070991516344</v>
      </c>
      <c r="H373" s="15">
        <f t="shared" ca="1" si="44"/>
        <v>7.1459982470187559E-3</v>
      </c>
      <c r="J373" s="17">
        <f t="shared" ca="1" si="40"/>
        <v>0</v>
      </c>
      <c r="K373" s="24">
        <f t="shared" ca="1" si="41"/>
        <v>-1</v>
      </c>
      <c r="L373" s="17">
        <f t="shared" ca="1" si="42"/>
        <v>-1</v>
      </c>
      <c r="N373" s="24" t="str">
        <f ca="1">IF(AND(L373=1,L372&lt;&gt;1),MAX($N$8:N372)+1,"")</f>
        <v/>
      </c>
      <c r="O373" s="24" t="str">
        <f ca="1">IF(AND(L373&lt;&gt;1,L372=1),MAX($O$8:O372)+1,"")</f>
        <v/>
      </c>
      <c r="P373" s="17" t="str">
        <f ca="1">IF(AND(L373=-1,L372&lt;&gt;-1),MAX($P$8:P372)+1,"")</f>
        <v/>
      </c>
      <c r="Q373" s="24" t="str">
        <f ca="1">IF(AND(L373&lt;&gt;-1,L372=-1),MAX($Q$8:Q372)+1,"")</f>
        <v/>
      </c>
    </row>
    <row r="374" spans="1:17" x14ac:dyDescent="0.3">
      <c r="A374" s="3">
        <v>40729</v>
      </c>
      <c r="B374" s="9">
        <v>11.58817</v>
      </c>
      <c r="C374" s="9">
        <v>8.8096180000000004</v>
      </c>
      <c r="E374" s="14">
        <f t="shared" si="39"/>
        <v>1.3153998277791386</v>
      </c>
      <c r="F374" s="18">
        <f t="shared" ca="1" si="38"/>
        <v>-1.354101791075802</v>
      </c>
      <c r="G374" s="15">
        <f t="shared" ca="1" si="43"/>
        <v>1.324485126169104</v>
      </c>
      <c r="H374" s="15">
        <f t="shared" ca="1" si="44"/>
        <v>6.7094648643418135E-3</v>
      </c>
      <c r="J374" s="17">
        <f t="shared" ca="1" si="40"/>
        <v>0</v>
      </c>
      <c r="K374" s="24">
        <f t="shared" ca="1" si="41"/>
        <v>-1</v>
      </c>
      <c r="L374" s="17">
        <f t="shared" ca="1" si="42"/>
        <v>-1</v>
      </c>
      <c r="N374" s="24" t="str">
        <f ca="1">IF(AND(L374=1,L373&lt;&gt;1),MAX($N$8:N373)+1,"")</f>
        <v/>
      </c>
      <c r="O374" s="24" t="str">
        <f ca="1">IF(AND(L374&lt;&gt;1,L373=1),MAX($O$8:O373)+1,"")</f>
        <v/>
      </c>
      <c r="P374" s="17" t="str">
        <f ca="1">IF(AND(L374=-1,L373&lt;&gt;-1),MAX($P$8:P373)+1,"")</f>
        <v/>
      </c>
      <c r="Q374" s="24" t="str">
        <f ca="1">IF(AND(L374&lt;&gt;-1,L373=-1),MAX($Q$8:Q373)+1,"")</f>
        <v/>
      </c>
    </row>
    <row r="375" spans="1:17" x14ac:dyDescent="0.3">
      <c r="A375" s="3">
        <v>40730</v>
      </c>
      <c r="B375" s="9">
        <v>11.41475</v>
      </c>
      <c r="C375" s="9">
        <v>8.7027020000000004</v>
      </c>
      <c r="E375" s="14">
        <f t="shared" si="39"/>
        <v>1.3116328698833994</v>
      </c>
      <c r="F375" s="18">
        <f t="shared" ca="1" si="38"/>
        <v>-1.760805892400694</v>
      </c>
      <c r="G375" s="15">
        <f t="shared" ca="1" si="43"/>
        <v>1.323335597621327</v>
      </c>
      <c r="H375" s="15">
        <f t="shared" ca="1" si="44"/>
        <v>6.6462338571414044E-3</v>
      </c>
      <c r="J375" s="17">
        <f t="shared" ca="1" si="40"/>
        <v>0</v>
      </c>
      <c r="K375" s="24">
        <f t="shared" ca="1" si="41"/>
        <v>-1</v>
      </c>
      <c r="L375" s="17">
        <f t="shared" ca="1" si="42"/>
        <v>-1</v>
      </c>
      <c r="N375" s="24" t="str">
        <f ca="1">IF(AND(L375=1,L374&lt;&gt;1),MAX($N$8:N374)+1,"")</f>
        <v/>
      </c>
      <c r="O375" s="24" t="str">
        <f ca="1">IF(AND(L375&lt;&gt;1,L374=1),MAX($O$8:O374)+1,"")</f>
        <v/>
      </c>
      <c r="P375" s="17" t="str">
        <f ca="1">IF(AND(L375=-1,L374&lt;&gt;-1),MAX($P$8:P374)+1,"")</f>
        <v/>
      </c>
      <c r="Q375" s="24" t="str">
        <f ca="1">IF(AND(L375&lt;&gt;-1,L374=-1),MAX($Q$8:Q374)+1,"")</f>
        <v/>
      </c>
    </row>
    <row r="376" spans="1:17" x14ac:dyDescent="0.3">
      <c r="A376" s="3">
        <v>40731</v>
      </c>
      <c r="B376" s="9">
        <v>11.175208</v>
      </c>
      <c r="C376" s="9">
        <v>8.5793800000000005</v>
      </c>
      <c r="E376" s="14">
        <f t="shared" si="39"/>
        <v>1.3025659196818418</v>
      </c>
      <c r="F376" s="18">
        <f t="shared" ca="1" si="38"/>
        <v>-2.4996668804930327</v>
      </c>
      <c r="G376" s="15">
        <f t="shared" ca="1" si="43"/>
        <v>1.3222027460077326</v>
      </c>
      <c r="H376" s="15">
        <f t="shared" ca="1" si="44"/>
        <v>7.8557772954201219E-3</v>
      </c>
      <c r="J376" s="17">
        <f t="shared" ca="1" si="40"/>
        <v>0</v>
      </c>
      <c r="K376" s="24">
        <f t="shared" ca="1" si="41"/>
        <v>-1</v>
      </c>
      <c r="L376" s="17">
        <f t="shared" ca="1" si="42"/>
        <v>-1</v>
      </c>
      <c r="N376" s="24" t="str">
        <f ca="1">IF(AND(L376=1,L375&lt;&gt;1),MAX($N$8:N375)+1,"")</f>
        <v/>
      </c>
      <c r="O376" s="24" t="str">
        <f ca="1">IF(AND(L376&lt;&gt;1,L375=1),MAX($O$8:O375)+1,"")</f>
        <v/>
      </c>
      <c r="P376" s="17" t="str">
        <f ca="1">IF(AND(L376=-1,L375&lt;&gt;-1),MAX($P$8:P375)+1,"")</f>
        <v/>
      </c>
      <c r="Q376" s="24" t="str">
        <f ca="1">IF(AND(L376&lt;&gt;-1,L375=-1),MAX($Q$8:Q375)+1,"")</f>
        <v/>
      </c>
    </row>
    <row r="377" spans="1:17" x14ac:dyDescent="0.3">
      <c r="A377" s="3">
        <v>40732</v>
      </c>
      <c r="B377" s="9">
        <v>10.938782</v>
      </c>
      <c r="C377" s="9">
        <v>8.4368540000000003</v>
      </c>
      <c r="E377" s="14">
        <f t="shared" si="39"/>
        <v>1.2965475045556081</v>
      </c>
      <c r="F377" s="18">
        <f t="shared" ca="1" si="38"/>
        <v>-2.5803240482522583</v>
      </c>
      <c r="G377" s="15">
        <f t="shared" ca="1" si="43"/>
        <v>1.3210706099383407</v>
      </c>
      <c r="H377" s="15">
        <f t="shared" ca="1" si="44"/>
        <v>9.503885916709939E-3</v>
      </c>
      <c r="J377" s="17">
        <f t="shared" ca="1" si="40"/>
        <v>0</v>
      </c>
      <c r="K377" s="24">
        <f t="shared" ca="1" si="41"/>
        <v>-1</v>
      </c>
      <c r="L377" s="17">
        <f t="shared" ca="1" si="42"/>
        <v>-1</v>
      </c>
      <c r="N377" s="24" t="str">
        <f ca="1">IF(AND(L377=1,L376&lt;&gt;1),MAX($N$8:N376)+1,"")</f>
        <v/>
      </c>
      <c r="O377" s="24" t="str">
        <f ca="1">IF(AND(L377&lt;&gt;1,L376=1),MAX($O$8:O376)+1,"")</f>
        <v/>
      </c>
      <c r="P377" s="17" t="str">
        <f ca="1">IF(AND(L377=-1,L376&lt;&gt;-1),MAX($P$8:P376)+1,"")</f>
        <v/>
      </c>
      <c r="Q377" s="24" t="str">
        <f ca="1">IF(AND(L377&lt;&gt;-1,L376=-1),MAX($Q$8:Q376)+1,"")</f>
        <v/>
      </c>
    </row>
    <row r="378" spans="1:17" x14ac:dyDescent="0.3">
      <c r="A378" s="3">
        <v>40735</v>
      </c>
      <c r="B378" s="9">
        <v>10.535237</v>
      </c>
      <c r="C378" s="9">
        <v>8.1819559999999996</v>
      </c>
      <c r="E378" s="14">
        <f t="shared" si="39"/>
        <v>1.2876183885613661</v>
      </c>
      <c r="F378" s="18">
        <f t="shared" ca="1" si="38"/>
        <v>-2.7255098991342348</v>
      </c>
      <c r="G378" s="15">
        <f t="shared" ca="1" si="43"/>
        <v>1.3197203112487006</v>
      </c>
      <c r="H378" s="15">
        <f t="shared" ca="1" si="44"/>
        <v>1.1778318140591501E-2</v>
      </c>
      <c r="J378" s="17">
        <f t="shared" ca="1" si="40"/>
        <v>0</v>
      </c>
      <c r="K378" s="24">
        <f t="shared" ca="1" si="41"/>
        <v>-1</v>
      </c>
      <c r="L378" s="17">
        <f t="shared" ca="1" si="42"/>
        <v>-1</v>
      </c>
      <c r="N378" s="24" t="str">
        <f ca="1">IF(AND(L378=1,L377&lt;&gt;1),MAX($N$8:N377)+1,"")</f>
        <v/>
      </c>
      <c r="O378" s="24" t="str">
        <f ca="1">IF(AND(L378&lt;&gt;1,L377=1),MAX($O$8:O377)+1,"")</f>
        <v/>
      </c>
      <c r="P378" s="17" t="str">
        <f ca="1">IF(AND(L378=-1,L377&lt;&gt;-1),MAX($P$8:P377)+1,"")</f>
        <v/>
      </c>
      <c r="Q378" s="24" t="str">
        <f ca="1">IF(AND(L378&lt;&gt;-1,L377=-1),MAX($Q$8:Q377)+1,"")</f>
        <v/>
      </c>
    </row>
    <row r="379" spans="1:17" x14ac:dyDescent="0.3">
      <c r="A379" s="3">
        <v>40736</v>
      </c>
      <c r="B379" s="9">
        <v>10.261008</v>
      </c>
      <c r="C379" s="9">
        <v>8.0037719999999997</v>
      </c>
      <c r="E379" s="14">
        <f t="shared" si="39"/>
        <v>1.2820215268500903</v>
      </c>
      <c r="F379" s="18">
        <f t="shared" ca="1" si="38"/>
        <v>-2.5500806021545159</v>
      </c>
      <c r="G379" s="15">
        <f t="shared" ca="1" si="43"/>
        <v>1.3181275272162902</v>
      </c>
      <c r="H379" s="15">
        <f t="shared" ca="1" si="44"/>
        <v>1.4158768289792347E-2</v>
      </c>
      <c r="J379" s="17">
        <f t="shared" ca="1" si="40"/>
        <v>0</v>
      </c>
      <c r="K379" s="24">
        <f t="shared" ca="1" si="41"/>
        <v>-1</v>
      </c>
      <c r="L379" s="17">
        <f t="shared" ca="1" si="42"/>
        <v>-1</v>
      </c>
      <c r="N379" s="24" t="str">
        <f ca="1">IF(AND(L379=1,L378&lt;&gt;1),MAX($N$8:N378)+1,"")</f>
        <v/>
      </c>
      <c r="O379" s="24" t="str">
        <f ca="1">IF(AND(L379&lt;&gt;1,L378=1),MAX($O$8:O378)+1,"")</f>
        <v/>
      </c>
      <c r="P379" s="17" t="str">
        <f ca="1">IF(AND(L379=-1,L378&lt;&gt;-1),MAX($P$8:P378)+1,"")</f>
        <v/>
      </c>
      <c r="Q379" s="24" t="str">
        <f ca="1">IF(AND(L379&lt;&gt;-1,L378=-1),MAX($Q$8:Q378)+1,"")</f>
        <v/>
      </c>
    </row>
    <row r="380" spans="1:17" x14ac:dyDescent="0.3">
      <c r="A380" s="3">
        <v>40737</v>
      </c>
      <c r="B380" s="9">
        <v>10.327199</v>
      </c>
      <c r="C380" s="9">
        <v>8.2066149999999993</v>
      </c>
      <c r="E380" s="14">
        <f t="shared" si="39"/>
        <v>1.2583993522298782</v>
      </c>
      <c r="F380" s="18">
        <f t="shared" ca="1" si="38"/>
        <v>-3.0331565251892498</v>
      </c>
      <c r="G380" s="15">
        <f t="shared" ca="1" si="43"/>
        <v>1.3149352085405515</v>
      </c>
      <c r="H380" s="15">
        <f t="shared" ca="1" si="44"/>
        <v>1.8639280841975598E-2</v>
      </c>
      <c r="J380" s="17">
        <f t="shared" ca="1" si="40"/>
        <v>0</v>
      </c>
      <c r="K380" s="24">
        <f t="shared" ca="1" si="41"/>
        <v>-1</v>
      </c>
      <c r="L380" s="17">
        <f t="shared" ca="1" si="42"/>
        <v>-1</v>
      </c>
      <c r="N380" s="24" t="str">
        <f ca="1">IF(AND(L380=1,L379&lt;&gt;1),MAX($N$8:N379)+1,"")</f>
        <v/>
      </c>
      <c r="O380" s="24" t="str">
        <f ca="1">IF(AND(L380&lt;&gt;1,L379=1),MAX($O$8:O379)+1,"")</f>
        <v/>
      </c>
      <c r="P380" s="17" t="str">
        <f ca="1">IF(AND(L380=-1,L379&lt;&gt;-1),MAX($P$8:P379)+1,"")</f>
        <v/>
      </c>
      <c r="Q380" s="24" t="str">
        <f ca="1">IF(AND(L380&lt;&gt;-1,L379=-1),MAX($Q$8:Q379)+1,"")</f>
        <v/>
      </c>
    </row>
    <row r="381" spans="1:17" x14ac:dyDescent="0.3">
      <c r="A381" s="3">
        <v>40738</v>
      </c>
      <c r="B381" s="9">
        <v>10.021407</v>
      </c>
      <c r="C381" s="9">
        <v>8.0092379999999999</v>
      </c>
      <c r="E381" s="14">
        <f t="shared" si="39"/>
        <v>1.2512310159842921</v>
      </c>
      <c r="F381" s="18">
        <f t="shared" ca="1" si="38"/>
        <v>-2.6552828540265123</v>
      </c>
      <c r="G381" s="15">
        <f t="shared" ca="1" si="43"/>
        <v>1.3116499876242438</v>
      </c>
      <c r="H381" s="15">
        <f t="shared" ca="1" si="44"/>
        <v>2.2754250662347108E-2</v>
      </c>
      <c r="J381" s="17">
        <f t="shared" ca="1" si="40"/>
        <v>0</v>
      </c>
      <c r="K381" s="24">
        <f t="shared" ca="1" si="41"/>
        <v>-1</v>
      </c>
      <c r="L381" s="17">
        <f t="shared" ca="1" si="42"/>
        <v>-1</v>
      </c>
      <c r="N381" s="24" t="str">
        <f ca="1">IF(AND(L381=1,L380&lt;&gt;1),MAX($N$8:N380)+1,"")</f>
        <v/>
      </c>
      <c r="O381" s="24" t="str">
        <f ca="1">IF(AND(L381&lt;&gt;1,L380=1),MAX($O$8:O380)+1,"")</f>
        <v/>
      </c>
      <c r="P381" s="17" t="str">
        <f ca="1">IF(AND(L381=-1,L380&lt;&gt;-1),MAX($P$8:P380)+1,"")</f>
        <v/>
      </c>
      <c r="Q381" s="24" t="str">
        <f ca="1">IF(AND(L381&lt;&gt;-1,L380=-1),MAX($Q$8:Q380)+1,"")</f>
        <v/>
      </c>
    </row>
    <row r="382" spans="1:17" x14ac:dyDescent="0.3">
      <c r="A382" s="3">
        <v>40739</v>
      </c>
      <c r="B382" s="9">
        <v>9.9899000000000004</v>
      </c>
      <c r="C382" s="9">
        <v>7.8777109999999997</v>
      </c>
      <c r="E382" s="14">
        <f t="shared" si="39"/>
        <v>1.2681221740680766</v>
      </c>
      <c r="F382" s="18">
        <f t="shared" ca="1" si="38"/>
        <v>-1.6885863868690174</v>
      </c>
      <c r="G382" s="15">
        <f t="shared" ca="1" si="43"/>
        <v>1.3088960396371079</v>
      </c>
      <c r="H382" s="15">
        <f t="shared" ca="1" si="44"/>
        <v>2.4146745399644211E-2</v>
      </c>
      <c r="J382" s="17">
        <f t="shared" ca="1" si="40"/>
        <v>0</v>
      </c>
      <c r="K382" s="24">
        <f t="shared" ca="1" si="41"/>
        <v>-1</v>
      </c>
      <c r="L382" s="17">
        <f t="shared" ca="1" si="42"/>
        <v>-1</v>
      </c>
      <c r="N382" s="24" t="str">
        <f ca="1">IF(AND(L382=1,L381&lt;&gt;1),MAX($N$8:N381)+1,"")</f>
        <v/>
      </c>
      <c r="O382" s="24" t="str">
        <f ca="1">IF(AND(L382&lt;&gt;1,L381=1),MAX($O$8:O381)+1,"")</f>
        <v/>
      </c>
      <c r="P382" s="17" t="str">
        <f ca="1">IF(AND(L382=-1,L381&lt;&gt;-1),MAX($P$8:P381)+1,"")</f>
        <v/>
      </c>
      <c r="Q382" s="24" t="str">
        <f ca="1">IF(AND(L382&lt;&gt;-1,L381=-1),MAX($Q$8:Q381)+1,"")</f>
        <v/>
      </c>
    </row>
    <row r="383" spans="1:17" x14ac:dyDescent="0.3">
      <c r="A383" s="3">
        <v>40742</v>
      </c>
      <c r="B383" s="9">
        <v>9.898517</v>
      </c>
      <c r="C383" s="9">
        <v>7.7022709999999996</v>
      </c>
      <c r="E383" s="14">
        <f t="shared" si="39"/>
        <v>1.2851426546793796</v>
      </c>
      <c r="F383" s="18">
        <f t="shared" ca="1" si="38"/>
        <v>-0.89790001556963794</v>
      </c>
      <c r="G383" s="15">
        <f t="shared" ca="1" si="43"/>
        <v>1.3067497796985046</v>
      </c>
      <c r="H383" s="15">
        <f t="shared" ca="1" si="44"/>
        <v>2.4064065758387564E-2</v>
      </c>
      <c r="J383" s="17">
        <f t="shared" ca="1" si="40"/>
        <v>0</v>
      </c>
      <c r="K383" s="24">
        <f t="shared" ca="1" si="41"/>
        <v>-1</v>
      </c>
      <c r="L383" s="17">
        <f t="shared" ca="1" si="42"/>
        <v>-1</v>
      </c>
      <c r="N383" s="24" t="str">
        <f ca="1">IF(AND(L383=1,L382&lt;&gt;1),MAX($N$8:N382)+1,"")</f>
        <v/>
      </c>
      <c r="O383" s="24" t="str">
        <f ca="1">IF(AND(L383&lt;&gt;1,L382=1),MAX($O$8:O382)+1,"")</f>
        <v/>
      </c>
      <c r="P383" s="17" t="str">
        <f ca="1">IF(AND(L383=-1,L382&lt;&gt;-1),MAX($P$8:P382)+1,"")</f>
        <v/>
      </c>
      <c r="Q383" s="24" t="str">
        <f ca="1">IF(AND(L383&lt;&gt;-1,L382=-1),MAX($Q$8:Q382)+1,"")</f>
        <v/>
      </c>
    </row>
    <row r="384" spans="1:17" x14ac:dyDescent="0.3">
      <c r="A384" s="3">
        <v>40743</v>
      </c>
      <c r="B384" s="9">
        <v>10.134945</v>
      </c>
      <c r="C384" s="9">
        <v>7.8119230000000002</v>
      </c>
      <c r="E384" s="14">
        <f t="shared" si="39"/>
        <v>1.2973687784685026</v>
      </c>
      <c r="F384" s="18">
        <f t="shared" ca="1" si="38"/>
        <v>-0.32467579209980935</v>
      </c>
      <c r="G384" s="15">
        <f t="shared" ca="1" si="43"/>
        <v>1.3048604880816814</v>
      </c>
      <c r="H384" s="15">
        <f t="shared" ca="1" si="44"/>
        <v>2.3074432389082321E-2</v>
      </c>
      <c r="J384" s="17">
        <f t="shared" ca="1" si="40"/>
        <v>0</v>
      </c>
      <c r="K384" s="24">
        <f t="shared" ca="1" si="41"/>
        <v>-1</v>
      </c>
      <c r="L384" s="17">
        <f t="shared" ca="1" si="42"/>
        <v>-1</v>
      </c>
      <c r="N384" s="24" t="str">
        <f ca="1">IF(AND(L384=1,L383&lt;&gt;1),MAX($N$8:N383)+1,"")</f>
        <v/>
      </c>
      <c r="O384" s="24" t="str">
        <f ca="1">IF(AND(L384&lt;&gt;1,L383=1),MAX($O$8:O383)+1,"")</f>
        <v/>
      </c>
      <c r="P384" s="17" t="str">
        <f ca="1">IF(AND(L384=-1,L383&lt;&gt;-1),MAX($P$8:P383)+1,"")</f>
        <v/>
      </c>
      <c r="Q384" s="24" t="str">
        <f ca="1">IF(AND(L384&lt;&gt;-1,L383=-1),MAX($Q$8:Q383)+1,"")</f>
        <v/>
      </c>
    </row>
    <row r="385" spans="1:17" x14ac:dyDescent="0.3">
      <c r="A385" s="3">
        <v>40744</v>
      </c>
      <c r="B385" s="9">
        <v>10.207426999999999</v>
      </c>
      <c r="C385" s="9">
        <v>7.9078470000000003</v>
      </c>
      <c r="E385" s="14">
        <f t="shared" si="39"/>
        <v>1.290797229637852</v>
      </c>
      <c r="F385" s="18">
        <f t="shared" ca="1" si="38"/>
        <v>-0.54516798448927239</v>
      </c>
      <c r="G385" s="15">
        <f t="shared" ca="1" si="43"/>
        <v>1.3031448324557653</v>
      </c>
      <c r="H385" s="15">
        <f t="shared" ca="1" si="44"/>
        <v>2.2649170841315649E-2</v>
      </c>
      <c r="J385" s="17">
        <f t="shared" ca="1" si="40"/>
        <v>0</v>
      </c>
      <c r="K385" s="24">
        <f t="shared" ca="1" si="41"/>
        <v>-1</v>
      </c>
      <c r="L385" s="17">
        <f t="shared" ca="1" si="42"/>
        <v>-1</v>
      </c>
      <c r="N385" s="24" t="str">
        <f ca="1">IF(AND(L385=1,L384&lt;&gt;1),MAX($N$8:N384)+1,"")</f>
        <v/>
      </c>
      <c r="O385" s="24" t="str">
        <f ca="1">IF(AND(L385&lt;&gt;1,L384=1),MAX($O$8:O384)+1,"")</f>
        <v/>
      </c>
      <c r="P385" s="17" t="str">
        <f ca="1">IF(AND(L385=-1,L384&lt;&gt;-1),MAX($P$8:P384)+1,"")</f>
        <v/>
      </c>
      <c r="Q385" s="24" t="str">
        <f ca="1">IF(AND(L385&lt;&gt;-1,L384=-1),MAX($Q$8:Q384)+1,"")</f>
        <v/>
      </c>
    </row>
    <row r="386" spans="1:17" x14ac:dyDescent="0.3">
      <c r="A386" s="3">
        <v>40745</v>
      </c>
      <c r="B386" s="9">
        <v>10.346101000000001</v>
      </c>
      <c r="C386" s="9">
        <v>8.0996970000000008</v>
      </c>
      <c r="E386" s="14">
        <f t="shared" si="39"/>
        <v>1.2773442018880459</v>
      </c>
      <c r="F386" s="18">
        <f t="shared" ref="F386:F449" ca="1" si="45">IF(ISNUMBER(G386),(E386-G386)/H386,"")</f>
        <v>-1.0436572274485527</v>
      </c>
      <c r="G386" s="15">
        <f t="shared" ca="1" si="43"/>
        <v>1.3006551221625708</v>
      </c>
      <c r="H386" s="15">
        <f t="shared" ca="1" si="44"/>
        <v>2.2335801124583395E-2</v>
      </c>
      <c r="J386" s="17">
        <f t="shared" ca="1" si="40"/>
        <v>0</v>
      </c>
      <c r="K386" s="24">
        <f t="shared" ca="1" si="41"/>
        <v>-1</v>
      </c>
      <c r="L386" s="17">
        <f t="shared" ca="1" si="42"/>
        <v>-1</v>
      </c>
      <c r="N386" s="24" t="str">
        <f ca="1">IF(AND(L386=1,L385&lt;&gt;1),MAX($N$8:N385)+1,"")</f>
        <v/>
      </c>
      <c r="O386" s="24" t="str">
        <f ca="1">IF(AND(L386&lt;&gt;1,L385=1),MAX($O$8:O385)+1,"")</f>
        <v/>
      </c>
      <c r="P386" s="17" t="str">
        <f ca="1">IF(AND(L386=-1,L385&lt;&gt;-1),MAX($P$8:P385)+1,"")</f>
        <v/>
      </c>
      <c r="Q386" s="24" t="str">
        <f ca="1">IF(AND(L386&lt;&gt;-1,L385=-1),MAX($Q$8:Q385)+1,"")</f>
        <v/>
      </c>
    </row>
    <row r="387" spans="1:17" x14ac:dyDescent="0.3">
      <c r="A387" s="3">
        <v>40746</v>
      </c>
      <c r="B387" s="9">
        <v>10.349283</v>
      </c>
      <c r="C387" s="9">
        <v>8.1134199999999996</v>
      </c>
      <c r="E387" s="14">
        <f t="shared" ref="E387:E450" si="46">IF(ISNUMBER(B387),B387/C387,"")</f>
        <v>1.2755758977102134</v>
      </c>
      <c r="F387" s="18">
        <f t="shared" ca="1" si="45"/>
        <v>-1.0247416158154945</v>
      </c>
      <c r="G387" s="15">
        <f t="shared" ca="1" si="43"/>
        <v>1.2985891746005447</v>
      </c>
      <c r="H387" s="15">
        <f t="shared" ca="1" si="44"/>
        <v>2.2457638623388201E-2</v>
      </c>
      <c r="J387" s="17">
        <f t="shared" ca="1" si="40"/>
        <v>0</v>
      </c>
      <c r="K387" s="24">
        <f t="shared" ca="1" si="41"/>
        <v>-1</v>
      </c>
      <c r="L387" s="17">
        <f t="shared" ca="1" si="42"/>
        <v>-1</v>
      </c>
      <c r="N387" s="24" t="str">
        <f ca="1">IF(AND(L387=1,L386&lt;&gt;1),MAX($N$8:N386)+1,"")</f>
        <v/>
      </c>
      <c r="O387" s="24" t="str">
        <f ca="1">IF(AND(L387&lt;&gt;1,L386=1),MAX($O$8:O386)+1,"")</f>
        <v/>
      </c>
      <c r="P387" s="17" t="str">
        <f ca="1">IF(AND(L387=-1,L386&lt;&gt;-1),MAX($P$8:P386)+1,"")</f>
        <v/>
      </c>
      <c r="Q387" s="24" t="str">
        <f ca="1">IF(AND(L387&lt;&gt;-1,L386=-1),MAX($Q$8:Q386)+1,"")</f>
        <v/>
      </c>
    </row>
    <row r="388" spans="1:17" x14ac:dyDescent="0.3">
      <c r="A388" s="3">
        <v>40749</v>
      </c>
      <c r="B388" s="9">
        <v>10.119154999999999</v>
      </c>
      <c r="C388" s="9">
        <v>8.0585640000000005</v>
      </c>
      <c r="E388" s="14">
        <f t="shared" si="46"/>
        <v>1.2557020084471624</v>
      </c>
      <c r="F388" s="18">
        <f t="shared" ca="1" si="45"/>
        <v>-1.6928768633677675</v>
      </c>
      <c r="G388" s="15">
        <f t="shared" ca="1" si="43"/>
        <v>1.2956095915260395</v>
      </c>
      <c r="H388" s="15">
        <f t="shared" ca="1" si="44"/>
        <v>2.357382509173522E-2</v>
      </c>
      <c r="J388" s="17">
        <f t="shared" ca="1" si="40"/>
        <v>0</v>
      </c>
      <c r="K388" s="24">
        <f t="shared" ca="1" si="41"/>
        <v>-1</v>
      </c>
      <c r="L388" s="17">
        <f t="shared" ca="1" si="42"/>
        <v>-1</v>
      </c>
      <c r="N388" s="24" t="str">
        <f ca="1">IF(AND(L388=1,L387&lt;&gt;1),MAX($N$8:N387)+1,"")</f>
        <v/>
      </c>
      <c r="O388" s="24" t="str">
        <f ca="1">IF(AND(L388&lt;&gt;1,L387=1),MAX($O$8:O387)+1,"")</f>
        <v/>
      </c>
      <c r="P388" s="17" t="str">
        <f ca="1">IF(AND(L388=-1,L387&lt;&gt;-1),MAX($P$8:P387)+1,"")</f>
        <v/>
      </c>
      <c r="Q388" s="24" t="str">
        <f ca="1">IF(AND(L388&lt;&gt;-1,L387=-1),MAX($Q$8:Q387)+1,"")</f>
        <v/>
      </c>
    </row>
    <row r="389" spans="1:17" x14ac:dyDescent="0.3">
      <c r="A389" s="3">
        <v>40750</v>
      </c>
      <c r="B389" s="9">
        <v>9.9552230000000002</v>
      </c>
      <c r="C389" s="9">
        <v>8.0010320000000004</v>
      </c>
      <c r="E389" s="14">
        <f t="shared" si="46"/>
        <v>1.2442423677345622</v>
      </c>
      <c r="F389" s="18">
        <f t="shared" ca="1" si="45"/>
        <v>-1.906392849923628</v>
      </c>
      <c r="G389" s="15">
        <f t="shared" ca="1" si="43"/>
        <v>1.2920186886884011</v>
      </c>
      <c r="H389" s="15">
        <f t="shared" ca="1" si="44"/>
        <v>2.5061110020294531E-2</v>
      </c>
      <c r="J389" s="17">
        <f t="shared" ca="1" si="40"/>
        <v>0</v>
      </c>
      <c r="K389" s="24">
        <f t="shared" ca="1" si="41"/>
        <v>-1</v>
      </c>
      <c r="L389" s="17">
        <f t="shared" ca="1" si="42"/>
        <v>-1</v>
      </c>
      <c r="N389" s="24" t="str">
        <f ca="1">IF(AND(L389=1,L388&lt;&gt;1),MAX($N$8:N388)+1,"")</f>
        <v/>
      </c>
      <c r="O389" s="24" t="str">
        <f ca="1">IF(AND(L389&lt;&gt;1,L388=1),MAX($O$8:O388)+1,"")</f>
        <v/>
      </c>
      <c r="P389" s="17" t="str">
        <f ca="1">IF(AND(L389=-1,L388&lt;&gt;-1),MAX($P$8:P388)+1,"")</f>
        <v/>
      </c>
      <c r="Q389" s="24" t="str">
        <f ca="1">IF(AND(L389&lt;&gt;-1,L388=-1),MAX($Q$8:Q388)+1,"")</f>
        <v/>
      </c>
    </row>
    <row r="390" spans="1:17" x14ac:dyDescent="0.3">
      <c r="A390" s="3">
        <v>40751</v>
      </c>
      <c r="B390" s="9">
        <v>9.7597810000000003</v>
      </c>
      <c r="C390" s="9">
        <v>7.9023789999999998</v>
      </c>
      <c r="E390" s="14">
        <f t="shared" si="46"/>
        <v>1.2350433964253045</v>
      </c>
      <c r="F390" s="18">
        <f t="shared" ca="1" si="45"/>
        <v>-1.9665613443468284</v>
      </c>
      <c r="G390" s="15">
        <f t="shared" ca="1" si="43"/>
        <v>1.2882878630769687</v>
      </c>
      <c r="H390" s="15">
        <f t="shared" ca="1" si="44"/>
        <v>2.7074907581562797E-2</v>
      </c>
      <c r="J390" s="17">
        <f t="shared" ca="1" si="40"/>
        <v>0</v>
      </c>
      <c r="K390" s="24">
        <f t="shared" ca="1" si="41"/>
        <v>-1</v>
      </c>
      <c r="L390" s="17">
        <f t="shared" ca="1" si="42"/>
        <v>-1</v>
      </c>
      <c r="N390" s="24" t="str">
        <f ca="1">IF(AND(L390=1,L389&lt;&gt;1),MAX($N$8:N389)+1,"")</f>
        <v/>
      </c>
      <c r="O390" s="24" t="str">
        <f ca="1">IF(AND(L390&lt;&gt;1,L389=1),MAX($O$8:O389)+1,"")</f>
        <v/>
      </c>
      <c r="P390" s="17" t="str">
        <f ca="1">IF(AND(L390=-1,L389&lt;&gt;-1),MAX($P$8:P389)+1,"")</f>
        <v/>
      </c>
      <c r="Q390" s="24" t="str">
        <f ca="1">IF(AND(L390&lt;&gt;-1,L389=-1),MAX($Q$8:Q389)+1,"")</f>
        <v/>
      </c>
    </row>
    <row r="391" spans="1:17" x14ac:dyDescent="0.3">
      <c r="A391" s="3">
        <v>40752</v>
      </c>
      <c r="B391" s="9">
        <v>9.7881630000000008</v>
      </c>
      <c r="C391" s="9">
        <v>8.0448920000000008</v>
      </c>
      <c r="E391" s="14">
        <f t="shared" si="46"/>
        <v>1.216692902776072</v>
      </c>
      <c r="F391" s="18">
        <f t="shared" ca="1" si="45"/>
        <v>-2.2470124148242299</v>
      </c>
      <c r="G391" s="15">
        <f t="shared" ca="1" si="43"/>
        <v>1.2833620976877596</v>
      </c>
      <c r="H391" s="15">
        <f t="shared" ca="1" si="44"/>
        <v>2.9670149782818477E-2</v>
      </c>
      <c r="J391" s="17">
        <f t="shared" ca="1" si="40"/>
        <v>0</v>
      </c>
      <c r="K391" s="24">
        <f t="shared" ca="1" si="41"/>
        <v>-1</v>
      </c>
      <c r="L391" s="17">
        <f t="shared" ca="1" si="42"/>
        <v>-1</v>
      </c>
      <c r="N391" s="24" t="str">
        <f ca="1">IF(AND(L391=1,L390&lt;&gt;1),MAX($N$8:N390)+1,"")</f>
        <v/>
      </c>
      <c r="O391" s="24" t="str">
        <f ca="1">IF(AND(L391&lt;&gt;1,L390=1),MAX($O$8:O390)+1,"")</f>
        <v/>
      </c>
      <c r="P391" s="17" t="str">
        <f ca="1">IF(AND(L391=-1,L390&lt;&gt;-1),MAX($P$8:P390)+1,"")</f>
        <v/>
      </c>
      <c r="Q391" s="24" t="str">
        <f ca="1">IF(AND(L391&lt;&gt;-1,L390=-1),MAX($Q$8:Q390)+1,"")</f>
        <v/>
      </c>
    </row>
    <row r="392" spans="1:17" x14ac:dyDescent="0.3">
      <c r="A392" s="3">
        <v>40753</v>
      </c>
      <c r="B392" s="9">
        <v>9.9300160000000002</v>
      </c>
      <c r="C392" s="9">
        <v>8.0860249999999994</v>
      </c>
      <c r="E392" s="14">
        <f t="shared" si="46"/>
        <v>1.2280466607511109</v>
      </c>
      <c r="F392" s="18">
        <f t="shared" ca="1" si="45"/>
        <v>-1.6811421783555545</v>
      </c>
      <c r="G392" s="15">
        <f t="shared" ca="1" si="43"/>
        <v>1.2788829363599186</v>
      </c>
      <c r="H392" s="15">
        <f t="shared" ca="1" si="44"/>
        <v>3.0239129243984742E-2</v>
      </c>
      <c r="J392" s="17">
        <f t="shared" ref="J392:J455" ca="1" si="47">IF(ISNUMBER(F392),IF(AND(J391&lt;&gt;1,F392&gt;$L$1),1,IF(AND(J391=1,F392&gt;$N$1),1,0)),"")</f>
        <v>0</v>
      </c>
      <c r="K392" s="24">
        <f t="shared" ca="1" si="41"/>
        <v>-1</v>
      </c>
      <c r="L392" s="17">
        <f t="shared" ca="1" si="42"/>
        <v>-1</v>
      </c>
      <c r="N392" s="24" t="str">
        <f ca="1">IF(AND(L392=1,L391&lt;&gt;1),MAX($N$8:N391)+1,"")</f>
        <v/>
      </c>
      <c r="O392" s="24" t="str">
        <f ca="1">IF(AND(L392&lt;&gt;1,L391=1),MAX($O$8:O391)+1,"")</f>
        <v/>
      </c>
      <c r="P392" s="17" t="str">
        <f ca="1">IF(AND(L392=-1,L391&lt;&gt;-1),MAX($P$8:P391)+1,"")</f>
        <v/>
      </c>
      <c r="Q392" s="24" t="str">
        <f ca="1">IF(AND(L392&lt;&gt;-1,L391=-1),MAX($Q$8:Q391)+1,"")</f>
        <v/>
      </c>
    </row>
    <row r="393" spans="1:17" x14ac:dyDescent="0.3">
      <c r="A393" s="3">
        <v>40756</v>
      </c>
      <c r="B393" s="9">
        <v>9.9068039999999993</v>
      </c>
      <c r="C393" s="9">
        <v>8.1627519999999993</v>
      </c>
      <c r="E393" s="14">
        <f t="shared" si="46"/>
        <v>1.2136598049285339</v>
      </c>
      <c r="F393" s="18">
        <f t="shared" ca="1" si="45"/>
        <v>-1.91011373372122</v>
      </c>
      <c r="G393" s="15">
        <f t="shared" ca="1" si="43"/>
        <v>1.2739196824060799</v>
      </c>
      <c r="H393" s="15">
        <f t="shared" ca="1" si="44"/>
        <v>3.1547795512757104E-2</v>
      </c>
      <c r="J393" s="17">
        <f t="shared" ca="1" si="47"/>
        <v>0</v>
      </c>
      <c r="K393" s="24">
        <f t="shared" ref="K393:K456" ca="1" si="48">IF(ISNUMBER(F393),IF(AND(K392&lt;&gt;-1,F393&lt;$P$1),-1,IF(AND(K392=-1,F393&lt;R386),-1,0)),"")</f>
        <v>-1</v>
      </c>
      <c r="L393" s="17">
        <f t="shared" ref="L393:L456" ca="1" si="49">IF(ISNUMBER(F393),IF(J393=1,1,IF(K393=-1,-1,0)),"")</f>
        <v>-1</v>
      </c>
      <c r="N393" s="24" t="str">
        <f ca="1">IF(AND(L393=1,L392&lt;&gt;1),MAX($N$8:N392)+1,"")</f>
        <v/>
      </c>
      <c r="O393" s="24" t="str">
        <f ca="1">IF(AND(L393&lt;&gt;1,L392=1),MAX($O$8:O392)+1,"")</f>
        <v/>
      </c>
      <c r="P393" s="17" t="str">
        <f ca="1">IF(AND(L393=-1,L392&lt;&gt;-1),MAX($P$8:P392)+1,"")</f>
        <v/>
      </c>
      <c r="Q393" s="24" t="str">
        <f ca="1">IF(AND(L393&lt;&gt;-1,L392=-1),MAX($Q$8:Q392)+1,"")</f>
        <v/>
      </c>
    </row>
    <row r="394" spans="1:17" x14ac:dyDescent="0.3">
      <c r="A394" s="3">
        <v>40757</v>
      </c>
      <c r="B394" s="9">
        <v>9.3325410000000009</v>
      </c>
      <c r="C394" s="9">
        <v>7.9030659999999999</v>
      </c>
      <c r="E394" s="14">
        <f t="shared" si="46"/>
        <v>1.1808760043254101</v>
      </c>
      <c r="F394" s="18">
        <f t="shared" ca="1" si="45"/>
        <v>-2.4531134337293357</v>
      </c>
      <c r="G394" s="15">
        <f t="shared" ca="1" si="43"/>
        <v>1.2675623629387203</v>
      </c>
      <c r="H394" s="15">
        <f t="shared" ca="1" si="44"/>
        <v>3.5337280951384956E-2</v>
      </c>
      <c r="J394" s="17">
        <f t="shared" ca="1" si="47"/>
        <v>0</v>
      </c>
      <c r="K394" s="24">
        <f t="shared" ca="1" si="48"/>
        <v>-1</v>
      </c>
      <c r="L394" s="17">
        <f t="shared" ca="1" si="49"/>
        <v>-1</v>
      </c>
      <c r="N394" s="24" t="str">
        <f ca="1">IF(AND(L394=1,L393&lt;&gt;1),MAX($N$8:N393)+1,"")</f>
        <v/>
      </c>
      <c r="O394" s="24" t="str">
        <f ca="1">IF(AND(L394&lt;&gt;1,L393=1),MAX($O$8:O393)+1,"")</f>
        <v/>
      </c>
      <c r="P394" s="17" t="str">
        <f ca="1">IF(AND(L394=-1,L393&lt;&gt;-1),MAX($P$8:P393)+1,"")</f>
        <v/>
      </c>
      <c r="Q394" s="24" t="str">
        <f ca="1">IF(AND(L394&lt;&gt;-1,L393=-1),MAX($Q$8:Q393)+1,"")</f>
        <v/>
      </c>
    </row>
    <row r="395" spans="1:17" x14ac:dyDescent="0.3">
      <c r="A395" s="3">
        <v>40758</v>
      </c>
      <c r="B395" s="9">
        <v>9.1338170000000005</v>
      </c>
      <c r="C395" s="9">
        <v>7.7741290000000003</v>
      </c>
      <c r="E395" s="14">
        <f t="shared" si="46"/>
        <v>1.1748990787263758</v>
      </c>
      <c r="F395" s="18">
        <f t="shared" ca="1" si="45"/>
        <v>-2.2247000273713526</v>
      </c>
      <c r="G395" s="15">
        <f t="shared" ca="1" si="43"/>
        <v>1.2613149802769188</v>
      </c>
      <c r="H395" s="15">
        <f t="shared" ca="1" si="44"/>
        <v>3.8843844332869353E-2</v>
      </c>
      <c r="J395" s="17">
        <f t="shared" ca="1" si="47"/>
        <v>0</v>
      </c>
      <c r="K395" s="24">
        <f t="shared" ca="1" si="48"/>
        <v>-1</v>
      </c>
      <c r="L395" s="17">
        <f t="shared" ca="1" si="49"/>
        <v>-1</v>
      </c>
      <c r="N395" s="24" t="str">
        <f ca="1">IF(AND(L395=1,L394&lt;&gt;1),MAX($N$8:N394)+1,"")</f>
        <v/>
      </c>
      <c r="O395" s="24" t="str">
        <f ca="1">IF(AND(L395&lt;&gt;1,L394=1),MAX($O$8:O394)+1,"")</f>
        <v/>
      </c>
      <c r="P395" s="17" t="str">
        <f ca="1">IF(AND(L395=-1,L394&lt;&gt;-1),MAX($P$8:P394)+1,"")</f>
        <v/>
      </c>
      <c r="Q395" s="24" t="str">
        <f ca="1">IF(AND(L395&lt;&gt;-1,L394=-1),MAX($Q$8:Q394)+1,"")</f>
        <v/>
      </c>
    </row>
    <row r="396" spans="1:17" x14ac:dyDescent="0.3">
      <c r="A396" s="3">
        <v>40759</v>
      </c>
      <c r="B396" s="9">
        <v>8.8498719999999995</v>
      </c>
      <c r="C396" s="9">
        <v>7.4914389999999997</v>
      </c>
      <c r="E396" s="14">
        <f t="shared" si="46"/>
        <v>1.1813313837301485</v>
      </c>
      <c r="F396" s="18">
        <f t="shared" ca="1" si="45"/>
        <v>-1.8304226258039862</v>
      </c>
      <c r="G396" s="15">
        <f t="shared" ca="1" si="43"/>
        <v>1.2552209600928739</v>
      </c>
      <c r="H396" s="15">
        <f t="shared" ca="1" si="44"/>
        <v>4.0367495091616072E-2</v>
      </c>
      <c r="J396" s="17">
        <f t="shared" ca="1" si="47"/>
        <v>0</v>
      </c>
      <c r="K396" s="24">
        <f t="shared" ca="1" si="48"/>
        <v>-1</v>
      </c>
      <c r="L396" s="17">
        <f t="shared" ca="1" si="49"/>
        <v>-1</v>
      </c>
      <c r="N396" s="24" t="str">
        <f ca="1">IF(AND(L396=1,L395&lt;&gt;1),MAX($N$8:N395)+1,"")</f>
        <v/>
      </c>
      <c r="O396" s="24" t="str">
        <f ca="1">IF(AND(L396&lt;&gt;1,L395=1),MAX($O$8:O395)+1,"")</f>
        <v/>
      </c>
      <c r="P396" s="17" t="str">
        <f ca="1">IF(AND(L396=-1,L395&lt;&gt;-1),MAX($P$8:P395)+1,"")</f>
        <v/>
      </c>
      <c r="Q396" s="24" t="str">
        <f ca="1">IF(AND(L396&lt;&gt;-1,L395=-1),MAX($Q$8:Q395)+1,"")</f>
        <v/>
      </c>
    </row>
    <row r="397" spans="1:17" x14ac:dyDescent="0.3">
      <c r="A397" s="3">
        <v>40760</v>
      </c>
      <c r="B397" s="9">
        <v>8.9287200000000002</v>
      </c>
      <c r="C397" s="9">
        <v>7.6012199999999996</v>
      </c>
      <c r="E397" s="14">
        <f t="shared" si="46"/>
        <v>1.1746430178313483</v>
      </c>
      <c r="F397" s="18">
        <f t="shared" ca="1" si="45"/>
        <v>-1.7817977625123536</v>
      </c>
      <c r="G397" s="15">
        <f t="shared" ca="1" si="43"/>
        <v>1.2489941486359621</v>
      </c>
      <c r="H397" s="15">
        <f t="shared" ca="1" si="44"/>
        <v>4.1728153648469053E-2</v>
      </c>
      <c r="J397" s="17">
        <f t="shared" ca="1" si="47"/>
        <v>0</v>
      </c>
      <c r="K397" s="24">
        <f t="shared" ca="1" si="48"/>
        <v>-1</v>
      </c>
      <c r="L397" s="17">
        <f t="shared" ca="1" si="49"/>
        <v>-1</v>
      </c>
      <c r="N397" s="24" t="str">
        <f ca="1">IF(AND(L397=1,L396&lt;&gt;1),MAX($N$8:N396)+1,"")</f>
        <v/>
      </c>
      <c r="O397" s="24" t="str">
        <f ca="1">IF(AND(L397&lt;&gt;1,L396=1),MAX($O$8:O396)+1,"")</f>
        <v/>
      </c>
      <c r="P397" s="17" t="str">
        <f ca="1">IF(AND(L397=-1,L396&lt;&gt;-1),MAX($P$8:P396)+1,"")</f>
        <v/>
      </c>
      <c r="Q397" s="24" t="str">
        <f ca="1">IF(AND(L397&lt;&gt;-1,L396=-1),MAX($Q$8:Q396)+1,"")</f>
        <v/>
      </c>
    </row>
    <row r="398" spans="1:17" x14ac:dyDescent="0.3">
      <c r="A398" s="3">
        <v>40763</v>
      </c>
      <c r="B398" s="9">
        <v>8.061083</v>
      </c>
      <c r="C398" s="9">
        <v>6.9316639999999996</v>
      </c>
      <c r="E398" s="14">
        <f t="shared" si="46"/>
        <v>1.1629362011776683</v>
      </c>
      <c r="F398" s="18">
        <f t="shared" ca="1" si="45"/>
        <v>-1.8252724930875317</v>
      </c>
      <c r="G398" s="15">
        <f t="shared" ca="1" si="43"/>
        <v>1.242647343249409</v>
      </c>
      <c r="H398" s="15">
        <f t="shared" ca="1" si="44"/>
        <v>4.3670817575794205E-2</v>
      </c>
      <c r="J398" s="17">
        <f t="shared" ca="1" si="47"/>
        <v>0</v>
      </c>
      <c r="K398" s="24">
        <f t="shared" ca="1" si="48"/>
        <v>-1</v>
      </c>
      <c r="L398" s="17">
        <f t="shared" ca="1" si="49"/>
        <v>-1</v>
      </c>
      <c r="N398" s="24" t="str">
        <f ca="1">IF(AND(L398=1,L397&lt;&gt;1),MAX($N$8:N397)+1,"")</f>
        <v/>
      </c>
      <c r="O398" s="24" t="str">
        <f ca="1">IF(AND(L398&lt;&gt;1,L397=1),MAX($O$8:O397)+1,"")</f>
        <v/>
      </c>
      <c r="P398" s="17" t="str">
        <f ca="1">IF(AND(L398=-1,L397&lt;&gt;-1),MAX($P$8:P397)+1,"")</f>
        <v/>
      </c>
      <c r="Q398" s="24" t="str">
        <f ca="1">IF(AND(L398&lt;&gt;-1,L397=-1),MAX($Q$8:Q397)+1,"")</f>
        <v/>
      </c>
    </row>
    <row r="399" spans="1:17" x14ac:dyDescent="0.3">
      <c r="A399" s="3">
        <v>40764</v>
      </c>
      <c r="B399" s="9">
        <v>8.6131820000000001</v>
      </c>
      <c r="C399" s="9">
        <v>7.3131250000000003</v>
      </c>
      <c r="E399" s="14">
        <f t="shared" si="46"/>
        <v>1.1777703786001197</v>
      </c>
      <c r="F399" s="18">
        <f t="shared" ca="1" si="45"/>
        <v>-1.351334949029535</v>
      </c>
      <c r="G399" s="15">
        <f t="shared" ca="1" si="43"/>
        <v>1.2372483829787049</v>
      </c>
      <c r="H399" s="15">
        <f t="shared" ca="1" si="44"/>
        <v>4.4014257472804567E-2</v>
      </c>
      <c r="J399" s="17">
        <f t="shared" ca="1" si="47"/>
        <v>0</v>
      </c>
      <c r="K399" s="24">
        <f t="shared" ca="1" si="48"/>
        <v>-1</v>
      </c>
      <c r="L399" s="17">
        <f t="shared" ca="1" si="49"/>
        <v>-1</v>
      </c>
      <c r="N399" s="24" t="str">
        <f ca="1">IF(AND(L399=1,L398&lt;&gt;1),MAX($N$8:N398)+1,"")</f>
        <v/>
      </c>
      <c r="O399" s="24" t="str">
        <f ca="1">IF(AND(L399&lt;&gt;1,L398=1),MAX($O$8:O398)+1,"")</f>
        <v/>
      </c>
      <c r="P399" s="17" t="str">
        <f ca="1">IF(AND(L399=-1,L398&lt;&gt;-1),MAX($P$8:P398)+1,"")</f>
        <v/>
      </c>
      <c r="Q399" s="24" t="str">
        <f ca="1">IF(AND(L399&lt;&gt;-1,L398=-1),MAX($Q$8:Q398)+1,"")</f>
        <v/>
      </c>
    </row>
    <row r="400" spans="1:17" x14ac:dyDescent="0.3">
      <c r="A400" s="3">
        <v>40765</v>
      </c>
      <c r="B400" s="9">
        <v>8.3292319999999993</v>
      </c>
      <c r="C400" s="9">
        <v>7.2088179999999999</v>
      </c>
      <c r="E400" s="14">
        <f t="shared" si="46"/>
        <v>1.1554227059137849</v>
      </c>
      <c r="F400" s="18">
        <f t="shared" ca="1" si="45"/>
        <v>-1.6583469248406175</v>
      </c>
      <c r="G400" s="15">
        <f t="shared" ca="1" si="43"/>
        <v>1.2312394883129061</v>
      </c>
      <c r="H400" s="15">
        <f t="shared" ca="1" si="44"/>
        <v>4.5718288051462962E-2</v>
      </c>
      <c r="J400" s="17">
        <f t="shared" ca="1" si="47"/>
        <v>0</v>
      </c>
      <c r="K400" s="24">
        <f t="shared" ca="1" si="48"/>
        <v>-1</v>
      </c>
      <c r="L400" s="17">
        <f t="shared" ca="1" si="49"/>
        <v>-1</v>
      </c>
      <c r="N400" s="24" t="str">
        <f ca="1">IF(AND(L400=1,L399&lt;&gt;1),MAX($N$8:N399)+1,"")</f>
        <v/>
      </c>
      <c r="O400" s="24" t="str">
        <f ca="1">IF(AND(L400&lt;&gt;1,L399=1),MAX($O$8:O399)+1,"")</f>
        <v/>
      </c>
      <c r="P400" s="17" t="str">
        <f ca="1">IF(AND(L400=-1,L399&lt;&gt;-1),MAX($P$8:P399)+1,"")</f>
        <v/>
      </c>
      <c r="Q400" s="24" t="str">
        <f ca="1">IF(AND(L400&lt;&gt;-1,L399=-1),MAX($Q$8:Q399)+1,"")</f>
        <v/>
      </c>
    </row>
    <row r="401" spans="1:17" x14ac:dyDescent="0.3">
      <c r="A401" s="3">
        <v>40766</v>
      </c>
      <c r="B401" s="9">
        <v>8.6068709999999999</v>
      </c>
      <c r="C401" s="9">
        <v>7.4091509999999996</v>
      </c>
      <c r="E401" s="14">
        <f t="shared" si="46"/>
        <v>1.1616541490381287</v>
      </c>
      <c r="F401" s="18">
        <f t="shared" ca="1" si="45"/>
        <v>-1.3785252792968503</v>
      </c>
      <c r="G401" s="15">
        <f t="shared" ca="1" si="43"/>
        <v>1.2257682438669077</v>
      </c>
      <c r="H401" s="15">
        <f t="shared" ca="1" si="44"/>
        <v>4.650919050355172E-2</v>
      </c>
      <c r="J401" s="17">
        <f t="shared" ca="1" si="47"/>
        <v>0</v>
      </c>
      <c r="K401" s="24">
        <f t="shared" ca="1" si="48"/>
        <v>-1</v>
      </c>
      <c r="L401" s="17">
        <f t="shared" ca="1" si="49"/>
        <v>-1</v>
      </c>
      <c r="N401" s="24" t="str">
        <f ca="1">IF(AND(L401=1,L400&lt;&gt;1),MAX($N$8:N400)+1,"")</f>
        <v/>
      </c>
      <c r="O401" s="24" t="str">
        <f ca="1">IF(AND(L401&lt;&gt;1,L400=1),MAX($O$8:O400)+1,"")</f>
        <v/>
      </c>
      <c r="P401" s="17" t="str">
        <f ca="1">IF(AND(L401=-1,L400&lt;&gt;-1),MAX($P$8:P400)+1,"")</f>
        <v/>
      </c>
      <c r="Q401" s="24" t="str">
        <f ca="1">IF(AND(L401&lt;&gt;-1,L400=-1),MAX($Q$8:Q400)+1,"")</f>
        <v/>
      </c>
    </row>
    <row r="402" spans="1:17" x14ac:dyDescent="0.3">
      <c r="A402" s="3">
        <v>40767</v>
      </c>
      <c r="B402" s="9">
        <v>8.7678290000000008</v>
      </c>
      <c r="C402" s="9">
        <v>7.4201030000000001</v>
      </c>
      <c r="E402" s="14">
        <f t="shared" si="46"/>
        <v>1.1816317105032101</v>
      </c>
      <c r="F402" s="18">
        <f t="shared" ca="1" si="45"/>
        <v>-0.86836194672042666</v>
      </c>
      <c r="G402" s="15">
        <f t="shared" ca="1" si="43"/>
        <v>1.2222788056066047</v>
      </c>
      <c r="H402" s="15">
        <f t="shared" ca="1" si="44"/>
        <v>4.6808931755828218E-2</v>
      </c>
      <c r="J402" s="17">
        <f t="shared" ca="1" si="47"/>
        <v>0</v>
      </c>
      <c r="K402" s="24">
        <f t="shared" ca="1" si="48"/>
        <v>-1</v>
      </c>
      <c r="L402" s="17">
        <f t="shared" ca="1" si="49"/>
        <v>-1</v>
      </c>
      <c r="N402" s="24" t="str">
        <f ca="1">IF(AND(L402=1,L401&lt;&gt;1),MAX($N$8:N401)+1,"")</f>
        <v/>
      </c>
      <c r="O402" s="24" t="str">
        <f ca="1">IF(AND(L402&lt;&gt;1,L401=1),MAX($O$8:O401)+1,"")</f>
        <v/>
      </c>
      <c r="P402" s="17" t="str">
        <f ca="1">IF(AND(L402=-1,L401&lt;&gt;-1),MAX($P$8:P401)+1,"")</f>
        <v/>
      </c>
      <c r="Q402" s="24" t="str">
        <f ca="1">IF(AND(L402&lt;&gt;-1,L401=-1),MAX($Q$8:Q401)+1,"")</f>
        <v/>
      </c>
    </row>
    <row r="403" spans="1:17" x14ac:dyDescent="0.3">
      <c r="A403" s="3">
        <v>40770</v>
      </c>
      <c r="B403" s="9">
        <v>8.9602509999999995</v>
      </c>
      <c r="C403" s="9">
        <v>7.5326190000000004</v>
      </c>
      <c r="E403" s="14">
        <f t="shared" si="46"/>
        <v>1.1895266440530179</v>
      </c>
      <c r="F403" s="18">
        <f t="shared" ca="1" si="45"/>
        <v>-0.63937284705646735</v>
      </c>
      <c r="G403" s="15">
        <f t="shared" ca="1" si="43"/>
        <v>1.2194740614279107</v>
      </c>
      <c r="H403" s="15">
        <f t="shared" ca="1" si="44"/>
        <v>4.683873816782206E-2</v>
      </c>
      <c r="J403" s="17">
        <f t="shared" ca="1" si="47"/>
        <v>0</v>
      </c>
      <c r="K403" s="24">
        <f t="shared" ca="1" si="48"/>
        <v>-1</v>
      </c>
      <c r="L403" s="17">
        <f t="shared" ca="1" si="49"/>
        <v>-1</v>
      </c>
      <c r="N403" s="24" t="str">
        <f ca="1">IF(AND(L403=1,L402&lt;&gt;1),MAX($N$8:N402)+1,"")</f>
        <v/>
      </c>
      <c r="O403" s="24" t="str">
        <f ca="1">IF(AND(L403&lt;&gt;1,L402=1),MAX($O$8:O402)+1,"")</f>
        <v/>
      </c>
      <c r="P403" s="17" t="str">
        <f ca="1">IF(AND(L403=-1,L402&lt;&gt;-1),MAX($P$8:P402)+1,"")</f>
        <v/>
      </c>
      <c r="Q403" s="24" t="str">
        <f ca="1">IF(AND(L403&lt;&gt;-1,L402=-1),MAX($Q$8:Q402)+1,"")</f>
        <v/>
      </c>
    </row>
    <row r="404" spans="1:17" x14ac:dyDescent="0.3">
      <c r="A404" s="3">
        <v>40771</v>
      </c>
      <c r="B404" s="9">
        <v>8.8371919999999999</v>
      </c>
      <c r="C404" s="9">
        <v>7.5408289999999996</v>
      </c>
      <c r="E404" s="14">
        <f t="shared" si="46"/>
        <v>1.1719125311023497</v>
      </c>
      <c r="F404" s="18">
        <f t="shared" ca="1" si="45"/>
        <v>-0.92712393465038667</v>
      </c>
      <c r="G404" s="15">
        <f t="shared" ca="1" si="43"/>
        <v>1.2151008958385594</v>
      </c>
      <c r="H404" s="15">
        <f t="shared" ca="1" si="44"/>
        <v>4.6583162317447642E-2</v>
      </c>
      <c r="J404" s="17">
        <f t="shared" ca="1" si="47"/>
        <v>0</v>
      </c>
      <c r="K404" s="24">
        <f t="shared" ca="1" si="48"/>
        <v>-1</v>
      </c>
      <c r="L404" s="17">
        <f t="shared" ca="1" si="49"/>
        <v>-1</v>
      </c>
      <c r="N404" s="24" t="str">
        <f ca="1">IF(AND(L404=1,L403&lt;&gt;1),MAX($N$8:N403)+1,"")</f>
        <v/>
      </c>
      <c r="O404" s="24" t="str">
        <f ca="1">IF(AND(L404&lt;&gt;1,L403=1),MAX($O$8:O403)+1,"")</f>
        <v/>
      </c>
      <c r="P404" s="17" t="str">
        <f ca="1">IF(AND(L404=-1,L403&lt;&gt;-1),MAX($P$8:P403)+1,"")</f>
        <v/>
      </c>
      <c r="Q404" s="24" t="str">
        <f ca="1">IF(AND(L404&lt;&gt;-1,L403=-1),MAX($Q$8:Q403)+1,"")</f>
        <v/>
      </c>
    </row>
    <row r="405" spans="1:17" x14ac:dyDescent="0.3">
      <c r="A405" s="3">
        <v>40772</v>
      </c>
      <c r="B405" s="9">
        <v>9.1022210000000001</v>
      </c>
      <c r="C405" s="9">
        <v>7.6835699999999996</v>
      </c>
      <c r="E405" s="14">
        <f t="shared" si="46"/>
        <v>1.184634356165168</v>
      </c>
      <c r="F405" s="18">
        <f t="shared" ca="1" si="45"/>
        <v>-0.58373847483557151</v>
      </c>
      <c r="G405" s="15">
        <f t="shared" ca="1" si="43"/>
        <v>1.2105323368151861</v>
      </c>
      <c r="H405" s="15">
        <f t="shared" ca="1" si="44"/>
        <v>4.4365725006070784E-2</v>
      </c>
      <c r="J405" s="17">
        <f t="shared" ca="1" si="47"/>
        <v>0</v>
      </c>
      <c r="K405" s="24">
        <f t="shared" ca="1" si="48"/>
        <v>-1</v>
      </c>
      <c r="L405" s="17">
        <f t="shared" ca="1" si="49"/>
        <v>-1</v>
      </c>
      <c r="N405" s="24" t="str">
        <f ca="1">IF(AND(L405=1,L404&lt;&gt;1),MAX($N$8:N404)+1,"")</f>
        <v/>
      </c>
      <c r="O405" s="24" t="str">
        <f ca="1">IF(AND(L405&lt;&gt;1,L404=1),MAX($O$8:O404)+1,"")</f>
        <v/>
      </c>
      <c r="P405" s="17" t="str">
        <f ca="1">IF(AND(L405=-1,L404&lt;&gt;-1),MAX($P$8:P404)+1,"")</f>
        <v/>
      </c>
      <c r="Q405" s="24" t="str">
        <f ca="1">IF(AND(L405&lt;&gt;-1,L404=-1),MAX($Q$8:Q404)+1,"")</f>
        <v/>
      </c>
    </row>
    <row r="406" spans="1:17" x14ac:dyDescent="0.3">
      <c r="A406" s="3">
        <v>40773</v>
      </c>
      <c r="B406" s="9">
        <v>8.7331179999999993</v>
      </c>
      <c r="C406" s="9">
        <v>7.381729</v>
      </c>
      <c r="E406" s="14">
        <f t="shared" si="46"/>
        <v>1.1830721501696959</v>
      </c>
      <c r="F406" s="18">
        <f t="shared" ca="1" si="45"/>
        <v>-0.55099476019326155</v>
      </c>
      <c r="G406" s="15">
        <f t="shared" ca="1" si="43"/>
        <v>1.2053370355288768</v>
      </c>
      <c r="H406" s="15">
        <f t="shared" ca="1" si="44"/>
        <v>4.0408524667950571E-2</v>
      </c>
      <c r="J406" s="17">
        <f t="shared" ca="1" si="47"/>
        <v>0</v>
      </c>
      <c r="K406" s="24">
        <f t="shared" ca="1" si="48"/>
        <v>-1</v>
      </c>
      <c r="L406" s="17">
        <f t="shared" ca="1" si="49"/>
        <v>-1</v>
      </c>
      <c r="N406" s="24" t="str">
        <f ca="1">IF(AND(L406=1,L405&lt;&gt;1),MAX($N$8:N405)+1,"")</f>
        <v/>
      </c>
      <c r="O406" s="24" t="str">
        <f ca="1">IF(AND(L406&lt;&gt;1,L405=1),MAX($O$8:O405)+1,"")</f>
        <v/>
      </c>
      <c r="P406" s="17" t="str">
        <f ca="1">IF(AND(L406=-1,L405&lt;&gt;-1),MAX($P$8:P405)+1,"")</f>
        <v/>
      </c>
      <c r="Q406" s="24" t="str">
        <f ca="1">IF(AND(L406&lt;&gt;-1,L405=-1),MAX($Q$8:Q405)+1,"")</f>
        <v/>
      </c>
    </row>
    <row r="407" spans="1:17" x14ac:dyDescent="0.3">
      <c r="A407" s="3">
        <v>40774</v>
      </c>
      <c r="B407" s="9">
        <v>8.4081499999999991</v>
      </c>
      <c r="C407" s="9">
        <v>7.2033469999999999</v>
      </c>
      <c r="E407" s="14">
        <f t="shared" si="46"/>
        <v>1.1672559991903761</v>
      </c>
      <c r="F407" s="18">
        <f t="shared" ca="1" si="45"/>
        <v>-0.8884644406419071</v>
      </c>
      <c r="G407" s="15">
        <f t="shared" ca="1" si="43"/>
        <v>1.1997215250539914</v>
      </c>
      <c r="H407" s="15">
        <f t="shared" ca="1" si="44"/>
        <v>3.6541165159248525E-2</v>
      </c>
      <c r="J407" s="17">
        <f t="shared" ca="1" si="47"/>
        <v>0</v>
      </c>
      <c r="K407" s="24">
        <f t="shared" ca="1" si="48"/>
        <v>-1</v>
      </c>
      <c r="L407" s="17">
        <f t="shared" ca="1" si="49"/>
        <v>-1</v>
      </c>
      <c r="N407" s="24" t="str">
        <f ca="1">IF(AND(L407=1,L406&lt;&gt;1),MAX($N$8:N406)+1,"")</f>
        <v/>
      </c>
      <c r="O407" s="24" t="str">
        <f ca="1">IF(AND(L407&lt;&gt;1,L406=1),MAX($O$8:O406)+1,"")</f>
        <v/>
      </c>
      <c r="P407" s="17" t="str">
        <f ca="1">IF(AND(L407=-1,L406&lt;&gt;-1),MAX($P$8:P406)+1,"")</f>
        <v/>
      </c>
      <c r="Q407" s="24" t="str">
        <f ca="1">IF(AND(L407&lt;&gt;-1,L406=-1),MAX($Q$8:Q406)+1,"")</f>
        <v/>
      </c>
    </row>
    <row r="408" spans="1:17" x14ac:dyDescent="0.3">
      <c r="A408" s="3">
        <v>40777</v>
      </c>
      <c r="B408" s="9">
        <v>8.2977059999999998</v>
      </c>
      <c r="C408" s="9">
        <v>7.1923310000000003</v>
      </c>
      <c r="E408" s="14">
        <f t="shared" si="46"/>
        <v>1.1536880046260385</v>
      </c>
      <c r="F408" s="18">
        <f t="shared" ca="1" si="45"/>
        <v>-1.2042825973250786</v>
      </c>
      <c r="G408" s="15">
        <f t="shared" ca="1" si="43"/>
        <v>1.1941007888148094</v>
      </c>
      <c r="H408" s="15">
        <f t="shared" ca="1" si="44"/>
        <v>3.3557558897334194E-2</v>
      </c>
      <c r="J408" s="17">
        <f t="shared" ca="1" si="47"/>
        <v>0</v>
      </c>
      <c r="K408" s="24">
        <f t="shared" ca="1" si="48"/>
        <v>-1</v>
      </c>
      <c r="L408" s="17">
        <f t="shared" ca="1" si="49"/>
        <v>-1</v>
      </c>
      <c r="N408" s="24" t="str">
        <f ca="1">IF(AND(L408=1,L407&lt;&gt;1),MAX($N$8:N407)+1,"")</f>
        <v/>
      </c>
      <c r="O408" s="24" t="str">
        <f ca="1">IF(AND(L408&lt;&gt;1,L407=1),MAX($O$8:O407)+1,"")</f>
        <v/>
      </c>
      <c r="P408" s="17" t="str">
        <f ca="1">IF(AND(L408=-1,L407&lt;&gt;-1),MAX($P$8:P407)+1,"")</f>
        <v/>
      </c>
      <c r="Q408" s="24" t="str">
        <f ca="1">IF(AND(L408&lt;&gt;-1,L407=-1),MAX($Q$8:Q407)+1,"")</f>
        <v/>
      </c>
    </row>
    <row r="409" spans="1:17" x14ac:dyDescent="0.3">
      <c r="A409" s="3">
        <v>40778</v>
      </c>
      <c r="B409" s="9">
        <v>8.3608279999999997</v>
      </c>
      <c r="C409" s="9">
        <v>7.2993800000000002</v>
      </c>
      <c r="E409" s="14">
        <f t="shared" si="46"/>
        <v>1.1454161860322383</v>
      </c>
      <c r="F409" s="18">
        <f t="shared" ca="1" si="45"/>
        <v>-1.4279056723920343</v>
      </c>
      <c r="G409" s="15">
        <f t="shared" ca="1" si="43"/>
        <v>1.1881844382839921</v>
      </c>
      <c r="H409" s="15">
        <f t="shared" ca="1" si="44"/>
        <v>2.9951734963072366E-2</v>
      </c>
      <c r="J409" s="17">
        <f t="shared" ca="1" si="47"/>
        <v>0</v>
      </c>
      <c r="K409" s="24">
        <f t="shared" ca="1" si="48"/>
        <v>-1</v>
      </c>
      <c r="L409" s="17">
        <f t="shared" ca="1" si="49"/>
        <v>-1</v>
      </c>
      <c r="N409" s="24" t="str">
        <f ca="1">IF(AND(L409=1,L408&lt;&gt;1),MAX($N$8:N408)+1,"")</f>
        <v/>
      </c>
      <c r="O409" s="24" t="str">
        <f ca="1">IF(AND(L409&lt;&gt;1,L408=1),MAX($O$8:O408)+1,"")</f>
        <v/>
      </c>
      <c r="P409" s="17" t="str">
        <f ca="1">IF(AND(L409=-1,L408&lt;&gt;-1),MAX($P$8:P408)+1,"")</f>
        <v/>
      </c>
      <c r="Q409" s="24" t="str">
        <f ca="1">IF(AND(L409&lt;&gt;-1,L408=-1),MAX($Q$8:Q408)+1,"")</f>
        <v/>
      </c>
    </row>
    <row r="410" spans="1:17" x14ac:dyDescent="0.3">
      <c r="A410" s="3">
        <v>40779</v>
      </c>
      <c r="B410" s="9">
        <v>8.3135060000000003</v>
      </c>
      <c r="C410" s="9">
        <v>7.3542329999999998</v>
      </c>
      <c r="E410" s="14">
        <f t="shared" si="46"/>
        <v>1.1304382115714855</v>
      </c>
      <c r="F410" s="18">
        <f t="shared" ca="1" si="45"/>
        <v>-1.8300080904702651</v>
      </c>
      <c r="G410" s="15">
        <f t="shared" ca="1" si="43"/>
        <v>1.1824906293350979</v>
      </c>
      <c r="H410" s="15">
        <f t="shared" ca="1" si="44"/>
        <v>2.8443818382374593E-2</v>
      </c>
      <c r="J410" s="17">
        <f t="shared" ca="1" si="47"/>
        <v>0</v>
      </c>
      <c r="K410" s="24">
        <f t="shared" ca="1" si="48"/>
        <v>-1</v>
      </c>
      <c r="L410" s="17">
        <f t="shared" ca="1" si="49"/>
        <v>-1</v>
      </c>
      <c r="N410" s="24" t="str">
        <f ca="1">IF(AND(L410=1,L409&lt;&gt;1),MAX($N$8:N409)+1,"")</f>
        <v/>
      </c>
      <c r="O410" s="24" t="str">
        <f ca="1">IF(AND(L410&lt;&gt;1,L409=1),MAX($O$8:O409)+1,"")</f>
        <v/>
      </c>
      <c r="P410" s="17" t="str">
        <f ca="1">IF(AND(L410=-1,L409&lt;&gt;-1),MAX($P$8:P409)+1,"")</f>
        <v/>
      </c>
      <c r="Q410" s="24" t="str">
        <f ca="1">IF(AND(L410&lt;&gt;-1,L409=-1),MAX($Q$8:Q409)+1,"")</f>
        <v/>
      </c>
    </row>
    <row r="411" spans="1:17" x14ac:dyDescent="0.3">
      <c r="A411" s="3">
        <v>40780</v>
      </c>
      <c r="B411" s="9">
        <v>8.3891650000000002</v>
      </c>
      <c r="C411" s="9">
        <v>7.2993800000000002</v>
      </c>
      <c r="E411" s="14">
        <f t="shared" si="46"/>
        <v>1.1492982965676537</v>
      </c>
      <c r="F411" s="18">
        <f t="shared" ca="1" si="45"/>
        <v>-1.1179642487687764</v>
      </c>
      <c r="G411" s="15">
        <f t="shared" ca="1" si="43"/>
        <v>1.1781749897366021</v>
      </c>
      <c r="H411" s="15">
        <f t="shared" ca="1" si="44"/>
        <v>2.5829710744999686E-2</v>
      </c>
      <c r="J411" s="17">
        <f t="shared" ca="1" si="47"/>
        <v>0</v>
      </c>
      <c r="K411" s="24">
        <f t="shared" ca="1" si="48"/>
        <v>-1</v>
      </c>
      <c r="L411" s="17">
        <f t="shared" ca="1" si="49"/>
        <v>-1</v>
      </c>
      <c r="N411" s="24" t="str">
        <f ca="1">IF(AND(L411=1,L410&lt;&gt;1),MAX($N$8:N410)+1,"")</f>
        <v/>
      </c>
      <c r="O411" s="24" t="str">
        <f ca="1">IF(AND(L411&lt;&gt;1,L410=1),MAX($O$8:O410)+1,"")</f>
        <v/>
      </c>
      <c r="P411" s="17" t="str">
        <f ca="1">IF(AND(L411=-1,L410&lt;&gt;-1),MAX($P$8:P410)+1,"")</f>
        <v/>
      </c>
      <c r="Q411" s="24" t="str">
        <f ca="1">IF(AND(L411&lt;&gt;-1,L410=-1),MAX($Q$8:Q410)+1,"")</f>
        <v/>
      </c>
    </row>
    <row r="412" spans="1:17" x14ac:dyDescent="0.3">
      <c r="A412" s="3">
        <v>40781</v>
      </c>
      <c r="B412" s="9">
        <v>8.597448</v>
      </c>
      <c r="C412" s="9">
        <v>7.2856310000000004</v>
      </c>
      <c r="E412" s="14">
        <f t="shared" si="46"/>
        <v>1.1800553720055269</v>
      </c>
      <c r="F412" s="18">
        <f t="shared" ca="1" si="45"/>
        <v>0.19317008085840243</v>
      </c>
      <c r="G412" s="15">
        <f t="shared" ca="1" si="43"/>
        <v>1.1756755340811571</v>
      </c>
      <c r="H412" s="15">
        <f t="shared" ca="1" si="44"/>
        <v>2.2673479789969701E-2</v>
      </c>
      <c r="J412" s="17">
        <f t="shared" ca="1" si="47"/>
        <v>0</v>
      </c>
      <c r="K412" s="24">
        <f t="shared" ca="1" si="48"/>
        <v>0</v>
      </c>
      <c r="L412" s="17">
        <f t="shared" ca="1" si="49"/>
        <v>0</v>
      </c>
      <c r="N412" s="24" t="str">
        <f ca="1">IF(AND(L412=1,L411&lt;&gt;1),MAX($N$8:N411)+1,"")</f>
        <v/>
      </c>
      <c r="O412" s="24" t="str">
        <f ca="1">IF(AND(L412&lt;&gt;1,L411=1),MAX($O$8:O411)+1,"")</f>
        <v/>
      </c>
      <c r="P412" s="17" t="str">
        <f ca="1">IF(AND(L412=-1,L411&lt;&gt;-1),MAX($P$8:P411)+1,"")</f>
        <v/>
      </c>
      <c r="Q412" s="24">
        <f ca="1">IF(AND(L412&lt;&gt;-1,L411=-1),MAX($Q$8:Q411)+1,"")</f>
        <v>15</v>
      </c>
    </row>
    <row r="413" spans="1:17" x14ac:dyDescent="0.3">
      <c r="A413" s="3">
        <v>40784</v>
      </c>
      <c r="B413" s="9">
        <v>8.7236329999999995</v>
      </c>
      <c r="C413" s="9">
        <v>7.4503329999999997</v>
      </c>
      <c r="E413" s="14">
        <f t="shared" si="46"/>
        <v>1.1709051125634251</v>
      </c>
      <c r="F413" s="18">
        <f t="shared" ca="1" si="45"/>
        <v>-0.1290368229931802</v>
      </c>
      <c r="G413" s="15">
        <f t="shared" ca="1" si="43"/>
        <v>1.1735942708896734</v>
      </c>
      <c r="H413" s="15">
        <f t="shared" ca="1" si="44"/>
        <v>2.084023973831409E-2</v>
      </c>
      <c r="J413" s="17">
        <f t="shared" ca="1" si="47"/>
        <v>0</v>
      </c>
      <c r="K413" s="24">
        <f t="shared" ca="1" si="48"/>
        <v>0</v>
      </c>
      <c r="L413" s="17">
        <f t="shared" ca="1" si="49"/>
        <v>0</v>
      </c>
      <c r="N413" s="24" t="str">
        <f ca="1">IF(AND(L413=1,L412&lt;&gt;1),MAX($N$8:N412)+1,"")</f>
        <v/>
      </c>
      <c r="O413" s="24" t="str">
        <f ca="1">IF(AND(L413&lt;&gt;1,L412=1),MAX($O$8:O412)+1,"")</f>
        <v/>
      </c>
      <c r="P413" s="17" t="str">
        <f ca="1">IF(AND(L413=-1,L412&lt;&gt;-1),MAX($P$8:P412)+1,"")</f>
        <v/>
      </c>
      <c r="Q413" s="24" t="str">
        <f ca="1">IF(AND(L413&lt;&gt;-1,L412=-1),MAX($Q$8:Q412)+1,"")</f>
        <v/>
      </c>
    </row>
    <row r="414" spans="1:17" x14ac:dyDescent="0.3">
      <c r="A414" s="3">
        <v>40785</v>
      </c>
      <c r="B414" s="9">
        <v>8.8971260000000001</v>
      </c>
      <c r="C414" s="9">
        <v>7.5188689999999996</v>
      </c>
      <c r="E414" s="14">
        <f t="shared" si="46"/>
        <v>1.1833064254743633</v>
      </c>
      <c r="F414" s="18">
        <f t="shared" ca="1" si="45"/>
        <v>0.67849274314709918</v>
      </c>
      <c r="G414" s="15">
        <f t="shared" ca="1" si="43"/>
        <v>1.1715606238316394</v>
      </c>
      <c r="H414" s="15">
        <f t="shared" ca="1" si="44"/>
        <v>1.7311609831289456E-2</v>
      </c>
      <c r="J414" s="17">
        <f t="shared" ca="1" si="47"/>
        <v>0</v>
      </c>
      <c r="K414" s="24">
        <f t="shared" ca="1" si="48"/>
        <v>0</v>
      </c>
      <c r="L414" s="17">
        <f t="shared" ca="1" si="49"/>
        <v>0</v>
      </c>
      <c r="N414" s="24" t="str">
        <f ca="1">IF(AND(L414=1,L413&lt;&gt;1),MAX($N$8:N413)+1,"")</f>
        <v/>
      </c>
      <c r="O414" s="24" t="str">
        <f ca="1">IF(AND(L414&lt;&gt;1,L413=1),MAX($O$8:O413)+1,"")</f>
        <v/>
      </c>
      <c r="P414" s="17" t="str">
        <f ca="1">IF(AND(L414=-1,L413&lt;&gt;-1),MAX($P$8:P413)+1,"")</f>
        <v/>
      </c>
      <c r="Q414" s="24" t="str">
        <f ca="1">IF(AND(L414&lt;&gt;-1,L413=-1),MAX($Q$8:Q413)+1,"")</f>
        <v/>
      </c>
    </row>
    <row r="415" spans="1:17" x14ac:dyDescent="0.3">
      <c r="A415" s="3">
        <v>40786</v>
      </c>
      <c r="B415" s="9">
        <v>9.1022210000000001</v>
      </c>
      <c r="C415" s="9">
        <v>7.7247519999999996</v>
      </c>
      <c r="E415" s="14">
        <f t="shared" si="46"/>
        <v>1.1783188638288971</v>
      </c>
      <c r="F415" s="18">
        <f t="shared" ca="1" si="45"/>
        <v>0.56571314060352362</v>
      </c>
      <c r="G415" s="15">
        <f t="shared" ref="G415:G478" ca="1" si="50">IF(ISNUMBER(E415),IF(ROW(E415)&gt;$J$1,AVERAGE(OFFSET(E415,0,0,-$J$1)),""),"")</f>
        <v>1.1699542174180195</v>
      </c>
      <c r="H415" s="15">
        <f t="shared" ref="H415:H478" ca="1" si="51">IF(ISNUMBER(E415),IF(ROW(E415)&gt;$J$1,_xlfn.STDEV.P(OFFSET(E415,0,0,-$J$1)),""),"")</f>
        <v>1.4786021059991319E-2</v>
      </c>
      <c r="J415" s="17">
        <f t="shared" ca="1" si="47"/>
        <v>0</v>
      </c>
      <c r="K415" s="24">
        <f t="shared" ca="1" si="48"/>
        <v>0</v>
      </c>
      <c r="L415" s="17">
        <f t="shared" ca="1" si="49"/>
        <v>0</v>
      </c>
      <c r="N415" s="24" t="str">
        <f ca="1">IF(AND(L415=1,L414&lt;&gt;1),MAX($N$8:N414)+1,"")</f>
        <v/>
      </c>
      <c r="O415" s="24" t="str">
        <f ca="1">IF(AND(L415&lt;&gt;1,L414=1),MAX($O$8:O414)+1,"")</f>
        <v/>
      </c>
      <c r="P415" s="17" t="str">
        <f ca="1">IF(AND(L415=-1,L414&lt;&gt;-1),MAX($P$8:P414)+1,"")</f>
        <v/>
      </c>
      <c r="Q415" s="24" t="str">
        <f ca="1">IF(AND(L415&lt;&gt;-1,L414=-1),MAX($Q$8:Q414)+1,"")</f>
        <v/>
      </c>
    </row>
    <row r="416" spans="1:17" x14ac:dyDescent="0.3">
      <c r="A416" s="3">
        <v>40787</v>
      </c>
      <c r="B416" s="9">
        <v>9.7263269999999995</v>
      </c>
      <c r="C416" s="9">
        <v>8.2954709999999992</v>
      </c>
      <c r="E416" s="14">
        <f t="shared" si="46"/>
        <v>1.1724864085475075</v>
      </c>
      <c r="F416" s="18">
        <f t="shared" ca="1" si="45"/>
        <v>0.19946822951820856</v>
      </c>
      <c r="G416" s="15">
        <f t="shared" ca="1" si="50"/>
        <v>1.1695728721553875</v>
      </c>
      <c r="H416" s="15">
        <f t="shared" ca="1" si="51"/>
        <v>1.4606518537600165E-2</v>
      </c>
      <c r="J416" s="17">
        <f t="shared" ca="1" si="47"/>
        <v>0</v>
      </c>
      <c r="K416" s="24">
        <f t="shared" ca="1" si="48"/>
        <v>0</v>
      </c>
      <c r="L416" s="17">
        <f t="shared" ca="1" si="49"/>
        <v>0</v>
      </c>
      <c r="N416" s="24" t="str">
        <f ca="1">IF(AND(L416=1,L415&lt;&gt;1),MAX($N$8:N415)+1,"")</f>
        <v/>
      </c>
      <c r="O416" s="24" t="str">
        <f ca="1">IF(AND(L416&lt;&gt;1,L415=1),MAX($O$8:O415)+1,"")</f>
        <v/>
      </c>
      <c r="P416" s="17" t="str">
        <f ca="1">IF(AND(L416=-1,L415&lt;&gt;-1),MAX($P$8:P415)+1,"")</f>
        <v/>
      </c>
      <c r="Q416" s="24" t="str">
        <f ca="1">IF(AND(L416&lt;&gt;-1,L415=-1),MAX($Q$8:Q415)+1,"")</f>
        <v/>
      </c>
    </row>
    <row r="417" spans="1:17" x14ac:dyDescent="0.3">
      <c r="A417" s="3">
        <v>40788</v>
      </c>
      <c r="B417" s="9">
        <v>9.4705499999999994</v>
      </c>
      <c r="C417" s="9">
        <v>7.9952259999999997</v>
      </c>
      <c r="E417" s="14">
        <f t="shared" si="46"/>
        <v>1.1845256156611457</v>
      </c>
      <c r="F417" s="18">
        <f t="shared" ca="1" si="45"/>
        <v>0.974123643886038</v>
      </c>
      <c r="G417" s="15">
        <f t="shared" ca="1" si="50"/>
        <v>1.1700104420160586</v>
      </c>
      <c r="H417" s="15">
        <f t="shared" ca="1" si="51"/>
        <v>1.4900750778599469E-2</v>
      </c>
      <c r="J417" s="17">
        <f t="shared" ca="1" si="47"/>
        <v>0</v>
      </c>
      <c r="K417" s="24">
        <f t="shared" ca="1" si="48"/>
        <v>0</v>
      </c>
      <c r="L417" s="17">
        <f t="shared" ca="1" si="49"/>
        <v>0</v>
      </c>
      <c r="N417" s="24" t="str">
        <f ca="1">IF(AND(L417=1,L416&lt;&gt;1),MAX($N$8:N416)+1,"")</f>
        <v/>
      </c>
      <c r="O417" s="24" t="str">
        <f ca="1">IF(AND(L417&lt;&gt;1,L416=1),MAX($O$8:O416)+1,"")</f>
        <v/>
      </c>
      <c r="P417" s="17" t="str">
        <f ca="1">IF(AND(L417=-1,L416&lt;&gt;-1),MAX($P$8:P416)+1,"")</f>
        <v/>
      </c>
      <c r="Q417" s="24" t="str">
        <f ca="1">IF(AND(L417&lt;&gt;-1,L416=-1),MAX($Q$8:Q416)+1,"")</f>
        <v/>
      </c>
    </row>
    <row r="418" spans="1:17" x14ac:dyDescent="0.3">
      <c r="A418" s="3">
        <v>40791</v>
      </c>
      <c r="B418" s="9">
        <v>9.0948060000000002</v>
      </c>
      <c r="C418" s="9">
        <v>7.7149939999999999</v>
      </c>
      <c r="E418" s="14">
        <f t="shared" si="46"/>
        <v>1.1788480976135562</v>
      </c>
      <c r="F418" s="18">
        <f t="shared" ca="1" si="45"/>
        <v>0.60379589046408189</v>
      </c>
      <c r="G418" s="15">
        <f t="shared" ca="1" si="50"/>
        <v>1.1698975653743955</v>
      </c>
      <c r="H418" s="15">
        <f t="shared" ca="1" si="51"/>
        <v>1.482377137790937E-2</v>
      </c>
      <c r="J418" s="17">
        <f t="shared" ca="1" si="47"/>
        <v>0</v>
      </c>
      <c r="K418" s="24">
        <f t="shared" ca="1" si="48"/>
        <v>0</v>
      </c>
      <c r="L418" s="17">
        <f t="shared" ca="1" si="49"/>
        <v>0</v>
      </c>
      <c r="N418" s="24" t="str">
        <f ca="1">IF(AND(L418=1,L417&lt;&gt;1),MAX($N$8:N417)+1,"")</f>
        <v/>
      </c>
      <c r="O418" s="24" t="str">
        <f ca="1">IF(AND(L418&lt;&gt;1,L417=1),MAX($O$8:O417)+1,"")</f>
        <v/>
      </c>
      <c r="P418" s="17" t="str">
        <f ca="1">IF(AND(L418=-1,L417&lt;&gt;-1),MAX($P$8:P417)+1,"")</f>
        <v/>
      </c>
      <c r="Q418" s="24" t="str">
        <f ca="1">IF(AND(L418&lt;&gt;-1,L417=-1),MAX($Q$8:Q417)+1,"")</f>
        <v/>
      </c>
    </row>
    <row r="419" spans="1:17" x14ac:dyDescent="0.3">
      <c r="A419" s="3">
        <v>40792</v>
      </c>
      <c r="B419" s="9">
        <v>9.2558399999999992</v>
      </c>
      <c r="C419" s="9">
        <v>8.0089269999999999</v>
      </c>
      <c r="E419" s="14">
        <f t="shared" si="46"/>
        <v>1.1556903939816157</v>
      </c>
      <c r="F419" s="18">
        <f t="shared" ca="1" si="45"/>
        <v>-0.88548579312473374</v>
      </c>
      <c r="G419" s="15">
        <f t="shared" ca="1" si="50"/>
        <v>1.1690360824721349</v>
      </c>
      <c r="H419" s="15">
        <f t="shared" ca="1" si="51"/>
        <v>1.5071600915723857E-2</v>
      </c>
      <c r="J419" s="17">
        <f t="shared" ca="1" si="47"/>
        <v>0</v>
      </c>
      <c r="K419" s="24">
        <f t="shared" ca="1" si="48"/>
        <v>0</v>
      </c>
      <c r="L419" s="17">
        <f t="shared" ca="1" si="49"/>
        <v>0</v>
      </c>
      <c r="N419" s="24" t="str">
        <f ca="1">IF(AND(L419=1,L418&lt;&gt;1),MAX($N$8:N418)+1,"")</f>
        <v/>
      </c>
      <c r="O419" s="24" t="str">
        <f ca="1">IF(AND(L419&lt;&gt;1,L418=1),MAX($O$8:O418)+1,"")</f>
        <v/>
      </c>
      <c r="P419" s="17" t="str">
        <f ca="1">IF(AND(L419=-1,L418&lt;&gt;-1),MAX($P$8:P418)+1,"")</f>
        <v/>
      </c>
      <c r="Q419" s="24" t="str">
        <f ca="1">IF(AND(L419&lt;&gt;-1,L418=-1),MAX($Q$8:Q418)+1,"")</f>
        <v/>
      </c>
    </row>
    <row r="420" spans="1:17" x14ac:dyDescent="0.3">
      <c r="A420" s="3">
        <v>40794</v>
      </c>
      <c r="B420" s="9">
        <v>9.36951</v>
      </c>
      <c r="C420" s="9">
        <v>8.1188380000000002</v>
      </c>
      <c r="E420" s="14">
        <f t="shared" si="46"/>
        <v>1.1540456897895979</v>
      </c>
      <c r="F420" s="18">
        <f t="shared" ca="1" si="45"/>
        <v>-0.95046759409602488</v>
      </c>
      <c r="G420" s="15">
        <f t="shared" ca="1" si="50"/>
        <v>1.1686319683181319</v>
      </c>
      <c r="H420" s="15">
        <f t="shared" ca="1" si="51"/>
        <v>1.5346423822483699E-2</v>
      </c>
      <c r="J420" s="17">
        <f t="shared" ca="1" si="47"/>
        <v>0</v>
      </c>
      <c r="K420" s="24">
        <f t="shared" ca="1" si="48"/>
        <v>0</v>
      </c>
      <c r="L420" s="17">
        <f t="shared" ca="1" si="49"/>
        <v>0</v>
      </c>
      <c r="N420" s="24" t="str">
        <f ca="1">IF(AND(L420=1,L419&lt;&gt;1),MAX($N$8:N419)+1,"")</f>
        <v/>
      </c>
      <c r="O420" s="24" t="str">
        <f ca="1">IF(AND(L420&lt;&gt;1,L419=1),MAX($O$8:O419)+1,"")</f>
        <v/>
      </c>
      <c r="P420" s="17" t="str">
        <f ca="1">IF(AND(L420=-1,L419&lt;&gt;-1),MAX($P$8:P419)+1,"")</f>
        <v/>
      </c>
      <c r="Q420" s="24" t="str">
        <f ca="1">IF(AND(L420&lt;&gt;-1,L419=-1),MAX($Q$8:Q419)+1,"")</f>
        <v/>
      </c>
    </row>
    <row r="421" spans="1:17" x14ac:dyDescent="0.3">
      <c r="A421" s="3">
        <v>40795</v>
      </c>
      <c r="B421" s="9">
        <v>9.0948060000000002</v>
      </c>
      <c r="C421" s="9">
        <v>7.8798320000000004</v>
      </c>
      <c r="E421" s="14">
        <f t="shared" si="46"/>
        <v>1.1541878050191932</v>
      </c>
      <c r="F421" s="18">
        <f t="shared" ca="1" si="45"/>
        <v>-0.86308173293770829</v>
      </c>
      <c r="G421" s="15">
        <f t="shared" ca="1" si="50"/>
        <v>1.1675600331553624</v>
      </c>
      <c r="H421" s="15">
        <f t="shared" ca="1" si="51"/>
        <v>1.5493582618941085E-2</v>
      </c>
      <c r="J421" s="17">
        <f t="shared" ca="1" si="47"/>
        <v>0</v>
      </c>
      <c r="K421" s="24">
        <f t="shared" ca="1" si="48"/>
        <v>0</v>
      </c>
      <c r="L421" s="17">
        <f t="shared" ca="1" si="49"/>
        <v>0</v>
      </c>
      <c r="N421" s="24" t="str">
        <f ca="1">IF(AND(L421=1,L420&lt;&gt;1),MAX($N$8:N420)+1,"")</f>
        <v/>
      </c>
      <c r="O421" s="24" t="str">
        <f ca="1">IF(AND(L421&lt;&gt;1,L420=1),MAX($O$8:O420)+1,"")</f>
        <v/>
      </c>
      <c r="P421" s="17" t="str">
        <f ca="1">IF(AND(L421=-1,L420&lt;&gt;-1),MAX($P$8:P420)+1,"")</f>
        <v/>
      </c>
      <c r="Q421" s="24" t="str">
        <f ca="1">IF(AND(L421&lt;&gt;-1,L420=-1),MAX($Q$8:Q420)+1,"")</f>
        <v/>
      </c>
    </row>
    <row r="422" spans="1:17" x14ac:dyDescent="0.3">
      <c r="A422" s="3">
        <v>40798</v>
      </c>
      <c r="B422" s="9">
        <v>8.9336950000000002</v>
      </c>
      <c r="C422" s="9">
        <v>7.7451939999999997</v>
      </c>
      <c r="E422" s="14">
        <f t="shared" si="46"/>
        <v>1.1534501266204567</v>
      </c>
      <c r="F422" s="18">
        <f t="shared" ca="1" si="45"/>
        <v>-0.90051806566069781</v>
      </c>
      <c r="G422" s="15">
        <f t="shared" ca="1" si="50"/>
        <v>1.1674703704602112</v>
      </c>
      <c r="H422" s="15">
        <f t="shared" ca="1" si="51"/>
        <v>1.5569086700629453E-2</v>
      </c>
      <c r="J422" s="17">
        <f t="shared" ca="1" si="47"/>
        <v>0</v>
      </c>
      <c r="K422" s="24">
        <f t="shared" ca="1" si="48"/>
        <v>0</v>
      </c>
      <c r="L422" s="17">
        <f t="shared" ca="1" si="49"/>
        <v>0</v>
      </c>
      <c r="N422" s="24" t="str">
        <f ca="1">IF(AND(L422=1,L421&lt;&gt;1),MAX($N$8:N421)+1,"")</f>
        <v/>
      </c>
      <c r="O422" s="24" t="str">
        <f ca="1">IF(AND(L422&lt;&gt;1,L421=1),MAX($O$8:O421)+1,"")</f>
        <v/>
      </c>
      <c r="P422" s="17" t="str">
        <f ca="1">IF(AND(L422=-1,L421&lt;&gt;-1),MAX($P$8:P421)+1,"")</f>
        <v/>
      </c>
      <c r="Q422" s="24" t="str">
        <f ca="1">IF(AND(L422&lt;&gt;-1,L421=-1),MAX($Q$8:Q421)+1,"")</f>
        <v/>
      </c>
    </row>
    <row r="423" spans="1:17" x14ac:dyDescent="0.3">
      <c r="A423" s="3">
        <v>40799</v>
      </c>
      <c r="B423" s="9">
        <v>8.8484619999999996</v>
      </c>
      <c r="C423" s="9">
        <v>7.7204730000000001</v>
      </c>
      <c r="E423" s="14">
        <f t="shared" si="46"/>
        <v>1.1461036130817372</v>
      </c>
      <c r="F423" s="18">
        <f t="shared" ca="1" si="45"/>
        <v>-1.2785449738432892</v>
      </c>
      <c r="G423" s="15">
        <f t="shared" ca="1" si="50"/>
        <v>1.1667635279167388</v>
      </c>
      <c r="H423" s="15">
        <f t="shared" ca="1" si="51"/>
        <v>1.6158926950295759E-2</v>
      </c>
      <c r="J423" s="17">
        <f t="shared" ca="1" si="47"/>
        <v>0</v>
      </c>
      <c r="K423" s="24">
        <f t="shared" ca="1" si="48"/>
        <v>-1</v>
      </c>
      <c r="L423" s="17">
        <f t="shared" ca="1" si="49"/>
        <v>-1</v>
      </c>
      <c r="N423" s="24" t="str">
        <f ca="1">IF(AND(L423=1,L422&lt;&gt;1),MAX($N$8:N422)+1,"")</f>
        <v/>
      </c>
      <c r="O423" s="24" t="str">
        <f ca="1">IF(AND(L423&lt;&gt;1,L422=1),MAX($O$8:O422)+1,"")</f>
        <v/>
      </c>
      <c r="P423" s="17">
        <f ca="1">IF(AND(L423=-1,L422&lt;&gt;-1),MAX($P$8:P422)+1,"")</f>
        <v>16</v>
      </c>
      <c r="Q423" s="24" t="str">
        <f ca="1">IF(AND(L423&lt;&gt;-1,L422=-1),MAX($Q$8:Q422)+1,"")</f>
        <v/>
      </c>
    </row>
    <row r="424" spans="1:17" x14ac:dyDescent="0.3">
      <c r="A424" s="3">
        <v>40800</v>
      </c>
      <c r="B424" s="9">
        <v>8.9305800000000009</v>
      </c>
      <c r="C424" s="9">
        <v>7.8028589999999998</v>
      </c>
      <c r="E424" s="14">
        <f t="shared" si="46"/>
        <v>1.1445266408120409</v>
      </c>
      <c r="F424" s="18">
        <f t="shared" ca="1" si="45"/>
        <v>-1.2490460092849294</v>
      </c>
      <c r="G424" s="15">
        <f t="shared" ca="1" si="50"/>
        <v>1.1650769338398677</v>
      </c>
      <c r="H424" s="15">
        <f t="shared" ca="1" si="51"/>
        <v>1.645279107019576E-2</v>
      </c>
      <c r="J424" s="17">
        <f t="shared" ca="1" si="47"/>
        <v>0</v>
      </c>
      <c r="K424" s="24">
        <f t="shared" ca="1" si="48"/>
        <v>-1</v>
      </c>
      <c r="L424" s="17">
        <f t="shared" ca="1" si="49"/>
        <v>-1</v>
      </c>
      <c r="N424" s="24" t="str">
        <f ca="1">IF(AND(L424=1,L423&lt;&gt;1),MAX($N$8:N423)+1,"")</f>
        <v/>
      </c>
      <c r="O424" s="24" t="str">
        <f ca="1">IF(AND(L424&lt;&gt;1,L423=1),MAX($O$8:O423)+1,"")</f>
        <v/>
      </c>
      <c r="P424" s="17" t="str">
        <f ca="1">IF(AND(L424=-1,L423&lt;&gt;-1),MAX($P$8:P423)+1,"")</f>
        <v/>
      </c>
      <c r="Q424" s="24" t="str">
        <f ca="1">IF(AND(L424&lt;&gt;-1,L423=-1),MAX($Q$8:Q423)+1,"")</f>
        <v/>
      </c>
    </row>
    <row r="425" spans="1:17" x14ac:dyDescent="0.3">
      <c r="A425" s="3">
        <v>40801</v>
      </c>
      <c r="B425" s="9">
        <v>9.0789910000000003</v>
      </c>
      <c r="C425" s="9">
        <v>7.9018170000000003</v>
      </c>
      <c r="E425" s="14">
        <f t="shared" si="46"/>
        <v>1.1489751028149602</v>
      </c>
      <c r="F425" s="18">
        <f t="shared" ca="1" si="45"/>
        <v>-0.89836736514216542</v>
      </c>
      <c r="G425" s="15">
        <f t="shared" ca="1" si="50"/>
        <v>1.1632336819654105</v>
      </c>
      <c r="H425" s="15">
        <f t="shared" ca="1" si="51"/>
        <v>1.5871657524195535E-2</v>
      </c>
      <c r="J425" s="17">
        <f t="shared" ca="1" si="47"/>
        <v>0</v>
      </c>
      <c r="K425" s="24">
        <f t="shared" ca="1" si="48"/>
        <v>-1</v>
      </c>
      <c r="L425" s="17">
        <f t="shared" ca="1" si="49"/>
        <v>-1</v>
      </c>
      <c r="N425" s="24" t="str">
        <f ca="1">IF(AND(L425=1,L424&lt;&gt;1),MAX($N$8:N424)+1,"")</f>
        <v/>
      </c>
      <c r="O425" s="24" t="str">
        <f ca="1">IF(AND(L425&lt;&gt;1,L424=1),MAX($O$8:O424)+1,"")</f>
        <v/>
      </c>
      <c r="P425" s="17" t="str">
        <f ca="1">IF(AND(L425=-1,L424&lt;&gt;-1),MAX($P$8:P424)+1,"")</f>
        <v/>
      </c>
      <c r="Q425" s="24" t="str">
        <f ca="1">IF(AND(L425&lt;&gt;-1,L424=-1),MAX($Q$8:Q424)+1,"")</f>
        <v/>
      </c>
    </row>
    <row r="426" spans="1:17" x14ac:dyDescent="0.3">
      <c r="A426" s="3">
        <v>40802</v>
      </c>
      <c r="B426" s="9">
        <v>9.2526469999999996</v>
      </c>
      <c r="C426" s="9">
        <v>8.0226930000000003</v>
      </c>
      <c r="E426" s="14">
        <f t="shared" si="46"/>
        <v>1.1533093688116944</v>
      </c>
      <c r="F426" s="18">
        <f t="shared" ca="1" si="45"/>
        <v>-0.57162448371132213</v>
      </c>
      <c r="G426" s="15">
        <f t="shared" ca="1" si="50"/>
        <v>1.1623880836794716</v>
      </c>
      <c r="H426" s="15">
        <f t="shared" ca="1" si="51"/>
        <v>1.5882305825728041E-2</v>
      </c>
      <c r="J426" s="17">
        <f t="shared" ca="1" si="47"/>
        <v>0</v>
      </c>
      <c r="K426" s="24">
        <f t="shared" ca="1" si="48"/>
        <v>-1</v>
      </c>
      <c r="L426" s="17">
        <f t="shared" ca="1" si="49"/>
        <v>-1</v>
      </c>
      <c r="N426" s="24" t="str">
        <f ca="1">IF(AND(L426=1,L425&lt;&gt;1),MAX($N$8:N425)+1,"")</f>
        <v/>
      </c>
      <c r="O426" s="24" t="str">
        <f ca="1">IF(AND(L426&lt;&gt;1,L425=1),MAX($O$8:O425)+1,"")</f>
        <v/>
      </c>
      <c r="P426" s="17" t="str">
        <f ca="1">IF(AND(L426=-1,L425&lt;&gt;-1),MAX($P$8:P425)+1,"")</f>
        <v/>
      </c>
      <c r="Q426" s="24" t="str">
        <f ca="1">IF(AND(L426&lt;&gt;-1,L425=-1),MAX($Q$8:Q425)+1,"")</f>
        <v/>
      </c>
    </row>
    <row r="427" spans="1:17" x14ac:dyDescent="0.3">
      <c r="A427" s="3">
        <v>40805</v>
      </c>
      <c r="B427" s="9">
        <v>9.173724</v>
      </c>
      <c r="C427" s="9">
        <v>7.981465</v>
      </c>
      <c r="E427" s="14">
        <f t="shared" si="46"/>
        <v>1.1493784662339559</v>
      </c>
      <c r="F427" s="18">
        <f t="shared" ca="1" si="45"/>
        <v>-0.74430985207607547</v>
      </c>
      <c r="G427" s="15">
        <f t="shared" ca="1" si="50"/>
        <v>1.1607855432280532</v>
      </c>
      <c r="H427" s="15">
        <f t="shared" ca="1" si="51"/>
        <v>1.5325710068568801E-2</v>
      </c>
      <c r="J427" s="17">
        <f t="shared" ca="1" si="47"/>
        <v>0</v>
      </c>
      <c r="K427" s="24">
        <f t="shared" ca="1" si="48"/>
        <v>-1</v>
      </c>
      <c r="L427" s="17">
        <f t="shared" ca="1" si="49"/>
        <v>-1</v>
      </c>
      <c r="N427" s="24" t="str">
        <f ca="1">IF(AND(L427=1,L426&lt;&gt;1),MAX($N$8:N426)+1,"")</f>
        <v/>
      </c>
      <c r="O427" s="24" t="str">
        <f ca="1">IF(AND(L427&lt;&gt;1,L426=1),MAX($O$8:O426)+1,"")</f>
        <v/>
      </c>
      <c r="P427" s="17" t="str">
        <f ca="1">IF(AND(L427=-1,L426&lt;&gt;-1),MAX($P$8:P426)+1,"")</f>
        <v/>
      </c>
      <c r="Q427" s="24" t="str">
        <f ca="1">IF(AND(L427&lt;&gt;-1,L426=-1),MAX($Q$8:Q426)+1,"")</f>
        <v/>
      </c>
    </row>
    <row r="428" spans="1:17" x14ac:dyDescent="0.3">
      <c r="A428" s="3">
        <v>40806</v>
      </c>
      <c r="B428" s="9">
        <v>9.148479</v>
      </c>
      <c r="C428" s="9">
        <v>7.9567379999999996</v>
      </c>
      <c r="E428" s="14">
        <f t="shared" si="46"/>
        <v>1.1497775847338445</v>
      </c>
      <c r="F428" s="18">
        <f t="shared" ca="1" si="45"/>
        <v>-0.64674552459561885</v>
      </c>
      <c r="G428" s="15">
        <f t="shared" ca="1" si="50"/>
        <v>1.1592721538900597</v>
      </c>
      <c r="H428" s="15">
        <f t="shared" ca="1" si="51"/>
        <v>1.4680533216138899E-2</v>
      </c>
      <c r="J428" s="17">
        <f t="shared" ca="1" si="47"/>
        <v>0</v>
      </c>
      <c r="K428" s="24">
        <f t="shared" ca="1" si="48"/>
        <v>-1</v>
      </c>
      <c r="L428" s="17">
        <f t="shared" ca="1" si="49"/>
        <v>-1</v>
      </c>
      <c r="N428" s="24" t="str">
        <f ca="1">IF(AND(L428=1,L427&lt;&gt;1),MAX($N$8:N427)+1,"")</f>
        <v/>
      </c>
      <c r="O428" s="24" t="str">
        <f ca="1">IF(AND(L428&lt;&gt;1,L427=1),MAX($O$8:O427)+1,"")</f>
        <v/>
      </c>
      <c r="P428" s="17" t="str">
        <f ca="1">IF(AND(L428=-1,L427&lt;&gt;-1),MAX($P$8:P427)+1,"")</f>
        <v/>
      </c>
      <c r="Q428" s="24" t="str">
        <f ca="1">IF(AND(L428&lt;&gt;-1,L427=-1),MAX($Q$8:Q427)+1,"")</f>
        <v/>
      </c>
    </row>
    <row r="429" spans="1:17" x14ac:dyDescent="0.3">
      <c r="A429" s="3">
        <v>40807</v>
      </c>
      <c r="B429" s="9">
        <v>9.1200469999999996</v>
      </c>
      <c r="C429" s="9">
        <v>7.9457810000000002</v>
      </c>
      <c r="E429" s="14">
        <f t="shared" si="46"/>
        <v>1.1477848433023763</v>
      </c>
      <c r="F429" s="18">
        <f t="shared" ca="1" si="45"/>
        <v>-0.71834662132334315</v>
      </c>
      <c r="G429" s="15">
        <f t="shared" ca="1" si="50"/>
        <v>1.158387101349696</v>
      </c>
      <c r="H429" s="15">
        <f t="shared" ca="1" si="51"/>
        <v>1.4759250941819955E-2</v>
      </c>
      <c r="J429" s="17">
        <f t="shared" ca="1" si="47"/>
        <v>0</v>
      </c>
      <c r="K429" s="24">
        <f t="shared" ca="1" si="48"/>
        <v>-1</v>
      </c>
      <c r="L429" s="17">
        <f t="shared" ca="1" si="49"/>
        <v>-1</v>
      </c>
      <c r="N429" s="24" t="str">
        <f ca="1">IF(AND(L429=1,L428&lt;&gt;1),MAX($N$8:N428)+1,"")</f>
        <v/>
      </c>
      <c r="O429" s="24" t="str">
        <f ca="1">IF(AND(L429&lt;&gt;1,L428=1),MAX($O$8:O428)+1,"")</f>
        <v/>
      </c>
      <c r="P429" s="17" t="str">
        <f ca="1">IF(AND(L429=-1,L428&lt;&gt;-1),MAX($P$8:P428)+1,"")</f>
        <v/>
      </c>
      <c r="Q429" s="24" t="str">
        <f ca="1">IF(AND(L429&lt;&gt;-1,L428=-1),MAX($Q$8:Q428)+1,"")</f>
        <v/>
      </c>
    </row>
    <row r="430" spans="1:17" x14ac:dyDescent="0.3">
      <c r="A430" s="3">
        <v>40808</v>
      </c>
      <c r="B430" s="9">
        <v>8.7631610000000002</v>
      </c>
      <c r="C430" s="9">
        <v>7.6270660000000001</v>
      </c>
      <c r="E430" s="14">
        <f t="shared" si="46"/>
        <v>1.1489557059031612</v>
      </c>
      <c r="F430" s="18">
        <f t="shared" ca="1" si="45"/>
        <v>-0.6201951551074375</v>
      </c>
      <c r="G430" s="15">
        <f t="shared" ca="1" si="50"/>
        <v>1.1581719968622926</v>
      </c>
      <c r="H430" s="15">
        <f t="shared" ca="1" si="51"/>
        <v>1.4860307893786742E-2</v>
      </c>
      <c r="J430" s="17">
        <f t="shared" ca="1" si="47"/>
        <v>0</v>
      </c>
      <c r="K430" s="24">
        <f t="shared" ca="1" si="48"/>
        <v>-1</v>
      </c>
      <c r="L430" s="17">
        <f t="shared" ca="1" si="49"/>
        <v>-1</v>
      </c>
      <c r="N430" s="24" t="str">
        <f ca="1">IF(AND(L430=1,L429&lt;&gt;1),MAX($N$8:N429)+1,"")</f>
        <v/>
      </c>
      <c r="O430" s="24" t="str">
        <f ca="1">IF(AND(L430&lt;&gt;1,L429=1),MAX($O$8:O429)+1,"")</f>
        <v/>
      </c>
      <c r="P430" s="17" t="str">
        <f ca="1">IF(AND(L430=-1,L429&lt;&gt;-1),MAX($P$8:P429)+1,"")</f>
        <v/>
      </c>
      <c r="Q430" s="24" t="str">
        <f ca="1">IF(AND(L430&lt;&gt;-1,L429=-1),MAX($Q$8:Q429)+1,"")</f>
        <v/>
      </c>
    </row>
    <row r="431" spans="1:17" x14ac:dyDescent="0.3">
      <c r="A431" s="3">
        <v>40809</v>
      </c>
      <c r="B431" s="9">
        <v>8.6621100000000002</v>
      </c>
      <c r="C431" s="9">
        <v>7.3770340000000001</v>
      </c>
      <c r="E431" s="14">
        <f t="shared" si="46"/>
        <v>1.1741995495750732</v>
      </c>
      <c r="F431" s="18">
        <f t="shared" ca="1" si="45"/>
        <v>0.9847943315087343</v>
      </c>
      <c r="G431" s="15">
        <f t="shared" ca="1" si="50"/>
        <v>1.1594803315687849</v>
      </c>
      <c r="H431" s="15">
        <f t="shared" ca="1" si="51"/>
        <v>1.4946489368737532E-2</v>
      </c>
      <c r="J431" s="17">
        <f t="shared" ca="1" si="47"/>
        <v>0</v>
      </c>
      <c r="K431" s="24">
        <f t="shared" ca="1" si="48"/>
        <v>0</v>
      </c>
      <c r="L431" s="17">
        <f t="shared" ca="1" si="49"/>
        <v>0</v>
      </c>
      <c r="N431" s="24" t="str">
        <f ca="1">IF(AND(L431=1,L430&lt;&gt;1),MAX($N$8:N430)+1,"")</f>
        <v/>
      </c>
      <c r="O431" s="24" t="str">
        <f ca="1">IF(AND(L431&lt;&gt;1,L430=1),MAX($O$8:O430)+1,"")</f>
        <v/>
      </c>
      <c r="P431" s="17" t="str">
        <f ca="1">IF(AND(L431=-1,L430&lt;&gt;-1),MAX($P$8:P430)+1,"")</f>
        <v/>
      </c>
      <c r="Q431" s="24">
        <f ca="1">IF(AND(L431&lt;&gt;-1,L430=-1),MAX($Q$8:Q430)+1,"")</f>
        <v>16</v>
      </c>
    </row>
    <row r="432" spans="1:17" x14ac:dyDescent="0.3">
      <c r="A432" s="3">
        <v>40812</v>
      </c>
      <c r="B432" s="9">
        <v>8.851585</v>
      </c>
      <c r="C432" s="9">
        <v>7.5089269999999999</v>
      </c>
      <c r="E432" s="14">
        <f t="shared" si="46"/>
        <v>1.1788082371822233</v>
      </c>
      <c r="F432" s="18">
        <f t="shared" ca="1" si="45"/>
        <v>1.2197737799432169</v>
      </c>
      <c r="G432" s="15">
        <f t="shared" ca="1" si="50"/>
        <v>1.1616789690965454</v>
      </c>
      <c r="H432" s="15">
        <f t="shared" ca="1" si="51"/>
        <v>1.4042987615683322E-2</v>
      </c>
      <c r="J432" s="17">
        <f t="shared" ca="1" si="47"/>
        <v>1</v>
      </c>
      <c r="K432" s="24">
        <f t="shared" ca="1" si="48"/>
        <v>0</v>
      </c>
      <c r="L432" s="17">
        <f t="shared" ca="1" si="49"/>
        <v>1</v>
      </c>
      <c r="N432" s="24">
        <f ca="1">IF(AND(L432=1,L431&lt;&gt;1),MAX($N$8:N431)+1,"")</f>
        <v>14</v>
      </c>
      <c r="O432" s="24" t="str">
        <f ca="1">IF(AND(L432&lt;&gt;1,L431=1),MAX($O$8:O431)+1,"")</f>
        <v/>
      </c>
      <c r="P432" s="17" t="str">
        <f ca="1">IF(AND(L432=-1,L431&lt;&gt;-1),MAX($P$8:P431)+1,"")</f>
        <v/>
      </c>
      <c r="Q432" s="24" t="str">
        <f ca="1">IF(AND(L432&lt;&gt;-1,L431=-1),MAX($Q$8:Q431)+1,"")</f>
        <v/>
      </c>
    </row>
    <row r="433" spans="1:17" x14ac:dyDescent="0.3">
      <c r="A433" s="3">
        <v>40813</v>
      </c>
      <c r="B433" s="9">
        <v>9.2179000000000002</v>
      </c>
      <c r="C433" s="9">
        <v>7.6600020000000004</v>
      </c>
      <c r="E433" s="14">
        <f t="shared" si="46"/>
        <v>1.2033808868457214</v>
      </c>
      <c r="F433" s="18">
        <f t="shared" ca="1" si="45"/>
        <v>2.4187495374894086</v>
      </c>
      <c r="G433" s="15">
        <f t="shared" ca="1" si="50"/>
        <v>1.1641372686546396</v>
      </c>
      <c r="H433" s="15">
        <f t="shared" ca="1" si="51"/>
        <v>1.6224754809386146E-2</v>
      </c>
      <c r="J433" s="17">
        <f t="shared" ca="1" si="47"/>
        <v>1</v>
      </c>
      <c r="K433" s="24">
        <f t="shared" ca="1" si="48"/>
        <v>0</v>
      </c>
      <c r="L433" s="17">
        <f t="shared" ca="1" si="49"/>
        <v>1</v>
      </c>
      <c r="N433" s="24" t="str">
        <f ca="1">IF(AND(L433=1,L432&lt;&gt;1),MAX($N$8:N432)+1,"")</f>
        <v/>
      </c>
      <c r="O433" s="24" t="str">
        <f ca="1">IF(AND(L433&lt;&gt;1,L432=1),MAX($O$8:O432)+1,"")</f>
        <v/>
      </c>
      <c r="P433" s="17" t="str">
        <f ca="1">IF(AND(L433=-1,L432&lt;&gt;-1),MAX($P$8:P432)+1,"")</f>
        <v/>
      </c>
      <c r="Q433" s="24" t="str">
        <f ca="1">IF(AND(L433&lt;&gt;-1,L432=-1),MAX($Q$8:Q432)+1,"")</f>
        <v/>
      </c>
    </row>
    <row r="434" spans="1:17" x14ac:dyDescent="0.3">
      <c r="A434" s="3">
        <v>40814</v>
      </c>
      <c r="B434" s="9">
        <v>9.1895399999999992</v>
      </c>
      <c r="C434" s="9">
        <v>7.6600020000000004</v>
      </c>
      <c r="E434" s="14">
        <f t="shared" si="46"/>
        <v>1.1996785379429402</v>
      </c>
      <c r="F434" s="18">
        <f t="shared" ca="1" si="45"/>
        <v>1.9732166667602136</v>
      </c>
      <c r="G434" s="15">
        <f t="shared" ca="1" si="50"/>
        <v>1.1650292307427039</v>
      </c>
      <c r="H434" s="15">
        <f t="shared" ca="1" si="51"/>
        <v>1.7559808704193807E-2</v>
      </c>
      <c r="J434" s="17">
        <f t="shared" ca="1" si="47"/>
        <v>1</v>
      </c>
      <c r="K434" s="24">
        <f t="shared" ca="1" si="48"/>
        <v>0</v>
      </c>
      <c r="L434" s="17">
        <f t="shared" ca="1" si="49"/>
        <v>1</v>
      </c>
      <c r="N434" s="24" t="str">
        <f ca="1">IF(AND(L434=1,L433&lt;&gt;1),MAX($N$8:N433)+1,"")</f>
        <v/>
      </c>
      <c r="O434" s="24" t="str">
        <f ca="1">IF(AND(L434&lt;&gt;1,L433=1),MAX($O$8:O433)+1,"")</f>
        <v/>
      </c>
      <c r="P434" s="17" t="str">
        <f ca="1">IF(AND(L434=-1,L433&lt;&gt;-1),MAX($P$8:P433)+1,"")</f>
        <v/>
      </c>
      <c r="Q434" s="24" t="str">
        <f ca="1">IF(AND(L434&lt;&gt;-1,L433=-1),MAX($Q$8:Q433)+1,"")</f>
        <v/>
      </c>
    </row>
    <row r="435" spans="1:17" x14ac:dyDescent="0.3">
      <c r="A435" s="3">
        <v>40815</v>
      </c>
      <c r="B435" s="9">
        <v>9.2526469999999996</v>
      </c>
      <c r="C435" s="9">
        <v>7.7424580000000001</v>
      </c>
      <c r="E435" s="14">
        <f t="shared" si="46"/>
        <v>1.1950529147203639</v>
      </c>
      <c r="F435" s="18">
        <f t="shared" ca="1" si="45"/>
        <v>1.5538479160697378</v>
      </c>
      <c r="G435" s="15">
        <f t="shared" ca="1" si="50"/>
        <v>1.1661268581134738</v>
      </c>
      <c r="H435" s="15">
        <f t="shared" ca="1" si="51"/>
        <v>1.8615757892223379E-2</v>
      </c>
      <c r="J435" s="17">
        <f t="shared" ca="1" si="47"/>
        <v>1</v>
      </c>
      <c r="K435" s="24">
        <f t="shared" ca="1" si="48"/>
        <v>0</v>
      </c>
      <c r="L435" s="17">
        <f t="shared" ca="1" si="49"/>
        <v>1</v>
      </c>
      <c r="N435" s="24" t="str">
        <f ca="1">IF(AND(L435=1,L434&lt;&gt;1),MAX($N$8:N434)+1,"")</f>
        <v/>
      </c>
      <c r="O435" s="24" t="str">
        <f ca="1">IF(AND(L435&lt;&gt;1,L434=1),MAX($O$8:O434)+1,"")</f>
        <v/>
      </c>
      <c r="P435" s="17" t="str">
        <f ca="1">IF(AND(L435=-1,L434&lt;&gt;-1),MAX($P$8:P434)+1,"")</f>
        <v/>
      </c>
      <c r="Q435" s="24" t="str">
        <f ca="1">IF(AND(L435&lt;&gt;-1,L434=-1),MAX($Q$8:Q434)+1,"")</f>
        <v/>
      </c>
    </row>
    <row r="436" spans="1:17" x14ac:dyDescent="0.3">
      <c r="A436" s="3">
        <v>40816</v>
      </c>
      <c r="B436" s="9">
        <v>9.173724</v>
      </c>
      <c r="C436" s="9">
        <v>7.6132970000000002</v>
      </c>
      <c r="E436" s="14">
        <f t="shared" si="46"/>
        <v>1.2049607417128216</v>
      </c>
      <c r="F436" s="18">
        <f t="shared" ca="1" si="45"/>
        <v>1.8908002683804115</v>
      </c>
      <c r="G436" s="15">
        <f t="shared" ca="1" si="50"/>
        <v>1.1671111452152219</v>
      </c>
      <c r="H436" s="15">
        <f t="shared" ca="1" si="51"/>
        <v>2.0017765562314164E-2</v>
      </c>
      <c r="J436" s="17">
        <f t="shared" ca="1" si="47"/>
        <v>1</v>
      </c>
      <c r="K436" s="24">
        <f t="shared" ca="1" si="48"/>
        <v>0</v>
      </c>
      <c r="L436" s="17">
        <f t="shared" ca="1" si="49"/>
        <v>1</v>
      </c>
      <c r="N436" s="24" t="str">
        <f ca="1">IF(AND(L436=1,L435&lt;&gt;1),MAX($N$8:N435)+1,"")</f>
        <v/>
      </c>
      <c r="O436" s="24" t="str">
        <f ca="1">IF(AND(L436&lt;&gt;1,L435=1),MAX($O$8:O435)+1,"")</f>
        <v/>
      </c>
      <c r="P436" s="17" t="str">
        <f ca="1">IF(AND(L436=-1,L435&lt;&gt;-1),MAX($P$8:P435)+1,"")</f>
        <v/>
      </c>
      <c r="Q436" s="24" t="str">
        <f ca="1">IF(AND(L436&lt;&gt;-1,L435=-1),MAX($Q$8:Q435)+1,"")</f>
        <v/>
      </c>
    </row>
    <row r="437" spans="1:17" x14ac:dyDescent="0.3">
      <c r="A437" s="3">
        <v>40819</v>
      </c>
      <c r="B437" s="9">
        <v>9.0619619999999994</v>
      </c>
      <c r="C437" s="9">
        <v>7.4182579999999998</v>
      </c>
      <c r="E437" s="14">
        <f t="shared" si="46"/>
        <v>1.2215754696048586</v>
      </c>
      <c r="F437" s="18">
        <f t="shared" ca="1" si="45"/>
        <v>2.2890919935649929</v>
      </c>
      <c r="G437" s="15">
        <f t="shared" ca="1" si="50"/>
        <v>1.1690773545686746</v>
      </c>
      <c r="H437" s="15">
        <f t="shared" ca="1" si="51"/>
        <v>2.2934034623232593E-2</v>
      </c>
      <c r="J437" s="17">
        <f t="shared" ca="1" si="47"/>
        <v>1</v>
      </c>
      <c r="K437" s="24">
        <f t="shared" ca="1" si="48"/>
        <v>0</v>
      </c>
      <c r="L437" s="17">
        <f t="shared" ca="1" si="49"/>
        <v>1</v>
      </c>
      <c r="N437" s="24" t="str">
        <f ca="1">IF(AND(L437=1,L436&lt;&gt;1),MAX($N$8:N436)+1,"")</f>
        <v/>
      </c>
      <c r="O437" s="24" t="str">
        <f ca="1">IF(AND(L437&lt;&gt;1,L436=1),MAX($O$8:O436)+1,"")</f>
        <v/>
      </c>
      <c r="P437" s="17" t="str">
        <f ca="1">IF(AND(L437=-1,L436&lt;&gt;-1),MAX($P$8:P436)+1,"")</f>
        <v/>
      </c>
      <c r="Q437" s="24" t="str">
        <f ca="1">IF(AND(L437&lt;&gt;-1,L436=-1),MAX($Q$8:Q436)+1,"")</f>
        <v/>
      </c>
    </row>
    <row r="438" spans="1:17" x14ac:dyDescent="0.3">
      <c r="A438" s="3">
        <v>40820</v>
      </c>
      <c r="B438" s="9">
        <v>8.9513149999999992</v>
      </c>
      <c r="C438" s="9">
        <v>7.5137720000000003</v>
      </c>
      <c r="E438" s="14">
        <f t="shared" si="46"/>
        <v>1.19132108347179</v>
      </c>
      <c r="F438" s="18">
        <f t="shared" ca="1" si="45"/>
        <v>0.91430183923393604</v>
      </c>
      <c r="G438" s="15">
        <f t="shared" ca="1" si="50"/>
        <v>1.1699334761561422</v>
      </c>
      <c r="H438" s="15">
        <f t="shared" ca="1" si="51"/>
        <v>2.3392282939699433E-2</v>
      </c>
      <c r="J438" s="17">
        <f t="shared" ca="1" si="47"/>
        <v>1</v>
      </c>
      <c r="K438" s="24">
        <f t="shared" ca="1" si="48"/>
        <v>0</v>
      </c>
      <c r="L438" s="17">
        <f t="shared" ca="1" si="49"/>
        <v>1</v>
      </c>
      <c r="N438" s="24" t="str">
        <f ca="1">IF(AND(L438=1,L437&lt;&gt;1),MAX($N$8:N437)+1,"")</f>
        <v/>
      </c>
      <c r="O438" s="24" t="str">
        <f ca="1">IF(AND(L438&lt;&gt;1,L437=1),MAX($O$8:O437)+1,"")</f>
        <v/>
      </c>
      <c r="P438" s="17" t="str">
        <f ca="1">IF(AND(L438=-1,L437&lt;&gt;-1),MAX($P$8:P437)+1,"")</f>
        <v/>
      </c>
      <c r="Q438" s="24" t="str">
        <f ca="1">IF(AND(L438&lt;&gt;-1,L437=-1),MAX($Q$8:Q437)+1,"")</f>
        <v/>
      </c>
    </row>
    <row r="439" spans="1:17" x14ac:dyDescent="0.3">
      <c r="A439" s="3">
        <v>40821</v>
      </c>
      <c r="B439" s="9">
        <v>9.1030610000000003</v>
      </c>
      <c r="C439" s="9">
        <v>7.5247479999999998</v>
      </c>
      <c r="E439" s="14">
        <f t="shared" si="46"/>
        <v>1.2097496155352978</v>
      </c>
      <c r="F439" s="18">
        <f t="shared" ca="1" si="45"/>
        <v>1.5679163062418271</v>
      </c>
      <c r="G439" s="15">
        <f t="shared" ca="1" si="50"/>
        <v>1.1710800216049673</v>
      </c>
      <c r="H439" s="15">
        <f t="shared" ca="1" si="51"/>
        <v>2.4663047240715632E-2</v>
      </c>
      <c r="J439" s="17">
        <f t="shared" ca="1" si="47"/>
        <v>1</v>
      </c>
      <c r="K439" s="24">
        <f t="shared" ca="1" si="48"/>
        <v>0</v>
      </c>
      <c r="L439" s="17">
        <f t="shared" ca="1" si="49"/>
        <v>1</v>
      </c>
      <c r="N439" s="24" t="str">
        <f ca="1">IF(AND(L439=1,L438&lt;&gt;1),MAX($N$8:N438)+1,"")</f>
        <v/>
      </c>
      <c r="O439" s="24" t="str">
        <f ca="1">IF(AND(L439&lt;&gt;1,L438=1),MAX($O$8:O438)+1,"")</f>
        <v/>
      </c>
      <c r="P439" s="17" t="str">
        <f ca="1">IF(AND(L439=-1,L438&lt;&gt;-1),MAX($P$8:P438)+1,"")</f>
        <v/>
      </c>
      <c r="Q439" s="24" t="str">
        <f ca="1">IF(AND(L439&lt;&gt;-1,L438=-1),MAX($Q$8:Q438)+1,"")</f>
        <v/>
      </c>
    </row>
    <row r="440" spans="1:17" x14ac:dyDescent="0.3">
      <c r="A440" s="3">
        <v>40822</v>
      </c>
      <c r="B440" s="9">
        <v>9.2768739999999994</v>
      </c>
      <c r="C440" s="9">
        <v>7.5907840000000002</v>
      </c>
      <c r="E440" s="14">
        <f t="shared" si="46"/>
        <v>1.2221233010977521</v>
      </c>
      <c r="F440" s="18">
        <f t="shared" ca="1" si="45"/>
        <v>1.828859090824924</v>
      </c>
      <c r="G440" s="15">
        <f t="shared" ca="1" si="50"/>
        <v>1.1730470763087943</v>
      </c>
      <c r="H440" s="15">
        <f t="shared" ca="1" si="51"/>
        <v>2.6834338979511811E-2</v>
      </c>
      <c r="J440" s="17">
        <f t="shared" ca="1" si="47"/>
        <v>1</v>
      </c>
      <c r="K440" s="24">
        <f t="shared" ca="1" si="48"/>
        <v>0</v>
      </c>
      <c r="L440" s="17">
        <f t="shared" ca="1" si="49"/>
        <v>1</v>
      </c>
      <c r="N440" s="24" t="str">
        <f ca="1">IF(AND(L440=1,L439&lt;&gt;1),MAX($N$8:N439)+1,"")</f>
        <v/>
      </c>
      <c r="O440" s="24" t="str">
        <f ca="1">IF(AND(L440&lt;&gt;1,L439=1),MAX($O$8:O439)+1,"")</f>
        <v/>
      </c>
      <c r="P440" s="17" t="str">
        <f ca="1">IF(AND(L440=-1,L439&lt;&gt;-1),MAX($P$8:P439)+1,"")</f>
        <v/>
      </c>
      <c r="Q440" s="24" t="str">
        <f ca="1">IF(AND(L440&lt;&gt;-1,L439=-1),MAX($Q$8:Q439)+1,"")</f>
        <v/>
      </c>
    </row>
    <row r="441" spans="1:17" x14ac:dyDescent="0.3">
      <c r="A441" s="3">
        <v>40823</v>
      </c>
      <c r="B441" s="9">
        <v>9.1631049999999998</v>
      </c>
      <c r="C441" s="9">
        <v>7.4009650000000002</v>
      </c>
      <c r="E441" s="14">
        <f t="shared" si="46"/>
        <v>1.2380959780244873</v>
      </c>
      <c r="F441" s="18">
        <f t="shared" ca="1" si="45"/>
        <v>2.061042322423543</v>
      </c>
      <c r="G441" s="15">
        <f t="shared" ca="1" si="50"/>
        <v>1.1767927846743793</v>
      </c>
      <c r="H441" s="15">
        <f t="shared" ca="1" si="51"/>
        <v>2.9743781912262093E-2</v>
      </c>
      <c r="J441" s="17">
        <f t="shared" ca="1" si="47"/>
        <v>1</v>
      </c>
      <c r="K441" s="24">
        <f t="shared" ca="1" si="48"/>
        <v>0</v>
      </c>
      <c r="L441" s="17">
        <f t="shared" ca="1" si="49"/>
        <v>1</v>
      </c>
      <c r="N441" s="24" t="str">
        <f ca="1">IF(AND(L441=1,L440&lt;&gt;1),MAX($N$8:N440)+1,"")</f>
        <v/>
      </c>
      <c r="O441" s="24" t="str">
        <f ca="1">IF(AND(L441&lt;&gt;1,L440=1),MAX($O$8:O440)+1,"")</f>
        <v/>
      </c>
      <c r="P441" s="17" t="str">
        <f ca="1">IF(AND(L441=-1,L440&lt;&gt;-1),MAX($P$8:P440)+1,"")</f>
        <v/>
      </c>
      <c r="Q441" s="24" t="str">
        <f ca="1">IF(AND(L441&lt;&gt;-1,L440=-1),MAX($Q$8:Q440)+1,"")</f>
        <v/>
      </c>
    </row>
    <row r="442" spans="1:17" x14ac:dyDescent="0.3">
      <c r="A442" s="3">
        <v>40826</v>
      </c>
      <c r="B442" s="9">
        <v>9.5234380000000005</v>
      </c>
      <c r="C442" s="9">
        <v>7.7035929999999997</v>
      </c>
      <c r="E442" s="14">
        <f t="shared" si="46"/>
        <v>1.2362332745252769</v>
      </c>
      <c r="F442" s="18">
        <f t="shared" ca="1" si="45"/>
        <v>1.7546934048049705</v>
      </c>
      <c r="G442" s="15">
        <f t="shared" ca="1" si="50"/>
        <v>1.1805285839805466</v>
      </c>
      <c r="H442" s="15">
        <f t="shared" ca="1" si="51"/>
        <v>3.1746110398654909E-2</v>
      </c>
      <c r="J442" s="17">
        <f t="shared" ca="1" si="47"/>
        <v>1</v>
      </c>
      <c r="K442" s="24">
        <f t="shared" ca="1" si="48"/>
        <v>0</v>
      </c>
      <c r="L442" s="17">
        <f t="shared" ca="1" si="49"/>
        <v>1</v>
      </c>
      <c r="N442" s="24" t="str">
        <f ca="1">IF(AND(L442=1,L441&lt;&gt;1),MAX($N$8:N441)+1,"")</f>
        <v/>
      </c>
      <c r="O442" s="24" t="str">
        <f ca="1">IF(AND(L442&lt;&gt;1,L441=1),MAX($O$8:O441)+1,"")</f>
        <v/>
      </c>
      <c r="P442" s="17" t="str">
        <f ca="1">IF(AND(L442=-1,L441&lt;&gt;-1),MAX($P$8:P441)+1,"")</f>
        <v/>
      </c>
      <c r="Q442" s="24" t="str">
        <f ca="1">IF(AND(L442&lt;&gt;-1,L441=-1),MAX($Q$8:Q441)+1,"")</f>
        <v/>
      </c>
    </row>
    <row r="443" spans="1:17" x14ac:dyDescent="0.3">
      <c r="A443" s="3">
        <v>40827</v>
      </c>
      <c r="B443" s="9">
        <v>9.7035730000000004</v>
      </c>
      <c r="C443" s="9">
        <v>7.7833500000000004</v>
      </c>
      <c r="E443" s="14">
        <f t="shared" si="46"/>
        <v>1.2467090648628161</v>
      </c>
      <c r="F443" s="18">
        <f t="shared" ca="1" si="45"/>
        <v>1.8214736431844913</v>
      </c>
      <c r="G443" s="15">
        <f t="shared" ca="1" si="50"/>
        <v>1.1847340957916204</v>
      </c>
      <c r="H443" s="15">
        <f t="shared" ca="1" si="51"/>
        <v>3.4024631266607056E-2</v>
      </c>
      <c r="J443" s="17">
        <f t="shared" ca="1" si="47"/>
        <v>1</v>
      </c>
      <c r="K443" s="24">
        <f t="shared" ca="1" si="48"/>
        <v>0</v>
      </c>
      <c r="L443" s="17">
        <f t="shared" ca="1" si="49"/>
        <v>1</v>
      </c>
      <c r="N443" s="24" t="str">
        <f ca="1">IF(AND(L443=1,L442&lt;&gt;1),MAX($N$8:N442)+1,"")</f>
        <v/>
      </c>
      <c r="O443" s="24" t="str">
        <f ca="1">IF(AND(L443&lt;&gt;1,L442=1),MAX($O$8:O442)+1,"")</f>
        <v/>
      </c>
      <c r="P443" s="17" t="str">
        <f ca="1">IF(AND(L443=-1,L442&lt;&gt;-1),MAX($P$8:P442)+1,"")</f>
        <v/>
      </c>
      <c r="Q443" s="24" t="str">
        <f ca="1">IF(AND(L443&lt;&gt;-1,L442=-1),MAX($Q$8:Q442)+1,"")</f>
        <v/>
      </c>
    </row>
    <row r="444" spans="1:17" x14ac:dyDescent="0.3">
      <c r="A444" s="3">
        <v>40829</v>
      </c>
      <c r="B444" s="9">
        <v>9.8142189999999996</v>
      </c>
      <c r="C444" s="9">
        <v>7.9649409999999996</v>
      </c>
      <c r="E444" s="14">
        <f t="shared" si="46"/>
        <v>1.2321772377221627</v>
      </c>
      <c r="F444" s="18">
        <f t="shared" ca="1" si="45"/>
        <v>1.264843207066912</v>
      </c>
      <c r="G444" s="15">
        <f t="shared" ca="1" si="50"/>
        <v>1.1883126008416978</v>
      </c>
      <c r="H444" s="15">
        <f t="shared" ca="1" si="51"/>
        <v>3.4679900746104442E-2</v>
      </c>
      <c r="J444" s="17">
        <f t="shared" ca="1" si="47"/>
        <v>1</v>
      </c>
      <c r="K444" s="24">
        <f t="shared" ca="1" si="48"/>
        <v>0</v>
      </c>
      <c r="L444" s="17">
        <f t="shared" ca="1" si="49"/>
        <v>1</v>
      </c>
      <c r="N444" s="24" t="str">
        <f ca="1">IF(AND(L444=1,L443&lt;&gt;1),MAX($N$8:N443)+1,"")</f>
        <v/>
      </c>
      <c r="O444" s="24" t="str">
        <f ca="1">IF(AND(L444&lt;&gt;1,L443=1),MAX($O$8:O443)+1,"")</f>
        <v/>
      </c>
      <c r="P444" s="17" t="str">
        <f ca="1">IF(AND(L444=-1,L443&lt;&gt;-1),MAX($P$8:P443)+1,"")</f>
        <v/>
      </c>
      <c r="Q444" s="24" t="str">
        <f ca="1">IF(AND(L444&lt;&gt;-1,L443=-1),MAX($Q$8:Q443)+1,"")</f>
        <v/>
      </c>
    </row>
    <row r="445" spans="1:17" x14ac:dyDescent="0.3">
      <c r="A445" s="3">
        <v>40830</v>
      </c>
      <c r="B445" s="9">
        <v>9.9248700000000003</v>
      </c>
      <c r="C445" s="9">
        <v>7.9484199999999996</v>
      </c>
      <c r="E445" s="14">
        <f t="shared" si="46"/>
        <v>1.2486594820102612</v>
      </c>
      <c r="F445" s="18">
        <f t="shared" ca="1" si="45"/>
        <v>1.5653310850138518</v>
      </c>
      <c r="G445" s="15">
        <f t="shared" ca="1" si="50"/>
        <v>1.19297423124754</v>
      </c>
      <c r="H445" s="15">
        <f t="shared" ca="1" si="51"/>
        <v>3.5574103968061474E-2</v>
      </c>
      <c r="J445" s="17">
        <f t="shared" ca="1" si="47"/>
        <v>1</v>
      </c>
      <c r="K445" s="24">
        <f t="shared" ca="1" si="48"/>
        <v>0</v>
      </c>
      <c r="L445" s="17">
        <f t="shared" ca="1" si="49"/>
        <v>1</v>
      </c>
      <c r="N445" s="24" t="str">
        <f ca="1">IF(AND(L445=1,L444&lt;&gt;1),MAX($N$8:N444)+1,"")</f>
        <v/>
      </c>
      <c r="O445" s="24" t="str">
        <f ca="1">IF(AND(L445&lt;&gt;1,L444=1),MAX($O$8:O444)+1,"")</f>
        <v/>
      </c>
      <c r="P445" s="17" t="str">
        <f ca="1">IF(AND(L445=-1,L444&lt;&gt;-1),MAX($P$8:P444)+1,"")</f>
        <v/>
      </c>
      <c r="Q445" s="24" t="str">
        <f ca="1">IF(AND(L445&lt;&gt;-1,L444=-1),MAX($Q$8:Q444)+1,"")</f>
        <v/>
      </c>
    </row>
    <row r="446" spans="1:17" x14ac:dyDescent="0.3">
      <c r="A446" s="3">
        <v>40833</v>
      </c>
      <c r="B446" s="9">
        <v>9.8932099999999998</v>
      </c>
      <c r="C446" s="9">
        <v>7.9236610000000001</v>
      </c>
      <c r="E446" s="14">
        <f t="shared" si="46"/>
        <v>1.2485655305041445</v>
      </c>
      <c r="F446" s="18">
        <f t="shared" ca="1" si="45"/>
        <v>1.4233479775983062</v>
      </c>
      <c r="G446" s="15">
        <f t="shared" ca="1" si="50"/>
        <v>1.19770327168809</v>
      </c>
      <c r="H446" s="15">
        <f t="shared" ca="1" si="51"/>
        <v>3.5734240408222068E-2</v>
      </c>
      <c r="J446" s="17">
        <f t="shared" ca="1" si="47"/>
        <v>1</v>
      </c>
      <c r="K446" s="24">
        <f t="shared" ca="1" si="48"/>
        <v>0</v>
      </c>
      <c r="L446" s="17">
        <f t="shared" ca="1" si="49"/>
        <v>1</v>
      </c>
      <c r="N446" s="24" t="str">
        <f ca="1">IF(AND(L446=1,L445&lt;&gt;1),MAX($N$8:N445)+1,"")</f>
        <v/>
      </c>
      <c r="O446" s="24" t="str">
        <f ca="1">IF(AND(L446&lt;&gt;1,L445=1),MAX($O$8:O445)+1,"")</f>
        <v/>
      </c>
      <c r="P446" s="17" t="str">
        <f ca="1">IF(AND(L446=-1,L445&lt;&gt;-1),MAX($P$8:P445)+1,"")</f>
        <v/>
      </c>
      <c r="Q446" s="24" t="str">
        <f ca="1">IF(AND(L446&lt;&gt;-1,L445=-1),MAX($Q$8:Q445)+1,"")</f>
        <v/>
      </c>
    </row>
    <row r="447" spans="1:17" x14ac:dyDescent="0.3">
      <c r="A447" s="3">
        <v>40834</v>
      </c>
      <c r="B447" s="9">
        <v>9.9248700000000003</v>
      </c>
      <c r="C447" s="9">
        <v>7.9236610000000001</v>
      </c>
      <c r="E447" s="14">
        <f t="shared" si="46"/>
        <v>1.2525611582827685</v>
      </c>
      <c r="F447" s="18">
        <f t="shared" ca="1" si="45"/>
        <v>1.3997369464044052</v>
      </c>
      <c r="G447" s="15">
        <f t="shared" ca="1" si="50"/>
        <v>1.2024117287548088</v>
      </c>
      <c r="H447" s="15">
        <f t="shared" ca="1" si="51"/>
        <v>3.5827752962284611E-2</v>
      </c>
      <c r="J447" s="17">
        <f t="shared" ca="1" si="47"/>
        <v>1</v>
      </c>
      <c r="K447" s="24">
        <f t="shared" ca="1" si="48"/>
        <v>0</v>
      </c>
      <c r="L447" s="17">
        <f t="shared" ca="1" si="49"/>
        <v>1</v>
      </c>
      <c r="N447" s="24" t="str">
        <f ca="1">IF(AND(L447=1,L446&lt;&gt;1),MAX($N$8:N446)+1,"")</f>
        <v/>
      </c>
      <c r="O447" s="24" t="str">
        <f ca="1">IF(AND(L447&lt;&gt;1,L446=1),MAX($O$8:O446)+1,"")</f>
        <v/>
      </c>
      <c r="P447" s="17" t="str">
        <f ca="1">IF(AND(L447=-1,L446&lt;&gt;-1),MAX($P$8:P446)+1,"")</f>
        <v/>
      </c>
      <c r="Q447" s="24" t="str">
        <f ca="1">IF(AND(L447&lt;&gt;-1,L446=-1),MAX($Q$8:Q446)+1,"")</f>
        <v/>
      </c>
    </row>
    <row r="448" spans="1:17" x14ac:dyDescent="0.3">
      <c r="A448" s="3">
        <v>40835</v>
      </c>
      <c r="B448" s="9">
        <v>10.114440999999999</v>
      </c>
      <c r="C448" s="9">
        <v>8.0337289999999992</v>
      </c>
      <c r="E448" s="14">
        <f t="shared" si="46"/>
        <v>1.258997036121084</v>
      </c>
      <c r="F448" s="18">
        <f t="shared" ca="1" si="45"/>
        <v>1.4380940293457218</v>
      </c>
      <c r="G448" s="15">
        <f t="shared" ca="1" si="50"/>
        <v>1.2072157136325081</v>
      </c>
      <c r="H448" s="15">
        <f t="shared" ca="1" si="51"/>
        <v>3.6006910140732908E-2</v>
      </c>
      <c r="J448" s="17">
        <f t="shared" ca="1" si="47"/>
        <v>1</v>
      </c>
      <c r="K448" s="24">
        <f t="shared" ca="1" si="48"/>
        <v>0</v>
      </c>
      <c r="L448" s="17">
        <f t="shared" ca="1" si="49"/>
        <v>1</v>
      </c>
      <c r="N448" s="24" t="str">
        <f ca="1">IF(AND(L448=1,L447&lt;&gt;1),MAX($N$8:N447)+1,"")</f>
        <v/>
      </c>
      <c r="O448" s="24" t="str">
        <f ca="1">IF(AND(L448&lt;&gt;1,L447=1),MAX($O$8:O447)+1,"")</f>
        <v/>
      </c>
      <c r="P448" s="17" t="str">
        <f ca="1">IF(AND(L448=-1,L447&lt;&gt;-1),MAX($P$8:P447)+1,"")</f>
        <v/>
      </c>
      <c r="Q448" s="24" t="str">
        <f ca="1">IF(AND(L448&lt;&gt;-1,L447=-1),MAX($Q$8:Q447)+1,"")</f>
        <v/>
      </c>
    </row>
    <row r="449" spans="1:17" x14ac:dyDescent="0.3">
      <c r="A449" s="3">
        <v>40836</v>
      </c>
      <c r="B449" s="9">
        <v>9.9880379999999995</v>
      </c>
      <c r="C449" s="9">
        <v>8.0337289999999992</v>
      </c>
      <c r="E449" s="14">
        <f t="shared" si="46"/>
        <v>1.2432629977934282</v>
      </c>
      <c r="F449" s="18">
        <f t="shared" ca="1" si="45"/>
        <v>0.92307599821012021</v>
      </c>
      <c r="G449" s="15">
        <f t="shared" ca="1" si="50"/>
        <v>1.2114831923397569</v>
      </c>
      <c r="H449" s="15">
        <f t="shared" ca="1" si="51"/>
        <v>3.4428157069725115E-2</v>
      </c>
      <c r="J449" s="17">
        <f t="shared" ca="1" si="47"/>
        <v>1</v>
      </c>
      <c r="K449" s="24">
        <f t="shared" ca="1" si="48"/>
        <v>0</v>
      </c>
      <c r="L449" s="17">
        <f t="shared" ca="1" si="49"/>
        <v>1</v>
      </c>
      <c r="N449" s="24" t="str">
        <f ca="1">IF(AND(L449=1,L448&lt;&gt;1),MAX($N$8:N448)+1,"")</f>
        <v/>
      </c>
      <c r="O449" s="24" t="str">
        <f ca="1">IF(AND(L449&lt;&gt;1,L448=1),MAX($O$8:O448)+1,"")</f>
        <v/>
      </c>
      <c r="P449" s="17" t="str">
        <f ca="1">IF(AND(L449=-1,L448&lt;&gt;-1),MAX($P$8:P448)+1,"")</f>
        <v/>
      </c>
      <c r="Q449" s="24" t="str">
        <f ca="1">IF(AND(L449&lt;&gt;-1,L448=-1),MAX($Q$8:Q448)+1,"")</f>
        <v/>
      </c>
    </row>
    <row r="450" spans="1:17" x14ac:dyDescent="0.3">
      <c r="A450" s="3">
        <v>40837</v>
      </c>
      <c r="B450" s="9">
        <v>10.180870000000001</v>
      </c>
      <c r="C450" s="9">
        <v>8.2042750000000009</v>
      </c>
      <c r="E450" s="14">
        <f t="shared" si="46"/>
        <v>1.2409225678076368</v>
      </c>
      <c r="F450" s="18">
        <f t="shared" ref="F450:F513" ca="1" si="52">IF(ISNUMBER(G450),(E450-G450)/H450,"")</f>
        <v>0.78650772337446961</v>
      </c>
      <c r="G450" s="15">
        <f t="shared" ca="1" si="50"/>
        <v>1.2156261461158384</v>
      </c>
      <c r="H450" s="15">
        <f t="shared" ca="1" si="51"/>
        <v>3.2162966668992647E-2</v>
      </c>
      <c r="J450" s="17">
        <f t="shared" ca="1" si="47"/>
        <v>1</v>
      </c>
      <c r="K450" s="24">
        <f t="shared" ca="1" si="48"/>
        <v>0</v>
      </c>
      <c r="L450" s="17">
        <f t="shared" ca="1" si="49"/>
        <v>1</v>
      </c>
      <c r="N450" s="24" t="str">
        <f ca="1">IF(AND(L450=1,L449&lt;&gt;1),MAX($N$8:N449)+1,"")</f>
        <v/>
      </c>
      <c r="O450" s="24" t="str">
        <f ca="1">IF(AND(L450&lt;&gt;1,L449=1),MAX($O$8:O449)+1,"")</f>
        <v/>
      </c>
      <c r="P450" s="17" t="str">
        <f ca="1">IF(AND(L450=-1,L449&lt;&gt;-1),MAX($P$8:P449)+1,"")</f>
        <v/>
      </c>
      <c r="Q450" s="24" t="str">
        <f ca="1">IF(AND(L450&lt;&gt;-1,L449=-1),MAX($Q$8:Q449)+1,"")</f>
        <v/>
      </c>
    </row>
    <row r="451" spans="1:17" x14ac:dyDescent="0.3">
      <c r="A451" s="3">
        <v>40840</v>
      </c>
      <c r="B451" s="9">
        <v>10.411604000000001</v>
      </c>
      <c r="C451" s="9">
        <v>8.4051399999999994</v>
      </c>
      <c r="E451" s="14">
        <f t="shared" ref="E451:E514" si="53">IF(ISNUMBER(B451),B451/C451,"")</f>
        <v>1.2387186888023283</v>
      </c>
      <c r="F451" s="18">
        <f t="shared" ca="1" si="52"/>
        <v>0.65712993569761158</v>
      </c>
      <c r="G451" s="15">
        <f t="shared" ca="1" si="50"/>
        <v>1.2197595027294728</v>
      </c>
      <c r="H451" s="15">
        <f t="shared" ca="1" si="51"/>
        <v>2.8851502637341233E-2</v>
      </c>
      <c r="J451" s="17">
        <f t="shared" ca="1" si="47"/>
        <v>1</v>
      </c>
      <c r="K451" s="24">
        <f t="shared" ca="1" si="48"/>
        <v>0</v>
      </c>
      <c r="L451" s="17">
        <f t="shared" ca="1" si="49"/>
        <v>1</v>
      </c>
      <c r="N451" s="24" t="str">
        <f ca="1">IF(AND(L451=1,L450&lt;&gt;1),MAX($N$8:N450)+1,"")</f>
        <v/>
      </c>
      <c r="O451" s="24" t="str">
        <f ca="1">IF(AND(L451&lt;&gt;1,L450=1),MAX($O$8:O450)+1,"")</f>
        <v/>
      </c>
      <c r="P451" s="17" t="str">
        <f ca="1">IF(AND(L451=-1,L450&lt;&gt;-1),MAX($P$8:P450)+1,"")</f>
        <v/>
      </c>
      <c r="Q451" s="24" t="str">
        <f ca="1">IF(AND(L451&lt;&gt;-1,L450=-1),MAX($Q$8:Q450)+1,"")</f>
        <v/>
      </c>
    </row>
    <row r="452" spans="1:17" x14ac:dyDescent="0.3">
      <c r="A452" s="3">
        <v>40841</v>
      </c>
      <c r="B452" s="9">
        <v>10.411604000000001</v>
      </c>
      <c r="C452" s="9">
        <v>8.4051399999999994</v>
      </c>
      <c r="E452" s="14">
        <f t="shared" si="53"/>
        <v>1.2387186888023283</v>
      </c>
      <c r="F452" s="18">
        <f t="shared" ca="1" si="52"/>
        <v>0.60530541354887568</v>
      </c>
      <c r="G452" s="15">
        <f t="shared" ca="1" si="50"/>
        <v>1.2238396383157988</v>
      </c>
      <c r="H452" s="15">
        <f t="shared" ca="1" si="51"/>
        <v>2.4581062970004435E-2</v>
      </c>
      <c r="J452" s="17">
        <f t="shared" ca="1" si="47"/>
        <v>1</v>
      </c>
      <c r="K452" s="24">
        <f t="shared" ca="1" si="48"/>
        <v>0</v>
      </c>
      <c r="L452" s="17">
        <f t="shared" ca="1" si="49"/>
        <v>1</v>
      </c>
      <c r="N452" s="24" t="str">
        <f ca="1">IF(AND(L452=1,L451&lt;&gt;1),MAX($N$8:N451)+1,"")</f>
        <v/>
      </c>
      <c r="O452" s="24" t="str">
        <f ca="1">IF(AND(L452&lt;&gt;1,L451=1),MAX($O$8:O451)+1,"")</f>
        <v/>
      </c>
      <c r="P452" s="17" t="str">
        <f ca="1">IF(AND(L452=-1,L451&lt;&gt;-1),MAX($P$8:P451)+1,"")</f>
        <v/>
      </c>
      <c r="Q452" s="24" t="str">
        <f ca="1">IF(AND(L452&lt;&gt;-1,L451=-1),MAX($Q$8:Q451)+1,"")</f>
        <v/>
      </c>
    </row>
    <row r="453" spans="1:17" x14ac:dyDescent="0.3">
      <c r="A453" s="3">
        <v>40842</v>
      </c>
      <c r="B453" s="9">
        <v>10.411604000000001</v>
      </c>
      <c r="C453" s="9">
        <v>8.4051399999999994</v>
      </c>
      <c r="E453" s="14">
        <f t="shared" si="53"/>
        <v>1.2387186888023283</v>
      </c>
      <c r="F453" s="18">
        <f t="shared" ca="1" si="52"/>
        <v>0.53766385759750046</v>
      </c>
      <c r="G453" s="15">
        <f t="shared" ca="1" si="50"/>
        <v>1.2267723264624921</v>
      </c>
      <c r="H453" s="15">
        <f t="shared" ca="1" si="51"/>
        <v>2.2219016902525913E-2</v>
      </c>
      <c r="J453" s="17">
        <f t="shared" ca="1" si="47"/>
        <v>1</v>
      </c>
      <c r="K453" s="24">
        <f t="shared" ca="1" si="48"/>
        <v>0</v>
      </c>
      <c r="L453" s="17">
        <f t="shared" ca="1" si="49"/>
        <v>1</v>
      </c>
      <c r="N453" s="24" t="str">
        <f ca="1">IF(AND(L453=1,L452&lt;&gt;1),MAX($N$8:N452)+1,"")</f>
        <v/>
      </c>
      <c r="O453" s="24" t="str">
        <f ca="1">IF(AND(L453&lt;&gt;1,L452=1),MAX($O$8:O452)+1,"")</f>
        <v/>
      </c>
      <c r="P453" s="17" t="str">
        <f ca="1">IF(AND(L453=-1,L452&lt;&gt;-1),MAX($P$8:P452)+1,"")</f>
        <v/>
      </c>
      <c r="Q453" s="24" t="str">
        <f ca="1">IF(AND(L453&lt;&gt;-1,L452=-1),MAX($Q$8:Q452)+1,"")</f>
        <v/>
      </c>
    </row>
    <row r="454" spans="1:17" x14ac:dyDescent="0.3">
      <c r="A454" s="3">
        <v>40843</v>
      </c>
      <c r="B454" s="9">
        <v>10.411604000000001</v>
      </c>
      <c r="C454" s="9">
        <v>8.4051399999999994</v>
      </c>
      <c r="E454" s="14">
        <f t="shared" si="53"/>
        <v>1.2387186888023283</v>
      </c>
      <c r="F454" s="18">
        <f t="shared" ca="1" si="52"/>
        <v>0.46812322369643844</v>
      </c>
      <c r="G454" s="15">
        <f t="shared" ca="1" si="50"/>
        <v>1.2294955288088607</v>
      </c>
      <c r="H454" s="15">
        <f t="shared" ca="1" si="51"/>
        <v>1.9702419206291E-2</v>
      </c>
      <c r="J454" s="17">
        <f t="shared" ca="1" si="47"/>
        <v>1</v>
      </c>
      <c r="K454" s="24">
        <f t="shared" ca="1" si="48"/>
        <v>0</v>
      </c>
      <c r="L454" s="17">
        <f t="shared" ca="1" si="49"/>
        <v>1</v>
      </c>
      <c r="N454" s="24" t="str">
        <f ca="1">IF(AND(L454=1,L453&lt;&gt;1),MAX($N$8:N453)+1,"")</f>
        <v/>
      </c>
      <c r="O454" s="24" t="str">
        <f ca="1">IF(AND(L454&lt;&gt;1,L453=1),MAX($O$8:O453)+1,"")</f>
        <v/>
      </c>
      <c r="P454" s="17" t="str">
        <f ca="1">IF(AND(L454=-1,L453&lt;&gt;-1),MAX($P$8:P453)+1,"")</f>
        <v/>
      </c>
      <c r="Q454" s="24" t="str">
        <f ca="1">IF(AND(L454&lt;&gt;-1,L453=-1),MAX($Q$8:Q453)+1,"")</f>
        <v/>
      </c>
    </row>
    <row r="455" spans="1:17" x14ac:dyDescent="0.3">
      <c r="A455" s="3">
        <v>40844</v>
      </c>
      <c r="B455" s="9">
        <v>10.462146000000001</v>
      </c>
      <c r="C455" s="9">
        <v>8.6527689999999993</v>
      </c>
      <c r="E455" s="14">
        <f t="shared" si="53"/>
        <v>1.2091095925477731</v>
      </c>
      <c r="F455" s="18">
        <f t="shared" ca="1" si="52"/>
        <v>-1.064740578970153</v>
      </c>
      <c r="G455" s="15">
        <f t="shared" ca="1" si="50"/>
        <v>1.2297559245225902</v>
      </c>
      <c r="H455" s="15">
        <f t="shared" ca="1" si="51"/>
        <v>1.9390950605815031E-2</v>
      </c>
      <c r="J455" s="17">
        <f t="shared" ca="1" si="47"/>
        <v>0</v>
      </c>
      <c r="K455" s="24">
        <f t="shared" ca="1" si="48"/>
        <v>-1</v>
      </c>
      <c r="L455" s="17">
        <f t="shared" ca="1" si="49"/>
        <v>-1</v>
      </c>
      <c r="N455" s="24" t="str">
        <f ca="1">IF(AND(L455=1,L454&lt;&gt;1),MAX($N$8:N454)+1,"")</f>
        <v/>
      </c>
      <c r="O455" s="24">
        <f ca="1">IF(AND(L455&lt;&gt;1,L454=1),MAX($O$8:O454)+1,"")</f>
        <v>14</v>
      </c>
      <c r="P455" s="17">
        <f ca="1">IF(AND(L455=-1,L454&lt;&gt;-1),MAX($P$8:P454)+1,"")</f>
        <v>17</v>
      </c>
      <c r="Q455" s="24" t="str">
        <f ca="1">IF(AND(L455&lt;&gt;-1,L454=-1),MAX($Q$8:Q454)+1,"")</f>
        <v/>
      </c>
    </row>
    <row r="456" spans="1:17" x14ac:dyDescent="0.3">
      <c r="A456" s="3">
        <v>40847</v>
      </c>
      <c r="B456" s="9">
        <v>10.345179</v>
      </c>
      <c r="C456" s="9">
        <v>8.6252659999999999</v>
      </c>
      <c r="E456" s="14">
        <f t="shared" si="53"/>
        <v>1.1994040531619548</v>
      </c>
      <c r="F456" s="18">
        <f t="shared" ca="1" si="52"/>
        <v>-1.5630502062870957</v>
      </c>
      <c r="G456" s="15">
        <f t="shared" ca="1" si="50"/>
        <v>1.2297434479416363</v>
      </c>
      <c r="H456" s="15">
        <f t="shared" ca="1" si="51"/>
        <v>1.9410377643434999E-2</v>
      </c>
      <c r="J456" s="17">
        <f t="shared" ref="J456:J519" ca="1" si="54">IF(ISNUMBER(F456),IF(AND(J455&lt;&gt;1,F456&gt;$L$1),1,IF(AND(J455=1,F456&gt;$N$1),1,0)),"")</f>
        <v>0</v>
      </c>
      <c r="K456" s="24">
        <f t="shared" ca="1" si="48"/>
        <v>-1</v>
      </c>
      <c r="L456" s="17">
        <f t="shared" ca="1" si="49"/>
        <v>-1</v>
      </c>
      <c r="N456" s="24" t="str">
        <f ca="1">IF(AND(L456=1,L455&lt;&gt;1),MAX($N$8:N455)+1,"")</f>
        <v/>
      </c>
      <c r="O456" s="24" t="str">
        <f ca="1">IF(AND(L456&lt;&gt;1,L455=1),MAX($O$8:O455)+1,"")</f>
        <v/>
      </c>
      <c r="P456" s="17" t="str">
        <f ca="1">IF(AND(L456=-1,L455&lt;&gt;-1),MAX($P$8:P455)+1,"")</f>
        <v/>
      </c>
      <c r="Q456" s="24" t="str">
        <f ca="1">IF(AND(L456&lt;&gt;-1,L455=-1),MAX($Q$8:Q455)+1,"")</f>
        <v/>
      </c>
    </row>
    <row r="457" spans="1:17" x14ac:dyDescent="0.3">
      <c r="A457" s="3">
        <v>40848</v>
      </c>
      <c r="B457" s="9">
        <v>10.163724</v>
      </c>
      <c r="C457" s="9">
        <v>8.4602039999999992</v>
      </c>
      <c r="E457" s="14">
        <f t="shared" si="53"/>
        <v>1.2013568467143347</v>
      </c>
      <c r="F457" s="18">
        <f t="shared" ca="1" si="52"/>
        <v>-1.5141409394958298</v>
      </c>
      <c r="G457" s="15">
        <f t="shared" ca="1" si="50"/>
        <v>1.2300299903049987</v>
      </c>
      <c r="H457" s="15">
        <f t="shared" ca="1" si="51"/>
        <v>1.8936905305665531E-2</v>
      </c>
      <c r="J457" s="17">
        <f t="shared" ca="1" si="54"/>
        <v>0</v>
      </c>
      <c r="K457" s="24">
        <f t="shared" ref="K457:K520" ca="1" si="55">IF(ISNUMBER(F457),IF(AND(K456&lt;&gt;-1,F457&lt;$P$1),-1,IF(AND(K456=-1,F457&lt;R450),-1,0)),"")</f>
        <v>-1</v>
      </c>
      <c r="L457" s="17">
        <f t="shared" ref="L457:L520" ca="1" si="56">IF(ISNUMBER(F457),IF(J457=1,1,IF(K457=-1,-1,0)),"")</f>
        <v>-1</v>
      </c>
      <c r="N457" s="24" t="str">
        <f ca="1">IF(AND(L457=1,L456&lt;&gt;1),MAX($N$8:N456)+1,"")</f>
        <v/>
      </c>
      <c r="O457" s="24" t="str">
        <f ca="1">IF(AND(L457&lt;&gt;1,L456=1),MAX($O$8:O456)+1,"")</f>
        <v/>
      </c>
      <c r="P457" s="17" t="str">
        <f ca="1">IF(AND(L457=-1,L456&lt;&gt;-1),MAX($P$8:P456)+1,"")</f>
        <v/>
      </c>
      <c r="Q457" s="24" t="str">
        <f ca="1">IF(AND(L457&lt;&gt;-1,L456=-1),MAX($Q$8:Q456)+1,"")</f>
        <v/>
      </c>
    </row>
    <row r="458" spans="1:17" x14ac:dyDescent="0.3">
      <c r="A458" s="3">
        <v>40850</v>
      </c>
      <c r="B458" s="9">
        <v>10.28078</v>
      </c>
      <c r="C458" s="9">
        <v>8.5254930000000009</v>
      </c>
      <c r="E458" s="14">
        <f t="shared" si="53"/>
        <v>1.2058868619093346</v>
      </c>
      <c r="F458" s="18">
        <f t="shared" ca="1" si="52"/>
        <v>-1.2808559583661758</v>
      </c>
      <c r="G458" s="15">
        <f t="shared" ca="1" si="50"/>
        <v>1.2300720866775672</v>
      </c>
      <c r="H458" s="15">
        <f t="shared" ca="1" si="51"/>
        <v>1.8882080073299258E-2</v>
      </c>
      <c r="J458" s="17">
        <f t="shared" ca="1" si="54"/>
        <v>0</v>
      </c>
      <c r="K458" s="24">
        <f t="shared" ca="1" si="55"/>
        <v>-1</v>
      </c>
      <c r="L458" s="17">
        <f t="shared" ca="1" si="56"/>
        <v>-1</v>
      </c>
      <c r="N458" s="24" t="str">
        <f ca="1">IF(AND(L458=1,L457&lt;&gt;1),MAX($N$8:N457)+1,"")</f>
        <v/>
      </c>
      <c r="O458" s="24" t="str">
        <f ca="1">IF(AND(L458&lt;&gt;1,L457=1),MAX($O$8:O457)+1,"")</f>
        <v/>
      </c>
      <c r="P458" s="17" t="str">
        <f ca="1">IF(AND(L458=-1,L457&lt;&gt;-1),MAX($P$8:P457)+1,"")</f>
        <v/>
      </c>
      <c r="Q458" s="24" t="str">
        <f ca="1">IF(AND(L458&lt;&gt;-1,L457=-1),MAX($Q$8:Q457)+1,"")</f>
        <v/>
      </c>
    </row>
    <row r="459" spans="1:17" x14ac:dyDescent="0.3">
      <c r="A459" s="3">
        <v>40851</v>
      </c>
      <c r="B459" s="9">
        <v>10.318778</v>
      </c>
      <c r="C459" s="9">
        <v>8.5034510000000001</v>
      </c>
      <c r="E459" s="14">
        <f t="shared" si="53"/>
        <v>1.2134812089820943</v>
      </c>
      <c r="F459" s="18">
        <f t="shared" ca="1" si="52"/>
        <v>-0.8484190431973726</v>
      </c>
      <c r="G459" s="15">
        <f t="shared" ca="1" si="50"/>
        <v>1.2297041657401691</v>
      </c>
      <c r="H459" s="15">
        <f t="shared" ca="1" si="51"/>
        <v>1.9121396305458321E-2</v>
      </c>
      <c r="J459" s="17">
        <f t="shared" ca="1" si="54"/>
        <v>0</v>
      </c>
      <c r="K459" s="24">
        <f t="shared" ca="1" si="55"/>
        <v>-1</v>
      </c>
      <c r="L459" s="17">
        <f t="shared" ca="1" si="56"/>
        <v>-1</v>
      </c>
      <c r="N459" s="24" t="str">
        <f ca="1">IF(AND(L459=1,L458&lt;&gt;1),MAX($N$8:N458)+1,"")</f>
        <v/>
      </c>
      <c r="O459" s="24" t="str">
        <f ca="1">IF(AND(L459&lt;&gt;1,L458=1),MAX($O$8:O458)+1,"")</f>
        <v/>
      </c>
      <c r="P459" s="17" t="str">
        <f ca="1">IF(AND(L459=-1,L458&lt;&gt;-1),MAX($P$8:P458)+1,"")</f>
        <v/>
      </c>
      <c r="Q459" s="24" t="str">
        <f ca="1">IF(AND(L459&lt;&gt;-1,L458=-1),MAX($Q$8:Q458)+1,"")</f>
        <v/>
      </c>
    </row>
    <row r="460" spans="1:17" x14ac:dyDescent="0.3">
      <c r="A460" s="3">
        <v>40854</v>
      </c>
      <c r="B460" s="9">
        <v>10.312457999999999</v>
      </c>
      <c r="C460" s="9">
        <v>8.5392849999999996</v>
      </c>
      <c r="E460" s="14">
        <f t="shared" si="53"/>
        <v>1.2076488839522279</v>
      </c>
      <c r="F460" s="18">
        <f t="shared" ca="1" si="52"/>
        <v>-1.2739760713035997</v>
      </c>
      <c r="G460" s="15">
        <f t="shared" ca="1" si="50"/>
        <v>1.2304463384892796</v>
      </c>
      <c r="H460" s="15">
        <f t="shared" ca="1" si="51"/>
        <v>1.7894727421154912E-2</v>
      </c>
      <c r="J460" s="17">
        <f t="shared" ca="1" si="54"/>
        <v>0</v>
      </c>
      <c r="K460" s="24">
        <f t="shared" ca="1" si="55"/>
        <v>-1</v>
      </c>
      <c r="L460" s="17">
        <f t="shared" ca="1" si="56"/>
        <v>-1</v>
      </c>
      <c r="N460" s="24" t="str">
        <f ca="1">IF(AND(L460=1,L459&lt;&gt;1),MAX($N$8:N459)+1,"")</f>
        <v/>
      </c>
      <c r="O460" s="24" t="str">
        <f ca="1">IF(AND(L460&lt;&gt;1,L459=1),MAX($O$8:O459)+1,"")</f>
        <v/>
      </c>
      <c r="P460" s="17" t="str">
        <f ca="1">IF(AND(L460=-1,L459&lt;&gt;-1),MAX($P$8:P459)+1,"")</f>
        <v/>
      </c>
      <c r="Q460" s="24" t="str">
        <f ca="1">IF(AND(L460&lt;&gt;-1,L459=-1),MAX($Q$8:Q459)+1,"")</f>
        <v/>
      </c>
    </row>
    <row r="461" spans="1:17" x14ac:dyDescent="0.3">
      <c r="A461" s="3">
        <v>40855</v>
      </c>
      <c r="B461" s="9">
        <v>10.296616</v>
      </c>
      <c r="C461" s="9">
        <v>8.5943489999999994</v>
      </c>
      <c r="E461" s="14">
        <f t="shared" si="53"/>
        <v>1.1980681724700732</v>
      </c>
      <c r="F461" s="18">
        <f t="shared" ca="1" si="52"/>
        <v>-1.7068925268600583</v>
      </c>
      <c r="G461" s="15">
        <f t="shared" ca="1" si="50"/>
        <v>1.2299153638044966</v>
      </c>
      <c r="H461" s="15">
        <f t="shared" ca="1" si="51"/>
        <v>1.8657994474326037E-2</v>
      </c>
      <c r="J461" s="17">
        <f t="shared" ca="1" si="54"/>
        <v>0</v>
      </c>
      <c r="K461" s="24">
        <f t="shared" ca="1" si="55"/>
        <v>-1</v>
      </c>
      <c r="L461" s="17">
        <f t="shared" ca="1" si="56"/>
        <v>-1</v>
      </c>
      <c r="N461" s="24" t="str">
        <f ca="1">IF(AND(L461=1,L460&lt;&gt;1),MAX($N$8:N460)+1,"")</f>
        <v/>
      </c>
      <c r="O461" s="24" t="str">
        <f ca="1">IF(AND(L461&lt;&gt;1,L460=1),MAX($O$8:O460)+1,"")</f>
        <v/>
      </c>
      <c r="P461" s="17" t="str">
        <f ca="1">IF(AND(L461=-1,L460&lt;&gt;-1),MAX($P$8:P460)+1,"")</f>
        <v/>
      </c>
      <c r="Q461" s="24" t="str">
        <f ca="1">IF(AND(L461&lt;&gt;-1,L460=-1),MAX($Q$8:Q460)+1,"")</f>
        <v/>
      </c>
    </row>
    <row r="462" spans="1:17" x14ac:dyDescent="0.3">
      <c r="A462" s="3">
        <v>40856</v>
      </c>
      <c r="B462" s="9">
        <v>10.037205</v>
      </c>
      <c r="C462" s="9">
        <v>8.4566219999999994</v>
      </c>
      <c r="E462" s="14">
        <f t="shared" si="53"/>
        <v>1.1869047711958747</v>
      </c>
      <c r="F462" s="18">
        <f t="shared" ca="1" si="52"/>
        <v>-2.0042279487074635</v>
      </c>
      <c r="G462" s="15">
        <f t="shared" ca="1" si="50"/>
        <v>1.2283145215362294</v>
      </c>
      <c r="H462" s="15">
        <f t="shared" ca="1" si="51"/>
        <v>2.0661197927640974E-2</v>
      </c>
      <c r="J462" s="17">
        <f t="shared" ca="1" si="54"/>
        <v>0</v>
      </c>
      <c r="K462" s="24">
        <f t="shared" ca="1" si="55"/>
        <v>-1</v>
      </c>
      <c r="L462" s="17">
        <f t="shared" ca="1" si="56"/>
        <v>-1</v>
      </c>
      <c r="N462" s="24" t="str">
        <f ca="1">IF(AND(L462=1,L461&lt;&gt;1),MAX($N$8:N461)+1,"")</f>
        <v/>
      </c>
      <c r="O462" s="24" t="str">
        <f ca="1">IF(AND(L462&lt;&gt;1,L461=1),MAX($O$8:O461)+1,"")</f>
        <v/>
      </c>
      <c r="P462" s="17" t="str">
        <f ca="1">IF(AND(L462=-1,L461&lt;&gt;-1),MAX($P$8:P461)+1,"")</f>
        <v/>
      </c>
      <c r="Q462" s="24" t="str">
        <f ca="1">IF(AND(L462&lt;&gt;-1,L461=-1),MAX($Q$8:Q461)+1,"")</f>
        <v/>
      </c>
    </row>
    <row r="463" spans="1:17" x14ac:dyDescent="0.3">
      <c r="A463" s="3">
        <v>40857</v>
      </c>
      <c r="B463" s="9">
        <v>10.037205</v>
      </c>
      <c r="C463" s="9">
        <v>8.4566219999999994</v>
      </c>
      <c r="E463" s="14">
        <f t="shared" si="53"/>
        <v>1.1869047711958747</v>
      </c>
      <c r="F463" s="18">
        <f t="shared" ca="1" si="52"/>
        <v>-1.7565279820912441</v>
      </c>
      <c r="G463" s="15">
        <f t="shared" ca="1" si="50"/>
        <v>1.225987648498565</v>
      </c>
      <c r="H463" s="15">
        <f t="shared" ca="1" si="51"/>
        <v>2.2250073839506956E-2</v>
      </c>
      <c r="J463" s="17">
        <f t="shared" ca="1" si="54"/>
        <v>0</v>
      </c>
      <c r="K463" s="24">
        <f t="shared" ca="1" si="55"/>
        <v>-1</v>
      </c>
      <c r="L463" s="17">
        <f t="shared" ca="1" si="56"/>
        <v>-1</v>
      </c>
      <c r="N463" s="24" t="str">
        <f ca="1">IF(AND(L463=1,L462&lt;&gt;1),MAX($N$8:N462)+1,"")</f>
        <v/>
      </c>
      <c r="O463" s="24" t="str">
        <f ca="1">IF(AND(L463&lt;&gt;1,L462=1),MAX($O$8:O462)+1,"")</f>
        <v/>
      </c>
      <c r="P463" s="17" t="str">
        <f ca="1">IF(AND(L463=-1,L462&lt;&gt;-1),MAX($P$8:P462)+1,"")</f>
        <v/>
      </c>
      <c r="Q463" s="24" t="str">
        <f ca="1">IF(AND(L463&lt;&gt;-1,L462=-1),MAX($Q$8:Q462)+1,"")</f>
        <v/>
      </c>
    </row>
    <row r="464" spans="1:17" x14ac:dyDescent="0.3">
      <c r="A464" s="3">
        <v>40858</v>
      </c>
      <c r="B464" s="9">
        <v>10.072018999999999</v>
      </c>
      <c r="C464" s="9">
        <v>8.4152889999999996</v>
      </c>
      <c r="E464" s="14">
        <f t="shared" si="53"/>
        <v>1.1968714324606082</v>
      </c>
      <c r="F464" s="18">
        <f t="shared" ca="1" si="52"/>
        <v>-1.1919378416141737</v>
      </c>
      <c r="G464" s="15">
        <f t="shared" ca="1" si="50"/>
        <v>1.2241984738592619</v>
      </c>
      <c r="H464" s="15">
        <f t="shared" ca="1" si="51"/>
        <v>2.2926565836391483E-2</v>
      </c>
      <c r="J464" s="17">
        <f t="shared" ca="1" si="54"/>
        <v>0</v>
      </c>
      <c r="K464" s="24">
        <f t="shared" ca="1" si="55"/>
        <v>-1</v>
      </c>
      <c r="L464" s="17">
        <f t="shared" ca="1" si="56"/>
        <v>-1</v>
      </c>
      <c r="N464" s="24" t="str">
        <f ca="1">IF(AND(L464=1,L463&lt;&gt;1),MAX($N$8:N463)+1,"")</f>
        <v/>
      </c>
      <c r="O464" s="24" t="str">
        <f ca="1">IF(AND(L464&lt;&gt;1,L463=1),MAX($O$8:O463)+1,"")</f>
        <v/>
      </c>
      <c r="P464" s="17" t="str">
        <f ca="1">IF(AND(L464=-1,L463&lt;&gt;-1),MAX($P$8:P463)+1,"")</f>
        <v/>
      </c>
      <c r="Q464" s="24" t="str">
        <f ca="1">IF(AND(L464&lt;&gt;-1,L463=-1),MAX($Q$8:Q463)+1,"")</f>
        <v/>
      </c>
    </row>
    <row r="465" spans="1:17" x14ac:dyDescent="0.3">
      <c r="A465" s="3">
        <v>40861</v>
      </c>
      <c r="B465" s="9">
        <v>10.097308</v>
      </c>
      <c r="C465" s="9">
        <v>8.5392849999999996</v>
      </c>
      <c r="E465" s="14">
        <f t="shared" si="53"/>
        <v>1.1824535660772535</v>
      </c>
      <c r="F465" s="18">
        <f t="shared" ca="1" si="52"/>
        <v>-1.621515778443771</v>
      </c>
      <c r="G465" s="15">
        <f t="shared" ca="1" si="50"/>
        <v>1.2212777693690089</v>
      </c>
      <c r="H465" s="15">
        <f t="shared" ca="1" si="51"/>
        <v>2.3943154798664018E-2</v>
      </c>
      <c r="J465" s="17">
        <f t="shared" ca="1" si="54"/>
        <v>0</v>
      </c>
      <c r="K465" s="24">
        <f t="shared" ca="1" si="55"/>
        <v>-1</v>
      </c>
      <c r="L465" s="17">
        <f t="shared" ca="1" si="56"/>
        <v>-1</v>
      </c>
      <c r="N465" s="24" t="str">
        <f ca="1">IF(AND(L465=1,L464&lt;&gt;1),MAX($N$8:N464)+1,"")</f>
        <v/>
      </c>
      <c r="O465" s="24" t="str">
        <f ca="1">IF(AND(L465&lt;&gt;1,L464=1),MAX($O$8:O464)+1,"")</f>
        <v/>
      </c>
      <c r="P465" s="17" t="str">
        <f ca="1">IF(AND(L465=-1,L464&lt;&gt;-1),MAX($P$8:P464)+1,"")</f>
        <v/>
      </c>
      <c r="Q465" s="24" t="str">
        <f ca="1">IF(AND(L465&lt;&gt;-1,L464=-1),MAX($Q$8:Q464)+1,"")</f>
        <v/>
      </c>
    </row>
    <row r="466" spans="1:17" x14ac:dyDescent="0.3">
      <c r="A466" s="3">
        <v>40863</v>
      </c>
      <c r="B466" s="9">
        <v>10.163724</v>
      </c>
      <c r="C466" s="9">
        <v>8.5695689999999995</v>
      </c>
      <c r="E466" s="14">
        <f t="shared" si="53"/>
        <v>1.1860251081472126</v>
      </c>
      <c r="F466" s="18">
        <f t="shared" ca="1" si="52"/>
        <v>-1.3315705613196915</v>
      </c>
      <c r="G466" s="15">
        <f t="shared" ca="1" si="50"/>
        <v>1.2191799452974204</v>
      </c>
      <c r="H466" s="15">
        <f t="shared" ca="1" si="51"/>
        <v>2.4899046369235338E-2</v>
      </c>
      <c r="J466" s="17">
        <f t="shared" ca="1" si="54"/>
        <v>0</v>
      </c>
      <c r="K466" s="24">
        <f t="shared" ca="1" si="55"/>
        <v>-1</v>
      </c>
      <c r="L466" s="17">
        <f t="shared" ca="1" si="56"/>
        <v>-1</v>
      </c>
      <c r="N466" s="24" t="str">
        <f ca="1">IF(AND(L466=1,L465&lt;&gt;1),MAX($N$8:N465)+1,"")</f>
        <v/>
      </c>
      <c r="O466" s="24" t="str">
        <f ca="1">IF(AND(L466&lt;&gt;1,L465=1),MAX($O$8:O465)+1,"")</f>
        <v/>
      </c>
      <c r="P466" s="17" t="str">
        <f ca="1">IF(AND(L466=-1,L465&lt;&gt;-1),MAX($P$8:P465)+1,"")</f>
        <v/>
      </c>
      <c r="Q466" s="24" t="str">
        <f ca="1">IF(AND(L466&lt;&gt;-1,L465=-1),MAX($Q$8:Q465)+1,"")</f>
        <v/>
      </c>
    </row>
    <row r="467" spans="1:17" x14ac:dyDescent="0.3">
      <c r="A467" s="3">
        <v>40864</v>
      </c>
      <c r="B467" s="9">
        <v>9.7810100000000002</v>
      </c>
      <c r="C467" s="9">
        <v>8.2638250000000006</v>
      </c>
      <c r="E467" s="14">
        <f t="shared" si="53"/>
        <v>1.1835935538325169</v>
      </c>
      <c r="F467" s="18">
        <f t="shared" ca="1" si="52"/>
        <v>-1.3007113200934168</v>
      </c>
      <c r="G467" s="15">
        <f t="shared" ca="1" si="50"/>
        <v>1.2162224031075228</v>
      </c>
      <c r="H467" s="15">
        <f t="shared" ca="1" si="51"/>
        <v>2.5085388872192318E-2</v>
      </c>
      <c r="J467" s="17">
        <f t="shared" ca="1" si="54"/>
        <v>0</v>
      </c>
      <c r="K467" s="24">
        <f t="shared" ca="1" si="55"/>
        <v>-1</v>
      </c>
      <c r="L467" s="17">
        <f t="shared" ca="1" si="56"/>
        <v>-1</v>
      </c>
      <c r="N467" s="24" t="str">
        <f ca="1">IF(AND(L467=1,L466&lt;&gt;1),MAX($N$8:N466)+1,"")</f>
        <v/>
      </c>
      <c r="O467" s="24" t="str">
        <f ca="1">IF(AND(L467&lt;&gt;1,L466=1),MAX($O$8:O466)+1,"")</f>
        <v/>
      </c>
      <c r="P467" s="17" t="str">
        <f ca="1">IF(AND(L467=-1,L466&lt;&gt;-1),MAX($P$8:P466)+1,"")</f>
        <v/>
      </c>
      <c r="Q467" s="24" t="str">
        <f ca="1">IF(AND(L467&lt;&gt;-1,L466=-1),MAX($Q$8:Q466)+1,"")</f>
        <v/>
      </c>
    </row>
    <row r="468" spans="1:17" x14ac:dyDescent="0.3">
      <c r="A468" s="3">
        <v>40865</v>
      </c>
      <c r="B468" s="9">
        <v>9.6323290000000004</v>
      </c>
      <c r="C468" s="9">
        <v>8.1122910000000008</v>
      </c>
      <c r="E468" s="14">
        <f t="shared" si="53"/>
        <v>1.1873746886052288</v>
      </c>
      <c r="F468" s="18">
        <f t="shared" ca="1" si="52"/>
        <v>-1.0538246081490785</v>
      </c>
      <c r="G468" s="15">
        <f t="shared" ca="1" si="50"/>
        <v>1.2134410012030268</v>
      </c>
      <c r="H468" s="15">
        <f t="shared" ca="1" si="51"/>
        <v>2.4734962911504302E-2</v>
      </c>
      <c r="J468" s="17">
        <f t="shared" ca="1" si="54"/>
        <v>0</v>
      </c>
      <c r="K468" s="24">
        <f t="shared" ca="1" si="55"/>
        <v>-1</v>
      </c>
      <c r="L468" s="17">
        <f t="shared" ca="1" si="56"/>
        <v>-1</v>
      </c>
      <c r="N468" s="24" t="str">
        <f ca="1">IF(AND(L468=1,L467&lt;&gt;1),MAX($N$8:N467)+1,"")</f>
        <v/>
      </c>
      <c r="O468" s="24" t="str">
        <f ca="1">IF(AND(L468&lt;&gt;1,L467=1),MAX($O$8:O467)+1,"")</f>
        <v/>
      </c>
      <c r="P468" s="17" t="str">
        <f ca="1">IF(AND(L468=-1,L467&lt;&gt;-1),MAX($P$8:P467)+1,"")</f>
        <v/>
      </c>
      <c r="Q468" s="24" t="str">
        <f ca="1">IF(AND(L468&lt;&gt;-1,L467=-1),MAX($Q$8:Q467)+1,"")</f>
        <v/>
      </c>
    </row>
    <row r="469" spans="1:17" x14ac:dyDescent="0.3">
      <c r="A469" s="3">
        <v>40868</v>
      </c>
      <c r="B469" s="9">
        <v>9.4931090000000005</v>
      </c>
      <c r="C469" s="9">
        <v>7.9607640000000002</v>
      </c>
      <c r="E469" s="14">
        <f t="shared" si="53"/>
        <v>1.1924871783662976</v>
      </c>
      <c r="F469" s="18">
        <f t="shared" ca="1" si="52"/>
        <v>-0.77370105070262496</v>
      </c>
      <c r="G469" s="15">
        <f t="shared" ca="1" si="50"/>
        <v>1.210710365752278</v>
      </c>
      <c r="H469" s="15">
        <f t="shared" ca="1" si="51"/>
        <v>2.3553266949077133E-2</v>
      </c>
      <c r="J469" s="17">
        <f t="shared" ca="1" si="54"/>
        <v>0</v>
      </c>
      <c r="K469" s="24">
        <f t="shared" ca="1" si="55"/>
        <v>-1</v>
      </c>
      <c r="L469" s="17">
        <f t="shared" ca="1" si="56"/>
        <v>-1</v>
      </c>
      <c r="N469" s="24" t="str">
        <f ca="1">IF(AND(L469=1,L468&lt;&gt;1),MAX($N$8:N468)+1,"")</f>
        <v/>
      </c>
      <c r="O469" s="24" t="str">
        <f ca="1">IF(AND(L469&lt;&gt;1,L468=1),MAX($O$8:O468)+1,"")</f>
        <v/>
      </c>
      <c r="P469" s="17" t="str">
        <f ca="1">IF(AND(L469=-1,L468&lt;&gt;-1),MAX($P$8:P468)+1,"")</f>
        <v/>
      </c>
      <c r="Q469" s="24" t="str">
        <f ca="1">IF(AND(L469&lt;&gt;-1,L468=-1),MAX($Q$8:Q468)+1,"")</f>
        <v/>
      </c>
    </row>
    <row r="470" spans="1:17" x14ac:dyDescent="0.3">
      <c r="A470" s="3">
        <v>40869</v>
      </c>
      <c r="B470" s="9">
        <v>9.4678260000000005</v>
      </c>
      <c r="C470" s="9">
        <v>7.8506260000000001</v>
      </c>
      <c r="E470" s="14">
        <f t="shared" si="53"/>
        <v>1.2059963116317094</v>
      </c>
      <c r="F470" s="18">
        <f t="shared" ca="1" si="52"/>
        <v>-0.10938953052276826</v>
      </c>
      <c r="G470" s="15">
        <f t="shared" ca="1" si="50"/>
        <v>1.2083012419118517</v>
      </c>
      <c r="H470" s="15">
        <f t="shared" ca="1" si="51"/>
        <v>2.1070849002890548E-2</v>
      </c>
      <c r="J470" s="17">
        <f t="shared" ca="1" si="54"/>
        <v>0</v>
      </c>
      <c r="K470" s="24">
        <f t="shared" ca="1" si="55"/>
        <v>-1</v>
      </c>
      <c r="L470" s="17">
        <f t="shared" ca="1" si="56"/>
        <v>-1</v>
      </c>
      <c r="N470" s="24" t="str">
        <f ca="1">IF(AND(L470=1,L469&lt;&gt;1),MAX($N$8:N469)+1,"")</f>
        <v/>
      </c>
      <c r="O470" s="24" t="str">
        <f ca="1">IF(AND(L470&lt;&gt;1,L469=1),MAX($O$8:O469)+1,"")</f>
        <v/>
      </c>
      <c r="P470" s="17" t="str">
        <f ca="1">IF(AND(L470=-1,L469&lt;&gt;-1),MAX($P$8:P469)+1,"")</f>
        <v/>
      </c>
      <c r="Q470" s="24" t="str">
        <f ca="1">IF(AND(L470&lt;&gt;-1,L469=-1),MAX($Q$8:Q469)+1,"")</f>
        <v/>
      </c>
    </row>
    <row r="471" spans="1:17" x14ac:dyDescent="0.3">
      <c r="A471" s="3">
        <v>40870</v>
      </c>
      <c r="B471" s="9">
        <v>9.3507639999999999</v>
      </c>
      <c r="C471" s="9">
        <v>7.7211379999999998</v>
      </c>
      <c r="E471" s="14">
        <f t="shared" si="53"/>
        <v>1.2110603385148666</v>
      </c>
      <c r="F471" s="18">
        <f t="shared" ca="1" si="52"/>
        <v>0.21476410157778963</v>
      </c>
      <c r="G471" s="15">
        <f t="shared" ca="1" si="50"/>
        <v>1.2068374846719172</v>
      </c>
      <c r="H471" s="15">
        <f t="shared" ca="1" si="51"/>
        <v>1.9662754677926678E-2</v>
      </c>
      <c r="J471" s="17">
        <f t="shared" ca="1" si="54"/>
        <v>0</v>
      </c>
      <c r="K471" s="24">
        <f t="shared" ca="1" si="55"/>
        <v>0</v>
      </c>
      <c r="L471" s="17">
        <f t="shared" ca="1" si="56"/>
        <v>0</v>
      </c>
      <c r="N471" s="24" t="str">
        <f ca="1">IF(AND(L471=1,L470&lt;&gt;1),MAX($N$8:N470)+1,"")</f>
        <v/>
      </c>
      <c r="O471" s="24" t="str">
        <f ca="1">IF(AND(L471&lt;&gt;1,L470=1),MAX($O$8:O470)+1,"")</f>
        <v/>
      </c>
      <c r="P471" s="17" t="str">
        <f ca="1">IF(AND(L471=-1,L470&lt;&gt;-1),MAX($P$8:P470)+1,"")</f>
        <v/>
      </c>
      <c r="Q471" s="24">
        <f ca="1">IF(AND(L471&lt;&gt;-1,L470=-1),MAX($Q$8:Q470)+1,"")</f>
        <v>17</v>
      </c>
    </row>
    <row r="472" spans="1:17" x14ac:dyDescent="0.3">
      <c r="A472" s="3">
        <v>40871</v>
      </c>
      <c r="B472" s="9">
        <v>9.3887669999999996</v>
      </c>
      <c r="C472" s="9">
        <v>7.7404320000000002</v>
      </c>
      <c r="E472" s="14">
        <f t="shared" si="53"/>
        <v>1.2129512926410309</v>
      </c>
      <c r="F472" s="18">
        <f t="shared" ca="1" si="52"/>
        <v>0.40416370058675066</v>
      </c>
      <c r="G472" s="15">
        <f t="shared" ca="1" si="50"/>
        <v>1.2055660630734353</v>
      </c>
      <c r="H472" s="15">
        <f t="shared" ca="1" si="51"/>
        <v>1.8272867050835979E-2</v>
      </c>
      <c r="J472" s="17">
        <f t="shared" ca="1" si="54"/>
        <v>0</v>
      </c>
      <c r="K472" s="24">
        <f t="shared" ca="1" si="55"/>
        <v>0</v>
      </c>
      <c r="L472" s="17">
        <f t="shared" ca="1" si="56"/>
        <v>0</v>
      </c>
      <c r="N472" s="24" t="str">
        <f ca="1">IF(AND(L472=1,L471&lt;&gt;1),MAX($N$8:N471)+1,"")</f>
        <v/>
      </c>
      <c r="O472" s="24" t="str">
        <f ca="1">IF(AND(L472&lt;&gt;1,L471=1),MAX($O$8:O471)+1,"")</f>
        <v/>
      </c>
      <c r="P472" s="17" t="str">
        <f ca="1">IF(AND(L472=-1,L471&lt;&gt;-1),MAX($P$8:P471)+1,"")</f>
        <v/>
      </c>
      <c r="Q472" s="24" t="str">
        <f ca="1">IF(AND(L472&lt;&gt;-1,L471=-1),MAX($Q$8:Q471)+1,"")</f>
        <v/>
      </c>
    </row>
    <row r="473" spans="1:17" x14ac:dyDescent="0.3">
      <c r="A473" s="3">
        <v>40872</v>
      </c>
      <c r="B473" s="9">
        <v>9.3349930000000008</v>
      </c>
      <c r="C473" s="9">
        <v>7.7128990000000002</v>
      </c>
      <c r="E473" s="14">
        <f t="shared" si="53"/>
        <v>1.2103092494793464</v>
      </c>
      <c r="F473" s="18">
        <f t="shared" ca="1" si="52"/>
        <v>0.35852918824044877</v>
      </c>
      <c r="G473" s="15">
        <f t="shared" ca="1" si="50"/>
        <v>1.2042747249223906</v>
      </c>
      <c r="H473" s="15">
        <f t="shared" ca="1" si="51"/>
        <v>1.68313341141661E-2</v>
      </c>
      <c r="J473" s="17">
        <f t="shared" ca="1" si="54"/>
        <v>0</v>
      </c>
      <c r="K473" s="24">
        <f t="shared" ca="1" si="55"/>
        <v>0</v>
      </c>
      <c r="L473" s="17">
        <f t="shared" ca="1" si="56"/>
        <v>0</v>
      </c>
      <c r="N473" s="24" t="str">
        <f ca="1">IF(AND(L473=1,L472&lt;&gt;1),MAX($N$8:N472)+1,"")</f>
        <v/>
      </c>
      <c r="O473" s="24" t="str">
        <f ca="1">IF(AND(L473&lt;&gt;1,L472=1),MAX($O$8:O472)+1,"")</f>
        <v/>
      </c>
      <c r="P473" s="17" t="str">
        <f ca="1">IF(AND(L473=-1,L472&lt;&gt;-1),MAX($P$8:P472)+1,"")</f>
        <v/>
      </c>
      <c r="Q473" s="24" t="str">
        <f ca="1">IF(AND(L473&lt;&gt;-1,L472=-1),MAX($Q$8:Q472)+1,"")</f>
        <v/>
      </c>
    </row>
    <row r="474" spans="1:17" x14ac:dyDescent="0.3">
      <c r="A474" s="3">
        <v>40875</v>
      </c>
      <c r="B474" s="9">
        <v>9.5975260000000002</v>
      </c>
      <c r="C474" s="9">
        <v>7.8671129999999998</v>
      </c>
      <c r="E474" s="14">
        <f t="shared" si="53"/>
        <v>1.2199552745714979</v>
      </c>
      <c r="F474" s="18">
        <f t="shared" ca="1" si="52"/>
        <v>1.0676376134286365</v>
      </c>
      <c r="G474" s="15">
        <f t="shared" ca="1" si="50"/>
        <v>1.2034218424573526</v>
      </c>
      <c r="H474" s="15">
        <f t="shared" ca="1" si="51"/>
        <v>1.5485996283935155E-2</v>
      </c>
      <c r="J474" s="17">
        <f t="shared" ca="1" si="54"/>
        <v>1</v>
      </c>
      <c r="K474" s="24">
        <f t="shared" ca="1" si="55"/>
        <v>0</v>
      </c>
      <c r="L474" s="17">
        <f t="shared" ca="1" si="56"/>
        <v>1</v>
      </c>
      <c r="N474" s="24">
        <f ca="1">IF(AND(L474=1,L473&lt;&gt;1),MAX($N$8:N473)+1,"")</f>
        <v>15</v>
      </c>
      <c r="O474" s="24" t="str">
        <f ca="1">IF(AND(L474&lt;&gt;1,L473=1),MAX($O$8:O473)+1,"")</f>
        <v/>
      </c>
      <c r="P474" s="17" t="str">
        <f ca="1">IF(AND(L474=-1,L473&lt;&gt;-1),MAX($P$8:P473)+1,"")</f>
        <v/>
      </c>
      <c r="Q474" s="24" t="str">
        <f ca="1">IF(AND(L474&lt;&gt;-1,L473=-1),MAX($Q$8:Q473)+1,"")</f>
        <v/>
      </c>
    </row>
    <row r="475" spans="1:17" x14ac:dyDescent="0.3">
      <c r="A475" s="3">
        <v>40876</v>
      </c>
      <c r="B475" s="9">
        <v>9.5215960000000006</v>
      </c>
      <c r="C475" s="9">
        <v>7.8065540000000002</v>
      </c>
      <c r="E475" s="14">
        <f t="shared" si="53"/>
        <v>1.2196925813873829</v>
      </c>
      <c r="F475" s="18">
        <f t="shared" ca="1" si="52"/>
        <v>1.2287699050169691</v>
      </c>
      <c r="G475" s="15">
        <f t="shared" ca="1" si="50"/>
        <v>1.2025570193930373</v>
      </c>
      <c r="H475" s="15">
        <f t="shared" ca="1" si="51"/>
        <v>1.3945297589387973E-2</v>
      </c>
      <c r="J475" s="17">
        <f t="shared" ca="1" si="54"/>
        <v>1</v>
      </c>
      <c r="K475" s="24">
        <f t="shared" ca="1" si="55"/>
        <v>0</v>
      </c>
      <c r="L475" s="17">
        <f t="shared" ca="1" si="56"/>
        <v>1</v>
      </c>
      <c r="N475" s="24" t="str">
        <f ca="1">IF(AND(L475=1,L474&lt;&gt;1),MAX($N$8:N474)+1,"")</f>
        <v/>
      </c>
      <c r="O475" s="24" t="str">
        <f ca="1">IF(AND(L475&lt;&gt;1,L474=1),MAX($O$8:O474)+1,"")</f>
        <v/>
      </c>
      <c r="P475" s="17" t="str">
        <f ca="1">IF(AND(L475=-1,L474&lt;&gt;-1),MAX($P$8:P474)+1,"")</f>
        <v/>
      </c>
      <c r="Q475" s="24" t="str">
        <f ca="1">IF(AND(L475&lt;&gt;-1,L474=-1),MAX($Q$8:Q474)+1,"")</f>
        <v/>
      </c>
    </row>
    <row r="476" spans="1:17" x14ac:dyDescent="0.3">
      <c r="A476" s="3">
        <v>40877</v>
      </c>
      <c r="B476" s="9">
        <v>10.090983</v>
      </c>
      <c r="C476" s="9">
        <v>8.1618680000000001</v>
      </c>
      <c r="E476" s="14">
        <f t="shared" si="53"/>
        <v>1.2363570447353474</v>
      </c>
      <c r="F476" s="18">
        <f t="shared" ca="1" si="52"/>
        <v>2.4798869383740736</v>
      </c>
      <c r="G476" s="15">
        <f t="shared" ca="1" si="50"/>
        <v>1.2024496719354472</v>
      </c>
      <c r="H476" s="15">
        <f t="shared" ca="1" si="51"/>
        <v>1.3672951083056797E-2</v>
      </c>
      <c r="J476" s="17">
        <f t="shared" ca="1" si="54"/>
        <v>1</v>
      </c>
      <c r="K476" s="24">
        <f t="shared" ca="1" si="55"/>
        <v>0</v>
      </c>
      <c r="L476" s="17">
        <f t="shared" ca="1" si="56"/>
        <v>1</v>
      </c>
      <c r="N476" s="24" t="str">
        <f ca="1">IF(AND(L476=1,L475&lt;&gt;1),MAX($N$8:N475)+1,"")</f>
        <v/>
      </c>
      <c r="O476" s="24" t="str">
        <f ca="1">IF(AND(L476&lt;&gt;1,L475=1),MAX($O$8:O475)+1,"")</f>
        <v/>
      </c>
      <c r="P476" s="17" t="str">
        <f ca="1">IF(AND(L476=-1,L475&lt;&gt;-1),MAX($P$8:P475)+1,"")</f>
        <v/>
      </c>
      <c r="Q476" s="24" t="str">
        <f ca="1">IF(AND(L476&lt;&gt;-1,L475=-1),MAX($Q$8:Q475)+1,"")</f>
        <v/>
      </c>
    </row>
    <row r="477" spans="1:17" x14ac:dyDescent="0.3">
      <c r="A477" s="3">
        <v>40878</v>
      </c>
      <c r="B477" s="9">
        <v>10.495085</v>
      </c>
      <c r="C477" s="9">
        <v>8.4456340000000001</v>
      </c>
      <c r="E477" s="14">
        <f t="shared" si="53"/>
        <v>1.242663961047803</v>
      </c>
      <c r="F477" s="18">
        <f t="shared" ca="1" si="52"/>
        <v>2.4175212651637961</v>
      </c>
      <c r="G477" s="15">
        <f t="shared" ca="1" si="50"/>
        <v>1.2039748705036304</v>
      </c>
      <c r="H477" s="15">
        <f t="shared" ca="1" si="51"/>
        <v>1.6003619534470256E-2</v>
      </c>
      <c r="J477" s="17">
        <f t="shared" ca="1" si="54"/>
        <v>1</v>
      </c>
      <c r="K477" s="24">
        <f t="shared" ca="1" si="55"/>
        <v>0</v>
      </c>
      <c r="L477" s="17">
        <f t="shared" ca="1" si="56"/>
        <v>1</v>
      </c>
      <c r="N477" s="24" t="str">
        <f ca="1">IF(AND(L477=1,L476&lt;&gt;1),MAX($N$8:N476)+1,"")</f>
        <v/>
      </c>
      <c r="O477" s="24" t="str">
        <f ca="1">IF(AND(L477&lt;&gt;1,L476=1),MAX($O$8:O476)+1,"")</f>
        <v/>
      </c>
      <c r="P477" s="17" t="str">
        <f ca="1">IF(AND(L477=-1,L476&lt;&gt;-1),MAX($P$8:P476)+1,"")</f>
        <v/>
      </c>
      <c r="Q477" s="24" t="str">
        <f ca="1">IF(AND(L477&lt;&gt;-1,L476=-1),MAX($Q$8:Q476)+1,"")</f>
        <v/>
      </c>
    </row>
    <row r="478" spans="1:17" x14ac:dyDescent="0.3">
      <c r="A478" s="3">
        <v>40879</v>
      </c>
      <c r="B478" s="9">
        <v>10.533048000000001</v>
      </c>
      <c r="C478" s="9">
        <v>8.4668700000000001</v>
      </c>
      <c r="E478" s="14">
        <f t="shared" si="53"/>
        <v>1.2440309110686714</v>
      </c>
      <c r="F478" s="18">
        <f t="shared" ca="1" si="52"/>
        <v>2.1126982375713985</v>
      </c>
      <c r="G478" s="15">
        <f t="shared" ca="1" si="50"/>
        <v>1.2060033640448447</v>
      </c>
      <c r="H478" s="15">
        <f t="shared" ca="1" si="51"/>
        <v>1.7999516612244807E-2</v>
      </c>
      <c r="J478" s="17">
        <f t="shared" ca="1" si="54"/>
        <v>1</v>
      </c>
      <c r="K478" s="24">
        <f t="shared" ca="1" si="55"/>
        <v>0</v>
      </c>
      <c r="L478" s="17">
        <f t="shared" ca="1" si="56"/>
        <v>1</v>
      </c>
      <c r="N478" s="24" t="str">
        <f ca="1">IF(AND(L478=1,L477&lt;&gt;1),MAX($N$8:N477)+1,"")</f>
        <v/>
      </c>
      <c r="O478" s="24" t="str">
        <f ca="1">IF(AND(L478&lt;&gt;1,L477=1),MAX($O$8:O477)+1,"")</f>
        <v/>
      </c>
      <c r="P478" s="17" t="str">
        <f ca="1">IF(AND(L478=-1,L477&lt;&gt;-1),MAX($P$8:P477)+1,"")</f>
        <v/>
      </c>
      <c r="Q478" s="24" t="str">
        <f ca="1">IF(AND(L478&lt;&gt;-1,L477=-1),MAX($Q$8:Q477)+1,"")</f>
        <v/>
      </c>
    </row>
    <row r="479" spans="1:17" x14ac:dyDescent="0.3">
      <c r="A479" s="3">
        <v>40882</v>
      </c>
      <c r="B479" s="9">
        <v>10.700887</v>
      </c>
      <c r="C479" s="9">
        <v>8.5688859999999991</v>
      </c>
      <c r="E479" s="14">
        <f t="shared" si="53"/>
        <v>1.2488072545252675</v>
      </c>
      <c r="F479" s="18">
        <f t="shared" ca="1" si="52"/>
        <v>2.0282246925605016</v>
      </c>
      <c r="G479" s="15">
        <f t="shared" ref="G479:G542" ca="1" si="57">IF(ISNUMBER(E479),IF(ROW(E479)&gt;$J$1,AVERAGE(OFFSET(E479,0,0,-$J$1)),""),"")</f>
        <v>1.2081602007635235</v>
      </c>
      <c r="H479" s="15">
        <f t="shared" ref="H479:H542" ca="1" si="58">IF(ISNUMBER(E479),IF(ROW(E479)&gt;$J$1,_xlfn.STDEV.P(OFFSET(E479,0,0,-$J$1)),""),"")</f>
        <v>2.0040705505083752E-2</v>
      </c>
      <c r="J479" s="17">
        <f t="shared" ca="1" si="54"/>
        <v>1</v>
      </c>
      <c r="K479" s="24">
        <f t="shared" ca="1" si="55"/>
        <v>0</v>
      </c>
      <c r="L479" s="17">
        <f t="shared" ca="1" si="56"/>
        <v>1</v>
      </c>
      <c r="N479" s="24" t="str">
        <f ca="1">IF(AND(L479=1,L478&lt;&gt;1),MAX($N$8:N478)+1,"")</f>
        <v/>
      </c>
      <c r="O479" s="24" t="str">
        <f ca="1">IF(AND(L479&lt;&gt;1,L478=1),MAX($O$8:O478)+1,"")</f>
        <v/>
      </c>
      <c r="P479" s="17" t="str">
        <f ca="1">IF(AND(L479=-1,L478&lt;&gt;-1),MAX($P$8:P478)+1,"")</f>
        <v/>
      </c>
      <c r="Q479" s="24" t="str">
        <f ca="1">IF(AND(L479&lt;&gt;-1,L478=-1),MAX($Q$8:Q478)+1,"")</f>
        <v/>
      </c>
    </row>
    <row r="480" spans="1:17" x14ac:dyDescent="0.3">
      <c r="A480" s="3">
        <v>40883</v>
      </c>
      <c r="B480" s="9">
        <v>10.748376</v>
      </c>
      <c r="C480" s="9">
        <v>8.6213300000000004</v>
      </c>
      <c r="E480" s="14">
        <f t="shared" si="53"/>
        <v>1.2467190097119585</v>
      </c>
      <c r="F480" s="18">
        <f t="shared" ca="1" si="52"/>
        <v>1.7010803610011986</v>
      </c>
      <c r="G480" s="15">
        <f t="shared" ca="1" si="57"/>
        <v>1.2100162074818246</v>
      </c>
      <c r="H480" s="15">
        <f t="shared" ca="1" si="58"/>
        <v>2.1576171867936832E-2</v>
      </c>
      <c r="J480" s="17">
        <f t="shared" ca="1" si="54"/>
        <v>1</v>
      </c>
      <c r="K480" s="24">
        <f t="shared" ca="1" si="55"/>
        <v>0</v>
      </c>
      <c r="L480" s="17">
        <f t="shared" ca="1" si="56"/>
        <v>1</v>
      </c>
      <c r="N480" s="24" t="str">
        <f ca="1">IF(AND(L480=1,L479&lt;&gt;1),MAX($N$8:N479)+1,"")</f>
        <v/>
      </c>
      <c r="O480" s="24" t="str">
        <f ca="1">IF(AND(L480&lt;&gt;1,L479=1),MAX($O$8:O479)+1,"")</f>
        <v/>
      </c>
      <c r="P480" s="17" t="str">
        <f ca="1">IF(AND(L480=-1,L479&lt;&gt;-1),MAX($P$8:P479)+1,"")</f>
        <v/>
      </c>
      <c r="Q480" s="24" t="str">
        <f ca="1">IF(AND(L480&lt;&gt;-1,L479=-1),MAX($Q$8:Q479)+1,"")</f>
        <v/>
      </c>
    </row>
    <row r="481" spans="1:17" x14ac:dyDescent="0.3">
      <c r="A481" s="3">
        <v>40884</v>
      </c>
      <c r="B481" s="9">
        <v>10.732519999999999</v>
      </c>
      <c r="C481" s="9">
        <v>8.5496289999999995</v>
      </c>
      <c r="E481" s="14">
        <f t="shared" si="53"/>
        <v>1.2553199676851474</v>
      </c>
      <c r="F481" s="18">
        <f t="shared" ca="1" si="52"/>
        <v>1.8428750406296917</v>
      </c>
      <c r="G481" s="15">
        <f t="shared" ca="1" si="57"/>
        <v>1.2119179692410542</v>
      </c>
      <c r="H481" s="15">
        <f t="shared" ca="1" si="58"/>
        <v>2.3551243294967619E-2</v>
      </c>
      <c r="J481" s="17">
        <f t="shared" ca="1" si="54"/>
        <v>1</v>
      </c>
      <c r="K481" s="24">
        <f t="shared" ca="1" si="55"/>
        <v>0</v>
      </c>
      <c r="L481" s="17">
        <f t="shared" ca="1" si="56"/>
        <v>1</v>
      </c>
      <c r="N481" s="24" t="str">
        <f ca="1">IF(AND(L481=1,L480&lt;&gt;1),MAX($N$8:N480)+1,"")</f>
        <v/>
      </c>
      <c r="O481" s="24" t="str">
        <f ca="1">IF(AND(L481&lt;&gt;1,L480=1),MAX($O$8:O480)+1,"")</f>
        <v/>
      </c>
      <c r="P481" s="17" t="str">
        <f ca="1">IF(AND(L481=-1,L480&lt;&gt;-1),MAX($P$8:P480)+1,"")</f>
        <v/>
      </c>
      <c r="Q481" s="24" t="str">
        <f ca="1">IF(AND(L481&lt;&gt;-1,L480=-1),MAX($Q$8:Q480)+1,"")</f>
        <v/>
      </c>
    </row>
    <row r="482" spans="1:17" x14ac:dyDescent="0.3">
      <c r="A482" s="3">
        <v>40885</v>
      </c>
      <c r="B482" s="9">
        <v>10.710347000000001</v>
      </c>
      <c r="C482" s="9">
        <v>8.5496289999999995</v>
      </c>
      <c r="E482" s="14">
        <f t="shared" si="53"/>
        <v>1.2527265218174966</v>
      </c>
      <c r="F482" s="18">
        <f t="shared" ca="1" si="52"/>
        <v>1.5499717706488301</v>
      </c>
      <c r="G482" s="15">
        <f t="shared" ca="1" si="57"/>
        <v>1.2139669527803847</v>
      </c>
      <c r="H482" s="15">
        <f t="shared" ca="1" si="58"/>
        <v>2.5006629005176532E-2</v>
      </c>
      <c r="J482" s="17">
        <f t="shared" ca="1" si="54"/>
        <v>1</v>
      </c>
      <c r="K482" s="24">
        <f t="shared" ca="1" si="55"/>
        <v>0</v>
      </c>
      <c r="L482" s="17">
        <f t="shared" ca="1" si="56"/>
        <v>1</v>
      </c>
      <c r="N482" s="24" t="str">
        <f ca="1">IF(AND(L482=1,L481&lt;&gt;1),MAX($N$8:N481)+1,"")</f>
        <v/>
      </c>
      <c r="O482" s="24" t="str">
        <f ca="1">IF(AND(L482&lt;&gt;1,L481=1),MAX($O$8:O481)+1,"")</f>
        <v/>
      </c>
      <c r="P482" s="17" t="str">
        <f ca="1">IF(AND(L482=-1,L481&lt;&gt;-1),MAX($P$8:P481)+1,"")</f>
        <v/>
      </c>
      <c r="Q482" s="24" t="str">
        <f ca="1">IF(AND(L482&lt;&gt;-1,L481=-1),MAX($Q$8:Q481)+1,"")</f>
        <v/>
      </c>
    </row>
    <row r="483" spans="1:17" x14ac:dyDescent="0.3">
      <c r="A483" s="3">
        <v>40886</v>
      </c>
      <c r="B483" s="9">
        <v>10.827503</v>
      </c>
      <c r="C483" s="9">
        <v>8.6130110000000002</v>
      </c>
      <c r="E483" s="14">
        <f t="shared" si="53"/>
        <v>1.2571100861243529</v>
      </c>
      <c r="F483" s="18">
        <f t="shared" ca="1" si="52"/>
        <v>1.5388752289614698</v>
      </c>
      <c r="G483" s="15">
        <f t="shared" ca="1" si="57"/>
        <v>1.2166506761283065</v>
      </c>
      <c r="H483" s="15">
        <f t="shared" ca="1" si="58"/>
        <v>2.6291546731407871E-2</v>
      </c>
      <c r="J483" s="17">
        <f t="shared" ca="1" si="54"/>
        <v>1</v>
      </c>
      <c r="K483" s="24">
        <f t="shared" ca="1" si="55"/>
        <v>0</v>
      </c>
      <c r="L483" s="17">
        <f t="shared" ca="1" si="56"/>
        <v>1</v>
      </c>
      <c r="N483" s="24" t="str">
        <f ca="1">IF(AND(L483=1,L482&lt;&gt;1),MAX($N$8:N482)+1,"")</f>
        <v/>
      </c>
      <c r="O483" s="24" t="str">
        <f ca="1">IF(AND(L483&lt;&gt;1,L482=1),MAX($O$8:O482)+1,"")</f>
        <v/>
      </c>
      <c r="P483" s="17" t="str">
        <f ca="1">IF(AND(L483=-1,L482&lt;&gt;-1),MAX($P$8:P482)+1,"")</f>
        <v/>
      </c>
      <c r="Q483" s="24" t="str">
        <f ca="1">IF(AND(L483&lt;&gt;-1,L482=-1),MAX($Q$8:Q482)+1,"")</f>
        <v/>
      </c>
    </row>
    <row r="484" spans="1:17" x14ac:dyDescent="0.3">
      <c r="A484" s="3">
        <v>40889</v>
      </c>
      <c r="B484" s="9">
        <v>10.827503</v>
      </c>
      <c r="C484" s="9">
        <v>8.6130110000000002</v>
      </c>
      <c r="E484" s="14">
        <f t="shared" si="53"/>
        <v>1.2571100861243529</v>
      </c>
      <c r="F484" s="18">
        <f t="shared" ca="1" si="52"/>
        <v>1.3935098898889533</v>
      </c>
      <c r="G484" s="15">
        <f t="shared" ca="1" si="57"/>
        <v>1.2198418268068738</v>
      </c>
      <c r="H484" s="15">
        <f t="shared" ca="1" si="58"/>
        <v>2.6744165640940645E-2</v>
      </c>
      <c r="J484" s="17">
        <f t="shared" ca="1" si="54"/>
        <v>1</v>
      </c>
      <c r="K484" s="24">
        <f t="shared" ca="1" si="55"/>
        <v>0</v>
      </c>
      <c r="L484" s="17">
        <f t="shared" ca="1" si="56"/>
        <v>1</v>
      </c>
      <c r="N484" s="24" t="str">
        <f ca="1">IF(AND(L484=1,L483&lt;&gt;1),MAX($N$8:N483)+1,"")</f>
        <v/>
      </c>
      <c r="O484" s="24" t="str">
        <f ca="1">IF(AND(L484&lt;&gt;1,L483=1),MAX($O$8:O483)+1,"")</f>
        <v/>
      </c>
      <c r="P484" s="17" t="str">
        <f ca="1">IF(AND(L484=-1,L483&lt;&gt;-1),MAX($P$8:P483)+1,"")</f>
        <v/>
      </c>
      <c r="Q484" s="24" t="str">
        <f ca="1">IF(AND(L484&lt;&gt;-1,L483=-1),MAX($Q$8:Q483)+1,"")</f>
        <v/>
      </c>
    </row>
    <row r="485" spans="1:17" x14ac:dyDescent="0.3">
      <c r="A485" s="3">
        <v>40890</v>
      </c>
      <c r="B485" s="9">
        <v>10.685040000000001</v>
      </c>
      <c r="C485" s="9">
        <v>8.4889340000000004</v>
      </c>
      <c r="E485" s="14">
        <f t="shared" si="53"/>
        <v>1.2587022116086661</v>
      </c>
      <c r="F485" s="18">
        <f t="shared" ca="1" si="52"/>
        <v>1.3230103473433217</v>
      </c>
      <c r="G485" s="15">
        <f t="shared" ca="1" si="57"/>
        <v>1.223105346825637</v>
      </c>
      <c r="H485" s="15">
        <f t="shared" ca="1" si="58"/>
        <v>2.6905960980962568E-2</v>
      </c>
      <c r="J485" s="17">
        <f t="shared" ca="1" si="54"/>
        <v>1</v>
      </c>
      <c r="K485" s="24">
        <f t="shared" ca="1" si="55"/>
        <v>0</v>
      </c>
      <c r="L485" s="17">
        <f t="shared" ca="1" si="56"/>
        <v>1</v>
      </c>
      <c r="N485" s="24" t="str">
        <f ca="1">IF(AND(L485=1,L484&lt;&gt;1),MAX($N$8:N484)+1,"")</f>
        <v/>
      </c>
      <c r="O485" s="24" t="str">
        <f ca="1">IF(AND(L485&lt;&gt;1,L484=1),MAX($O$8:O484)+1,"")</f>
        <v/>
      </c>
      <c r="P485" s="17" t="str">
        <f ca="1">IF(AND(L485=-1,L484&lt;&gt;-1),MAX($P$8:P484)+1,"")</f>
        <v/>
      </c>
      <c r="Q485" s="24" t="str">
        <f ca="1">IF(AND(L485&lt;&gt;-1,L484=-1),MAX($Q$8:Q484)+1,"")</f>
        <v/>
      </c>
    </row>
    <row r="486" spans="1:17" x14ac:dyDescent="0.3">
      <c r="A486" s="3">
        <v>40891</v>
      </c>
      <c r="B486" s="9">
        <v>10.605912</v>
      </c>
      <c r="C486" s="9">
        <v>8.3841079999999994</v>
      </c>
      <c r="E486" s="14">
        <f t="shared" si="53"/>
        <v>1.2650018344229346</v>
      </c>
      <c r="F486" s="18">
        <f t="shared" ca="1" si="52"/>
        <v>1.4047845908752197</v>
      </c>
      <c r="G486" s="15">
        <f t="shared" ca="1" si="57"/>
        <v>1.2262021832784702</v>
      </c>
      <c r="H486" s="15">
        <f t="shared" ca="1" si="58"/>
        <v>2.7619644603512569E-2</v>
      </c>
      <c r="J486" s="17">
        <f t="shared" ca="1" si="54"/>
        <v>1</v>
      </c>
      <c r="K486" s="24">
        <f t="shared" ca="1" si="55"/>
        <v>0</v>
      </c>
      <c r="L486" s="17">
        <f t="shared" ca="1" si="56"/>
        <v>1</v>
      </c>
      <c r="N486" s="24" t="str">
        <f ca="1">IF(AND(L486=1,L485&lt;&gt;1),MAX($N$8:N485)+1,"")</f>
        <v/>
      </c>
      <c r="O486" s="24" t="str">
        <f ca="1">IF(AND(L486&lt;&gt;1,L485=1),MAX($O$8:O485)+1,"")</f>
        <v/>
      </c>
      <c r="P486" s="17" t="str">
        <f ca="1">IF(AND(L486=-1,L485&lt;&gt;-1),MAX($P$8:P485)+1,"")</f>
        <v/>
      </c>
      <c r="Q486" s="24" t="str">
        <f ca="1">IF(AND(L486&lt;&gt;-1,L485=-1),MAX($Q$8:Q485)+1,"")</f>
        <v/>
      </c>
    </row>
    <row r="487" spans="1:17" x14ac:dyDescent="0.3">
      <c r="A487" s="3">
        <v>40892</v>
      </c>
      <c r="B487" s="9">
        <v>10.447599</v>
      </c>
      <c r="C487" s="9">
        <v>8.1717569999999995</v>
      </c>
      <c r="E487" s="14">
        <f t="shared" si="53"/>
        <v>1.2785009392716893</v>
      </c>
      <c r="F487" s="18">
        <f t="shared" ca="1" si="52"/>
        <v>1.7150525862897601</v>
      </c>
      <c r="G487" s="15">
        <f t="shared" ca="1" si="57"/>
        <v>1.2305679729691263</v>
      </c>
      <c r="H487" s="15">
        <f t="shared" ca="1" si="58"/>
        <v>2.7948394519061476E-2</v>
      </c>
      <c r="J487" s="17">
        <f t="shared" ca="1" si="54"/>
        <v>1</v>
      </c>
      <c r="K487" s="24">
        <f t="shared" ca="1" si="55"/>
        <v>0</v>
      </c>
      <c r="L487" s="17">
        <f t="shared" ca="1" si="56"/>
        <v>1</v>
      </c>
      <c r="N487" s="24" t="str">
        <f ca="1">IF(AND(L487=1,L486&lt;&gt;1),MAX($N$8:N486)+1,"")</f>
        <v/>
      </c>
      <c r="O487" s="24" t="str">
        <f ca="1">IF(AND(L487&lt;&gt;1,L486=1),MAX($O$8:O486)+1,"")</f>
        <v/>
      </c>
      <c r="P487" s="17" t="str">
        <f ca="1">IF(AND(L487=-1,L486&lt;&gt;-1),MAX($P$8:P486)+1,"")</f>
        <v/>
      </c>
      <c r="Q487" s="24" t="str">
        <f ca="1">IF(AND(L487&lt;&gt;-1,L486=-1),MAX($Q$8:Q486)+1,"")</f>
        <v/>
      </c>
    </row>
    <row r="488" spans="1:17" x14ac:dyDescent="0.3">
      <c r="A488" s="3">
        <v>40893</v>
      </c>
      <c r="B488" s="9">
        <v>10.510937999999999</v>
      </c>
      <c r="C488" s="9">
        <v>8.1690059999999995</v>
      </c>
      <c r="E488" s="14">
        <f t="shared" si="53"/>
        <v>1.2866850630297002</v>
      </c>
      <c r="F488" s="18">
        <f t="shared" ca="1" si="52"/>
        <v>1.8074937443196186</v>
      </c>
      <c r="G488" s="15">
        <f t="shared" ca="1" si="57"/>
        <v>1.235143425463785</v>
      </c>
      <c r="H488" s="15">
        <f t="shared" ca="1" si="58"/>
        <v>2.8515527496509631E-2</v>
      </c>
      <c r="J488" s="17">
        <f t="shared" ca="1" si="54"/>
        <v>1</v>
      </c>
      <c r="K488" s="24">
        <f t="shared" ca="1" si="55"/>
        <v>0</v>
      </c>
      <c r="L488" s="17">
        <f t="shared" ca="1" si="56"/>
        <v>1</v>
      </c>
      <c r="N488" s="24" t="str">
        <f ca="1">IF(AND(L488=1,L487&lt;&gt;1),MAX($N$8:N487)+1,"")</f>
        <v/>
      </c>
      <c r="O488" s="24" t="str">
        <f ca="1">IF(AND(L488&lt;&gt;1,L487=1),MAX($O$8:O487)+1,"")</f>
        <v/>
      </c>
      <c r="P488" s="17" t="str">
        <f ca="1">IF(AND(L488=-1,L487&lt;&gt;-1),MAX($P$8:P487)+1,"")</f>
        <v/>
      </c>
      <c r="Q488" s="24" t="str">
        <f ca="1">IF(AND(L488&lt;&gt;-1,L487=-1),MAX($Q$8:Q487)+1,"")</f>
        <v/>
      </c>
    </row>
    <row r="489" spans="1:17" x14ac:dyDescent="0.3">
      <c r="A489" s="3">
        <v>40896</v>
      </c>
      <c r="B489" s="9">
        <v>10.447599</v>
      </c>
      <c r="C489" s="9">
        <v>8.2462070000000001</v>
      </c>
      <c r="E489" s="14">
        <f t="shared" si="53"/>
        <v>1.266958129962054</v>
      </c>
      <c r="F489" s="18">
        <f t="shared" ca="1" si="52"/>
        <v>1.0415602579229979</v>
      </c>
      <c r="G489" s="15">
        <f t="shared" ca="1" si="57"/>
        <v>1.2389327243787638</v>
      </c>
      <c r="H489" s="15">
        <f t="shared" ca="1" si="58"/>
        <v>2.6907137988517762E-2</v>
      </c>
      <c r="J489" s="17">
        <f t="shared" ca="1" si="54"/>
        <v>1</v>
      </c>
      <c r="K489" s="24">
        <f t="shared" ca="1" si="55"/>
        <v>0</v>
      </c>
      <c r="L489" s="17">
        <f t="shared" ca="1" si="56"/>
        <v>1</v>
      </c>
      <c r="N489" s="24" t="str">
        <f ca="1">IF(AND(L489=1,L488&lt;&gt;1),MAX($N$8:N488)+1,"")</f>
        <v/>
      </c>
      <c r="O489" s="24" t="str">
        <f ca="1">IF(AND(L489&lt;&gt;1,L488=1),MAX($O$8:O488)+1,"")</f>
        <v/>
      </c>
      <c r="P489" s="17" t="str">
        <f ca="1">IF(AND(L489=-1,L488&lt;&gt;-1),MAX($P$8:P488)+1,"")</f>
        <v/>
      </c>
      <c r="Q489" s="24" t="str">
        <f ca="1">IF(AND(L489&lt;&gt;-1,L488=-1),MAX($Q$8:Q488)+1,"")</f>
        <v/>
      </c>
    </row>
    <row r="490" spans="1:17" x14ac:dyDescent="0.3">
      <c r="A490" s="3">
        <v>40897</v>
      </c>
      <c r="B490" s="9">
        <v>10.700887</v>
      </c>
      <c r="C490" s="9">
        <v>8.4668700000000001</v>
      </c>
      <c r="E490" s="14">
        <f t="shared" si="53"/>
        <v>1.2638539389408365</v>
      </c>
      <c r="F490" s="18">
        <f t="shared" ca="1" si="52"/>
        <v>0.86172636641358447</v>
      </c>
      <c r="G490" s="15">
        <f t="shared" ca="1" si="57"/>
        <v>1.2424090539394734</v>
      </c>
      <c r="H490" s="15">
        <f t="shared" ca="1" si="58"/>
        <v>2.4885956653055055E-2</v>
      </c>
      <c r="J490" s="17">
        <f t="shared" ca="1" si="54"/>
        <v>1</v>
      </c>
      <c r="K490" s="24">
        <f t="shared" ca="1" si="55"/>
        <v>0</v>
      </c>
      <c r="L490" s="17">
        <f t="shared" ca="1" si="56"/>
        <v>1</v>
      </c>
      <c r="N490" s="24" t="str">
        <f ca="1">IF(AND(L490=1,L489&lt;&gt;1),MAX($N$8:N489)+1,"")</f>
        <v/>
      </c>
      <c r="O490" s="24" t="str">
        <f ca="1">IF(AND(L490&lt;&gt;1,L489=1),MAX($O$8:O489)+1,"")</f>
        <v/>
      </c>
      <c r="P490" s="17" t="str">
        <f ca="1">IF(AND(L490=-1,L489&lt;&gt;-1),MAX($P$8:P489)+1,"")</f>
        <v/>
      </c>
      <c r="Q490" s="24" t="str">
        <f ca="1">IF(AND(L490&lt;&gt;-1,L489=-1),MAX($Q$8:Q489)+1,"")</f>
        <v/>
      </c>
    </row>
    <row r="491" spans="1:17" x14ac:dyDescent="0.3">
      <c r="A491" s="3">
        <v>40898</v>
      </c>
      <c r="B491" s="9">
        <v>10.700887</v>
      </c>
      <c r="C491" s="9">
        <v>8.4393030000000007</v>
      </c>
      <c r="E491" s="14">
        <f t="shared" si="53"/>
        <v>1.2679823203409095</v>
      </c>
      <c r="F491" s="18">
        <f t="shared" ca="1" si="52"/>
        <v>0.9672814350503347</v>
      </c>
      <c r="G491" s="15">
        <f t="shared" ca="1" si="57"/>
        <v>1.2458406513019558</v>
      </c>
      <c r="H491" s="15">
        <f t="shared" ca="1" si="58"/>
        <v>2.2890617184027282E-2</v>
      </c>
      <c r="J491" s="17">
        <f t="shared" ca="1" si="54"/>
        <v>1</v>
      </c>
      <c r="K491" s="24">
        <f t="shared" ca="1" si="55"/>
        <v>0</v>
      </c>
      <c r="L491" s="17">
        <f t="shared" ca="1" si="56"/>
        <v>1</v>
      </c>
      <c r="N491" s="24" t="str">
        <f ca="1">IF(AND(L491=1,L490&lt;&gt;1),MAX($N$8:N490)+1,"")</f>
        <v/>
      </c>
      <c r="O491" s="24" t="str">
        <f ca="1">IF(AND(L491&lt;&gt;1,L490=1),MAX($O$8:O490)+1,"")</f>
        <v/>
      </c>
      <c r="P491" s="17" t="str">
        <f ca="1">IF(AND(L491=-1,L490&lt;&gt;-1),MAX($P$8:P490)+1,"")</f>
        <v/>
      </c>
      <c r="Q491" s="24" t="str">
        <f ca="1">IF(AND(L491&lt;&gt;-1,L490=-1),MAX($Q$8:Q490)+1,"")</f>
        <v/>
      </c>
    </row>
    <row r="492" spans="1:17" x14ac:dyDescent="0.3">
      <c r="A492" s="3">
        <v>40899</v>
      </c>
      <c r="B492" s="9">
        <v>10.890841999999999</v>
      </c>
      <c r="C492" s="9">
        <v>8.5496289999999995</v>
      </c>
      <c r="E492" s="14">
        <f t="shared" si="53"/>
        <v>1.273837964197043</v>
      </c>
      <c r="F492" s="18">
        <f t="shared" ca="1" si="52"/>
        <v>1.1395951970386196</v>
      </c>
      <c r="G492" s="15">
        <f t="shared" ca="1" si="57"/>
        <v>1.2489243627821982</v>
      </c>
      <c r="H492" s="15">
        <f t="shared" ca="1" si="58"/>
        <v>2.1861799242034262E-2</v>
      </c>
      <c r="J492" s="17">
        <f t="shared" ca="1" si="54"/>
        <v>1</v>
      </c>
      <c r="K492" s="24">
        <f t="shared" ca="1" si="55"/>
        <v>0</v>
      </c>
      <c r="L492" s="17">
        <f t="shared" ca="1" si="56"/>
        <v>1</v>
      </c>
      <c r="N492" s="24" t="str">
        <f ca="1">IF(AND(L492=1,L491&lt;&gt;1),MAX($N$8:N491)+1,"")</f>
        <v/>
      </c>
      <c r="O492" s="24" t="str">
        <f ca="1">IF(AND(L492&lt;&gt;1,L491=1),MAX($O$8:O491)+1,"")</f>
        <v/>
      </c>
      <c r="P492" s="17" t="str">
        <f ca="1">IF(AND(L492=-1,L491&lt;&gt;-1),MAX($P$8:P491)+1,"")</f>
        <v/>
      </c>
      <c r="Q492" s="24" t="str">
        <f ca="1">IF(AND(L492&lt;&gt;-1,L491=-1),MAX($Q$8:Q491)+1,"")</f>
        <v/>
      </c>
    </row>
    <row r="493" spans="1:17" x14ac:dyDescent="0.3">
      <c r="A493" s="3">
        <v>40900</v>
      </c>
      <c r="B493" s="9">
        <v>10.982621999999999</v>
      </c>
      <c r="C493" s="9">
        <v>8.5440710000000006</v>
      </c>
      <c r="E493" s="14">
        <f t="shared" si="53"/>
        <v>1.2854085599241858</v>
      </c>
      <c r="F493" s="18">
        <f t="shared" ca="1" si="52"/>
        <v>1.5404142830912564</v>
      </c>
      <c r="G493" s="15">
        <f t="shared" ca="1" si="57"/>
        <v>1.2523038273917126</v>
      </c>
      <c r="H493" s="15">
        <f t="shared" ca="1" si="58"/>
        <v>2.1490798219579981E-2</v>
      </c>
      <c r="J493" s="17">
        <f t="shared" ca="1" si="54"/>
        <v>1</v>
      </c>
      <c r="K493" s="24">
        <f t="shared" ca="1" si="55"/>
        <v>0</v>
      </c>
      <c r="L493" s="17">
        <f t="shared" ca="1" si="56"/>
        <v>1</v>
      </c>
      <c r="N493" s="24" t="str">
        <f ca="1">IF(AND(L493=1,L492&lt;&gt;1),MAX($N$8:N492)+1,"")</f>
        <v/>
      </c>
      <c r="O493" s="24" t="str">
        <f ca="1">IF(AND(L493&lt;&gt;1,L492=1),MAX($O$8:O492)+1,"")</f>
        <v/>
      </c>
      <c r="P493" s="17" t="str">
        <f ca="1">IF(AND(L493=-1,L492&lt;&gt;-1),MAX($P$8:P492)+1,"")</f>
        <v/>
      </c>
      <c r="Q493" s="24" t="str">
        <f ca="1">IF(AND(L493&lt;&gt;-1,L492=-1),MAX($Q$8:Q492)+1,"")</f>
        <v/>
      </c>
    </row>
    <row r="494" spans="1:17" x14ac:dyDescent="0.3">
      <c r="A494" s="3">
        <v>40903</v>
      </c>
      <c r="B494" s="9">
        <v>10.922473999999999</v>
      </c>
      <c r="C494" s="9">
        <v>8.5192490000000003</v>
      </c>
      <c r="E494" s="14">
        <f t="shared" si="53"/>
        <v>1.2820935272580951</v>
      </c>
      <c r="F494" s="18">
        <f t="shared" ca="1" si="52"/>
        <v>1.2972682331631746</v>
      </c>
      <c r="G494" s="15">
        <f t="shared" ca="1" si="57"/>
        <v>1.2554466562379429</v>
      </c>
      <c r="H494" s="15">
        <f t="shared" ca="1" si="58"/>
        <v>2.0540756598331381E-2</v>
      </c>
      <c r="J494" s="17">
        <f t="shared" ca="1" si="54"/>
        <v>1</v>
      </c>
      <c r="K494" s="24">
        <f t="shared" ca="1" si="55"/>
        <v>0</v>
      </c>
      <c r="L494" s="17">
        <f t="shared" ca="1" si="56"/>
        <v>1</v>
      </c>
      <c r="N494" s="24" t="str">
        <f ca="1">IF(AND(L494=1,L493&lt;&gt;1),MAX($N$8:N493)+1,"")</f>
        <v/>
      </c>
      <c r="O494" s="24" t="str">
        <f ca="1">IF(AND(L494&lt;&gt;1,L493=1),MAX($O$8:O493)+1,"")</f>
        <v/>
      </c>
      <c r="P494" s="17" t="str">
        <f ca="1">IF(AND(L494=-1,L493&lt;&gt;-1),MAX($P$8:P493)+1,"")</f>
        <v/>
      </c>
      <c r="Q494" s="24" t="str">
        <f ca="1">IF(AND(L494&lt;&gt;-1,L493=-1),MAX($Q$8:Q493)+1,"")</f>
        <v/>
      </c>
    </row>
    <row r="495" spans="1:17" x14ac:dyDescent="0.3">
      <c r="A495" s="3">
        <v>40904</v>
      </c>
      <c r="B495" s="9">
        <v>10.862336000000001</v>
      </c>
      <c r="C495" s="9">
        <v>8.546818</v>
      </c>
      <c r="E495" s="14">
        <f t="shared" si="53"/>
        <v>1.2709216459271744</v>
      </c>
      <c r="F495" s="18">
        <f t="shared" ca="1" si="52"/>
        <v>0.69745489899888979</v>
      </c>
      <c r="G495" s="15">
        <f t="shared" ca="1" si="57"/>
        <v>1.2582017651673896</v>
      </c>
      <c r="H495" s="15">
        <f t="shared" ca="1" si="58"/>
        <v>1.8237567444206963E-2</v>
      </c>
      <c r="J495" s="17">
        <f t="shared" ca="1" si="54"/>
        <v>1</v>
      </c>
      <c r="K495" s="24">
        <f t="shared" ca="1" si="55"/>
        <v>0</v>
      </c>
      <c r="L495" s="17">
        <f t="shared" ca="1" si="56"/>
        <v>1</v>
      </c>
      <c r="N495" s="24" t="str">
        <f ca="1">IF(AND(L495=1,L494&lt;&gt;1),MAX($N$8:N494)+1,"")</f>
        <v/>
      </c>
      <c r="O495" s="24" t="str">
        <f ca="1">IF(AND(L495&lt;&gt;1,L494=1),MAX($O$8:O494)+1,"")</f>
        <v/>
      </c>
      <c r="P495" s="17" t="str">
        <f ca="1">IF(AND(L495=-1,L494&lt;&gt;-1),MAX($P$8:P494)+1,"")</f>
        <v/>
      </c>
      <c r="Q495" s="24" t="str">
        <f ca="1">IF(AND(L495&lt;&gt;-1,L494=-1),MAX($Q$8:Q494)+1,"")</f>
        <v/>
      </c>
    </row>
    <row r="496" spans="1:17" x14ac:dyDescent="0.3">
      <c r="A496" s="3">
        <v>40905</v>
      </c>
      <c r="B496" s="9">
        <v>10.615368</v>
      </c>
      <c r="C496" s="9">
        <v>8.392417</v>
      </c>
      <c r="E496" s="14">
        <f t="shared" si="53"/>
        <v>1.2648761375894453</v>
      </c>
      <c r="F496" s="18">
        <f t="shared" ca="1" si="52"/>
        <v>0.28512567311644738</v>
      </c>
      <c r="G496" s="15">
        <f t="shared" ca="1" si="57"/>
        <v>1.2602436225772962</v>
      </c>
      <c r="H496" s="15">
        <f t="shared" ca="1" si="58"/>
        <v>1.624727426862458E-2</v>
      </c>
      <c r="J496" s="17">
        <f t="shared" ca="1" si="54"/>
        <v>1</v>
      </c>
      <c r="K496" s="24">
        <f t="shared" ca="1" si="55"/>
        <v>0</v>
      </c>
      <c r="L496" s="17">
        <f t="shared" ca="1" si="56"/>
        <v>1</v>
      </c>
      <c r="N496" s="24" t="str">
        <f ca="1">IF(AND(L496=1,L495&lt;&gt;1),MAX($N$8:N495)+1,"")</f>
        <v/>
      </c>
      <c r="O496" s="24" t="str">
        <f ca="1">IF(AND(L496&lt;&gt;1,L495=1),MAX($O$8:O495)+1,"")</f>
        <v/>
      </c>
      <c r="P496" s="17" t="str">
        <f ca="1">IF(AND(L496=-1,L495&lt;&gt;-1),MAX($P$8:P495)+1,"")</f>
        <v/>
      </c>
      <c r="Q496" s="24" t="str">
        <f ca="1">IF(AND(L496&lt;&gt;-1,L495=-1),MAX($Q$8:Q495)+1,"")</f>
        <v/>
      </c>
    </row>
    <row r="497" spans="1:17" x14ac:dyDescent="0.3">
      <c r="A497" s="3">
        <v>40906</v>
      </c>
      <c r="B497" s="9">
        <v>10.761028</v>
      </c>
      <c r="C497" s="9">
        <v>8.4806840000000001</v>
      </c>
      <c r="E497" s="14">
        <f t="shared" si="53"/>
        <v>1.2688868020551172</v>
      </c>
      <c r="F497" s="18">
        <f t="shared" ca="1" si="52"/>
        <v>0.46775149884296563</v>
      </c>
      <c r="G497" s="15">
        <f t="shared" ca="1" si="57"/>
        <v>1.2624797235167386</v>
      </c>
      <c r="H497" s="15">
        <f t="shared" ca="1" si="58"/>
        <v>1.3697611988902498E-2</v>
      </c>
      <c r="J497" s="17">
        <f t="shared" ca="1" si="54"/>
        <v>1</v>
      </c>
      <c r="K497" s="24">
        <f t="shared" ca="1" si="55"/>
        <v>0</v>
      </c>
      <c r="L497" s="17">
        <f t="shared" ca="1" si="56"/>
        <v>1</v>
      </c>
      <c r="N497" s="24" t="str">
        <f ca="1">IF(AND(L497=1,L496&lt;&gt;1),MAX($N$8:N496)+1,"")</f>
        <v/>
      </c>
      <c r="O497" s="24" t="str">
        <f ca="1">IF(AND(L497&lt;&gt;1,L496=1),MAX($O$8:O496)+1,"")</f>
        <v/>
      </c>
      <c r="P497" s="17" t="str">
        <f ca="1">IF(AND(L497=-1,L496&lt;&gt;-1),MAX($P$8:P496)+1,"")</f>
        <v/>
      </c>
      <c r="Q497" s="24" t="str">
        <f ca="1">IF(AND(L497&lt;&gt;-1,L496=-1),MAX($Q$8:Q496)+1,"")</f>
        <v/>
      </c>
    </row>
    <row r="498" spans="1:17" x14ac:dyDescent="0.3">
      <c r="A498" s="3">
        <v>40910</v>
      </c>
      <c r="B498" s="9">
        <v>10.782045</v>
      </c>
      <c r="C498" s="9">
        <v>8.4696210000000001</v>
      </c>
      <c r="E498" s="14">
        <f t="shared" si="53"/>
        <v>1.2730256761193919</v>
      </c>
      <c r="F498" s="18">
        <f t="shared" ca="1" si="52"/>
        <v>0.70442333060155427</v>
      </c>
      <c r="G498" s="15">
        <f t="shared" ca="1" si="57"/>
        <v>1.2641464794887407</v>
      </c>
      <c r="H498" s="15">
        <f t="shared" ca="1" si="58"/>
        <v>1.2604915602481018E-2</v>
      </c>
      <c r="J498" s="17">
        <f t="shared" ca="1" si="54"/>
        <v>1</v>
      </c>
      <c r="K498" s="24">
        <f t="shared" ca="1" si="55"/>
        <v>0</v>
      </c>
      <c r="L498" s="17">
        <f t="shared" ca="1" si="56"/>
        <v>1</v>
      </c>
      <c r="N498" s="24" t="str">
        <f ca="1">IF(AND(L498=1,L497&lt;&gt;1),MAX($N$8:N497)+1,"")</f>
        <v/>
      </c>
      <c r="O498" s="24" t="str">
        <f ca="1">IF(AND(L498&lt;&gt;1,L497=1),MAX($O$8:O497)+1,"")</f>
        <v/>
      </c>
      <c r="P498" s="17" t="str">
        <f ca="1">IF(AND(L498=-1,L497&lt;&gt;-1),MAX($P$8:P497)+1,"")</f>
        <v/>
      </c>
      <c r="Q498" s="24" t="str">
        <f ca="1">IF(AND(L498&lt;&gt;-1,L497=-1),MAX($Q$8:Q497)+1,"")</f>
        <v/>
      </c>
    </row>
    <row r="499" spans="1:17" x14ac:dyDescent="0.3">
      <c r="A499" s="3">
        <v>40911</v>
      </c>
      <c r="B499" s="9">
        <v>11.051335999999999</v>
      </c>
      <c r="C499" s="9">
        <v>8.659357</v>
      </c>
      <c r="E499" s="14">
        <f t="shared" si="53"/>
        <v>1.276230556148684</v>
      </c>
      <c r="F499" s="18">
        <f t="shared" ca="1" si="52"/>
        <v>0.88536080745437651</v>
      </c>
      <c r="G499" s="15">
        <f t="shared" ca="1" si="57"/>
        <v>1.2656722338115078</v>
      </c>
      <c r="H499" s="15">
        <f t="shared" ca="1" si="58"/>
        <v>1.1925445816303778E-2</v>
      </c>
      <c r="J499" s="17">
        <f t="shared" ca="1" si="54"/>
        <v>1</v>
      </c>
      <c r="K499" s="24">
        <f t="shared" ca="1" si="55"/>
        <v>0</v>
      </c>
      <c r="L499" s="17">
        <f t="shared" ca="1" si="56"/>
        <v>1</v>
      </c>
      <c r="N499" s="24" t="str">
        <f ca="1">IF(AND(L499=1,L498&lt;&gt;1),MAX($N$8:N498)+1,"")</f>
        <v/>
      </c>
      <c r="O499" s="24" t="str">
        <f ca="1">IF(AND(L499&lt;&gt;1,L498=1),MAX($O$8:O498)+1,"")</f>
        <v/>
      </c>
      <c r="P499" s="17" t="str">
        <f ca="1">IF(AND(L499=-1,L498&lt;&gt;-1),MAX($P$8:P498)+1,"")</f>
        <v/>
      </c>
      <c r="Q499" s="24" t="str">
        <f ca="1">IF(AND(L499&lt;&gt;-1,L498=-1),MAX($Q$8:Q498)+1,"")</f>
        <v/>
      </c>
    </row>
    <row r="500" spans="1:17" x14ac:dyDescent="0.3">
      <c r="A500" s="3">
        <v>40912</v>
      </c>
      <c r="B500" s="9">
        <v>11.063993</v>
      </c>
      <c r="C500" s="9">
        <v>8.6731309999999997</v>
      </c>
      <c r="E500" s="14">
        <f t="shared" si="53"/>
        <v>1.2756630794576953</v>
      </c>
      <c r="F500" s="18">
        <f t="shared" ca="1" si="52"/>
        <v>0.76995651061449455</v>
      </c>
      <c r="G500" s="15">
        <f t="shared" ca="1" si="57"/>
        <v>1.2671100596473728</v>
      </c>
      <c r="H500" s="15">
        <f t="shared" ca="1" si="58"/>
        <v>1.1108445337382039E-2</v>
      </c>
      <c r="J500" s="17">
        <f t="shared" ca="1" si="54"/>
        <v>1</v>
      </c>
      <c r="K500" s="24">
        <f t="shared" ca="1" si="55"/>
        <v>0</v>
      </c>
      <c r="L500" s="17">
        <f t="shared" ca="1" si="56"/>
        <v>1</v>
      </c>
      <c r="N500" s="24" t="str">
        <f ca="1">IF(AND(L500=1,L499&lt;&gt;1),MAX($N$8:N499)+1,"")</f>
        <v/>
      </c>
      <c r="O500" s="24" t="str">
        <f ca="1">IF(AND(L500&lt;&gt;1,L499=1),MAX($O$8:O499)+1,"")</f>
        <v/>
      </c>
      <c r="P500" s="17" t="str">
        <f ca="1">IF(AND(L500=-1,L499&lt;&gt;-1),MAX($P$8:P499)+1,"")</f>
        <v/>
      </c>
      <c r="Q500" s="24" t="str">
        <f ca="1">IF(AND(L500&lt;&gt;-1,L499=-1),MAX($Q$8:Q499)+1,"")</f>
        <v/>
      </c>
    </row>
    <row r="501" spans="1:17" x14ac:dyDescent="0.3">
      <c r="A501" s="3">
        <v>40913</v>
      </c>
      <c r="B501" s="9">
        <v>10.981672</v>
      </c>
      <c r="C501" s="9">
        <v>8.6179269999999999</v>
      </c>
      <c r="E501" s="14">
        <f t="shared" si="53"/>
        <v>1.2742823187061112</v>
      </c>
      <c r="F501" s="18">
        <f t="shared" ca="1" si="52"/>
        <v>0.57562220490359328</v>
      </c>
      <c r="G501" s="15">
        <f t="shared" ca="1" si="57"/>
        <v>1.2682680171101384</v>
      </c>
      <c r="H501" s="15">
        <f t="shared" ca="1" si="58"/>
        <v>1.044834883841932E-2</v>
      </c>
      <c r="J501" s="17">
        <f t="shared" ca="1" si="54"/>
        <v>1</v>
      </c>
      <c r="K501" s="24">
        <f t="shared" ca="1" si="55"/>
        <v>0</v>
      </c>
      <c r="L501" s="17">
        <f t="shared" ca="1" si="56"/>
        <v>1</v>
      </c>
      <c r="N501" s="24" t="str">
        <f ca="1">IF(AND(L501=1,L500&lt;&gt;1),MAX($N$8:N500)+1,"")</f>
        <v/>
      </c>
      <c r="O501" s="24" t="str">
        <f ca="1">IF(AND(L501&lt;&gt;1,L500=1),MAX($O$8:O500)+1,"")</f>
        <v/>
      </c>
      <c r="P501" s="17" t="str">
        <f ca="1">IF(AND(L501=-1,L500&lt;&gt;-1),MAX($P$8:P500)+1,"")</f>
        <v/>
      </c>
      <c r="Q501" s="24" t="str">
        <f ca="1">IF(AND(L501&lt;&gt;-1,L500=-1),MAX($Q$8:Q500)+1,"")</f>
        <v/>
      </c>
    </row>
    <row r="502" spans="1:17" x14ac:dyDescent="0.3">
      <c r="A502" s="3">
        <v>40914</v>
      </c>
      <c r="B502" s="9">
        <v>11.063993</v>
      </c>
      <c r="C502" s="9">
        <v>8.725638</v>
      </c>
      <c r="E502" s="14">
        <f t="shared" si="53"/>
        <v>1.2679867076768483</v>
      </c>
      <c r="F502" s="18">
        <f t="shared" ca="1" si="52"/>
        <v>-0.13370240951880308</v>
      </c>
      <c r="G502" s="15">
        <f t="shared" ca="1" si="57"/>
        <v>1.2692347306539968</v>
      </c>
      <c r="H502" s="15">
        <f t="shared" ca="1" si="58"/>
        <v>9.3343342250913567E-3</v>
      </c>
      <c r="J502" s="17">
        <f t="shared" ca="1" si="54"/>
        <v>0</v>
      </c>
      <c r="K502" s="24">
        <f t="shared" ca="1" si="55"/>
        <v>0</v>
      </c>
      <c r="L502" s="17">
        <f t="shared" ca="1" si="56"/>
        <v>0</v>
      </c>
      <c r="N502" s="24" t="str">
        <f ca="1">IF(AND(L502=1,L501&lt;&gt;1),MAX($N$8:N501)+1,"")</f>
        <v/>
      </c>
      <c r="O502" s="24">
        <f ca="1">IF(AND(L502&lt;&gt;1,L501=1),MAX($O$8:O501)+1,"")</f>
        <v>15</v>
      </c>
      <c r="P502" s="17" t="str">
        <f ca="1">IF(AND(L502=-1,L501&lt;&gt;-1),MAX($P$8:P501)+1,"")</f>
        <v/>
      </c>
      <c r="Q502" s="24" t="str">
        <f ca="1">IF(AND(L502&lt;&gt;-1,L501=-1),MAX($Q$8:Q501)+1,"")</f>
        <v/>
      </c>
    </row>
    <row r="503" spans="1:17" x14ac:dyDescent="0.3">
      <c r="A503" s="3">
        <v>40917</v>
      </c>
      <c r="B503" s="9">
        <v>11.133718</v>
      </c>
      <c r="C503" s="9">
        <v>8.7477289999999996</v>
      </c>
      <c r="E503" s="14">
        <f t="shared" si="53"/>
        <v>1.2727552488194365</v>
      </c>
      <c r="F503" s="18">
        <f t="shared" ca="1" si="52"/>
        <v>0.30836408846901503</v>
      </c>
      <c r="G503" s="15">
        <f t="shared" ca="1" si="57"/>
        <v>1.2700272434328281</v>
      </c>
      <c r="H503" s="15">
        <f t="shared" ca="1" si="58"/>
        <v>8.8467026110352308E-3</v>
      </c>
      <c r="J503" s="17">
        <f t="shared" ca="1" si="54"/>
        <v>0</v>
      </c>
      <c r="K503" s="24">
        <f t="shared" ca="1" si="55"/>
        <v>0</v>
      </c>
      <c r="L503" s="17">
        <f t="shared" ca="1" si="56"/>
        <v>0</v>
      </c>
      <c r="N503" s="24" t="str">
        <f ca="1">IF(AND(L503=1,L502&lt;&gt;1),MAX($N$8:N502)+1,"")</f>
        <v/>
      </c>
      <c r="O503" s="24" t="str">
        <f ca="1">IF(AND(L503&lt;&gt;1,L502=1),MAX($O$8:O502)+1,"")</f>
        <v/>
      </c>
      <c r="P503" s="17" t="str">
        <f ca="1">IF(AND(L503=-1,L502&lt;&gt;-1),MAX($P$8:P502)+1,"")</f>
        <v/>
      </c>
      <c r="Q503" s="24" t="str">
        <f ca="1">IF(AND(L503&lt;&gt;-1,L502=-1),MAX($Q$8:Q502)+1,"")</f>
        <v/>
      </c>
    </row>
    <row r="504" spans="1:17" x14ac:dyDescent="0.3">
      <c r="A504" s="3">
        <v>40918</v>
      </c>
      <c r="B504" s="9">
        <v>11.279487</v>
      </c>
      <c r="C504" s="9">
        <v>8.7670069999999996</v>
      </c>
      <c r="E504" s="14">
        <f t="shared" si="53"/>
        <v>1.2865835512621355</v>
      </c>
      <c r="F504" s="18">
        <f t="shared" ca="1" si="52"/>
        <v>1.7369501250849009</v>
      </c>
      <c r="G504" s="15">
        <f t="shared" ca="1" si="57"/>
        <v>1.2715661993166754</v>
      </c>
      <c r="H504" s="15">
        <f t="shared" ca="1" si="58"/>
        <v>8.6458164391600648E-3</v>
      </c>
      <c r="J504" s="17">
        <f t="shared" ca="1" si="54"/>
        <v>1</v>
      </c>
      <c r="K504" s="24">
        <f t="shared" ca="1" si="55"/>
        <v>0</v>
      </c>
      <c r="L504" s="17">
        <f t="shared" ca="1" si="56"/>
        <v>1</v>
      </c>
      <c r="N504" s="24">
        <f ca="1">IF(AND(L504=1,L503&lt;&gt;1),MAX($N$8:N503)+1,"")</f>
        <v>16</v>
      </c>
      <c r="O504" s="24" t="str">
        <f ca="1">IF(AND(L504&lt;&gt;1,L503=1),MAX($O$8:O503)+1,"")</f>
        <v/>
      </c>
      <c r="P504" s="17" t="str">
        <f ca="1">IF(AND(L504=-1,L503&lt;&gt;-1),MAX($P$8:P503)+1,"")</f>
        <v/>
      </c>
      <c r="Q504" s="24" t="str">
        <f ca="1">IF(AND(L504&lt;&gt;-1,L503=-1),MAX($Q$8:Q503)+1,"")</f>
        <v/>
      </c>
    </row>
    <row r="505" spans="1:17" x14ac:dyDescent="0.3">
      <c r="A505" s="3">
        <v>40919</v>
      </c>
      <c r="B505" s="9">
        <v>11.295355000000001</v>
      </c>
      <c r="C505" s="9">
        <v>8.7725770000000001</v>
      </c>
      <c r="E505" s="14">
        <f t="shared" si="53"/>
        <v>1.2875754752565867</v>
      </c>
      <c r="F505" s="18">
        <f t="shared" ca="1" si="52"/>
        <v>1.6888781439959661</v>
      </c>
      <c r="G505" s="15">
        <f t="shared" ca="1" si="57"/>
        <v>1.272950989731777</v>
      </c>
      <c r="H505" s="15">
        <f t="shared" ca="1" si="58"/>
        <v>8.6592899415510408E-3</v>
      </c>
      <c r="J505" s="17">
        <f t="shared" ca="1" si="54"/>
        <v>1</v>
      </c>
      <c r="K505" s="24">
        <f t="shared" ca="1" si="55"/>
        <v>0</v>
      </c>
      <c r="L505" s="17">
        <f t="shared" ca="1" si="56"/>
        <v>1</v>
      </c>
      <c r="N505" s="24" t="str">
        <f ca="1">IF(AND(L505=1,L504&lt;&gt;1),MAX($N$8:N504)+1,"")</f>
        <v/>
      </c>
      <c r="O505" s="24" t="str">
        <f ca="1">IF(AND(L505&lt;&gt;1,L504=1),MAX($O$8:O504)+1,"")</f>
        <v/>
      </c>
      <c r="P505" s="17" t="str">
        <f ca="1">IF(AND(L505=-1,L504&lt;&gt;-1),MAX($P$8:P504)+1,"")</f>
        <v/>
      </c>
      <c r="Q505" s="24" t="str">
        <f ca="1">IF(AND(L505&lt;&gt;-1,L504=-1),MAX($Q$8:Q504)+1,"")</f>
        <v/>
      </c>
    </row>
    <row r="506" spans="1:17" x14ac:dyDescent="0.3">
      <c r="A506" s="3">
        <v>40920</v>
      </c>
      <c r="B506" s="9">
        <v>11.320686</v>
      </c>
      <c r="C506" s="9">
        <v>8.7753329999999998</v>
      </c>
      <c r="E506" s="14">
        <f t="shared" si="53"/>
        <v>1.2900577106304685</v>
      </c>
      <c r="F506" s="18">
        <f t="shared" ca="1" si="52"/>
        <v>1.8067717430434727</v>
      </c>
      <c r="G506" s="15">
        <f t="shared" ca="1" si="57"/>
        <v>1.2744486090275093</v>
      </c>
      <c r="H506" s="15">
        <f t="shared" ca="1" si="58"/>
        <v>8.63922167426966E-3</v>
      </c>
      <c r="J506" s="17">
        <f t="shared" ca="1" si="54"/>
        <v>1</v>
      </c>
      <c r="K506" s="24">
        <f t="shared" ca="1" si="55"/>
        <v>0</v>
      </c>
      <c r="L506" s="17">
        <f t="shared" ca="1" si="56"/>
        <v>1</v>
      </c>
      <c r="N506" s="24" t="str">
        <f ca="1">IF(AND(L506=1,L505&lt;&gt;1),MAX($N$8:N505)+1,"")</f>
        <v/>
      </c>
      <c r="O506" s="24" t="str">
        <f ca="1">IF(AND(L506&lt;&gt;1,L505=1),MAX($O$8:O505)+1,"")</f>
        <v/>
      </c>
      <c r="P506" s="17" t="str">
        <f ca="1">IF(AND(L506=-1,L505&lt;&gt;-1),MAX($P$8:P505)+1,"")</f>
        <v/>
      </c>
      <c r="Q506" s="24" t="str">
        <f ca="1">IF(AND(L506&lt;&gt;-1,L505=-1),MAX($Q$8:Q505)+1,"")</f>
        <v/>
      </c>
    </row>
    <row r="507" spans="1:17" x14ac:dyDescent="0.3">
      <c r="A507" s="3">
        <v>40921</v>
      </c>
      <c r="B507" s="9">
        <v>11.247763000000001</v>
      </c>
      <c r="C507" s="9">
        <v>8.6179269999999999</v>
      </c>
      <c r="E507" s="14">
        <f t="shared" si="53"/>
        <v>1.3051587696205829</v>
      </c>
      <c r="F507" s="18">
        <f t="shared" ca="1" si="52"/>
        <v>2.8347955300660903</v>
      </c>
      <c r="G507" s="15">
        <f t="shared" ca="1" si="57"/>
        <v>1.2765602707553239</v>
      </c>
      <c r="H507" s="15">
        <f t="shared" ca="1" si="58"/>
        <v>1.0088381529440417E-2</v>
      </c>
      <c r="J507" s="17">
        <f t="shared" ca="1" si="54"/>
        <v>1</v>
      </c>
      <c r="K507" s="24">
        <f t="shared" ca="1" si="55"/>
        <v>0</v>
      </c>
      <c r="L507" s="17">
        <f t="shared" ca="1" si="56"/>
        <v>1</v>
      </c>
      <c r="N507" s="24" t="str">
        <f ca="1">IF(AND(L507=1,L506&lt;&gt;1),MAX($N$8:N506)+1,"")</f>
        <v/>
      </c>
      <c r="O507" s="24" t="str">
        <f ca="1">IF(AND(L507&lt;&gt;1,L506=1),MAX($O$8:O506)+1,"")</f>
        <v/>
      </c>
      <c r="P507" s="17" t="str">
        <f ca="1">IF(AND(L507=-1,L506&lt;&gt;-1),MAX($P$8:P506)+1,"")</f>
        <v/>
      </c>
      <c r="Q507" s="24" t="str">
        <f ca="1">IF(AND(L507&lt;&gt;-1,L506=-1),MAX($Q$8:Q506)+1,"")</f>
        <v/>
      </c>
    </row>
    <row r="508" spans="1:17" x14ac:dyDescent="0.3">
      <c r="A508" s="3">
        <v>40924</v>
      </c>
      <c r="B508" s="9">
        <v>11.323816000000001</v>
      </c>
      <c r="C508" s="9">
        <v>8.6842039999999994</v>
      </c>
      <c r="E508" s="14">
        <f t="shared" si="53"/>
        <v>1.3039555496393223</v>
      </c>
      <c r="F508" s="18">
        <f t="shared" ca="1" si="52"/>
        <v>2.2766778134131553</v>
      </c>
      <c r="G508" s="15">
        <f t="shared" ca="1" si="57"/>
        <v>1.2783308941742504</v>
      </c>
      <c r="H508" s="15">
        <f t="shared" ca="1" si="58"/>
        <v>1.1255284043312143E-2</v>
      </c>
      <c r="J508" s="17">
        <f t="shared" ca="1" si="54"/>
        <v>1</v>
      </c>
      <c r="K508" s="24">
        <f t="shared" ca="1" si="55"/>
        <v>0</v>
      </c>
      <c r="L508" s="17">
        <f t="shared" ca="1" si="56"/>
        <v>1</v>
      </c>
      <c r="N508" s="24" t="str">
        <f ca="1">IF(AND(L508=1,L507&lt;&gt;1),MAX($N$8:N507)+1,"")</f>
        <v/>
      </c>
      <c r="O508" s="24" t="str">
        <f ca="1">IF(AND(L508&lt;&gt;1,L507=1),MAX($O$8:O507)+1,"")</f>
        <v/>
      </c>
      <c r="P508" s="17" t="str">
        <f ca="1">IF(AND(L508=-1,L507&lt;&gt;-1),MAX($P$8:P507)+1,"")</f>
        <v/>
      </c>
      <c r="Q508" s="24" t="str">
        <f ca="1">IF(AND(L508&lt;&gt;-1,L507=-1),MAX($Q$8:Q507)+1,"")</f>
        <v/>
      </c>
    </row>
    <row r="509" spans="1:17" x14ac:dyDescent="0.3">
      <c r="A509" s="3">
        <v>40925</v>
      </c>
      <c r="B509" s="9">
        <v>11.323816000000001</v>
      </c>
      <c r="C509" s="9">
        <v>8.6842039999999994</v>
      </c>
      <c r="E509" s="14">
        <f t="shared" si="53"/>
        <v>1.3039555496393223</v>
      </c>
      <c r="F509" s="18">
        <f t="shared" ca="1" si="52"/>
        <v>1.9640970801048103</v>
      </c>
      <c r="G509" s="15">
        <f t="shared" ca="1" si="57"/>
        <v>1.2794879219182338</v>
      </c>
      <c r="H509" s="15">
        <f t="shared" ca="1" si="58"/>
        <v>1.2457443152342953E-2</v>
      </c>
      <c r="J509" s="17">
        <f t="shared" ca="1" si="54"/>
        <v>1</v>
      </c>
      <c r="K509" s="24">
        <f t="shared" ca="1" si="55"/>
        <v>0</v>
      </c>
      <c r="L509" s="17">
        <f t="shared" ca="1" si="56"/>
        <v>1</v>
      </c>
      <c r="N509" s="24" t="str">
        <f ca="1">IF(AND(L509=1,L508&lt;&gt;1),MAX($N$8:N508)+1,"")</f>
        <v/>
      </c>
      <c r="O509" s="24" t="str">
        <f ca="1">IF(AND(L509&lt;&gt;1,L508=1),MAX($O$8:O508)+1,"")</f>
        <v/>
      </c>
      <c r="P509" s="17" t="str">
        <f ca="1">IF(AND(L509=-1,L508&lt;&gt;-1),MAX($P$8:P508)+1,"")</f>
        <v/>
      </c>
      <c r="Q509" s="24" t="str">
        <f ca="1">IF(AND(L509&lt;&gt;-1,L508=-1),MAX($Q$8:Q508)+1,"")</f>
        <v/>
      </c>
    </row>
    <row r="510" spans="1:17" x14ac:dyDescent="0.3">
      <c r="A510" s="3">
        <v>40926</v>
      </c>
      <c r="B510" s="9">
        <v>11.640692</v>
      </c>
      <c r="C510" s="9">
        <v>8.8498710000000003</v>
      </c>
      <c r="E510" s="14">
        <f t="shared" si="53"/>
        <v>1.3153516023001917</v>
      </c>
      <c r="F510" s="18">
        <f t="shared" ca="1" si="52"/>
        <v>2.3871902825462681</v>
      </c>
      <c r="G510" s="15">
        <f t="shared" ca="1" si="57"/>
        <v>1.2807909464305289</v>
      </c>
      <c r="H510" s="15">
        <f t="shared" ca="1" si="58"/>
        <v>1.4477545473584543E-2</v>
      </c>
      <c r="J510" s="17">
        <f t="shared" ca="1" si="54"/>
        <v>1</v>
      </c>
      <c r="K510" s="24">
        <f t="shared" ca="1" si="55"/>
        <v>0</v>
      </c>
      <c r="L510" s="17">
        <f t="shared" ca="1" si="56"/>
        <v>1</v>
      </c>
      <c r="N510" s="24" t="str">
        <f ca="1">IF(AND(L510=1,L509&lt;&gt;1),MAX($N$8:N509)+1,"")</f>
        <v/>
      </c>
      <c r="O510" s="24" t="str">
        <f ca="1">IF(AND(L510&lt;&gt;1,L509=1),MAX($O$8:O509)+1,"")</f>
        <v/>
      </c>
      <c r="P510" s="17" t="str">
        <f ca="1">IF(AND(L510=-1,L509&lt;&gt;-1),MAX($P$8:P509)+1,"")</f>
        <v/>
      </c>
      <c r="Q510" s="24" t="str">
        <f ca="1">IF(AND(L510&lt;&gt;-1,L509=-1),MAX($Q$8:Q509)+1,"")</f>
        <v/>
      </c>
    </row>
    <row r="511" spans="1:17" x14ac:dyDescent="0.3">
      <c r="A511" s="3">
        <v>40927</v>
      </c>
      <c r="B511" s="9">
        <v>11.707219</v>
      </c>
      <c r="C511" s="9">
        <v>8.8774719999999991</v>
      </c>
      <c r="E511" s="14">
        <f t="shared" si="53"/>
        <v>1.3187559476391479</v>
      </c>
      <c r="F511" s="18">
        <f t="shared" ca="1" si="52"/>
        <v>2.2047709502507029</v>
      </c>
      <c r="G511" s="15">
        <f t="shared" ca="1" si="57"/>
        <v>1.2831453926885787</v>
      </c>
      <c r="H511" s="15">
        <f t="shared" ca="1" si="58"/>
        <v>1.6151589327916327E-2</v>
      </c>
      <c r="J511" s="17">
        <f t="shared" ca="1" si="54"/>
        <v>1</v>
      </c>
      <c r="K511" s="24">
        <f t="shared" ca="1" si="55"/>
        <v>0</v>
      </c>
      <c r="L511" s="17">
        <f t="shared" ca="1" si="56"/>
        <v>1</v>
      </c>
      <c r="N511" s="24" t="str">
        <f ca="1">IF(AND(L511=1,L510&lt;&gt;1),MAX($N$8:N510)+1,"")</f>
        <v/>
      </c>
      <c r="O511" s="24" t="str">
        <f ca="1">IF(AND(L511&lt;&gt;1,L510=1),MAX($O$8:O510)+1,"")</f>
        <v/>
      </c>
      <c r="P511" s="17" t="str">
        <f ca="1">IF(AND(L511=-1,L510&lt;&gt;-1),MAX($P$8:P510)+1,"")</f>
        <v/>
      </c>
      <c r="Q511" s="24" t="str">
        <f ca="1">IF(AND(L511&lt;&gt;-1,L510=-1),MAX($Q$8:Q510)+1,"")</f>
        <v/>
      </c>
    </row>
    <row r="512" spans="1:17" x14ac:dyDescent="0.3">
      <c r="A512" s="3">
        <v>40928</v>
      </c>
      <c r="B512" s="9">
        <v>11.754742999999999</v>
      </c>
      <c r="C512" s="9">
        <v>8.9133960000000005</v>
      </c>
      <c r="E512" s="14">
        <f t="shared" si="53"/>
        <v>1.3187726653230709</v>
      </c>
      <c r="F512" s="18">
        <f t="shared" ca="1" si="52"/>
        <v>1.9275829021850055</v>
      </c>
      <c r="G512" s="15">
        <f t="shared" ca="1" si="57"/>
        <v>1.285641698433226</v>
      </c>
      <c r="H512" s="15">
        <f t="shared" ca="1" si="58"/>
        <v>1.7187829821632812E-2</v>
      </c>
      <c r="J512" s="17">
        <f t="shared" ca="1" si="54"/>
        <v>1</v>
      </c>
      <c r="K512" s="24">
        <f t="shared" ca="1" si="55"/>
        <v>0</v>
      </c>
      <c r="L512" s="17">
        <f t="shared" ca="1" si="56"/>
        <v>1</v>
      </c>
      <c r="N512" s="24" t="str">
        <f ca="1">IF(AND(L512=1,L511&lt;&gt;1),MAX($N$8:N511)+1,"")</f>
        <v/>
      </c>
      <c r="O512" s="24" t="str">
        <f ca="1">IF(AND(L512&lt;&gt;1,L511=1),MAX($O$8:O511)+1,"")</f>
        <v/>
      </c>
      <c r="P512" s="17" t="str">
        <f ca="1">IF(AND(L512=-1,L511&lt;&gt;-1),MAX($P$8:P511)+1,"")</f>
        <v/>
      </c>
      <c r="Q512" s="24" t="str">
        <f ca="1">IF(AND(L512&lt;&gt;-1,L511=-1),MAX($Q$8:Q511)+1,"")</f>
        <v/>
      </c>
    </row>
    <row r="513" spans="1:17" x14ac:dyDescent="0.3">
      <c r="A513" s="3">
        <v>40931</v>
      </c>
      <c r="B513" s="9">
        <v>11.53298</v>
      </c>
      <c r="C513" s="9">
        <v>8.8912999999999993</v>
      </c>
      <c r="E513" s="14">
        <f t="shared" si="53"/>
        <v>1.2971084093439655</v>
      </c>
      <c r="F513" s="18">
        <f t="shared" ca="1" si="52"/>
        <v>0.60031249255763142</v>
      </c>
      <c r="G513" s="15">
        <f t="shared" ca="1" si="57"/>
        <v>1.2869656115697283</v>
      </c>
      <c r="H513" s="15">
        <f t="shared" ca="1" si="58"/>
        <v>1.6895863237867698E-2</v>
      </c>
      <c r="J513" s="17">
        <f t="shared" ca="1" si="54"/>
        <v>1</v>
      </c>
      <c r="K513" s="24">
        <f t="shared" ca="1" si="55"/>
        <v>0</v>
      </c>
      <c r="L513" s="17">
        <f t="shared" ca="1" si="56"/>
        <v>1</v>
      </c>
      <c r="N513" s="24" t="str">
        <f ca="1">IF(AND(L513=1,L512&lt;&gt;1),MAX($N$8:N512)+1,"")</f>
        <v/>
      </c>
      <c r="O513" s="24" t="str">
        <f ca="1">IF(AND(L513&lt;&gt;1,L512=1),MAX($O$8:O512)+1,"")</f>
        <v/>
      </c>
      <c r="P513" s="17" t="str">
        <f ca="1">IF(AND(L513=-1,L512&lt;&gt;-1),MAX($P$8:P512)+1,"")</f>
        <v/>
      </c>
      <c r="Q513" s="24" t="str">
        <f ca="1">IF(AND(L513&lt;&gt;-1,L512=-1),MAX($Q$8:Q512)+1,"")</f>
        <v/>
      </c>
    </row>
    <row r="514" spans="1:17" x14ac:dyDescent="0.3">
      <c r="A514" s="3">
        <v>40932</v>
      </c>
      <c r="B514" s="9">
        <v>11.323816000000001</v>
      </c>
      <c r="C514" s="9">
        <v>8.9492589999999996</v>
      </c>
      <c r="E514" s="14">
        <f t="shared" si="53"/>
        <v>1.2653355992937516</v>
      </c>
      <c r="F514" s="18">
        <f t="shared" ref="F514:F577" ca="1" si="59">IF(ISNUMBER(G514),(E514-G514)/H514,"")</f>
        <v>-1.229052091191476</v>
      </c>
      <c r="G514" s="15">
        <f t="shared" ca="1" si="57"/>
        <v>1.2865791404377607</v>
      </c>
      <c r="H514" s="15">
        <f t="shared" ca="1" si="58"/>
        <v>1.7284492086429796E-2</v>
      </c>
      <c r="J514" s="17">
        <f t="shared" ca="1" si="54"/>
        <v>0</v>
      </c>
      <c r="K514" s="24">
        <f t="shared" ca="1" si="55"/>
        <v>-1</v>
      </c>
      <c r="L514" s="17">
        <f t="shared" ca="1" si="56"/>
        <v>-1</v>
      </c>
      <c r="N514" s="24" t="str">
        <f ca="1">IF(AND(L514=1,L513&lt;&gt;1),MAX($N$8:N513)+1,"")</f>
        <v/>
      </c>
      <c r="O514" s="24">
        <f ca="1">IF(AND(L514&lt;&gt;1,L513=1),MAX($O$8:O513)+1,"")</f>
        <v>16</v>
      </c>
      <c r="P514" s="17">
        <f ca="1">IF(AND(L514=-1,L513&lt;&gt;-1),MAX($P$8:P513)+1,"")</f>
        <v>18</v>
      </c>
      <c r="Q514" s="24" t="str">
        <f ca="1">IF(AND(L514&lt;&gt;-1,L513=-1),MAX($Q$8:Q513)+1,"")</f>
        <v/>
      </c>
    </row>
    <row r="515" spans="1:17" x14ac:dyDescent="0.3">
      <c r="A515" s="3">
        <v>40934</v>
      </c>
      <c r="B515" s="9">
        <v>11.501253</v>
      </c>
      <c r="C515" s="9">
        <v>9.0321169999999995</v>
      </c>
      <c r="E515" s="14">
        <f t="shared" ref="E515:E578" si="60">IF(ISNUMBER(B515),B515/C515,"")</f>
        <v>1.2733728980702974</v>
      </c>
      <c r="F515" s="18">
        <f t="shared" ca="1" si="59"/>
        <v>-0.72329879582364731</v>
      </c>
      <c r="G515" s="15">
        <f t="shared" ca="1" si="57"/>
        <v>1.2860320648989472</v>
      </c>
      <c r="H515" s="15">
        <f t="shared" ca="1" si="58"/>
        <v>1.7501987977505608E-2</v>
      </c>
      <c r="J515" s="17">
        <f t="shared" ca="1" si="54"/>
        <v>0</v>
      </c>
      <c r="K515" s="24">
        <f t="shared" ca="1" si="55"/>
        <v>-1</v>
      </c>
      <c r="L515" s="17">
        <f t="shared" ca="1" si="56"/>
        <v>-1</v>
      </c>
      <c r="N515" s="24" t="str">
        <f ca="1">IF(AND(L515=1,L514&lt;&gt;1),MAX($N$8:N514)+1,"")</f>
        <v/>
      </c>
      <c r="O515" s="24" t="str">
        <f ca="1">IF(AND(L515&lt;&gt;1,L514=1),MAX($O$8:O514)+1,"")</f>
        <v/>
      </c>
      <c r="P515" s="17" t="str">
        <f ca="1">IF(AND(L515=-1,L514&lt;&gt;-1),MAX($P$8:P514)+1,"")</f>
        <v/>
      </c>
      <c r="Q515" s="24" t="str">
        <f ca="1">IF(AND(L515&lt;&gt;-1,L514=-1),MAX($Q$8:Q514)+1,"")</f>
        <v/>
      </c>
    </row>
    <row r="516" spans="1:17" x14ac:dyDescent="0.3">
      <c r="A516" s="3">
        <v>40935</v>
      </c>
      <c r="B516" s="9">
        <v>11.441065999999999</v>
      </c>
      <c r="C516" s="9">
        <v>9.1011550000000003</v>
      </c>
      <c r="E516" s="14">
        <f t="shared" si="60"/>
        <v>1.2571004449435264</v>
      </c>
      <c r="F516" s="18">
        <f t="shared" ca="1" si="59"/>
        <v>-1.5021975614636351</v>
      </c>
      <c r="G516" s="15">
        <f t="shared" ca="1" si="57"/>
        <v>1.2848960157028306</v>
      </c>
      <c r="H516" s="15">
        <f t="shared" ca="1" si="58"/>
        <v>1.8503272453872337E-2</v>
      </c>
      <c r="J516" s="17">
        <f t="shared" ca="1" si="54"/>
        <v>0</v>
      </c>
      <c r="K516" s="24">
        <f t="shared" ca="1" si="55"/>
        <v>-1</v>
      </c>
      <c r="L516" s="17">
        <f t="shared" ca="1" si="56"/>
        <v>-1</v>
      </c>
      <c r="N516" s="24" t="str">
        <f ca="1">IF(AND(L516=1,L515&lt;&gt;1),MAX($N$8:N515)+1,"")</f>
        <v/>
      </c>
      <c r="O516" s="24" t="str">
        <f ca="1">IF(AND(L516&lt;&gt;1,L515=1),MAX($O$8:O515)+1,"")</f>
        <v/>
      </c>
      <c r="P516" s="17" t="str">
        <f ca="1">IF(AND(L516=-1,L515&lt;&gt;-1),MAX($P$8:P515)+1,"")</f>
        <v/>
      </c>
      <c r="Q516" s="24" t="str">
        <f ca="1">IF(AND(L516&lt;&gt;-1,L515=-1),MAX($Q$8:Q515)+1,"")</f>
        <v/>
      </c>
    </row>
    <row r="517" spans="1:17" x14ac:dyDescent="0.3">
      <c r="A517" s="3">
        <v>40938</v>
      </c>
      <c r="B517" s="9">
        <v>11.247763000000001</v>
      </c>
      <c r="C517" s="9">
        <v>8.9520759999999999</v>
      </c>
      <c r="E517" s="14">
        <f t="shared" si="60"/>
        <v>1.2564418577322178</v>
      </c>
      <c r="F517" s="18">
        <f t="shared" ca="1" si="59"/>
        <v>-1.4453117466735943</v>
      </c>
      <c r="G517" s="15">
        <f t="shared" ca="1" si="57"/>
        <v>1.2842378435121506</v>
      </c>
      <c r="H517" s="15">
        <f t="shared" ca="1" si="58"/>
        <v>1.9231827212299123E-2</v>
      </c>
      <c r="J517" s="17">
        <f t="shared" ca="1" si="54"/>
        <v>0</v>
      </c>
      <c r="K517" s="24">
        <f t="shared" ca="1" si="55"/>
        <v>-1</v>
      </c>
      <c r="L517" s="17">
        <f t="shared" ca="1" si="56"/>
        <v>-1</v>
      </c>
      <c r="N517" s="24" t="str">
        <f ca="1">IF(AND(L517=1,L516&lt;&gt;1),MAX($N$8:N516)+1,"")</f>
        <v/>
      </c>
      <c r="O517" s="24" t="str">
        <f ca="1">IF(AND(L517&lt;&gt;1,L516=1),MAX($O$8:O516)+1,"")</f>
        <v/>
      </c>
      <c r="P517" s="17" t="str">
        <f ca="1">IF(AND(L517=-1,L516&lt;&gt;-1),MAX($P$8:P516)+1,"")</f>
        <v/>
      </c>
      <c r="Q517" s="24" t="str">
        <f ca="1">IF(AND(L517&lt;&gt;-1,L516=-1),MAX($Q$8:Q516)+1,"")</f>
        <v/>
      </c>
    </row>
    <row r="518" spans="1:17" x14ac:dyDescent="0.3">
      <c r="A518" s="3">
        <v>40939</v>
      </c>
      <c r="B518" s="9">
        <v>11.127383999999999</v>
      </c>
      <c r="C518" s="9">
        <v>8.6703770000000002</v>
      </c>
      <c r="E518" s="14">
        <f t="shared" si="60"/>
        <v>1.2833794885735648</v>
      </c>
      <c r="F518" s="18">
        <f t="shared" ca="1" si="59"/>
        <v>-9.0559969024716969E-2</v>
      </c>
      <c r="G518" s="15">
        <f t="shared" ca="1" si="57"/>
        <v>1.2850789049205196</v>
      </c>
      <c r="H518" s="15">
        <f t="shared" ca="1" si="58"/>
        <v>1.8765646292248372E-2</v>
      </c>
      <c r="J518" s="17">
        <f t="shared" ca="1" si="54"/>
        <v>0</v>
      </c>
      <c r="K518" s="24">
        <f t="shared" ca="1" si="55"/>
        <v>-1</v>
      </c>
      <c r="L518" s="17">
        <f t="shared" ca="1" si="56"/>
        <v>-1</v>
      </c>
      <c r="N518" s="24" t="str">
        <f ca="1">IF(AND(L518=1,L517&lt;&gt;1),MAX($N$8:N517)+1,"")</f>
        <v/>
      </c>
      <c r="O518" s="24" t="str">
        <f ca="1">IF(AND(L518&lt;&gt;1,L517=1),MAX($O$8:O517)+1,"")</f>
        <v/>
      </c>
      <c r="P518" s="17" t="str">
        <f ca="1">IF(AND(L518=-1,L517&lt;&gt;-1),MAX($P$8:P517)+1,"")</f>
        <v/>
      </c>
      <c r="Q518" s="24" t="str">
        <f ca="1">IF(AND(L518&lt;&gt;-1,L517=-1),MAX($Q$8:Q517)+1,"")</f>
        <v/>
      </c>
    </row>
    <row r="519" spans="1:17" x14ac:dyDescent="0.3">
      <c r="A519" s="3">
        <v>40940</v>
      </c>
      <c r="B519" s="9">
        <v>11.319649</v>
      </c>
      <c r="C519" s="9">
        <v>8.6510300000000004</v>
      </c>
      <c r="E519" s="14">
        <f t="shared" si="60"/>
        <v>1.3084741354497671</v>
      </c>
      <c r="F519" s="18">
        <f t="shared" ca="1" si="59"/>
        <v>1.1352494791634267</v>
      </c>
      <c r="G519" s="15">
        <f t="shared" ca="1" si="57"/>
        <v>1.2868783291657311</v>
      </c>
      <c r="H519" s="15">
        <f t="shared" ca="1" si="58"/>
        <v>1.9022960750398329E-2</v>
      </c>
      <c r="J519" s="17">
        <f t="shared" ca="1" si="54"/>
        <v>1</v>
      </c>
      <c r="K519" s="24">
        <f t="shared" ca="1" si="55"/>
        <v>0</v>
      </c>
      <c r="L519" s="17">
        <f t="shared" ca="1" si="56"/>
        <v>1</v>
      </c>
      <c r="N519" s="24">
        <f ca="1">IF(AND(L519=1,L518&lt;&gt;1),MAX($N$8:N518)+1,"")</f>
        <v>17</v>
      </c>
      <c r="O519" s="24" t="str">
        <f ca="1">IF(AND(L519&lt;&gt;1,L518=1),MAX($O$8:O518)+1,"")</f>
        <v/>
      </c>
      <c r="P519" s="17" t="str">
        <f ca="1">IF(AND(L519=-1,L518&lt;&gt;-1),MAX($P$8:P518)+1,"")</f>
        <v/>
      </c>
      <c r="Q519" s="24">
        <f ca="1">IF(AND(L519&lt;&gt;-1,L518=-1),MAX($Q$8:Q518)+1,"")</f>
        <v>18</v>
      </c>
    </row>
    <row r="520" spans="1:17" x14ac:dyDescent="0.3">
      <c r="A520" s="3">
        <v>40941</v>
      </c>
      <c r="B520" s="9">
        <v>11.319649</v>
      </c>
      <c r="C520" s="9">
        <v>8.6778910000000007</v>
      </c>
      <c r="E520" s="14">
        <f t="shared" si="60"/>
        <v>1.3044239666066328</v>
      </c>
      <c r="F520" s="18">
        <f t="shared" ca="1" si="59"/>
        <v>0.84355447887970714</v>
      </c>
      <c r="G520" s="15">
        <f t="shared" ca="1" si="57"/>
        <v>1.2883055241878787</v>
      </c>
      <c r="H520" s="15">
        <f t="shared" ca="1" si="58"/>
        <v>1.9107766981642311E-2</v>
      </c>
      <c r="J520" s="17">
        <f t="shared" ref="J520:J583" ca="1" si="61">IF(ISNUMBER(F520),IF(AND(J519&lt;&gt;1,F520&gt;$L$1),1,IF(AND(J519=1,F520&gt;$N$1),1,0)),"")</f>
        <v>1</v>
      </c>
      <c r="K520" s="24">
        <f t="shared" ca="1" si="55"/>
        <v>0</v>
      </c>
      <c r="L520" s="17">
        <f t="shared" ca="1" si="56"/>
        <v>1</v>
      </c>
      <c r="N520" s="24" t="str">
        <f ca="1">IF(AND(L520=1,L519&lt;&gt;1),MAX($N$8:N519)+1,"")</f>
        <v/>
      </c>
      <c r="O520" s="24" t="str">
        <f ca="1">IF(AND(L520&lt;&gt;1,L519=1),MAX($O$8:O519)+1,"")</f>
        <v/>
      </c>
      <c r="P520" s="17" t="str">
        <f ca="1">IF(AND(L520=-1,L519&lt;&gt;-1),MAX($P$8:P519)+1,"")</f>
        <v/>
      </c>
      <c r="Q520" s="24" t="str">
        <f ca="1">IF(AND(L520&lt;&gt;-1,L519=-1),MAX($Q$8:Q519)+1,"")</f>
        <v/>
      </c>
    </row>
    <row r="521" spans="1:17" x14ac:dyDescent="0.3">
      <c r="A521" s="3">
        <v>40942</v>
      </c>
      <c r="B521" s="9">
        <v>11.364077999999999</v>
      </c>
      <c r="C521" s="9">
        <v>8.7773990000000008</v>
      </c>
      <c r="E521" s="14">
        <f t="shared" si="60"/>
        <v>1.2946976661309344</v>
      </c>
      <c r="F521" s="18">
        <f t="shared" ca="1" si="59"/>
        <v>0.29280418899059962</v>
      </c>
      <c r="G521" s="15">
        <f t="shared" ca="1" si="57"/>
        <v>1.2891449382779809</v>
      </c>
      <c r="H521" s="15">
        <f t="shared" ca="1" si="58"/>
        <v>1.8963963159460584E-2</v>
      </c>
      <c r="J521" s="17">
        <f t="shared" ca="1" si="61"/>
        <v>1</v>
      </c>
      <c r="K521" s="24">
        <f t="shared" ref="K521:K584" ca="1" si="62">IF(ISNUMBER(F521),IF(AND(K520&lt;&gt;-1,F521&lt;$P$1),-1,IF(AND(K520=-1,F521&lt;R514),-1,0)),"")</f>
        <v>0</v>
      </c>
      <c r="L521" s="17">
        <f t="shared" ref="L521:L584" ca="1" si="63">IF(ISNUMBER(F521),IF(J521=1,1,IF(K521=-1,-1,0)),"")</f>
        <v>1</v>
      </c>
      <c r="N521" s="24" t="str">
        <f ca="1">IF(AND(L521=1,L520&lt;&gt;1),MAX($N$8:N520)+1,"")</f>
        <v/>
      </c>
      <c r="O521" s="24" t="str">
        <f ca="1">IF(AND(L521&lt;&gt;1,L520=1),MAX($O$8:O520)+1,"")</f>
        <v/>
      </c>
      <c r="P521" s="17" t="str">
        <f ca="1">IF(AND(L521=-1,L520&lt;&gt;-1),MAX($P$8:P520)+1,"")</f>
        <v/>
      </c>
      <c r="Q521" s="24" t="str">
        <f ca="1">IF(AND(L521&lt;&gt;-1,L520=-1),MAX($Q$8:Q520)+1,"")</f>
        <v/>
      </c>
    </row>
    <row r="522" spans="1:17" x14ac:dyDescent="0.3">
      <c r="A522" s="3">
        <v>40945</v>
      </c>
      <c r="B522" s="9">
        <v>11.433778999999999</v>
      </c>
      <c r="C522" s="9">
        <v>8.7773990000000008</v>
      </c>
      <c r="E522" s="14">
        <f t="shared" si="60"/>
        <v>1.3026386290517269</v>
      </c>
      <c r="F522" s="18">
        <f t="shared" ca="1" si="59"/>
        <v>0.64822968368731926</v>
      </c>
      <c r="G522" s="15">
        <f t="shared" ca="1" si="57"/>
        <v>1.2903710996231641</v>
      </c>
      <c r="H522" s="15">
        <f t="shared" ca="1" si="58"/>
        <v>1.892466472498068E-2</v>
      </c>
      <c r="J522" s="17">
        <f t="shared" ca="1" si="61"/>
        <v>1</v>
      </c>
      <c r="K522" s="24">
        <f t="shared" ca="1" si="62"/>
        <v>0</v>
      </c>
      <c r="L522" s="17">
        <f t="shared" ca="1" si="63"/>
        <v>1</v>
      </c>
      <c r="N522" s="24" t="str">
        <f ca="1">IF(AND(L522=1,L521&lt;&gt;1),MAX($N$8:N521)+1,"")</f>
        <v/>
      </c>
      <c r="O522" s="24" t="str">
        <f ca="1">IF(AND(L522&lt;&gt;1,L521=1),MAX($O$8:O521)+1,"")</f>
        <v/>
      </c>
      <c r="P522" s="17" t="str">
        <f ca="1">IF(AND(L522=-1,L521&lt;&gt;-1),MAX($P$8:P521)+1,"")</f>
        <v/>
      </c>
      <c r="Q522" s="24" t="str">
        <f ca="1">IF(AND(L522&lt;&gt;-1,L521=-1),MAX($Q$8:Q521)+1,"")</f>
        <v/>
      </c>
    </row>
    <row r="523" spans="1:17" x14ac:dyDescent="0.3">
      <c r="A523" s="3">
        <v>40946</v>
      </c>
      <c r="B523" s="9">
        <v>11.541639999999999</v>
      </c>
      <c r="C523" s="9">
        <v>8.7995169999999998</v>
      </c>
      <c r="E523" s="14">
        <f t="shared" si="60"/>
        <v>1.3116219901615054</v>
      </c>
      <c r="F523" s="18">
        <f t="shared" ca="1" si="59"/>
        <v>1.0248554976267936</v>
      </c>
      <c r="G523" s="15">
        <f t="shared" ca="1" si="57"/>
        <v>1.292068357416591</v>
      </c>
      <c r="H523" s="15">
        <f t="shared" ca="1" si="58"/>
        <v>1.9079404647966237E-2</v>
      </c>
      <c r="J523" s="17">
        <f t="shared" ca="1" si="61"/>
        <v>1</v>
      </c>
      <c r="K523" s="24">
        <f t="shared" ca="1" si="62"/>
        <v>0</v>
      </c>
      <c r="L523" s="17">
        <f t="shared" ca="1" si="63"/>
        <v>1</v>
      </c>
      <c r="N523" s="24" t="str">
        <f ca="1">IF(AND(L523=1,L522&lt;&gt;1),MAX($N$8:N522)+1,"")</f>
        <v/>
      </c>
      <c r="O523" s="24" t="str">
        <f ca="1">IF(AND(L523&lt;&gt;1,L522=1),MAX($O$8:O522)+1,"")</f>
        <v/>
      </c>
      <c r="P523" s="17" t="str">
        <f ca="1">IF(AND(L523=-1,L522&lt;&gt;-1),MAX($P$8:P522)+1,"")</f>
        <v/>
      </c>
      <c r="Q523" s="24" t="str">
        <f ca="1">IF(AND(L523&lt;&gt;-1,L522=-1),MAX($Q$8:Q522)+1,"")</f>
        <v/>
      </c>
    </row>
    <row r="524" spans="1:17" x14ac:dyDescent="0.3">
      <c r="A524" s="3">
        <v>40947</v>
      </c>
      <c r="B524" s="9">
        <v>11.795252</v>
      </c>
      <c r="C524" s="9">
        <v>8.7718880000000006</v>
      </c>
      <c r="E524" s="14">
        <f t="shared" si="60"/>
        <v>1.3446651393633844</v>
      </c>
      <c r="F524" s="18">
        <f t="shared" ca="1" si="59"/>
        <v>2.3118941458356153</v>
      </c>
      <c r="G524" s="15">
        <f t="shared" ca="1" si="57"/>
        <v>1.2955537406750699</v>
      </c>
      <c r="H524" s="15">
        <f t="shared" ca="1" si="58"/>
        <v>2.1242927050435338E-2</v>
      </c>
      <c r="J524" s="17">
        <f t="shared" ca="1" si="61"/>
        <v>1</v>
      </c>
      <c r="K524" s="24">
        <f t="shared" ca="1" si="62"/>
        <v>0</v>
      </c>
      <c r="L524" s="17">
        <f t="shared" ca="1" si="63"/>
        <v>1</v>
      </c>
      <c r="N524" s="24" t="str">
        <f ca="1">IF(AND(L524=1,L523&lt;&gt;1),MAX($N$8:N523)+1,"")</f>
        <v/>
      </c>
      <c r="O524" s="24" t="str">
        <f ca="1">IF(AND(L524&lt;&gt;1,L523=1),MAX($O$8:O523)+1,"")</f>
        <v/>
      </c>
      <c r="P524" s="17" t="str">
        <f ca="1">IF(AND(L524=-1,L523&lt;&gt;-1),MAX($P$8:P523)+1,"")</f>
        <v/>
      </c>
      <c r="Q524" s="24" t="str">
        <f ca="1">IF(AND(L524&lt;&gt;-1,L523=-1),MAX($Q$8:Q523)+1,"")</f>
        <v/>
      </c>
    </row>
    <row r="525" spans="1:17" x14ac:dyDescent="0.3">
      <c r="A525" s="3">
        <v>40948</v>
      </c>
      <c r="B525" s="9">
        <v>11.716006999999999</v>
      </c>
      <c r="C525" s="9">
        <v>8.7083499999999994</v>
      </c>
      <c r="E525" s="14">
        <f t="shared" si="60"/>
        <v>1.3453762193756567</v>
      </c>
      <c r="F525" s="18">
        <f t="shared" ca="1" si="59"/>
        <v>2.0215850854460076</v>
      </c>
      <c r="G525" s="15">
        <f t="shared" ca="1" si="57"/>
        <v>1.2988546938821708</v>
      </c>
      <c r="H525" s="15">
        <f t="shared" ca="1" si="58"/>
        <v>2.3012400431922542E-2</v>
      </c>
      <c r="J525" s="17">
        <f t="shared" ca="1" si="61"/>
        <v>1</v>
      </c>
      <c r="K525" s="24">
        <f t="shared" ca="1" si="62"/>
        <v>0</v>
      </c>
      <c r="L525" s="17">
        <f t="shared" ca="1" si="63"/>
        <v>1</v>
      </c>
      <c r="N525" s="24" t="str">
        <f ca="1">IF(AND(L525=1,L524&lt;&gt;1),MAX($N$8:N524)+1,"")</f>
        <v/>
      </c>
      <c r="O525" s="24" t="str">
        <f ca="1">IF(AND(L525&lt;&gt;1,L524=1),MAX($O$8:O524)+1,"")</f>
        <v/>
      </c>
      <c r="P525" s="17" t="str">
        <f ca="1">IF(AND(L525=-1,L524&lt;&gt;-1),MAX($P$8:P524)+1,"")</f>
        <v/>
      </c>
      <c r="Q525" s="24" t="str">
        <f ca="1">IF(AND(L525&lt;&gt;-1,L524=-1),MAX($Q$8:Q524)+1,"")</f>
        <v/>
      </c>
    </row>
    <row r="526" spans="1:17" x14ac:dyDescent="0.3">
      <c r="A526" s="3">
        <v>40949</v>
      </c>
      <c r="B526" s="9">
        <v>11.50989</v>
      </c>
      <c r="C526" s="9">
        <v>8.5451779999999999</v>
      </c>
      <c r="E526" s="14">
        <f t="shared" si="60"/>
        <v>1.3469456107292324</v>
      </c>
      <c r="F526" s="18">
        <f t="shared" ca="1" si="59"/>
        <v>1.8207136617348778</v>
      </c>
      <c r="G526" s="15">
        <f t="shared" ca="1" si="57"/>
        <v>1.3015984238579481</v>
      </c>
      <c r="H526" s="15">
        <f t="shared" ca="1" si="58"/>
        <v>2.4906270450057982E-2</v>
      </c>
      <c r="J526" s="17">
        <f t="shared" ca="1" si="61"/>
        <v>1</v>
      </c>
      <c r="K526" s="24">
        <f t="shared" ca="1" si="62"/>
        <v>0</v>
      </c>
      <c r="L526" s="17">
        <f t="shared" ca="1" si="63"/>
        <v>1</v>
      </c>
      <c r="N526" s="24" t="str">
        <f ca="1">IF(AND(L526=1,L525&lt;&gt;1),MAX($N$8:N525)+1,"")</f>
        <v/>
      </c>
      <c r="O526" s="24" t="str">
        <f ca="1">IF(AND(L526&lt;&gt;1,L525=1),MAX($O$8:O525)+1,"")</f>
        <v/>
      </c>
      <c r="P526" s="17" t="str">
        <f ca="1">IF(AND(L526=-1,L525&lt;&gt;-1),MAX($P$8:P525)+1,"")</f>
        <v/>
      </c>
      <c r="Q526" s="24" t="str">
        <f ca="1">IF(AND(L526&lt;&gt;-1,L525=-1),MAX($Q$8:Q525)+1,"")</f>
        <v/>
      </c>
    </row>
    <row r="527" spans="1:17" x14ac:dyDescent="0.3">
      <c r="A527" s="3">
        <v>40952</v>
      </c>
      <c r="B527" s="9">
        <v>11.50989</v>
      </c>
      <c r="C527" s="9">
        <v>8.6855849999999997</v>
      </c>
      <c r="E527" s="14">
        <f t="shared" si="60"/>
        <v>1.3251715342144486</v>
      </c>
      <c r="F527" s="18">
        <f t="shared" ca="1" si="59"/>
        <v>0.86852848045407349</v>
      </c>
      <c r="G527" s="15">
        <f t="shared" ca="1" si="57"/>
        <v>1.3033073356287599</v>
      </c>
      <c r="H527" s="15">
        <f t="shared" ca="1" si="58"/>
        <v>2.5173841822962319E-2</v>
      </c>
      <c r="J527" s="17">
        <f t="shared" ca="1" si="61"/>
        <v>1</v>
      </c>
      <c r="K527" s="24">
        <f t="shared" ca="1" si="62"/>
        <v>0</v>
      </c>
      <c r="L527" s="17">
        <f t="shared" ca="1" si="63"/>
        <v>1</v>
      </c>
      <c r="N527" s="24" t="str">
        <f ca="1">IF(AND(L527=1,L526&lt;&gt;1),MAX($N$8:N526)+1,"")</f>
        <v/>
      </c>
      <c r="O527" s="24" t="str">
        <f ca="1">IF(AND(L527&lt;&gt;1,L526=1),MAX($O$8:O526)+1,"")</f>
        <v/>
      </c>
      <c r="P527" s="17" t="str">
        <f ca="1">IF(AND(L527=-1,L526&lt;&gt;-1),MAX($P$8:P526)+1,"")</f>
        <v/>
      </c>
      <c r="Q527" s="24" t="str">
        <f ca="1">IF(AND(L527&lt;&gt;-1,L526=-1),MAX($Q$8:Q526)+1,"")</f>
        <v/>
      </c>
    </row>
    <row r="528" spans="1:17" x14ac:dyDescent="0.3">
      <c r="A528" s="3">
        <v>40953</v>
      </c>
      <c r="B528" s="9">
        <v>11.725550999999999</v>
      </c>
      <c r="C528" s="9">
        <v>8.6107239999999994</v>
      </c>
      <c r="E528" s="14">
        <f t="shared" si="60"/>
        <v>1.3617381070395476</v>
      </c>
      <c r="F528" s="18">
        <f t="shared" ca="1" si="59"/>
        <v>1.9878740581142733</v>
      </c>
      <c r="G528" s="15">
        <f t="shared" ca="1" si="57"/>
        <v>1.3065655354655361</v>
      </c>
      <c r="H528" s="15">
        <f t="shared" ca="1" si="58"/>
        <v>2.7754560883172331E-2</v>
      </c>
      <c r="J528" s="17">
        <f t="shared" ca="1" si="61"/>
        <v>1</v>
      </c>
      <c r="K528" s="24">
        <f t="shared" ca="1" si="62"/>
        <v>0</v>
      </c>
      <c r="L528" s="17">
        <f t="shared" ca="1" si="63"/>
        <v>1</v>
      </c>
      <c r="N528" s="24" t="str">
        <f ca="1">IF(AND(L528=1,L527&lt;&gt;1),MAX($N$8:N527)+1,"")</f>
        <v/>
      </c>
      <c r="O528" s="24" t="str">
        <f ca="1">IF(AND(L528&lt;&gt;1,L527=1),MAX($O$8:O527)+1,"")</f>
        <v/>
      </c>
      <c r="P528" s="17" t="str">
        <f ca="1">IF(AND(L528=-1,L527&lt;&gt;-1),MAX($P$8:P527)+1,"")</f>
        <v/>
      </c>
      <c r="Q528" s="24" t="str">
        <f ca="1">IF(AND(L528&lt;&gt;-1,L527=-1),MAX($Q$8:Q527)+1,"")</f>
        <v/>
      </c>
    </row>
    <row r="529" spans="1:17" x14ac:dyDescent="0.3">
      <c r="A529" s="3">
        <v>40954</v>
      </c>
      <c r="B529" s="9">
        <v>11.541639999999999</v>
      </c>
      <c r="C529" s="9">
        <v>8.5164430000000007</v>
      </c>
      <c r="E529" s="14">
        <f t="shared" si="60"/>
        <v>1.355218369922748</v>
      </c>
      <c r="F529" s="18">
        <f t="shared" ca="1" si="59"/>
        <v>1.5699577317792628</v>
      </c>
      <c r="G529" s="15">
        <f t="shared" ca="1" si="57"/>
        <v>1.3088409718429073</v>
      </c>
      <c r="H529" s="15">
        <f t="shared" ca="1" si="58"/>
        <v>2.9540539303106191E-2</v>
      </c>
      <c r="J529" s="17">
        <f t="shared" ca="1" si="61"/>
        <v>1</v>
      </c>
      <c r="K529" s="24">
        <f t="shared" ca="1" si="62"/>
        <v>0</v>
      </c>
      <c r="L529" s="17">
        <f t="shared" ca="1" si="63"/>
        <v>1</v>
      </c>
      <c r="N529" s="24" t="str">
        <f ca="1">IF(AND(L529=1,L528&lt;&gt;1),MAX($N$8:N528)+1,"")</f>
        <v/>
      </c>
      <c r="O529" s="24" t="str">
        <f ca="1">IF(AND(L529&lt;&gt;1,L528=1),MAX($O$8:O528)+1,"")</f>
        <v/>
      </c>
      <c r="P529" s="17" t="str">
        <f ca="1">IF(AND(L529=-1,L528&lt;&gt;-1),MAX($P$8:P528)+1,"")</f>
        <v/>
      </c>
      <c r="Q529" s="24" t="str">
        <f ca="1">IF(AND(L529&lt;&gt;-1,L528=-1),MAX($Q$8:Q528)+1,"")</f>
        <v/>
      </c>
    </row>
    <row r="530" spans="1:17" x14ac:dyDescent="0.3">
      <c r="A530" s="3">
        <v>40955</v>
      </c>
      <c r="B530" s="9">
        <v>11.570124</v>
      </c>
      <c r="C530" s="9">
        <v>8.5691170000000003</v>
      </c>
      <c r="E530" s="14">
        <f t="shared" si="60"/>
        <v>1.3502119296538955</v>
      </c>
      <c r="F530" s="18">
        <f t="shared" ca="1" si="59"/>
        <v>1.2774443676011833</v>
      </c>
      <c r="G530" s="15">
        <f t="shared" ca="1" si="57"/>
        <v>1.3109435345708427</v>
      </c>
      <c r="H530" s="15">
        <f t="shared" ca="1" si="58"/>
        <v>3.0739808385387431E-2</v>
      </c>
      <c r="J530" s="17">
        <f t="shared" ca="1" si="61"/>
        <v>1</v>
      </c>
      <c r="K530" s="24">
        <f t="shared" ca="1" si="62"/>
        <v>0</v>
      </c>
      <c r="L530" s="17">
        <f t="shared" ca="1" si="63"/>
        <v>1</v>
      </c>
      <c r="N530" s="24" t="str">
        <f ca="1">IF(AND(L530=1,L529&lt;&gt;1),MAX($N$8:N529)+1,"")</f>
        <v/>
      </c>
      <c r="O530" s="24" t="str">
        <f ca="1">IF(AND(L530&lt;&gt;1,L529=1),MAX($O$8:O529)+1,"")</f>
        <v/>
      </c>
      <c r="P530" s="17" t="str">
        <f ca="1">IF(AND(L530=-1,L529&lt;&gt;-1),MAX($P$8:P529)+1,"")</f>
        <v/>
      </c>
      <c r="Q530" s="24" t="str">
        <f ca="1">IF(AND(L530&lt;&gt;-1,L529=-1),MAX($Q$8:Q529)+1,"")</f>
        <v/>
      </c>
    </row>
    <row r="531" spans="1:17" x14ac:dyDescent="0.3">
      <c r="A531" s="3">
        <v>40956</v>
      </c>
      <c r="B531" s="9">
        <v>11.624095000000001</v>
      </c>
      <c r="C531" s="9">
        <v>8.5441610000000008</v>
      </c>
      <c r="E531" s="14">
        <f t="shared" si="60"/>
        <v>1.3604723740575582</v>
      </c>
      <c r="F531" s="18">
        <f t="shared" ca="1" si="59"/>
        <v>1.4508579487881685</v>
      </c>
      <c r="G531" s="15">
        <f t="shared" ca="1" si="57"/>
        <v>1.3135124811353078</v>
      </c>
      <c r="H531" s="15">
        <f t="shared" ca="1" si="58"/>
        <v>3.236698186853762E-2</v>
      </c>
      <c r="J531" s="17">
        <f t="shared" ca="1" si="61"/>
        <v>1</v>
      </c>
      <c r="K531" s="24">
        <f t="shared" ca="1" si="62"/>
        <v>0</v>
      </c>
      <c r="L531" s="17">
        <f t="shared" ca="1" si="63"/>
        <v>1</v>
      </c>
      <c r="N531" s="24" t="str">
        <f ca="1">IF(AND(L531=1,L530&lt;&gt;1),MAX($N$8:N530)+1,"")</f>
        <v/>
      </c>
      <c r="O531" s="24" t="str">
        <f ca="1">IF(AND(L531&lt;&gt;1,L530=1),MAX($O$8:O530)+1,"")</f>
        <v/>
      </c>
      <c r="P531" s="17" t="str">
        <f ca="1">IF(AND(L531=-1,L530&lt;&gt;-1),MAX($P$8:P530)+1,"")</f>
        <v/>
      </c>
      <c r="Q531" s="24" t="str">
        <f ca="1">IF(AND(L531&lt;&gt;-1,L530=-1),MAX($Q$8:Q530)+1,"")</f>
        <v/>
      </c>
    </row>
    <row r="532" spans="1:17" x14ac:dyDescent="0.3">
      <c r="A532" s="3">
        <v>40962</v>
      </c>
      <c r="B532" s="9">
        <v>11.446524</v>
      </c>
      <c r="C532" s="9">
        <v>8.4082640000000008</v>
      </c>
      <c r="E532" s="14">
        <f t="shared" si="60"/>
        <v>1.3613421272215047</v>
      </c>
      <c r="F532" s="18">
        <f t="shared" ca="1" si="59"/>
        <v>1.3504883886166812</v>
      </c>
      <c r="G532" s="15">
        <f t="shared" ca="1" si="57"/>
        <v>1.3156029595408221</v>
      </c>
      <c r="H532" s="15">
        <f t="shared" ca="1" si="58"/>
        <v>3.3868612322934324E-2</v>
      </c>
      <c r="J532" s="17">
        <f t="shared" ca="1" si="61"/>
        <v>1</v>
      </c>
      <c r="K532" s="24">
        <f t="shared" ca="1" si="62"/>
        <v>0</v>
      </c>
      <c r="L532" s="17">
        <f t="shared" ca="1" si="63"/>
        <v>1</v>
      </c>
      <c r="N532" s="24" t="str">
        <f ca="1">IF(AND(L532=1,L531&lt;&gt;1),MAX($N$8:N531)+1,"")</f>
        <v/>
      </c>
      <c r="O532" s="24" t="str">
        <f ca="1">IF(AND(L532&lt;&gt;1,L531=1),MAX($O$8:O531)+1,"")</f>
        <v/>
      </c>
      <c r="P532" s="17" t="str">
        <f ca="1">IF(AND(L532=-1,L531&lt;&gt;-1),MAX($P$8:P531)+1,"")</f>
        <v/>
      </c>
      <c r="Q532" s="24" t="str">
        <f ca="1">IF(AND(L532&lt;&gt;-1,L531=-1),MAX($Q$8:Q531)+1,"")</f>
        <v/>
      </c>
    </row>
    <row r="533" spans="1:17" x14ac:dyDescent="0.3">
      <c r="A533" s="3">
        <v>40963</v>
      </c>
      <c r="B533" s="9">
        <v>11.414771</v>
      </c>
      <c r="C533" s="9">
        <v>8.4221599999999999</v>
      </c>
      <c r="E533" s="14">
        <f t="shared" si="60"/>
        <v>1.3553258309032363</v>
      </c>
      <c r="F533" s="18">
        <f t="shared" ca="1" si="59"/>
        <v>1.0916463149263311</v>
      </c>
      <c r="G533" s="15">
        <f t="shared" ca="1" si="57"/>
        <v>1.3172652269619169</v>
      </c>
      <c r="H533" s="15">
        <f t="shared" ca="1" si="58"/>
        <v>3.4865325353924607E-2</v>
      </c>
      <c r="J533" s="17">
        <f t="shared" ca="1" si="61"/>
        <v>1</v>
      </c>
      <c r="K533" s="24">
        <f t="shared" ca="1" si="62"/>
        <v>0</v>
      </c>
      <c r="L533" s="17">
        <f t="shared" ca="1" si="63"/>
        <v>1</v>
      </c>
      <c r="N533" s="24" t="str">
        <f ca="1">IF(AND(L533=1,L532&lt;&gt;1),MAX($N$8:N532)+1,"")</f>
        <v/>
      </c>
      <c r="O533" s="24" t="str">
        <f ca="1">IF(AND(L533&lt;&gt;1,L532=1),MAX($O$8:O532)+1,"")</f>
        <v/>
      </c>
      <c r="P533" s="17" t="str">
        <f ca="1">IF(AND(L533=-1,L532&lt;&gt;-1),MAX($P$8:P532)+1,"")</f>
        <v/>
      </c>
      <c r="Q533" s="24" t="str">
        <f ca="1">IF(AND(L533&lt;&gt;-1,L532=-1),MAX($Q$8:Q532)+1,"")</f>
        <v/>
      </c>
    </row>
    <row r="534" spans="1:17" x14ac:dyDescent="0.3">
      <c r="A534" s="3">
        <v>40966</v>
      </c>
      <c r="B534" s="9">
        <v>11.291097000000001</v>
      </c>
      <c r="C534" s="9">
        <v>8.3361710000000002</v>
      </c>
      <c r="E534" s="14">
        <f t="shared" si="60"/>
        <v>1.3544704157340344</v>
      </c>
      <c r="F534" s="18">
        <f t="shared" ca="1" si="59"/>
        <v>0.9962087442420251</v>
      </c>
      <c r="G534" s="15">
        <f t="shared" ca="1" si="57"/>
        <v>1.3188878519805971</v>
      </c>
      <c r="H534" s="15">
        <f t="shared" ca="1" si="58"/>
        <v>3.5717979749827031E-2</v>
      </c>
      <c r="J534" s="17">
        <f t="shared" ca="1" si="61"/>
        <v>1</v>
      </c>
      <c r="K534" s="24">
        <f t="shared" ca="1" si="62"/>
        <v>0</v>
      </c>
      <c r="L534" s="17">
        <f t="shared" ca="1" si="63"/>
        <v>1</v>
      </c>
      <c r="N534" s="24" t="str">
        <f ca="1">IF(AND(L534=1,L533&lt;&gt;1),MAX($N$8:N533)+1,"")</f>
        <v/>
      </c>
      <c r="O534" s="24" t="str">
        <f ca="1">IF(AND(L534&lt;&gt;1,L533=1),MAX($O$8:O533)+1,"")</f>
        <v/>
      </c>
      <c r="P534" s="17" t="str">
        <f ca="1">IF(AND(L534=-1,L533&lt;&gt;-1),MAX($P$8:P533)+1,"")</f>
        <v/>
      </c>
      <c r="Q534" s="24" t="str">
        <f ca="1">IF(AND(L534&lt;&gt;-1,L533=-1),MAX($Q$8:Q533)+1,"")</f>
        <v/>
      </c>
    </row>
    <row r="535" spans="1:17" x14ac:dyDescent="0.3">
      <c r="A535" s="3">
        <v>40967</v>
      </c>
      <c r="B535" s="9">
        <v>11.598674000000001</v>
      </c>
      <c r="C535" s="9">
        <v>8.5164430000000007</v>
      </c>
      <c r="E535" s="14">
        <f t="shared" si="60"/>
        <v>1.361915297266711</v>
      </c>
      <c r="F535" s="18">
        <f t="shared" ca="1" si="59"/>
        <v>1.0991854784026003</v>
      </c>
      <c r="G535" s="15">
        <f t="shared" ca="1" si="57"/>
        <v>1.3218336196134493</v>
      </c>
      <c r="H535" s="15">
        <f t="shared" ca="1" si="58"/>
        <v>3.646489008525728E-2</v>
      </c>
      <c r="J535" s="17">
        <f t="shared" ca="1" si="61"/>
        <v>1</v>
      </c>
      <c r="K535" s="24">
        <f t="shared" ca="1" si="62"/>
        <v>0</v>
      </c>
      <c r="L535" s="17">
        <f t="shared" ca="1" si="63"/>
        <v>1</v>
      </c>
      <c r="N535" s="24" t="str">
        <f ca="1">IF(AND(L535=1,L534&lt;&gt;1),MAX($N$8:N534)+1,"")</f>
        <v/>
      </c>
      <c r="O535" s="24" t="str">
        <f ca="1">IF(AND(L535&lt;&gt;1,L534=1),MAX($O$8:O534)+1,"")</f>
        <v/>
      </c>
      <c r="P535" s="17" t="str">
        <f ca="1">IF(AND(L535=-1,L534&lt;&gt;-1),MAX($P$8:P534)+1,"")</f>
        <v/>
      </c>
      <c r="Q535" s="24" t="str">
        <f ca="1">IF(AND(L535&lt;&gt;-1,L534=-1),MAX($Q$8:Q534)+1,"")</f>
        <v/>
      </c>
    </row>
    <row r="536" spans="1:17" x14ac:dyDescent="0.3">
      <c r="A536" s="3">
        <v>40968</v>
      </c>
      <c r="B536" s="9">
        <v>11.668443</v>
      </c>
      <c r="C536" s="9">
        <v>8.6523339999999997</v>
      </c>
      <c r="E536" s="14">
        <f t="shared" si="60"/>
        <v>1.3485890627893007</v>
      </c>
      <c r="F536" s="18">
        <f t="shared" ca="1" si="59"/>
        <v>0.66234502785604865</v>
      </c>
      <c r="G536" s="15">
        <f t="shared" ca="1" si="57"/>
        <v>1.3256178679541561</v>
      </c>
      <c r="H536" s="15">
        <f t="shared" ca="1" si="58"/>
        <v>3.4681614368722948E-2</v>
      </c>
      <c r="J536" s="17">
        <f t="shared" ca="1" si="61"/>
        <v>1</v>
      </c>
      <c r="K536" s="24">
        <f t="shared" ca="1" si="62"/>
        <v>0</v>
      </c>
      <c r="L536" s="17">
        <f t="shared" ca="1" si="63"/>
        <v>1</v>
      </c>
      <c r="N536" s="24" t="str">
        <f ca="1">IF(AND(L536=1,L535&lt;&gt;1),MAX($N$8:N535)+1,"")</f>
        <v/>
      </c>
      <c r="O536" s="24" t="str">
        <f ca="1">IF(AND(L536&lt;&gt;1,L535=1),MAX($O$8:O535)+1,"")</f>
        <v/>
      </c>
      <c r="P536" s="17" t="str">
        <f ca="1">IF(AND(L536=-1,L535&lt;&gt;-1),MAX($P$8:P535)+1,"")</f>
        <v/>
      </c>
      <c r="Q536" s="24" t="str">
        <f ca="1">IF(AND(L536&lt;&gt;-1,L535=-1),MAX($Q$8:Q535)+1,"")</f>
        <v/>
      </c>
    </row>
    <row r="537" spans="1:17" x14ac:dyDescent="0.3">
      <c r="A537" s="3">
        <v>40969</v>
      </c>
      <c r="B537" s="9">
        <v>11.805820000000001</v>
      </c>
      <c r="C537" s="9">
        <v>8.7660429999999998</v>
      </c>
      <c r="E537" s="14">
        <f t="shared" si="60"/>
        <v>1.3467672928366883</v>
      </c>
      <c r="F537" s="18">
        <f t="shared" ca="1" si="59"/>
        <v>0.54005871315099185</v>
      </c>
      <c r="G537" s="15">
        <f t="shared" ca="1" si="57"/>
        <v>1.3289539768071739</v>
      </c>
      <c r="H537" s="15">
        <f t="shared" ca="1" si="58"/>
        <v>3.2984035986720749E-2</v>
      </c>
      <c r="J537" s="17">
        <f t="shared" ca="1" si="61"/>
        <v>1</v>
      </c>
      <c r="K537" s="24">
        <f t="shared" ca="1" si="62"/>
        <v>0</v>
      </c>
      <c r="L537" s="17">
        <f t="shared" ca="1" si="63"/>
        <v>1</v>
      </c>
      <c r="N537" s="24" t="str">
        <f ca="1">IF(AND(L537=1,L536&lt;&gt;1),MAX($N$8:N536)+1,"")</f>
        <v/>
      </c>
      <c r="O537" s="24" t="str">
        <f ca="1">IF(AND(L537&lt;&gt;1,L536=1),MAX($O$8:O536)+1,"")</f>
        <v/>
      </c>
      <c r="P537" s="17" t="str">
        <f ca="1">IF(AND(L537=-1,L536&lt;&gt;-1),MAX($P$8:P536)+1,"")</f>
        <v/>
      </c>
      <c r="Q537" s="24" t="str">
        <f ca="1">IF(AND(L537&lt;&gt;-1,L536=-1),MAX($Q$8:Q536)+1,"")</f>
        <v/>
      </c>
    </row>
    <row r="538" spans="1:17" x14ac:dyDescent="0.3">
      <c r="A538" s="3">
        <v>40970</v>
      </c>
      <c r="B538" s="9">
        <v>11.96452</v>
      </c>
      <c r="C538" s="9">
        <v>8.9040280000000003</v>
      </c>
      <c r="E538" s="14">
        <f t="shared" si="60"/>
        <v>1.343719943378435</v>
      </c>
      <c r="F538" s="18">
        <f t="shared" ca="1" si="59"/>
        <v>0.3719305664918699</v>
      </c>
      <c r="G538" s="15">
        <f t="shared" ca="1" si="57"/>
        <v>1.3328912267360333</v>
      </c>
      <c r="H538" s="15">
        <f t="shared" ca="1" si="58"/>
        <v>2.9114887610718627E-2</v>
      </c>
      <c r="J538" s="17">
        <f t="shared" ca="1" si="61"/>
        <v>1</v>
      </c>
      <c r="K538" s="24">
        <f t="shared" ca="1" si="62"/>
        <v>0</v>
      </c>
      <c r="L538" s="17">
        <f t="shared" ca="1" si="63"/>
        <v>1</v>
      </c>
      <c r="N538" s="24" t="str">
        <f ca="1">IF(AND(L538=1,L537&lt;&gt;1),MAX($N$8:N537)+1,"")</f>
        <v/>
      </c>
      <c r="O538" s="24" t="str">
        <f ca="1">IF(AND(L538&lt;&gt;1,L537=1),MAX($O$8:O537)+1,"")</f>
        <v/>
      </c>
      <c r="P538" s="17" t="str">
        <f ca="1">IF(AND(L538=-1,L537&lt;&gt;-1),MAX($P$8:P537)+1,"")</f>
        <v/>
      </c>
      <c r="Q538" s="24" t="str">
        <f ca="1">IF(AND(L538&lt;&gt;-1,L537=-1),MAX($Q$8:Q537)+1,"")</f>
        <v/>
      </c>
    </row>
    <row r="539" spans="1:17" x14ac:dyDescent="0.3">
      <c r="A539" s="3">
        <v>40973</v>
      </c>
      <c r="B539" s="9">
        <v>11.790001</v>
      </c>
      <c r="C539" s="9">
        <v>8.7763419999999996</v>
      </c>
      <c r="E539" s="14">
        <f t="shared" si="60"/>
        <v>1.343384407763508</v>
      </c>
      <c r="F539" s="18">
        <f t="shared" ca="1" si="59"/>
        <v>0.27364578186371358</v>
      </c>
      <c r="G539" s="15">
        <f t="shared" ca="1" si="57"/>
        <v>1.3368431608283649</v>
      </c>
      <c r="H539" s="15">
        <f t="shared" ca="1" si="58"/>
        <v>2.3904066383164384E-2</v>
      </c>
      <c r="J539" s="17">
        <f t="shared" ca="1" si="61"/>
        <v>1</v>
      </c>
      <c r="K539" s="24">
        <f t="shared" ca="1" si="62"/>
        <v>0</v>
      </c>
      <c r="L539" s="17">
        <f t="shared" ca="1" si="63"/>
        <v>1</v>
      </c>
      <c r="N539" s="24" t="str">
        <f ca="1">IF(AND(L539=1,L538&lt;&gt;1),MAX($N$8:N538)+1,"")</f>
        <v/>
      </c>
      <c r="O539" s="24" t="str">
        <f ca="1">IF(AND(L539&lt;&gt;1,L538=1),MAX($O$8:O538)+1,"")</f>
        <v/>
      </c>
      <c r="P539" s="17" t="str">
        <f ca="1">IF(AND(L539=-1,L538&lt;&gt;-1),MAX($P$8:P538)+1,"")</f>
        <v/>
      </c>
      <c r="Q539" s="24" t="str">
        <f ca="1">IF(AND(L539&lt;&gt;-1,L538=-1),MAX($Q$8:Q538)+1,"")</f>
        <v/>
      </c>
    </row>
    <row r="540" spans="1:17" x14ac:dyDescent="0.3">
      <c r="A540" s="3">
        <v>40974</v>
      </c>
      <c r="B540" s="9">
        <v>11.393286</v>
      </c>
      <c r="C540" s="9">
        <v>8.5514309999999991</v>
      </c>
      <c r="E540" s="14">
        <f t="shared" si="60"/>
        <v>1.3323250810302978</v>
      </c>
      <c r="F540" s="18">
        <f t="shared" ca="1" si="59"/>
        <v>-0.32238718719001597</v>
      </c>
      <c r="G540" s="15">
        <f t="shared" ca="1" si="57"/>
        <v>1.3390679604854889</v>
      </c>
      <c r="H540" s="15">
        <f t="shared" ca="1" si="58"/>
        <v>2.0915469730553742E-2</v>
      </c>
      <c r="J540" s="17">
        <f t="shared" ca="1" si="61"/>
        <v>0</v>
      </c>
      <c r="K540" s="24">
        <f t="shared" ca="1" si="62"/>
        <v>0</v>
      </c>
      <c r="L540" s="17">
        <f t="shared" ca="1" si="63"/>
        <v>0</v>
      </c>
      <c r="N540" s="24" t="str">
        <f ca="1">IF(AND(L540=1,L539&lt;&gt;1),MAX($N$8:N539)+1,"")</f>
        <v/>
      </c>
      <c r="O540" s="24">
        <f ca="1">IF(AND(L540&lt;&gt;1,L539=1),MAX($O$8:O539)+1,"")</f>
        <v>17</v>
      </c>
      <c r="P540" s="17" t="str">
        <f ca="1">IF(AND(L540=-1,L539&lt;&gt;-1),MAX($P$8:P539)+1,"")</f>
        <v/>
      </c>
      <c r="Q540" s="24" t="str">
        <f ca="1">IF(AND(L540&lt;&gt;-1,L539=-1),MAX($Q$8:Q539)+1,"")</f>
        <v/>
      </c>
    </row>
    <row r="541" spans="1:17" x14ac:dyDescent="0.3">
      <c r="A541" s="3">
        <v>40975</v>
      </c>
      <c r="B541" s="9">
        <v>11.6313</v>
      </c>
      <c r="C541" s="9">
        <v>8.7485900000000001</v>
      </c>
      <c r="E541" s="14">
        <f t="shared" si="60"/>
        <v>1.3295056689135047</v>
      </c>
      <c r="F541" s="18">
        <f t="shared" ca="1" si="59"/>
        <v>-0.52713089462293428</v>
      </c>
      <c r="G541" s="15">
        <f t="shared" ca="1" si="57"/>
        <v>1.3400239392792952</v>
      </c>
      <c r="H541" s="15">
        <f t="shared" ca="1" si="58"/>
        <v>1.9953811231865567E-2</v>
      </c>
      <c r="J541" s="17">
        <f t="shared" ca="1" si="61"/>
        <v>0</v>
      </c>
      <c r="K541" s="24">
        <f t="shared" ca="1" si="62"/>
        <v>0</v>
      </c>
      <c r="L541" s="17">
        <f t="shared" ca="1" si="63"/>
        <v>0</v>
      </c>
      <c r="N541" s="24" t="str">
        <f ca="1">IF(AND(L541=1,L540&lt;&gt;1),MAX($N$8:N540)+1,"")</f>
        <v/>
      </c>
      <c r="O541" s="24" t="str">
        <f ca="1">IF(AND(L541&lt;&gt;1,L540=1),MAX($O$8:O540)+1,"")</f>
        <v/>
      </c>
      <c r="P541" s="17" t="str">
        <f ca="1">IF(AND(L541=-1,L540&lt;&gt;-1),MAX($P$8:P540)+1,"")</f>
        <v/>
      </c>
      <c r="Q541" s="24" t="str">
        <f ca="1">IF(AND(L541&lt;&gt;-1,L540=-1),MAX($Q$8:Q540)+1,"")</f>
        <v/>
      </c>
    </row>
    <row r="542" spans="1:17" x14ac:dyDescent="0.3">
      <c r="A542" s="3">
        <v>40976</v>
      </c>
      <c r="B542" s="9">
        <v>12.002646</v>
      </c>
      <c r="C542" s="9">
        <v>8.8846419999999995</v>
      </c>
      <c r="E542" s="14">
        <f t="shared" si="60"/>
        <v>1.3509431218500421</v>
      </c>
      <c r="F542" s="18">
        <f t="shared" ca="1" si="59"/>
        <v>0.47645370823610061</v>
      </c>
      <c r="G542" s="15">
        <f t="shared" ca="1" si="57"/>
        <v>1.3421384463358137</v>
      </c>
      <c r="H542" s="15">
        <f t="shared" ca="1" si="58"/>
        <v>1.8479603289949253E-2</v>
      </c>
      <c r="J542" s="17">
        <f t="shared" ca="1" si="61"/>
        <v>0</v>
      </c>
      <c r="K542" s="24">
        <f t="shared" ca="1" si="62"/>
        <v>0</v>
      </c>
      <c r="L542" s="17">
        <f t="shared" ca="1" si="63"/>
        <v>0</v>
      </c>
      <c r="N542" s="24" t="str">
        <f ca="1">IF(AND(L542=1,L541&lt;&gt;1),MAX($N$8:N541)+1,"")</f>
        <v/>
      </c>
      <c r="O542" s="24" t="str">
        <f ca="1">IF(AND(L542&lt;&gt;1,L541=1),MAX($O$8:O541)+1,"")</f>
        <v/>
      </c>
      <c r="P542" s="17" t="str">
        <f ca="1">IF(AND(L542=-1,L541&lt;&gt;-1),MAX($P$8:P541)+1,"")</f>
        <v/>
      </c>
      <c r="Q542" s="24" t="str">
        <f ca="1">IF(AND(L542&lt;&gt;-1,L541=-1),MAX($Q$8:Q541)+1,"")</f>
        <v/>
      </c>
    </row>
    <row r="543" spans="1:17" x14ac:dyDescent="0.3">
      <c r="A543" s="3">
        <v>40977</v>
      </c>
      <c r="B543" s="9">
        <v>12.192987</v>
      </c>
      <c r="C543" s="9">
        <v>9.0428499999999996</v>
      </c>
      <c r="E543" s="14">
        <f t="shared" si="60"/>
        <v>1.3483566574697137</v>
      </c>
      <c r="F543" s="18">
        <f t="shared" ca="1" si="59"/>
        <v>0.24652398964601654</v>
      </c>
      <c r="G543" s="15">
        <f t="shared" ref="G543:G606" ca="1" si="64">IF(ISNUMBER(E543),IF(ROW(E543)&gt;$J$1,AVERAGE(OFFSET(E543,0,0,-$J$1)),""),"")</f>
        <v>1.3445774913966675</v>
      </c>
      <c r="H543" s="15">
        <f t="shared" ref="H543:H606" ca="1" si="65">IF(ISNUMBER(E543),IF(ROW(E543)&gt;$J$1,_xlfn.STDEV.P(OFFSET(E543,0,0,-$J$1)),""),"")</f>
        <v>1.5329810613858229E-2</v>
      </c>
      <c r="J543" s="17">
        <f t="shared" ca="1" si="61"/>
        <v>0</v>
      </c>
      <c r="K543" s="24">
        <f t="shared" ca="1" si="62"/>
        <v>0</v>
      </c>
      <c r="L543" s="17">
        <f t="shared" ca="1" si="63"/>
        <v>0</v>
      </c>
      <c r="N543" s="24" t="str">
        <f ca="1">IF(AND(L543=1,L542&lt;&gt;1),MAX($N$8:N542)+1,"")</f>
        <v/>
      </c>
      <c r="O543" s="24" t="str">
        <f ca="1">IF(AND(L543&lt;&gt;1,L542=1),MAX($O$8:O542)+1,"")</f>
        <v/>
      </c>
      <c r="P543" s="17" t="str">
        <f ca="1">IF(AND(L543=-1,L542&lt;&gt;-1),MAX($P$8:P542)+1,"")</f>
        <v/>
      </c>
      <c r="Q543" s="24" t="str">
        <f ca="1">IF(AND(L543&lt;&gt;-1,L542=-1),MAX($Q$8:Q542)+1,"")</f>
        <v/>
      </c>
    </row>
    <row r="544" spans="1:17" x14ac:dyDescent="0.3">
      <c r="A544" s="3">
        <v>40980</v>
      </c>
      <c r="B544" s="9">
        <v>11.999442999999999</v>
      </c>
      <c r="C544" s="9">
        <v>8.9818099999999994</v>
      </c>
      <c r="E544" s="14">
        <f t="shared" si="60"/>
        <v>1.3359715914720975</v>
      </c>
      <c r="F544" s="18">
        <f t="shared" ca="1" si="59"/>
        <v>-0.81000595335844583</v>
      </c>
      <c r="G544" s="15">
        <f t="shared" ca="1" si="64"/>
        <v>1.3460926260521389</v>
      </c>
      <c r="H544" s="15">
        <f t="shared" ca="1" si="65"/>
        <v>1.2495012583645217E-2</v>
      </c>
      <c r="J544" s="17">
        <f t="shared" ca="1" si="61"/>
        <v>0</v>
      </c>
      <c r="K544" s="24">
        <f t="shared" ca="1" si="62"/>
        <v>0</v>
      </c>
      <c r="L544" s="17">
        <f t="shared" ca="1" si="63"/>
        <v>0</v>
      </c>
      <c r="N544" s="24" t="str">
        <f ca="1">IF(AND(L544=1,L543&lt;&gt;1),MAX($N$8:N543)+1,"")</f>
        <v/>
      </c>
      <c r="O544" s="24" t="str">
        <f ca="1">IF(AND(L544&lt;&gt;1,L543=1),MAX($O$8:O543)+1,"")</f>
        <v/>
      </c>
      <c r="P544" s="17" t="str">
        <f ca="1">IF(AND(L544=-1,L543&lt;&gt;-1),MAX($P$8:P543)+1,"")</f>
        <v/>
      </c>
      <c r="Q544" s="24" t="str">
        <f ca="1">IF(AND(L544&lt;&gt;-1,L543=-1),MAX($Q$8:Q543)+1,"")</f>
        <v/>
      </c>
    </row>
    <row r="545" spans="1:17" x14ac:dyDescent="0.3">
      <c r="A545" s="3">
        <v>40981</v>
      </c>
      <c r="B545" s="9">
        <v>12.139044</v>
      </c>
      <c r="C545" s="9">
        <v>9.1344790000000007</v>
      </c>
      <c r="E545" s="14">
        <f t="shared" si="60"/>
        <v>1.3289257110339845</v>
      </c>
      <c r="F545" s="18">
        <f t="shared" ca="1" si="59"/>
        <v>-1.6749537411905764</v>
      </c>
      <c r="G545" s="15">
        <f t="shared" ca="1" si="64"/>
        <v>1.3468791588190698</v>
      </c>
      <c r="H545" s="15">
        <f t="shared" ca="1" si="65"/>
        <v>1.0718772312078198E-2</v>
      </c>
      <c r="J545" s="17">
        <f t="shared" ca="1" si="61"/>
        <v>0</v>
      </c>
      <c r="K545" s="24">
        <f t="shared" ca="1" si="62"/>
        <v>-1</v>
      </c>
      <c r="L545" s="17">
        <f t="shared" ca="1" si="63"/>
        <v>-1</v>
      </c>
      <c r="N545" s="24" t="str">
        <f ca="1">IF(AND(L545=1,L544&lt;&gt;1),MAX($N$8:N544)+1,"")</f>
        <v/>
      </c>
      <c r="O545" s="24" t="str">
        <f ca="1">IF(AND(L545&lt;&gt;1,L544=1),MAX($O$8:O544)+1,"")</f>
        <v/>
      </c>
      <c r="P545" s="17">
        <f ca="1">IF(AND(L545=-1,L544&lt;&gt;-1),MAX($P$8:P544)+1,"")</f>
        <v>19</v>
      </c>
      <c r="Q545" s="24" t="str">
        <f ca="1">IF(AND(L545&lt;&gt;-1,L544=-1),MAX($Q$8:Q544)+1,"")</f>
        <v/>
      </c>
    </row>
    <row r="546" spans="1:17" x14ac:dyDescent="0.3">
      <c r="A546" s="3">
        <v>40982</v>
      </c>
      <c r="B546" s="9">
        <v>12.186648</v>
      </c>
      <c r="C546" s="9">
        <v>9.1206370000000003</v>
      </c>
      <c r="E546" s="14">
        <f t="shared" si="60"/>
        <v>1.3361619369348874</v>
      </c>
      <c r="F546" s="18">
        <f t="shared" ca="1" si="59"/>
        <v>-0.94408114621883121</v>
      </c>
      <c r="G546" s="15">
        <f t="shared" ca="1" si="64"/>
        <v>1.3464926496177745</v>
      </c>
      <c r="H546" s="15">
        <f t="shared" ca="1" si="65"/>
        <v>1.0942610944263593E-2</v>
      </c>
      <c r="J546" s="17">
        <f t="shared" ca="1" si="61"/>
        <v>0</v>
      </c>
      <c r="K546" s="24">
        <f t="shared" ca="1" si="62"/>
        <v>-1</v>
      </c>
      <c r="L546" s="17">
        <f t="shared" ca="1" si="63"/>
        <v>-1</v>
      </c>
      <c r="N546" s="24" t="str">
        <f ca="1">IF(AND(L546=1,L545&lt;&gt;1),MAX($N$8:N545)+1,"")</f>
        <v/>
      </c>
      <c r="O546" s="24" t="str">
        <f ca="1">IF(AND(L546&lt;&gt;1,L545=1),MAX($O$8:O545)+1,"")</f>
        <v/>
      </c>
      <c r="P546" s="17" t="str">
        <f ca="1">IF(AND(L546=-1,L545&lt;&gt;-1),MAX($P$8:P545)+1,"")</f>
        <v/>
      </c>
      <c r="Q546" s="24" t="str">
        <f ca="1">IF(AND(L546&lt;&gt;-1,L545=-1),MAX($Q$8:Q545)+1,"")</f>
        <v/>
      </c>
    </row>
    <row r="547" spans="1:17" x14ac:dyDescent="0.3">
      <c r="A547" s="3">
        <v>40983</v>
      </c>
      <c r="B547" s="9">
        <v>12.208879</v>
      </c>
      <c r="C547" s="9">
        <v>9.1678370000000005</v>
      </c>
      <c r="E547" s="14">
        <f t="shared" si="60"/>
        <v>1.3317076863386641</v>
      </c>
      <c r="F547" s="18">
        <f t="shared" ca="1" si="59"/>
        <v>-1.2459107632767974</v>
      </c>
      <c r="G547" s="15">
        <f t="shared" ca="1" si="64"/>
        <v>1.3458713526615473</v>
      </c>
      <c r="H547" s="15">
        <f t="shared" ca="1" si="65"/>
        <v>1.136812261387983E-2</v>
      </c>
      <c r="J547" s="17">
        <f t="shared" ca="1" si="61"/>
        <v>0</v>
      </c>
      <c r="K547" s="24">
        <f t="shared" ca="1" si="62"/>
        <v>-1</v>
      </c>
      <c r="L547" s="17">
        <f t="shared" ca="1" si="63"/>
        <v>-1</v>
      </c>
      <c r="N547" s="24" t="str">
        <f ca="1">IF(AND(L547=1,L546&lt;&gt;1),MAX($N$8:N546)+1,"")</f>
        <v/>
      </c>
      <c r="O547" s="24" t="str">
        <f ca="1">IF(AND(L547&lt;&gt;1,L546=1),MAX($O$8:O546)+1,"")</f>
        <v/>
      </c>
      <c r="P547" s="17" t="str">
        <f ca="1">IF(AND(L547=-1,L546&lt;&gt;-1),MAX($P$8:P546)+1,"")</f>
        <v/>
      </c>
      <c r="Q547" s="24" t="str">
        <f ca="1">IF(AND(L547&lt;&gt;-1,L546=-1),MAX($Q$8:Q546)+1,"")</f>
        <v/>
      </c>
    </row>
    <row r="548" spans="1:17" x14ac:dyDescent="0.3">
      <c r="A548" s="3">
        <v>40984</v>
      </c>
      <c r="B548" s="9">
        <v>12.250145</v>
      </c>
      <c r="C548" s="9">
        <v>9.1900469999999999</v>
      </c>
      <c r="E548" s="14">
        <f t="shared" si="60"/>
        <v>1.3329795810619902</v>
      </c>
      <c r="F548" s="18">
        <f t="shared" ca="1" si="59"/>
        <v>-1.0497398077765336</v>
      </c>
      <c r="G548" s="15">
        <f t="shared" ca="1" si="64"/>
        <v>1.3452365331312184</v>
      </c>
      <c r="H548" s="15">
        <f t="shared" ca="1" si="65"/>
        <v>1.167618106737303E-2</v>
      </c>
      <c r="J548" s="17">
        <f t="shared" ca="1" si="61"/>
        <v>0</v>
      </c>
      <c r="K548" s="24">
        <f t="shared" ca="1" si="62"/>
        <v>-1</v>
      </c>
      <c r="L548" s="17">
        <f t="shared" ca="1" si="63"/>
        <v>-1</v>
      </c>
      <c r="N548" s="24" t="str">
        <f ca="1">IF(AND(L548=1,L547&lt;&gt;1),MAX($N$8:N547)+1,"")</f>
        <v/>
      </c>
      <c r="O548" s="24" t="str">
        <f ca="1">IF(AND(L548&lt;&gt;1,L547=1),MAX($O$8:O547)+1,"")</f>
        <v/>
      </c>
      <c r="P548" s="17" t="str">
        <f ca="1">IF(AND(L548=-1,L547&lt;&gt;-1),MAX($P$8:P547)+1,"")</f>
        <v/>
      </c>
      <c r="Q548" s="24" t="str">
        <f ca="1">IF(AND(L548&lt;&gt;-1,L547=-1),MAX($Q$8:Q547)+1,"")</f>
        <v/>
      </c>
    </row>
    <row r="549" spans="1:17" x14ac:dyDescent="0.3">
      <c r="A549" s="3">
        <v>40987</v>
      </c>
      <c r="B549" s="9">
        <v>12.250145</v>
      </c>
      <c r="C549" s="9">
        <v>9.1039539999999999</v>
      </c>
      <c r="E549" s="14">
        <f t="shared" si="60"/>
        <v>1.3455851160935128</v>
      </c>
      <c r="F549" s="18">
        <f t="shared" ca="1" si="59"/>
        <v>-5.3516370057441837E-2</v>
      </c>
      <c r="G549" s="15">
        <f t="shared" ca="1" si="64"/>
        <v>1.3461644232166301</v>
      </c>
      <c r="H549" s="15">
        <f t="shared" ca="1" si="65"/>
        <v>1.0824858309625032E-2</v>
      </c>
      <c r="J549" s="17">
        <f t="shared" ca="1" si="61"/>
        <v>0</v>
      </c>
      <c r="K549" s="24">
        <f t="shared" ca="1" si="62"/>
        <v>-1</v>
      </c>
      <c r="L549" s="17">
        <f t="shared" ca="1" si="63"/>
        <v>-1</v>
      </c>
      <c r="N549" s="24" t="str">
        <f ca="1">IF(AND(L549=1,L548&lt;&gt;1),MAX($N$8:N548)+1,"")</f>
        <v/>
      </c>
      <c r="O549" s="24" t="str">
        <f ca="1">IF(AND(L549&lt;&gt;1,L548=1),MAX($O$8:O548)+1,"")</f>
        <v/>
      </c>
      <c r="P549" s="17" t="str">
        <f ca="1">IF(AND(L549=-1,L548&lt;&gt;-1),MAX($P$8:P548)+1,"")</f>
        <v/>
      </c>
      <c r="Q549" s="24" t="str">
        <f ca="1">IF(AND(L549&lt;&gt;-1,L548=-1),MAX($Q$8:Q548)+1,"")</f>
        <v/>
      </c>
    </row>
    <row r="550" spans="1:17" x14ac:dyDescent="0.3">
      <c r="A550" s="3">
        <v>40988</v>
      </c>
      <c r="B550" s="9">
        <v>12.034356000000001</v>
      </c>
      <c r="C550" s="9">
        <v>8.9762059999999995</v>
      </c>
      <c r="E550" s="14">
        <f t="shared" si="60"/>
        <v>1.3406951667553086</v>
      </c>
      <c r="F550" s="18">
        <f t="shared" ca="1" si="59"/>
        <v>-0.43708712160066548</v>
      </c>
      <c r="G550" s="15">
        <f t="shared" ca="1" si="64"/>
        <v>1.3452079259309833</v>
      </c>
      <c r="H550" s="15">
        <f t="shared" ca="1" si="65"/>
        <v>1.032462168903159E-2</v>
      </c>
      <c r="J550" s="17">
        <f t="shared" ca="1" si="61"/>
        <v>0</v>
      </c>
      <c r="K550" s="24">
        <f t="shared" ca="1" si="62"/>
        <v>-1</v>
      </c>
      <c r="L550" s="17">
        <f t="shared" ca="1" si="63"/>
        <v>-1</v>
      </c>
      <c r="N550" s="24" t="str">
        <f ca="1">IF(AND(L550=1,L549&lt;&gt;1),MAX($N$8:N549)+1,"")</f>
        <v/>
      </c>
      <c r="O550" s="24" t="str">
        <f ca="1">IF(AND(L550&lt;&gt;1,L549=1),MAX($O$8:O549)+1,"")</f>
        <v/>
      </c>
      <c r="P550" s="17" t="str">
        <f ca="1">IF(AND(L550=-1,L549&lt;&gt;-1),MAX($P$8:P549)+1,"")</f>
        <v/>
      </c>
      <c r="Q550" s="24" t="str">
        <f ca="1">IF(AND(L550&lt;&gt;-1,L549=-1),MAX($Q$8:Q549)+1,"")</f>
        <v/>
      </c>
    </row>
    <row r="551" spans="1:17" x14ac:dyDescent="0.3">
      <c r="A551" s="3">
        <v>40989</v>
      </c>
      <c r="B551" s="9">
        <v>11.96452</v>
      </c>
      <c r="C551" s="9">
        <v>8.9956510000000005</v>
      </c>
      <c r="E551" s="14">
        <f t="shared" si="60"/>
        <v>1.3300338130058624</v>
      </c>
      <c r="F551" s="18">
        <f t="shared" ca="1" si="59"/>
        <v>-1.3304190312652224</v>
      </c>
      <c r="G551" s="15">
        <f t="shared" ca="1" si="64"/>
        <v>1.3440631733438517</v>
      </c>
      <c r="H551" s="15">
        <f t="shared" ca="1" si="65"/>
        <v>1.0545068890549045E-2</v>
      </c>
      <c r="J551" s="17">
        <f t="shared" ca="1" si="61"/>
        <v>0</v>
      </c>
      <c r="K551" s="24">
        <f t="shared" ca="1" si="62"/>
        <v>-1</v>
      </c>
      <c r="L551" s="17">
        <f t="shared" ca="1" si="63"/>
        <v>-1</v>
      </c>
      <c r="N551" s="24" t="str">
        <f ca="1">IF(AND(L551=1,L550&lt;&gt;1),MAX($N$8:N550)+1,"")</f>
        <v/>
      </c>
      <c r="O551" s="24" t="str">
        <f ca="1">IF(AND(L551&lt;&gt;1,L550=1),MAX($O$8:O550)+1,"")</f>
        <v/>
      </c>
      <c r="P551" s="17" t="str">
        <f ca="1">IF(AND(L551=-1,L550&lt;&gt;-1),MAX($P$8:P550)+1,"")</f>
        <v/>
      </c>
      <c r="Q551" s="24" t="str">
        <f ca="1">IF(AND(L551&lt;&gt;-1,L550=-1),MAX($Q$8:Q550)+1,"")</f>
        <v/>
      </c>
    </row>
    <row r="552" spans="1:17" x14ac:dyDescent="0.3">
      <c r="A552" s="3">
        <v>40990</v>
      </c>
      <c r="B552" s="9">
        <v>11.6313</v>
      </c>
      <c r="C552" s="9">
        <v>8.9956510000000005</v>
      </c>
      <c r="E552" s="14">
        <f t="shared" si="60"/>
        <v>1.2929914688775719</v>
      </c>
      <c r="F552" s="18">
        <f t="shared" ca="1" si="59"/>
        <v>-3.2584697946135606</v>
      </c>
      <c r="G552" s="15">
        <f t="shared" ca="1" si="64"/>
        <v>1.3414622433085646</v>
      </c>
      <c r="H552" s="15">
        <f t="shared" ca="1" si="65"/>
        <v>1.4875318013110841E-2</v>
      </c>
      <c r="J552" s="17">
        <f t="shared" ca="1" si="61"/>
        <v>0</v>
      </c>
      <c r="K552" s="24">
        <f t="shared" ca="1" si="62"/>
        <v>-1</v>
      </c>
      <c r="L552" s="17">
        <f t="shared" ca="1" si="63"/>
        <v>-1</v>
      </c>
      <c r="N552" s="24" t="str">
        <f ca="1">IF(AND(L552=1,L551&lt;&gt;1),MAX($N$8:N551)+1,"")</f>
        <v/>
      </c>
      <c r="O552" s="24" t="str">
        <f ca="1">IF(AND(L552&lt;&gt;1,L551=1),MAX($O$8:O551)+1,"")</f>
        <v/>
      </c>
      <c r="P552" s="17" t="str">
        <f ca="1">IF(AND(L552=-1,L551&lt;&gt;-1),MAX($P$8:P551)+1,"")</f>
        <v/>
      </c>
      <c r="Q552" s="24" t="str">
        <f ca="1">IF(AND(L552&lt;&gt;-1,L551=-1),MAX($Q$8:Q551)+1,"")</f>
        <v/>
      </c>
    </row>
    <row r="553" spans="1:17" x14ac:dyDescent="0.3">
      <c r="A553" s="3">
        <v>40991</v>
      </c>
      <c r="B553" s="9">
        <v>11.520201</v>
      </c>
      <c r="C553" s="9">
        <v>9.0928179999999994</v>
      </c>
      <c r="E553" s="14">
        <f t="shared" si="60"/>
        <v>1.2669560745634632</v>
      </c>
      <c r="F553" s="18">
        <f t="shared" ca="1" si="59"/>
        <v>-3.3527055402244557</v>
      </c>
      <c r="G553" s="15">
        <f t="shared" ca="1" si="64"/>
        <v>1.3372115024224693</v>
      </c>
      <c r="H553" s="15">
        <f t="shared" ca="1" si="65"/>
        <v>2.0954845874804368E-2</v>
      </c>
      <c r="J553" s="17">
        <f t="shared" ca="1" si="61"/>
        <v>0</v>
      </c>
      <c r="K553" s="24">
        <f t="shared" ca="1" si="62"/>
        <v>-1</v>
      </c>
      <c r="L553" s="17">
        <f t="shared" ca="1" si="63"/>
        <v>-1</v>
      </c>
      <c r="N553" s="24" t="str">
        <f ca="1">IF(AND(L553=1,L552&lt;&gt;1),MAX($N$8:N552)+1,"")</f>
        <v/>
      </c>
      <c r="O553" s="24" t="str">
        <f ca="1">IF(AND(L553&lt;&gt;1,L552=1),MAX($O$8:O552)+1,"")</f>
        <v/>
      </c>
      <c r="P553" s="17" t="str">
        <f ca="1">IF(AND(L553=-1,L552&lt;&gt;-1),MAX($P$8:P552)+1,"")</f>
        <v/>
      </c>
      <c r="Q553" s="24" t="str">
        <f ca="1">IF(AND(L553&lt;&gt;-1,L552=-1),MAX($Q$8:Q552)+1,"")</f>
        <v/>
      </c>
    </row>
    <row r="554" spans="1:17" x14ac:dyDescent="0.3">
      <c r="A554" s="3">
        <v>40994</v>
      </c>
      <c r="B554" s="9">
        <v>11.723298</v>
      </c>
      <c r="C554" s="9">
        <v>9.1816680000000002</v>
      </c>
      <c r="E554" s="14">
        <f t="shared" si="60"/>
        <v>1.2768157158372531</v>
      </c>
      <c r="F554" s="18">
        <f t="shared" ca="1" si="59"/>
        <v>-2.382018429432208</v>
      </c>
      <c r="G554" s="15">
        <f t="shared" ca="1" si="64"/>
        <v>1.3333693928140939</v>
      </c>
      <c r="H554" s="15">
        <f t="shared" ca="1" si="65"/>
        <v>2.3741914117063046E-2</v>
      </c>
      <c r="J554" s="17">
        <f t="shared" ca="1" si="61"/>
        <v>0</v>
      </c>
      <c r="K554" s="24">
        <f t="shared" ca="1" si="62"/>
        <v>-1</v>
      </c>
      <c r="L554" s="17">
        <f t="shared" ca="1" si="63"/>
        <v>-1</v>
      </c>
      <c r="N554" s="24" t="str">
        <f ca="1">IF(AND(L554=1,L553&lt;&gt;1),MAX($N$8:N553)+1,"")</f>
        <v/>
      </c>
      <c r="O554" s="24" t="str">
        <f ca="1">IF(AND(L554&lt;&gt;1,L553=1),MAX($O$8:O553)+1,"")</f>
        <v/>
      </c>
      <c r="P554" s="17" t="str">
        <f ca="1">IF(AND(L554=-1,L553&lt;&gt;-1),MAX($P$8:P553)+1,"")</f>
        <v/>
      </c>
      <c r="Q554" s="24" t="str">
        <f ca="1">IF(AND(L554&lt;&gt;-1,L553=-1),MAX($Q$8:Q553)+1,"")</f>
        <v/>
      </c>
    </row>
    <row r="555" spans="1:17" x14ac:dyDescent="0.3">
      <c r="A555" s="3">
        <v>40995</v>
      </c>
      <c r="B555" s="9">
        <v>11.732849999999999</v>
      </c>
      <c r="C555" s="9">
        <v>9.1566919999999996</v>
      </c>
      <c r="E555" s="14">
        <f t="shared" si="60"/>
        <v>1.2813415587201142</v>
      </c>
      <c r="F555" s="18">
        <f t="shared" ca="1" si="59"/>
        <v>-1.9036809011377003</v>
      </c>
      <c r="G555" s="15">
        <f t="shared" ca="1" si="64"/>
        <v>1.3300064713512247</v>
      </c>
      <c r="H555" s="15">
        <f t="shared" ca="1" si="65"/>
        <v>2.5563587154773051E-2</v>
      </c>
      <c r="J555" s="17">
        <f t="shared" ca="1" si="61"/>
        <v>0</v>
      </c>
      <c r="K555" s="24">
        <f t="shared" ca="1" si="62"/>
        <v>-1</v>
      </c>
      <c r="L555" s="17">
        <f t="shared" ca="1" si="63"/>
        <v>-1</v>
      </c>
      <c r="N555" s="24" t="str">
        <f ca="1">IF(AND(L555=1,L554&lt;&gt;1),MAX($N$8:N554)+1,"")</f>
        <v/>
      </c>
      <c r="O555" s="24" t="str">
        <f ca="1">IF(AND(L555&lt;&gt;1,L554=1),MAX($O$8:O554)+1,"")</f>
        <v/>
      </c>
      <c r="P555" s="17" t="str">
        <f ca="1">IF(AND(L555=-1,L554&lt;&gt;-1),MAX($P$8:P554)+1,"")</f>
        <v/>
      </c>
      <c r="Q555" s="24" t="str">
        <f ca="1">IF(AND(L555&lt;&gt;-1,L554=-1),MAX($Q$8:Q554)+1,"")</f>
        <v/>
      </c>
    </row>
    <row r="556" spans="1:17" x14ac:dyDescent="0.3">
      <c r="A556" s="3">
        <v>40996</v>
      </c>
      <c r="B556" s="9">
        <v>11.424996999999999</v>
      </c>
      <c r="C556" s="9">
        <v>8.9595939999999992</v>
      </c>
      <c r="E556" s="14">
        <f t="shared" si="60"/>
        <v>1.2751690534191618</v>
      </c>
      <c r="F556" s="18">
        <f t="shared" ca="1" si="59"/>
        <v>-1.8707724010068407</v>
      </c>
      <c r="G556" s="15">
        <f t="shared" ca="1" si="64"/>
        <v>1.326401863973276</v>
      </c>
      <c r="H556" s="15">
        <f t="shared" ca="1" si="65"/>
        <v>2.7385913180321114E-2</v>
      </c>
      <c r="J556" s="17">
        <f t="shared" ca="1" si="61"/>
        <v>0</v>
      </c>
      <c r="K556" s="24">
        <f t="shared" ca="1" si="62"/>
        <v>-1</v>
      </c>
      <c r="L556" s="17">
        <f t="shared" ca="1" si="63"/>
        <v>-1</v>
      </c>
      <c r="N556" s="24" t="str">
        <f ca="1">IF(AND(L556=1,L555&lt;&gt;1),MAX($N$8:N555)+1,"")</f>
        <v/>
      </c>
      <c r="O556" s="24" t="str">
        <f ca="1">IF(AND(L556&lt;&gt;1,L555=1),MAX($O$8:O555)+1,"")</f>
        <v/>
      </c>
      <c r="P556" s="17" t="str">
        <f ca="1">IF(AND(L556=-1,L555&lt;&gt;-1),MAX($P$8:P555)+1,"")</f>
        <v/>
      </c>
      <c r="Q556" s="24" t="str">
        <f ca="1">IF(AND(L556&lt;&gt;-1,L555=-1),MAX($Q$8:Q555)+1,"")</f>
        <v/>
      </c>
    </row>
    <row r="557" spans="1:17" x14ac:dyDescent="0.3">
      <c r="A557" s="3">
        <v>40997</v>
      </c>
      <c r="B557" s="9">
        <v>11.307623</v>
      </c>
      <c r="C557" s="9">
        <v>8.8984869999999994</v>
      </c>
      <c r="E557" s="14">
        <f t="shared" si="60"/>
        <v>1.2707354632309964</v>
      </c>
      <c r="F557" s="18">
        <f t="shared" ca="1" si="59"/>
        <v>-1.8032549790112113</v>
      </c>
      <c r="G557" s="15">
        <f t="shared" ca="1" si="64"/>
        <v>1.3222573260625619</v>
      </c>
      <c r="H557" s="15">
        <f t="shared" ca="1" si="65"/>
        <v>2.8571590502313057E-2</v>
      </c>
      <c r="J557" s="17">
        <f t="shared" ca="1" si="61"/>
        <v>0</v>
      </c>
      <c r="K557" s="24">
        <f t="shared" ca="1" si="62"/>
        <v>-1</v>
      </c>
      <c r="L557" s="17">
        <f t="shared" ca="1" si="63"/>
        <v>-1</v>
      </c>
      <c r="N557" s="24" t="str">
        <f ca="1">IF(AND(L557=1,L556&lt;&gt;1),MAX($N$8:N556)+1,"")</f>
        <v/>
      </c>
      <c r="O557" s="24" t="str">
        <f ca="1">IF(AND(L557&lt;&gt;1,L556=1),MAX($O$8:O556)+1,"")</f>
        <v/>
      </c>
      <c r="P557" s="17" t="str">
        <f ca="1">IF(AND(L557=-1,L556&lt;&gt;-1),MAX($P$8:P556)+1,"")</f>
        <v/>
      </c>
      <c r="Q557" s="24" t="str">
        <f ca="1">IF(AND(L557&lt;&gt;-1,L556=-1),MAX($Q$8:Q556)+1,"")</f>
        <v/>
      </c>
    </row>
    <row r="558" spans="1:17" x14ac:dyDescent="0.3">
      <c r="A558" s="3">
        <v>40998</v>
      </c>
      <c r="B558" s="9">
        <v>11.085424</v>
      </c>
      <c r="C558" s="9">
        <v>8.8540589999999995</v>
      </c>
      <c r="E558" s="14">
        <f t="shared" si="60"/>
        <v>1.2520160527504955</v>
      </c>
      <c r="F558" s="18">
        <f t="shared" ca="1" si="59"/>
        <v>-2.0930961161069574</v>
      </c>
      <c r="G558" s="15">
        <f t="shared" ca="1" si="64"/>
        <v>1.3178676437880705</v>
      </c>
      <c r="H558" s="15">
        <f t="shared" ca="1" si="65"/>
        <v>3.1461331627739716E-2</v>
      </c>
      <c r="J558" s="17">
        <f t="shared" ca="1" si="61"/>
        <v>0</v>
      </c>
      <c r="K558" s="24">
        <f t="shared" ca="1" si="62"/>
        <v>-1</v>
      </c>
      <c r="L558" s="17">
        <f t="shared" ca="1" si="63"/>
        <v>-1</v>
      </c>
      <c r="N558" s="24" t="str">
        <f ca="1">IF(AND(L558=1,L557&lt;&gt;1),MAX($N$8:N557)+1,"")</f>
        <v/>
      </c>
      <c r="O558" s="24" t="str">
        <f ca="1">IF(AND(L558&lt;&gt;1,L557=1),MAX($O$8:O557)+1,"")</f>
        <v/>
      </c>
      <c r="P558" s="17" t="str">
        <f ca="1">IF(AND(L558=-1,L557&lt;&gt;-1),MAX($P$8:P557)+1,"")</f>
        <v/>
      </c>
      <c r="Q558" s="24" t="str">
        <f ca="1">IF(AND(L558&lt;&gt;-1,L557=-1),MAX($Q$8:Q557)+1,"")</f>
        <v/>
      </c>
    </row>
    <row r="559" spans="1:17" x14ac:dyDescent="0.3">
      <c r="A559" s="3">
        <v>41001</v>
      </c>
      <c r="B559" s="9">
        <v>11.213445999999999</v>
      </c>
      <c r="C559" s="9">
        <v>8.8790479999999992</v>
      </c>
      <c r="E559" s="14">
        <f t="shared" si="60"/>
        <v>1.2629108435949441</v>
      </c>
      <c r="F559" s="18">
        <f t="shared" ca="1" si="59"/>
        <v>-1.5601970464629773</v>
      </c>
      <c r="G559" s="15">
        <f t="shared" ca="1" si="64"/>
        <v>1.3140559870043549</v>
      </c>
      <c r="H559" s="15">
        <f t="shared" ca="1" si="65"/>
        <v>3.2781207684861771E-2</v>
      </c>
      <c r="J559" s="17">
        <f t="shared" ca="1" si="61"/>
        <v>0</v>
      </c>
      <c r="K559" s="24">
        <f t="shared" ca="1" si="62"/>
        <v>-1</v>
      </c>
      <c r="L559" s="17">
        <f t="shared" ca="1" si="63"/>
        <v>-1</v>
      </c>
      <c r="N559" s="24" t="str">
        <f ca="1">IF(AND(L559=1,L558&lt;&gt;1),MAX($N$8:N558)+1,"")</f>
        <v/>
      </c>
      <c r="O559" s="24" t="str">
        <f ca="1">IF(AND(L559&lt;&gt;1,L558=1),MAX($O$8:O558)+1,"")</f>
        <v/>
      </c>
      <c r="P559" s="17" t="str">
        <f ca="1">IF(AND(L559=-1,L558&lt;&gt;-1),MAX($P$8:P558)+1,"")</f>
        <v/>
      </c>
      <c r="Q559" s="24" t="str">
        <f ca="1">IF(AND(L559&lt;&gt;-1,L558=-1),MAX($Q$8:Q558)+1,"")</f>
        <v/>
      </c>
    </row>
    <row r="560" spans="1:17" x14ac:dyDescent="0.3">
      <c r="A560" s="3">
        <v>41002</v>
      </c>
      <c r="B560" s="9">
        <v>11.038689</v>
      </c>
      <c r="C560" s="9">
        <v>8.8125710000000002</v>
      </c>
      <c r="E560" s="14">
        <f t="shared" si="60"/>
        <v>1.2526070995626588</v>
      </c>
      <c r="F560" s="18">
        <f t="shared" ca="1" si="59"/>
        <v>-1.661892052791047</v>
      </c>
      <c r="G560" s="15">
        <f t="shared" ca="1" si="64"/>
        <v>1.3099144941036378</v>
      </c>
      <c r="H560" s="15">
        <f t="shared" ca="1" si="65"/>
        <v>3.4483223170081775E-2</v>
      </c>
      <c r="J560" s="17">
        <f t="shared" ca="1" si="61"/>
        <v>0</v>
      </c>
      <c r="K560" s="24">
        <f t="shared" ca="1" si="62"/>
        <v>-1</v>
      </c>
      <c r="L560" s="17">
        <f t="shared" ca="1" si="63"/>
        <v>-1</v>
      </c>
      <c r="N560" s="24" t="str">
        <f ca="1">IF(AND(L560=1,L559&lt;&gt;1),MAX($N$8:N559)+1,"")</f>
        <v/>
      </c>
      <c r="O560" s="24" t="str">
        <f ca="1">IF(AND(L560&lt;&gt;1,L559=1),MAX($O$8:O559)+1,"")</f>
        <v/>
      </c>
      <c r="P560" s="17" t="str">
        <f ca="1">IF(AND(L560=-1,L559&lt;&gt;-1),MAX($P$8:P559)+1,"")</f>
        <v/>
      </c>
      <c r="Q560" s="24" t="str">
        <f ca="1">IF(AND(L560&lt;&gt;-1,L559=-1),MAX($Q$8:Q559)+1,"")</f>
        <v/>
      </c>
    </row>
    <row r="561" spans="1:17" x14ac:dyDescent="0.3">
      <c r="A561" s="3">
        <v>41003</v>
      </c>
      <c r="B561" s="9">
        <v>10.698803</v>
      </c>
      <c r="C561" s="9">
        <v>8.5901440000000004</v>
      </c>
      <c r="E561" s="14">
        <f t="shared" si="60"/>
        <v>1.2454742318638663</v>
      </c>
      <c r="F561" s="18">
        <f t="shared" ca="1" si="59"/>
        <v>-1.6592810037570285</v>
      </c>
      <c r="G561" s="15">
        <f t="shared" ca="1" si="64"/>
        <v>1.305464031562745</v>
      </c>
      <c r="H561" s="15">
        <f t="shared" ca="1" si="65"/>
        <v>3.6154092985483943E-2</v>
      </c>
      <c r="J561" s="17">
        <f t="shared" ca="1" si="61"/>
        <v>0</v>
      </c>
      <c r="K561" s="24">
        <f t="shared" ca="1" si="62"/>
        <v>-1</v>
      </c>
      <c r="L561" s="17">
        <f t="shared" ca="1" si="63"/>
        <v>-1</v>
      </c>
      <c r="N561" s="24" t="str">
        <f ca="1">IF(AND(L561=1,L560&lt;&gt;1),MAX($N$8:N560)+1,"")</f>
        <v/>
      </c>
      <c r="O561" s="24" t="str">
        <f ca="1">IF(AND(L561&lt;&gt;1,L560=1),MAX($O$8:O560)+1,"")</f>
        <v/>
      </c>
      <c r="P561" s="17" t="str">
        <f ca="1">IF(AND(L561=-1,L560&lt;&gt;-1),MAX($P$8:P560)+1,"")</f>
        <v/>
      </c>
      <c r="Q561" s="24" t="str">
        <f ca="1">IF(AND(L561&lt;&gt;-1,L560=-1),MAX($Q$8:Q560)+1,"")</f>
        <v/>
      </c>
    </row>
    <row r="562" spans="1:17" x14ac:dyDescent="0.3">
      <c r="A562" s="3">
        <v>41004</v>
      </c>
      <c r="B562" s="9">
        <v>10.482816</v>
      </c>
      <c r="C562" s="9">
        <v>8.5345680000000002</v>
      </c>
      <c r="E562" s="14">
        <f t="shared" si="60"/>
        <v>1.2282772836305247</v>
      </c>
      <c r="F562" s="18">
        <f t="shared" ca="1" si="59"/>
        <v>-1.8568034894300172</v>
      </c>
      <c r="G562" s="15">
        <f t="shared" ca="1" si="64"/>
        <v>1.3007345862263917</v>
      </c>
      <c r="H562" s="15">
        <f t="shared" ca="1" si="65"/>
        <v>3.9022601480628E-2</v>
      </c>
      <c r="J562" s="17">
        <f t="shared" ca="1" si="61"/>
        <v>0</v>
      </c>
      <c r="K562" s="24">
        <f t="shared" ca="1" si="62"/>
        <v>-1</v>
      </c>
      <c r="L562" s="17">
        <f t="shared" ca="1" si="63"/>
        <v>-1</v>
      </c>
      <c r="N562" s="24" t="str">
        <f ca="1">IF(AND(L562=1,L561&lt;&gt;1),MAX($N$8:N561)+1,"")</f>
        <v/>
      </c>
      <c r="O562" s="24" t="str">
        <f ca="1">IF(AND(L562&lt;&gt;1,L561=1),MAX($O$8:O561)+1,"")</f>
        <v/>
      </c>
      <c r="P562" s="17" t="str">
        <f ca="1">IF(AND(L562=-1,L561&lt;&gt;-1),MAX($P$8:P561)+1,"")</f>
        <v/>
      </c>
      <c r="Q562" s="24" t="str">
        <f ca="1">IF(AND(L562&lt;&gt;-1,L561=-1),MAX($Q$8:Q561)+1,"")</f>
        <v/>
      </c>
    </row>
    <row r="563" spans="1:17" x14ac:dyDescent="0.3">
      <c r="A563" s="3">
        <v>41008</v>
      </c>
      <c r="B563" s="9">
        <v>10.323962</v>
      </c>
      <c r="C563" s="9">
        <v>8.4900830000000003</v>
      </c>
      <c r="E563" s="14">
        <f t="shared" si="60"/>
        <v>1.2160024819545345</v>
      </c>
      <c r="F563" s="18">
        <f t="shared" ca="1" si="59"/>
        <v>-1.8834873801406404</v>
      </c>
      <c r="G563" s="15">
        <f t="shared" ca="1" si="64"/>
        <v>1.2955753504555296</v>
      </c>
      <c r="H563" s="15">
        <f t="shared" ca="1" si="65"/>
        <v>4.2247624985442364E-2</v>
      </c>
      <c r="J563" s="17">
        <f t="shared" ca="1" si="61"/>
        <v>0</v>
      </c>
      <c r="K563" s="24">
        <f t="shared" ca="1" si="62"/>
        <v>-1</v>
      </c>
      <c r="L563" s="17">
        <f t="shared" ca="1" si="63"/>
        <v>-1</v>
      </c>
      <c r="N563" s="24" t="str">
        <f ca="1">IF(AND(L563=1,L562&lt;&gt;1),MAX($N$8:N562)+1,"")</f>
        <v/>
      </c>
      <c r="O563" s="24" t="str">
        <f ca="1">IF(AND(L563&lt;&gt;1,L562=1),MAX($O$8:O562)+1,"")</f>
        <v/>
      </c>
      <c r="P563" s="17" t="str">
        <f ca="1">IF(AND(L563=-1,L562&lt;&gt;-1),MAX($P$8:P562)+1,"")</f>
        <v/>
      </c>
      <c r="Q563" s="24" t="str">
        <f ca="1">IF(AND(L563&lt;&gt;-1,L562=-1),MAX($Q$8:Q562)+1,"")</f>
        <v/>
      </c>
    </row>
    <row r="564" spans="1:17" x14ac:dyDescent="0.3">
      <c r="A564" s="3">
        <v>41009</v>
      </c>
      <c r="B564" s="9">
        <v>10.114321</v>
      </c>
      <c r="C564" s="9">
        <v>8.4762240000000002</v>
      </c>
      <c r="E564" s="14">
        <f t="shared" si="60"/>
        <v>1.1932578704857257</v>
      </c>
      <c r="F564" s="18">
        <f t="shared" ca="1" si="59"/>
        <v>-2.0913337859556598</v>
      </c>
      <c r="G564" s="15">
        <f t="shared" ca="1" si="64"/>
        <v>1.2884078390298788</v>
      </c>
      <c r="H564" s="15">
        <f t="shared" ca="1" si="65"/>
        <v>4.5497265516930924E-2</v>
      </c>
      <c r="J564" s="17">
        <f t="shared" ca="1" si="61"/>
        <v>0</v>
      </c>
      <c r="K564" s="24">
        <f t="shared" ca="1" si="62"/>
        <v>-1</v>
      </c>
      <c r="L564" s="17">
        <f t="shared" ca="1" si="63"/>
        <v>-1</v>
      </c>
      <c r="N564" s="24" t="str">
        <f ca="1">IF(AND(L564=1,L563&lt;&gt;1),MAX($N$8:N563)+1,"")</f>
        <v/>
      </c>
      <c r="O564" s="24" t="str">
        <f ca="1">IF(AND(L564&lt;&gt;1,L563=1),MAX($O$8:O563)+1,"")</f>
        <v/>
      </c>
      <c r="P564" s="17" t="str">
        <f ca="1">IF(AND(L564=-1,L563&lt;&gt;-1),MAX($P$8:P563)+1,"")</f>
        <v/>
      </c>
      <c r="Q564" s="24" t="str">
        <f ca="1">IF(AND(L564&lt;&gt;-1,L563=-1),MAX($Q$8:Q563)+1,"")</f>
        <v/>
      </c>
    </row>
    <row r="565" spans="1:17" x14ac:dyDescent="0.3">
      <c r="A565" s="3">
        <v>41010</v>
      </c>
      <c r="B565" s="9">
        <v>10.114321</v>
      </c>
      <c r="C565" s="9">
        <v>8.529026</v>
      </c>
      <c r="E565" s="14">
        <f t="shared" si="60"/>
        <v>1.1858705788914232</v>
      </c>
      <c r="F565" s="18">
        <f t="shared" ca="1" si="59"/>
        <v>-1.9712327830211807</v>
      </c>
      <c r="G565" s="15">
        <f t="shared" ca="1" si="64"/>
        <v>1.281022108185411</v>
      </c>
      <c r="H565" s="15">
        <f t="shared" ca="1" si="65"/>
        <v>4.8270062325239518E-2</v>
      </c>
      <c r="J565" s="17">
        <f t="shared" ca="1" si="61"/>
        <v>0</v>
      </c>
      <c r="K565" s="24">
        <f t="shared" ca="1" si="62"/>
        <v>-1</v>
      </c>
      <c r="L565" s="17">
        <f t="shared" ca="1" si="63"/>
        <v>-1</v>
      </c>
      <c r="N565" s="24" t="str">
        <f ca="1">IF(AND(L565=1,L564&lt;&gt;1),MAX($N$8:N564)+1,"")</f>
        <v/>
      </c>
      <c r="O565" s="24" t="str">
        <f ca="1">IF(AND(L565&lt;&gt;1,L564=1),MAX($O$8:O564)+1,"")</f>
        <v/>
      </c>
      <c r="P565" s="17" t="str">
        <f ca="1">IF(AND(L565=-1,L564&lt;&gt;-1),MAX($P$8:P564)+1,"")</f>
        <v/>
      </c>
      <c r="Q565" s="24" t="str">
        <f ca="1">IF(AND(L565&lt;&gt;-1,L564=-1),MAX($Q$8:Q564)+1,"")</f>
        <v/>
      </c>
    </row>
    <row r="566" spans="1:17" x14ac:dyDescent="0.3">
      <c r="A566" s="3">
        <v>41011</v>
      </c>
      <c r="B566" s="9">
        <v>10.470116000000001</v>
      </c>
      <c r="C566" s="9">
        <v>8.7041240000000002</v>
      </c>
      <c r="E566" s="14">
        <f t="shared" si="60"/>
        <v>1.2028914110139057</v>
      </c>
      <c r="F566" s="18">
        <f t="shared" ca="1" si="59"/>
        <v>-1.4611570015469968</v>
      </c>
      <c r="G566" s="15">
        <f t="shared" ca="1" si="64"/>
        <v>1.2749730090736751</v>
      </c>
      <c r="H566" s="15">
        <f t="shared" ca="1" si="65"/>
        <v>4.9331863710369996E-2</v>
      </c>
      <c r="J566" s="17">
        <f t="shared" ca="1" si="61"/>
        <v>0</v>
      </c>
      <c r="K566" s="24">
        <f t="shared" ca="1" si="62"/>
        <v>-1</v>
      </c>
      <c r="L566" s="17">
        <f t="shared" ca="1" si="63"/>
        <v>-1</v>
      </c>
      <c r="N566" s="24" t="str">
        <f ca="1">IF(AND(L566=1,L565&lt;&gt;1),MAX($N$8:N565)+1,"")</f>
        <v/>
      </c>
      <c r="O566" s="24" t="str">
        <f ca="1">IF(AND(L566&lt;&gt;1,L565=1),MAX($O$8:O565)+1,"")</f>
        <v/>
      </c>
      <c r="P566" s="17" t="str">
        <f ca="1">IF(AND(L566=-1,L565&lt;&gt;-1),MAX($P$8:P565)+1,"")</f>
        <v/>
      </c>
      <c r="Q566" s="24" t="str">
        <f ca="1">IF(AND(L566&lt;&gt;-1,L565=-1),MAX($Q$8:Q565)+1,"")</f>
        <v/>
      </c>
    </row>
    <row r="567" spans="1:17" x14ac:dyDescent="0.3">
      <c r="A567" s="3">
        <v>41012</v>
      </c>
      <c r="B567" s="9">
        <v>10.063472000000001</v>
      </c>
      <c r="C567" s="9">
        <v>8.529026</v>
      </c>
      <c r="E567" s="14">
        <f t="shared" si="60"/>
        <v>1.1799087023535866</v>
      </c>
      <c r="F567" s="18">
        <f t="shared" ca="1" si="59"/>
        <v>-1.7098866994009065</v>
      </c>
      <c r="G567" s="15">
        <f t="shared" ca="1" si="64"/>
        <v>1.2681995086791116</v>
      </c>
      <c r="H567" s="15">
        <f t="shared" ca="1" si="65"/>
        <v>5.163547172830777E-2</v>
      </c>
      <c r="J567" s="17">
        <f t="shared" ca="1" si="61"/>
        <v>0</v>
      </c>
      <c r="K567" s="24">
        <f t="shared" ca="1" si="62"/>
        <v>-1</v>
      </c>
      <c r="L567" s="17">
        <f t="shared" ca="1" si="63"/>
        <v>-1</v>
      </c>
      <c r="N567" s="24" t="str">
        <f ca="1">IF(AND(L567=1,L566&lt;&gt;1),MAX($N$8:N566)+1,"")</f>
        <v/>
      </c>
      <c r="O567" s="24" t="str">
        <f ca="1">IF(AND(L567&lt;&gt;1,L566=1),MAX($O$8:O566)+1,"")</f>
        <v/>
      </c>
      <c r="P567" s="17" t="str">
        <f ca="1">IF(AND(L567=-1,L566&lt;&gt;-1),MAX($P$8:P566)+1,"")</f>
        <v/>
      </c>
      <c r="Q567" s="24" t="str">
        <f ca="1">IF(AND(L567&lt;&gt;-1,L566=-1),MAX($Q$8:Q566)+1,"")</f>
        <v/>
      </c>
    </row>
    <row r="568" spans="1:17" x14ac:dyDescent="0.3">
      <c r="A568" s="3">
        <v>41015</v>
      </c>
      <c r="B568" s="9">
        <v>9.9904309999999992</v>
      </c>
      <c r="C568" s="9">
        <v>8.4845369999999996</v>
      </c>
      <c r="E568" s="14">
        <f t="shared" si="60"/>
        <v>1.1774868799558538</v>
      </c>
      <c r="F568" s="18">
        <f t="shared" ca="1" si="59"/>
        <v>-1.5841581249644581</v>
      </c>
      <c r="G568" s="15">
        <f t="shared" ca="1" si="64"/>
        <v>1.2609870060891553</v>
      </c>
      <c r="H568" s="15">
        <f t="shared" ca="1" si="65"/>
        <v>5.2709464299957355E-2</v>
      </c>
      <c r="J568" s="17">
        <f t="shared" ca="1" si="61"/>
        <v>0</v>
      </c>
      <c r="K568" s="24">
        <f t="shared" ca="1" si="62"/>
        <v>-1</v>
      </c>
      <c r="L568" s="17">
        <f t="shared" ca="1" si="63"/>
        <v>-1</v>
      </c>
      <c r="N568" s="24" t="str">
        <f ca="1">IF(AND(L568=1,L567&lt;&gt;1),MAX($N$8:N567)+1,"")</f>
        <v/>
      </c>
      <c r="O568" s="24" t="str">
        <f ca="1">IF(AND(L568&lt;&gt;1,L567=1),MAX($O$8:O567)+1,"")</f>
        <v/>
      </c>
      <c r="P568" s="17" t="str">
        <f ca="1">IF(AND(L568=-1,L567&lt;&gt;-1),MAX($P$8:P567)+1,"")</f>
        <v/>
      </c>
      <c r="Q568" s="24" t="str">
        <f ca="1">IF(AND(L568&lt;&gt;-1,L567=-1),MAX($Q$8:Q567)+1,"")</f>
        <v/>
      </c>
    </row>
    <row r="569" spans="1:17" x14ac:dyDescent="0.3">
      <c r="A569" s="3">
        <v>41016</v>
      </c>
      <c r="B569" s="9">
        <v>10.006335999999999</v>
      </c>
      <c r="C569" s="9">
        <v>8.5012340000000002</v>
      </c>
      <c r="E569" s="14">
        <f t="shared" si="60"/>
        <v>1.1770451207436472</v>
      </c>
      <c r="F569" s="18">
        <f t="shared" ca="1" si="59"/>
        <v>-1.4478673806262763</v>
      </c>
      <c r="G569" s="15">
        <f t="shared" ca="1" si="64"/>
        <v>1.2539568894712001</v>
      </c>
      <c r="H569" s="15">
        <f t="shared" ca="1" si="65"/>
        <v>5.3120727600261736E-2</v>
      </c>
      <c r="J569" s="17">
        <f t="shared" ca="1" si="61"/>
        <v>0</v>
      </c>
      <c r="K569" s="24">
        <f t="shared" ca="1" si="62"/>
        <v>-1</v>
      </c>
      <c r="L569" s="17">
        <f t="shared" ca="1" si="63"/>
        <v>-1</v>
      </c>
      <c r="N569" s="24" t="str">
        <f ca="1">IF(AND(L569=1,L568&lt;&gt;1),MAX($N$8:N568)+1,"")</f>
        <v/>
      </c>
      <c r="O569" s="24" t="str">
        <f ca="1">IF(AND(L569&lt;&gt;1,L568=1),MAX($O$8:O568)+1,"")</f>
        <v/>
      </c>
      <c r="P569" s="17" t="str">
        <f ca="1">IF(AND(L569=-1,L568&lt;&gt;-1),MAX($P$8:P568)+1,"")</f>
        <v/>
      </c>
      <c r="Q569" s="24" t="str">
        <f ca="1">IF(AND(L569&lt;&gt;-1,L568=-1),MAX($Q$8:Q568)+1,"")</f>
        <v/>
      </c>
    </row>
    <row r="570" spans="1:17" x14ac:dyDescent="0.3">
      <c r="A570" s="3">
        <v>41017</v>
      </c>
      <c r="B570" s="9">
        <v>9.9459959999999992</v>
      </c>
      <c r="C570" s="9">
        <v>8.4900830000000003</v>
      </c>
      <c r="E570" s="14">
        <f t="shared" si="60"/>
        <v>1.1714839536904409</v>
      </c>
      <c r="F570" s="18">
        <f t="shared" ca="1" si="59"/>
        <v>-1.4215794035960072</v>
      </c>
      <c r="G570" s="15">
        <f t="shared" ca="1" si="64"/>
        <v>1.2466161791361297</v>
      </c>
      <c r="H570" s="15">
        <f t="shared" ca="1" si="65"/>
        <v>5.2851233814752339E-2</v>
      </c>
      <c r="J570" s="17">
        <f t="shared" ca="1" si="61"/>
        <v>0</v>
      </c>
      <c r="K570" s="24">
        <f t="shared" ca="1" si="62"/>
        <v>-1</v>
      </c>
      <c r="L570" s="17">
        <f t="shared" ca="1" si="63"/>
        <v>-1</v>
      </c>
      <c r="N570" s="24" t="str">
        <f ca="1">IF(AND(L570=1,L569&lt;&gt;1),MAX($N$8:N569)+1,"")</f>
        <v/>
      </c>
      <c r="O570" s="24" t="str">
        <f ca="1">IF(AND(L570&lt;&gt;1,L569=1),MAX($O$8:O569)+1,"")</f>
        <v/>
      </c>
      <c r="P570" s="17" t="str">
        <f ca="1">IF(AND(L570=-1,L569&lt;&gt;-1),MAX($P$8:P569)+1,"")</f>
        <v/>
      </c>
      <c r="Q570" s="24" t="str">
        <f ca="1">IF(AND(L570&lt;&gt;-1,L569=-1),MAX($Q$8:Q569)+1,"")</f>
        <v/>
      </c>
    </row>
    <row r="571" spans="1:17" x14ac:dyDescent="0.3">
      <c r="A571" s="3">
        <v>41018</v>
      </c>
      <c r="B571" s="9">
        <v>10.019029</v>
      </c>
      <c r="C571" s="9">
        <v>8.4595269999999996</v>
      </c>
      <c r="E571" s="14">
        <f t="shared" si="60"/>
        <v>1.1843486048333436</v>
      </c>
      <c r="F571" s="18">
        <f t="shared" ca="1" si="59"/>
        <v>-1.1053005977438033</v>
      </c>
      <c r="G571" s="15">
        <f t="shared" ca="1" si="64"/>
        <v>1.2392872468061216</v>
      </c>
      <c r="H571" s="15">
        <f t="shared" ca="1" si="65"/>
        <v>4.9704706651676096E-2</v>
      </c>
      <c r="J571" s="17">
        <f t="shared" ca="1" si="61"/>
        <v>0</v>
      </c>
      <c r="K571" s="24">
        <f t="shared" ca="1" si="62"/>
        <v>-1</v>
      </c>
      <c r="L571" s="17">
        <f t="shared" ca="1" si="63"/>
        <v>-1</v>
      </c>
      <c r="N571" s="24" t="str">
        <f ca="1">IF(AND(L571=1,L570&lt;&gt;1),MAX($N$8:N570)+1,"")</f>
        <v/>
      </c>
      <c r="O571" s="24" t="str">
        <f ca="1">IF(AND(L571&lt;&gt;1,L570=1),MAX($O$8:O570)+1,"")</f>
        <v/>
      </c>
      <c r="P571" s="17" t="str">
        <f ca="1">IF(AND(L571=-1,L570&lt;&gt;-1),MAX($P$8:P570)+1,"")</f>
        <v/>
      </c>
      <c r="Q571" s="24" t="str">
        <f ca="1">IF(AND(L571&lt;&gt;-1,L570=-1),MAX($Q$8:Q570)+1,"")</f>
        <v/>
      </c>
    </row>
    <row r="572" spans="1:17" x14ac:dyDescent="0.3">
      <c r="A572" s="3">
        <v>41019</v>
      </c>
      <c r="B572" s="9">
        <v>10.238225</v>
      </c>
      <c r="C572" s="9">
        <v>8.4511450000000004</v>
      </c>
      <c r="E572" s="14">
        <f t="shared" si="60"/>
        <v>1.2114601039267459</v>
      </c>
      <c r="F572" s="18">
        <f t="shared" ca="1" si="59"/>
        <v>-0.49041274266956586</v>
      </c>
      <c r="G572" s="15">
        <f t="shared" ca="1" si="64"/>
        <v>1.2334129257684601</v>
      </c>
      <c r="H572" s="15">
        <f t="shared" ca="1" si="65"/>
        <v>4.4763971103633726E-2</v>
      </c>
      <c r="J572" s="17">
        <f t="shared" ca="1" si="61"/>
        <v>0</v>
      </c>
      <c r="K572" s="24">
        <f t="shared" ca="1" si="62"/>
        <v>-1</v>
      </c>
      <c r="L572" s="17">
        <f t="shared" ca="1" si="63"/>
        <v>-1</v>
      </c>
      <c r="N572" s="24" t="str">
        <f ca="1">IF(AND(L572=1,L571&lt;&gt;1),MAX($N$8:N571)+1,"")</f>
        <v/>
      </c>
      <c r="O572" s="24" t="str">
        <f ca="1">IF(AND(L572&lt;&gt;1,L571=1),MAX($O$8:O571)+1,"")</f>
        <v/>
      </c>
      <c r="P572" s="17" t="str">
        <f ca="1">IF(AND(L572=-1,L571&lt;&gt;-1),MAX($P$8:P571)+1,"")</f>
        <v/>
      </c>
      <c r="Q572" s="24" t="str">
        <f ca="1">IF(AND(L572&lt;&gt;-1,L571=-1),MAX($Q$8:Q571)+1,"")</f>
        <v/>
      </c>
    </row>
    <row r="573" spans="1:17" x14ac:dyDescent="0.3">
      <c r="A573" s="3">
        <v>41022</v>
      </c>
      <c r="B573" s="9">
        <v>10.098414999999999</v>
      </c>
      <c r="C573" s="9">
        <v>8.4511450000000004</v>
      </c>
      <c r="E573" s="14">
        <f t="shared" si="60"/>
        <v>1.1949167834654355</v>
      </c>
      <c r="F573" s="18">
        <f t="shared" ca="1" si="59"/>
        <v>-0.80656877112264758</v>
      </c>
      <c r="G573" s="15">
        <f t="shared" ca="1" si="64"/>
        <v>1.2272712426075312</v>
      </c>
      <c r="H573" s="15">
        <f t="shared" ca="1" si="65"/>
        <v>4.011370177035508E-2</v>
      </c>
      <c r="J573" s="17">
        <f t="shared" ca="1" si="61"/>
        <v>0</v>
      </c>
      <c r="K573" s="24">
        <f t="shared" ca="1" si="62"/>
        <v>-1</v>
      </c>
      <c r="L573" s="17">
        <f t="shared" ca="1" si="63"/>
        <v>-1</v>
      </c>
      <c r="N573" s="24" t="str">
        <f ca="1">IF(AND(L573=1,L572&lt;&gt;1),MAX($N$8:N572)+1,"")</f>
        <v/>
      </c>
      <c r="O573" s="24" t="str">
        <f ca="1">IF(AND(L573&lt;&gt;1,L572=1),MAX($O$8:O572)+1,"")</f>
        <v/>
      </c>
      <c r="P573" s="17" t="str">
        <f ca="1">IF(AND(L573=-1,L572&lt;&gt;-1),MAX($P$8:P572)+1,"")</f>
        <v/>
      </c>
      <c r="Q573" s="24" t="str">
        <f ca="1">IF(AND(L573&lt;&gt;-1,L572=-1),MAX($Q$8:Q572)+1,"")</f>
        <v/>
      </c>
    </row>
    <row r="574" spans="1:17" x14ac:dyDescent="0.3">
      <c r="A574" s="3">
        <v>41023</v>
      </c>
      <c r="B574" s="9">
        <v>9.9904309999999992</v>
      </c>
      <c r="C574" s="9">
        <v>8.5178720000000006</v>
      </c>
      <c r="E574" s="14">
        <f t="shared" si="60"/>
        <v>1.1728787424840381</v>
      </c>
      <c r="F574" s="18">
        <f t="shared" ca="1" si="59"/>
        <v>-1.256152499144007</v>
      </c>
      <c r="G574" s="15">
        <f t="shared" ca="1" si="64"/>
        <v>1.2218115732260071</v>
      </c>
      <c r="H574" s="15">
        <f t="shared" ca="1" si="65"/>
        <v>3.8954530421516316E-2</v>
      </c>
      <c r="J574" s="17">
        <f t="shared" ca="1" si="61"/>
        <v>0</v>
      </c>
      <c r="K574" s="24">
        <f t="shared" ca="1" si="62"/>
        <v>-1</v>
      </c>
      <c r="L574" s="17">
        <f t="shared" ca="1" si="63"/>
        <v>-1</v>
      </c>
      <c r="N574" s="24" t="str">
        <f ca="1">IF(AND(L574=1,L573&lt;&gt;1),MAX($N$8:N573)+1,"")</f>
        <v/>
      </c>
      <c r="O574" s="24" t="str">
        <f ca="1">IF(AND(L574&lt;&gt;1,L573=1),MAX($O$8:O573)+1,"")</f>
        <v/>
      </c>
      <c r="P574" s="17" t="str">
        <f ca="1">IF(AND(L574=-1,L573&lt;&gt;-1),MAX($P$8:P573)+1,"")</f>
        <v/>
      </c>
      <c r="Q574" s="24" t="str">
        <f ca="1">IF(AND(L574&lt;&gt;-1,L573=-1),MAX($Q$8:Q573)+1,"")</f>
        <v/>
      </c>
    </row>
    <row r="575" spans="1:17" x14ac:dyDescent="0.3">
      <c r="A575" s="3">
        <v>41024</v>
      </c>
      <c r="B575" s="9">
        <v>9.4027440000000002</v>
      </c>
      <c r="C575" s="9">
        <v>8.2982800000000001</v>
      </c>
      <c r="E575" s="14">
        <f t="shared" si="60"/>
        <v>1.1330955330502224</v>
      </c>
      <c r="F575" s="18">
        <f t="shared" ca="1" si="59"/>
        <v>-1.9777875566625234</v>
      </c>
      <c r="G575" s="15">
        <f t="shared" ca="1" si="64"/>
        <v>1.2157270031572234</v>
      </c>
      <c r="H575" s="15">
        <f t="shared" ca="1" si="65"/>
        <v>4.1779750220716297E-2</v>
      </c>
      <c r="J575" s="17">
        <f t="shared" ca="1" si="61"/>
        <v>0</v>
      </c>
      <c r="K575" s="24">
        <f t="shared" ca="1" si="62"/>
        <v>-1</v>
      </c>
      <c r="L575" s="17">
        <f t="shared" ca="1" si="63"/>
        <v>-1</v>
      </c>
      <c r="N575" s="24" t="str">
        <f ca="1">IF(AND(L575=1,L574&lt;&gt;1),MAX($N$8:N574)+1,"")</f>
        <v/>
      </c>
      <c r="O575" s="24" t="str">
        <f ca="1">IF(AND(L575&lt;&gt;1,L574=1),MAX($O$8:O574)+1,"")</f>
        <v/>
      </c>
      <c r="P575" s="17" t="str">
        <f ca="1">IF(AND(L575=-1,L574&lt;&gt;-1),MAX($P$8:P574)+1,"")</f>
        <v/>
      </c>
      <c r="Q575" s="24" t="str">
        <f ca="1">IF(AND(L575&lt;&gt;-1,L574=-1),MAX($Q$8:Q574)+1,"")</f>
        <v/>
      </c>
    </row>
    <row r="576" spans="1:17" x14ac:dyDescent="0.3">
      <c r="A576" s="3">
        <v>41025</v>
      </c>
      <c r="B576" s="9">
        <v>9.4059559999999998</v>
      </c>
      <c r="C576" s="9">
        <v>8.3538530000000009</v>
      </c>
      <c r="E576" s="14">
        <f t="shared" si="60"/>
        <v>1.1259422448539613</v>
      </c>
      <c r="F576" s="18">
        <f t="shared" ca="1" si="59"/>
        <v>-1.9048247922169996</v>
      </c>
      <c r="G576" s="15">
        <f t="shared" ca="1" si="64"/>
        <v>1.2088691181125284</v>
      </c>
      <c r="H576" s="15">
        <f t="shared" ca="1" si="65"/>
        <v>4.3535171107285733E-2</v>
      </c>
      <c r="J576" s="17">
        <f t="shared" ca="1" si="61"/>
        <v>0</v>
      </c>
      <c r="K576" s="24">
        <f t="shared" ca="1" si="62"/>
        <v>-1</v>
      </c>
      <c r="L576" s="17">
        <f t="shared" ca="1" si="63"/>
        <v>-1</v>
      </c>
      <c r="N576" s="24" t="str">
        <f ca="1">IF(AND(L576=1,L575&lt;&gt;1),MAX($N$8:N575)+1,"")</f>
        <v/>
      </c>
      <c r="O576" s="24" t="str">
        <f ca="1">IF(AND(L576&lt;&gt;1,L575=1),MAX($O$8:O575)+1,"")</f>
        <v/>
      </c>
      <c r="P576" s="17" t="str">
        <f ca="1">IF(AND(L576=-1,L575&lt;&gt;-1),MAX($P$8:P575)+1,"")</f>
        <v/>
      </c>
      <c r="Q576" s="24" t="str">
        <f ca="1">IF(AND(L576&lt;&gt;-1,L575=-1),MAX($Q$8:Q575)+1,"")</f>
        <v/>
      </c>
    </row>
    <row r="577" spans="1:17" x14ac:dyDescent="0.3">
      <c r="A577" s="3">
        <v>41026</v>
      </c>
      <c r="B577" s="9">
        <v>9.4345560000000006</v>
      </c>
      <c r="C577" s="9">
        <v>8.3677829999999993</v>
      </c>
      <c r="E577" s="14">
        <f t="shared" si="60"/>
        <v>1.1274857390541797</v>
      </c>
      <c r="F577" s="18">
        <f t="shared" ca="1" si="59"/>
        <v>-1.7027188340054875</v>
      </c>
      <c r="G577" s="15">
        <f t="shared" ca="1" si="64"/>
        <v>1.2018756717640768</v>
      </c>
      <c r="H577" s="15">
        <f t="shared" ca="1" si="65"/>
        <v>4.3688911653664946E-2</v>
      </c>
      <c r="J577" s="17">
        <f t="shared" ca="1" si="61"/>
        <v>0</v>
      </c>
      <c r="K577" s="24">
        <f t="shared" ca="1" si="62"/>
        <v>-1</v>
      </c>
      <c r="L577" s="17">
        <f t="shared" ca="1" si="63"/>
        <v>-1</v>
      </c>
      <c r="N577" s="24" t="str">
        <f ca="1">IF(AND(L577=1,L576&lt;&gt;1),MAX($N$8:N576)+1,"")</f>
        <v/>
      </c>
      <c r="O577" s="24" t="str">
        <f ca="1">IF(AND(L577&lt;&gt;1,L576=1),MAX($O$8:O576)+1,"")</f>
        <v/>
      </c>
      <c r="P577" s="17" t="str">
        <f ca="1">IF(AND(L577=-1,L576&lt;&gt;-1),MAX($P$8:P576)+1,"")</f>
        <v/>
      </c>
      <c r="Q577" s="24" t="str">
        <f ca="1">IF(AND(L577&lt;&gt;-1,L576=-1),MAX($Q$8:Q576)+1,"")</f>
        <v/>
      </c>
    </row>
    <row r="578" spans="1:17" x14ac:dyDescent="0.3">
      <c r="A578" s="3">
        <v>41029</v>
      </c>
      <c r="B578" s="9">
        <v>9.5298490000000005</v>
      </c>
      <c r="C578" s="9">
        <v>8.5150980000000001</v>
      </c>
      <c r="E578" s="14">
        <f t="shared" si="60"/>
        <v>1.119170795215745</v>
      </c>
      <c r="F578" s="18">
        <f t="shared" ref="F578:F641" ca="1" si="66">IF(ISNUMBER(G578),(E578-G578)/H578,"")</f>
        <v>-1.7233250918153573</v>
      </c>
      <c r="G578" s="15">
        <f t="shared" ca="1" si="64"/>
        <v>1.1947848418457396</v>
      </c>
      <c r="H578" s="15">
        <f t="shared" ca="1" si="65"/>
        <v>4.3876832635415572E-2</v>
      </c>
      <c r="J578" s="17">
        <f t="shared" ca="1" si="61"/>
        <v>0</v>
      </c>
      <c r="K578" s="24">
        <f t="shared" ca="1" si="62"/>
        <v>-1</v>
      </c>
      <c r="L578" s="17">
        <f t="shared" ca="1" si="63"/>
        <v>-1</v>
      </c>
      <c r="N578" s="24" t="str">
        <f ca="1">IF(AND(L578=1,L577&lt;&gt;1),MAX($N$8:N577)+1,"")</f>
        <v/>
      </c>
      <c r="O578" s="24" t="str">
        <f ca="1">IF(AND(L578&lt;&gt;1,L577=1),MAX($O$8:O577)+1,"")</f>
        <v/>
      </c>
      <c r="P578" s="17" t="str">
        <f ca="1">IF(AND(L578=-1,L577&lt;&gt;-1),MAX($P$8:P577)+1,"")</f>
        <v/>
      </c>
      <c r="Q578" s="24" t="str">
        <f ca="1">IF(AND(L578&lt;&gt;-1,L577=-1),MAX($Q$8:Q577)+1,"")</f>
        <v/>
      </c>
    </row>
    <row r="579" spans="1:17" x14ac:dyDescent="0.3">
      <c r="A579" s="3">
        <v>41031</v>
      </c>
      <c r="B579" s="9">
        <v>9.2986059999999995</v>
      </c>
      <c r="C579" s="9">
        <v>8.5150980000000001</v>
      </c>
      <c r="E579" s="14">
        <f t="shared" ref="E579:E642" si="67">IF(ISNUMBER(B579),B579/C579,"")</f>
        <v>1.0920139732977823</v>
      </c>
      <c r="F579" s="18">
        <f t="shared" ca="1" si="66"/>
        <v>-2.076743770520165</v>
      </c>
      <c r="G579" s="15">
        <f t="shared" ca="1" si="64"/>
        <v>1.1866611377578664</v>
      </c>
      <c r="H579" s="15">
        <f t="shared" ca="1" si="65"/>
        <v>4.5574791557640125E-2</v>
      </c>
      <c r="J579" s="17">
        <f t="shared" ca="1" si="61"/>
        <v>0</v>
      </c>
      <c r="K579" s="24">
        <f t="shared" ca="1" si="62"/>
        <v>-1</v>
      </c>
      <c r="L579" s="17">
        <f t="shared" ca="1" si="63"/>
        <v>-1</v>
      </c>
      <c r="N579" s="24" t="str">
        <f ca="1">IF(AND(L579=1,L578&lt;&gt;1),MAX($N$8:N578)+1,"")</f>
        <v/>
      </c>
      <c r="O579" s="24" t="str">
        <f ca="1">IF(AND(L579&lt;&gt;1,L578=1),MAX($O$8:O578)+1,"")</f>
        <v/>
      </c>
      <c r="P579" s="17" t="str">
        <f ca="1">IF(AND(L579=-1,L578&lt;&gt;-1),MAX($P$8:P578)+1,"")</f>
        <v/>
      </c>
      <c r="Q579" s="24" t="str">
        <f ca="1">IF(AND(L579&lt;&gt;-1,L578=-1),MAX($Q$8:Q578)+1,"")</f>
        <v/>
      </c>
    </row>
    <row r="580" spans="1:17" x14ac:dyDescent="0.3">
      <c r="A580" s="3">
        <v>41032</v>
      </c>
      <c r="B580" s="9">
        <v>9.2858999999999998</v>
      </c>
      <c r="C580" s="9">
        <v>8.3511170000000003</v>
      </c>
      <c r="E580" s="14">
        <f t="shared" si="67"/>
        <v>1.1119350860489681</v>
      </c>
      <c r="F580" s="18">
        <f t="shared" ca="1" si="66"/>
        <v>-1.493065680303332</v>
      </c>
      <c r="G580" s="15">
        <f t="shared" ca="1" si="64"/>
        <v>1.180293821089615</v>
      </c>
      <c r="H580" s="15">
        <f t="shared" ca="1" si="65"/>
        <v>4.5784144624340398E-2</v>
      </c>
      <c r="J580" s="17">
        <f t="shared" ca="1" si="61"/>
        <v>0</v>
      </c>
      <c r="K580" s="24">
        <f t="shared" ca="1" si="62"/>
        <v>-1</v>
      </c>
      <c r="L580" s="17">
        <f t="shared" ca="1" si="63"/>
        <v>-1</v>
      </c>
      <c r="N580" s="24" t="str">
        <f ca="1">IF(AND(L580=1,L579&lt;&gt;1),MAX($N$8:N579)+1,"")</f>
        <v/>
      </c>
      <c r="O580" s="24" t="str">
        <f ca="1">IF(AND(L580&lt;&gt;1,L579=1),MAX($O$8:O579)+1,"")</f>
        <v/>
      </c>
      <c r="P580" s="17" t="str">
        <f ca="1">IF(AND(L580=-1,L579&lt;&gt;-1),MAX($P$8:P579)+1,"")</f>
        <v/>
      </c>
      <c r="Q580" s="24" t="str">
        <f ca="1">IF(AND(L580&lt;&gt;-1,L579=-1),MAX($Q$8:Q579)+1,"")</f>
        <v/>
      </c>
    </row>
    <row r="581" spans="1:17" x14ac:dyDescent="0.3">
      <c r="A581" s="3">
        <v>41033</v>
      </c>
      <c r="B581" s="9">
        <v>9.1587200000000006</v>
      </c>
      <c r="C581" s="9">
        <v>8.3093500000000002</v>
      </c>
      <c r="E581" s="14">
        <f t="shared" si="67"/>
        <v>1.102218585087883</v>
      </c>
      <c r="F581" s="18">
        <f t="shared" ca="1" si="66"/>
        <v>-1.5786796873833893</v>
      </c>
      <c r="G581" s="15">
        <f t="shared" ca="1" si="64"/>
        <v>1.1729896275211122</v>
      </c>
      <c r="H581" s="15">
        <f t="shared" ca="1" si="65"/>
        <v>4.4829260171536135E-2</v>
      </c>
      <c r="J581" s="17">
        <f t="shared" ca="1" si="61"/>
        <v>0</v>
      </c>
      <c r="K581" s="24">
        <f t="shared" ca="1" si="62"/>
        <v>-1</v>
      </c>
      <c r="L581" s="17">
        <f t="shared" ca="1" si="63"/>
        <v>-1</v>
      </c>
      <c r="N581" s="24" t="str">
        <f ca="1">IF(AND(L581=1,L580&lt;&gt;1),MAX($N$8:N580)+1,"")</f>
        <v/>
      </c>
      <c r="O581" s="24" t="str">
        <f ca="1">IF(AND(L581&lt;&gt;1,L580=1),MAX($O$8:O580)+1,"")</f>
        <v/>
      </c>
      <c r="P581" s="17" t="str">
        <f ca="1">IF(AND(L581=-1,L580&lt;&gt;-1),MAX($P$8:P580)+1,"")</f>
        <v/>
      </c>
      <c r="Q581" s="24" t="str">
        <f ca="1">IF(AND(L581&lt;&gt;-1,L580=-1),MAX($Q$8:Q580)+1,"")</f>
        <v/>
      </c>
    </row>
    <row r="582" spans="1:17" x14ac:dyDescent="0.3">
      <c r="A582" s="3">
        <v>41036</v>
      </c>
      <c r="B582" s="9">
        <v>9.2222770000000001</v>
      </c>
      <c r="C582" s="9">
        <v>8.2675789999999996</v>
      </c>
      <c r="E582" s="14">
        <f t="shared" si="67"/>
        <v>1.115474917143217</v>
      </c>
      <c r="F582" s="18">
        <f t="shared" ca="1" si="66"/>
        <v>-1.1977732742867073</v>
      </c>
      <c r="G582" s="15">
        <f t="shared" ca="1" si="64"/>
        <v>1.166756346502047</v>
      </c>
      <c r="H582" s="15">
        <f t="shared" ca="1" si="65"/>
        <v>4.2813970272770403E-2</v>
      </c>
      <c r="J582" s="17">
        <f t="shared" ca="1" si="61"/>
        <v>0</v>
      </c>
      <c r="K582" s="24">
        <f t="shared" ca="1" si="62"/>
        <v>-1</v>
      </c>
      <c r="L582" s="17">
        <f t="shared" ca="1" si="63"/>
        <v>-1</v>
      </c>
      <c r="N582" s="24" t="str">
        <f ca="1">IF(AND(L582=1,L581&lt;&gt;1),MAX($N$8:N581)+1,"")</f>
        <v/>
      </c>
      <c r="O582" s="24" t="str">
        <f ca="1">IF(AND(L582&lt;&gt;1,L581=1),MAX($O$8:O581)+1,"")</f>
        <v/>
      </c>
      <c r="P582" s="17" t="str">
        <f ca="1">IF(AND(L582=-1,L581&lt;&gt;-1),MAX($P$8:P581)+1,"")</f>
        <v/>
      </c>
      <c r="Q582" s="24" t="str">
        <f ca="1">IF(AND(L582&lt;&gt;-1,L581=-1),MAX($Q$8:Q581)+1,"")</f>
        <v/>
      </c>
    </row>
    <row r="583" spans="1:17" x14ac:dyDescent="0.3">
      <c r="A583" s="3">
        <v>41037</v>
      </c>
      <c r="B583" s="9">
        <v>9.2381989999999998</v>
      </c>
      <c r="C583" s="9">
        <v>8.2202559999999991</v>
      </c>
      <c r="E583" s="14">
        <f t="shared" si="67"/>
        <v>1.1238334913170589</v>
      </c>
      <c r="F583" s="18">
        <f t="shared" ca="1" si="66"/>
        <v>-0.93351696487330549</v>
      </c>
      <c r="G583" s="15">
        <f t="shared" ca="1" si="64"/>
        <v>1.1612272219317374</v>
      </c>
      <c r="H583" s="15">
        <f t="shared" ca="1" si="65"/>
        <v>4.0056830268482078E-2</v>
      </c>
      <c r="J583" s="17">
        <f t="shared" ca="1" si="61"/>
        <v>0</v>
      </c>
      <c r="K583" s="24">
        <f t="shared" ca="1" si="62"/>
        <v>-1</v>
      </c>
      <c r="L583" s="17">
        <f t="shared" ca="1" si="63"/>
        <v>-1</v>
      </c>
      <c r="N583" s="24" t="str">
        <f ca="1">IF(AND(L583=1,L582&lt;&gt;1),MAX($N$8:N582)+1,"")</f>
        <v/>
      </c>
      <c r="O583" s="24" t="str">
        <f ca="1">IF(AND(L583&lt;&gt;1,L582=1),MAX($O$8:O582)+1,"")</f>
        <v/>
      </c>
      <c r="P583" s="17" t="str">
        <f ca="1">IF(AND(L583=-1,L582&lt;&gt;-1),MAX($P$8:P582)+1,"")</f>
        <v/>
      </c>
      <c r="Q583" s="24" t="str">
        <f ca="1">IF(AND(L583&lt;&gt;-1,L582=-1),MAX($Q$8:Q582)+1,"")</f>
        <v/>
      </c>
    </row>
    <row r="584" spans="1:17" x14ac:dyDescent="0.3">
      <c r="A584" s="3">
        <v>41038</v>
      </c>
      <c r="B584" s="9">
        <v>9.1014529999999993</v>
      </c>
      <c r="C584" s="9">
        <v>8.1701580000000007</v>
      </c>
      <c r="E584" s="14">
        <f t="shared" si="67"/>
        <v>1.1139873916759013</v>
      </c>
      <c r="F584" s="18">
        <f t="shared" ca="1" si="66"/>
        <v>-1.0948850525206708</v>
      </c>
      <c r="G584" s="15">
        <f t="shared" ca="1" si="64"/>
        <v>1.1560322268428909</v>
      </c>
      <c r="H584" s="15">
        <f t="shared" ca="1" si="65"/>
        <v>3.8401140896199927E-2</v>
      </c>
      <c r="J584" s="17">
        <f t="shared" ref="J584:J647" ca="1" si="68">IF(ISNUMBER(F584),IF(AND(J583&lt;&gt;1,F584&gt;$L$1),1,IF(AND(J583=1,F584&gt;$N$1),1,0)),"")</f>
        <v>0</v>
      </c>
      <c r="K584" s="24">
        <f t="shared" ca="1" si="62"/>
        <v>-1</v>
      </c>
      <c r="L584" s="17">
        <f t="shared" ca="1" si="63"/>
        <v>-1</v>
      </c>
      <c r="N584" s="24" t="str">
        <f ca="1">IF(AND(L584=1,L583&lt;&gt;1),MAX($N$8:N583)+1,"")</f>
        <v/>
      </c>
      <c r="O584" s="24" t="str">
        <f ca="1">IF(AND(L584&lt;&gt;1,L583=1),MAX($O$8:O583)+1,"")</f>
        <v/>
      </c>
      <c r="P584" s="17" t="str">
        <f ca="1">IF(AND(L584=-1,L583&lt;&gt;-1),MAX($P$8:P583)+1,"")</f>
        <v/>
      </c>
      <c r="Q584" s="24" t="str">
        <f ca="1">IF(AND(L584&lt;&gt;-1,L583=-1),MAX($Q$8:Q583)+1,"")</f>
        <v/>
      </c>
    </row>
    <row r="585" spans="1:17" x14ac:dyDescent="0.3">
      <c r="A585" s="3">
        <v>41039</v>
      </c>
      <c r="B585" s="9">
        <v>9.1046630000000004</v>
      </c>
      <c r="C585" s="9">
        <v>8.2007639999999995</v>
      </c>
      <c r="E585" s="14">
        <f t="shared" si="67"/>
        <v>1.1102213159651955</v>
      </c>
      <c r="F585" s="18">
        <f t="shared" ca="1" si="66"/>
        <v>-1.1023790002866227</v>
      </c>
      <c r="G585" s="15">
        <f t="shared" ca="1" si="64"/>
        <v>1.1512239920251934</v>
      </c>
      <c r="H585" s="15">
        <f t="shared" ca="1" si="65"/>
        <v>3.7194718013802072E-2</v>
      </c>
      <c r="J585" s="17">
        <f t="shared" ca="1" si="68"/>
        <v>0</v>
      </c>
      <c r="K585" s="24">
        <f t="shared" ref="K585:K648" ca="1" si="69">IF(ISNUMBER(F585),IF(AND(K584&lt;&gt;-1,F585&lt;$P$1),-1,IF(AND(K584=-1,F585&lt;R578),-1,0)),"")</f>
        <v>-1</v>
      </c>
      <c r="L585" s="17">
        <f t="shared" ref="L585:L648" ca="1" si="70">IF(ISNUMBER(F585),IF(J585=1,1,IF(K585=-1,-1,0)),"")</f>
        <v>-1</v>
      </c>
      <c r="N585" s="24" t="str">
        <f ca="1">IF(AND(L585=1,L584&lt;&gt;1),MAX($N$8:N584)+1,"")</f>
        <v/>
      </c>
      <c r="O585" s="24" t="str">
        <f ca="1">IF(AND(L585&lt;&gt;1,L584=1),MAX($O$8:O584)+1,"")</f>
        <v/>
      </c>
      <c r="P585" s="17" t="str">
        <f ca="1">IF(AND(L585=-1,L584&lt;&gt;-1),MAX($P$8:P584)+1,"")</f>
        <v/>
      </c>
      <c r="Q585" s="24" t="str">
        <f ca="1">IF(AND(L585&lt;&gt;-1,L584=-1),MAX($Q$8:Q584)+1,"")</f>
        <v/>
      </c>
    </row>
    <row r="586" spans="1:17" x14ac:dyDescent="0.3">
      <c r="A586" s="3">
        <v>41040</v>
      </c>
      <c r="B586" s="9">
        <v>9.2254839999999998</v>
      </c>
      <c r="C586" s="9">
        <v>8.2035359999999997</v>
      </c>
      <c r="E586" s="14">
        <f t="shared" si="67"/>
        <v>1.124574086101408</v>
      </c>
      <c r="F586" s="18">
        <f t="shared" ca="1" si="66"/>
        <v>-0.6461978033951119</v>
      </c>
      <c r="G586" s="15">
        <f t="shared" ca="1" si="64"/>
        <v>1.1481020018259065</v>
      </c>
      <c r="H586" s="15">
        <f t="shared" ca="1" si="65"/>
        <v>3.6409773603195909E-2</v>
      </c>
      <c r="J586" s="17">
        <f t="shared" ca="1" si="68"/>
        <v>0</v>
      </c>
      <c r="K586" s="24">
        <f t="shared" ca="1" si="69"/>
        <v>-1</v>
      </c>
      <c r="L586" s="17">
        <f t="shared" ca="1" si="70"/>
        <v>-1</v>
      </c>
      <c r="N586" s="24" t="str">
        <f ca="1">IF(AND(L586=1,L585&lt;&gt;1),MAX($N$8:N585)+1,"")</f>
        <v/>
      </c>
      <c r="O586" s="24" t="str">
        <f ca="1">IF(AND(L586&lt;&gt;1,L585=1),MAX($O$8:O585)+1,"")</f>
        <v/>
      </c>
      <c r="P586" s="17" t="str">
        <f ca="1">IF(AND(L586=-1,L585&lt;&gt;-1),MAX($P$8:P585)+1,"")</f>
        <v/>
      </c>
      <c r="Q586" s="24" t="str">
        <f ca="1">IF(AND(L586&lt;&gt;-1,L585=-1),MAX($Q$8:Q585)+1,"")</f>
        <v/>
      </c>
    </row>
    <row r="587" spans="1:17" x14ac:dyDescent="0.3">
      <c r="A587" s="3">
        <v>41043</v>
      </c>
      <c r="B587" s="9">
        <v>9.0314750000000004</v>
      </c>
      <c r="C587" s="9">
        <v>8.0309779999999993</v>
      </c>
      <c r="E587" s="14">
        <f t="shared" si="67"/>
        <v>1.1245797211746815</v>
      </c>
      <c r="F587" s="18">
        <f t="shared" ca="1" si="66"/>
        <v>-0.580001387211317</v>
      </c>
      <c r="G587" s="15">
        <f t="shared" ca="1" si="64"/>
        <v>1.1453160537478728</v>
      </c>
      <c r="H587" s="15">
        <f t="shared" ca="1" si="65"/>
        <v>3.5752212029858899E-2</v>
      </c>
      <c r="J587" s="17">
        <f t="shared" ca="1" si="68"/>
        <v>0</v>
      </c>
      <c r="K587" s="24">
        <f t="shared" ca="1" si="69"/>
        <v>-1</v>
      </c>
      <c r="L587" s="17">
        <f t="shared" ca="1" si="70"/>
        <v>-1</v>
      </c>
      <c r="N587" s="24" t="str">
        <f ca="1">IF(AND(L587=1,L586&lt;&gt;1),MAX($N$8:N586)+1,"")</f>
        <v/>
      </c>
      <c r="O587" s="24" t="str">
        <f ca="1">IF(AND(L587&lt;&gt;1,L586=1),MAX($O$8:O586)+1,"")</f>
        <v/>
      </c>
      <c r="P587" s="17" t="str">
        <f ca="1">IF(AND(L587=-1,L586&lt;&gt;-1),MAX($P$8:P586)+1,"")</f>
        <v/>
      </c>
      <c r="Q587" s="24" t="str">
        <f ca="1">IF(AND(L587&lt;&gt;-1,L586=-1),MAX($Q$8:Q586)+1,"")</f>
        <v/>
      </c>
    </row>
    <row r="588" spans="1:17" x14ac:dyDescent="0.3">
      <c r="A588" s="3">
        <v>41044</v>
      </c>
      <c r="B588" s="9">
        <v>9.0569679999999995</v>
      </c>
      <c r="C588" s="9">
        <v>7.9641590000000004</v>
      </c>
      <c r="E588" s="14">
        <f t="shared" si="67"/>
        <v>1.1372158692462064</v>
      </c>
      <c r="F588" s="18">
        <f t="shared" ca="1" si="66"/>
        <v>-0.15272790076055717</v>
      </c>
      <c r="G588" s="15">
        <f t="shared" ca="1" si="64"/>
        <v>1.1423308018493408</v>
      </c>
      <c r="H588" s="15">
        <f t="shared" ca="1" si="65"/>
        <v>3.3490492422556077E-2</v>
      </c>
      <c r="J588" s="17">
        <f t="shared" ca="1" si="68"/>
        <v>0</v>
      </c>
      <c r="K588" s="24">
        <f t="shared" ca="1" si="69"/>
        <v>-1</v>
      </c>
      <c r="L588" s="17">
        <f t="shared" ca="1" si="70"/>
        <v>-1</v>
      </c>
      <c r="N588" s="24" t="str">
        <f ca="1">IF(AND(L588=1,L587&lt;&gt;1),MAX($N$8:N587)+1,"")</f>
        <v/>
      </c>
      <c r="O588" s="24" t="str">
        <f ca="1">IF(AND(L588&lt;&gt;1,L587=1),MAX($O$8:O587)+1,"")</f>
        <v/>
      </c>
      <c r="P588" s="17" t="str">
        <f ca="1">IF(AND(L588=-1,L587&lt;&gt;-1),MAX($P$8:P587)+1,"")</f>
        <v/>
      </c>
      <c r="Q588" s="24" t="str">
        <f ca="1">IF(AND(L588&lt;&gt;-1,L587=-1),MAX($Q$8:Q587)+1,"")</f>
        <v/>
      </c>
    </row>
    <row r="589" spans="1:17" x14ac:dyDescent="0.3">
      <c r="A589" s="3">
        <v>41045</v>
      </c>
      <c r="B589" s="9">
        <v>9.0569679999999995</v>
      </c>
      <c r="C589" s="9">
        <v>7.824973</v>
      </c>
      <c r="E589" s="14">
        <f t="shared" si="67"/>
        <v>1.157443993736464</v>
      </c>
      <c r="F589" s="18">
        <f t="shared" ca="1" si="66"/>
        <v>0.49398741924829848</v>
      </c>
      <c r="G589" s="15">
        <f t="shared" ca="1" si="64"/>
        <v>1.1413096787303807</v>
      </c>
      <c r="H589" s="15">
        <f t="shared" ca="1" si="65"/>
        <v>3.266138848360739E-2</v>
      </c>
      <c r="J589" s="17">
        <f t="shared" ca="1" si="68"/>
        <v>0</v>
      </c>
      <c r="K589" s="24">
        <f t="shared" ca="1" si="69"/>
        <v>0</v>
      </c>
      <c r="L589" s="17">
        <f t="shared" ca="1" si="70"/>
        <v>0</v>
      </c>
      <c r="N589" s="24" t="str">
        <f ca="1">IF(AND(L589=1,L588&lt;&gt;1),MAX($N$8:N588)+1,"")</f>
        <v/>
      </c>
      <c r="O589" s="24" t="str">
        <f ca="1">IF(AND(L589&lt;&gt;1,L588=1),MAX($O$8:O588)+1,"")</f>
        <v/>
      </c>
      <c r="P589" s="17" t="str">
        <f ca="1">IF(AND(L589=-1,L588&lt;&gt;-1),MAX($P$8:P588)+1,"")</f>
        <v/>
      </c>
      <c r="Q589" s="24">
        <f ca="1">IF(AND(L589&lt;&gt;-1,L588=-1),MAX($Q$8:Q588)+1,"")</f>
        <v>19</v>
      </c>
    </row>
    <row r="590" spans="1:17" x14ac:dyDescent="0.3">
      <c r="A590" s="3">
        <v>41046</v>
      </c>
      <c r="B590" s="9">
        <v>8.6021719999999995</v>
      </c>
      <c r="C590" s="9">
        <v>7.4825590000000002</v>
      </c>
      <c r="E590" s="14">
        <f t="shared" si="67"/>
        <v>1.1496296921948761</v>
      </c>
      <c r="F590" s="18">
        <f t="shared" ca="1" si="66"/>
        <v>0.30181588666491199</v>
      </c>
      <c r="G590" s="15">
        <f t="shared" ca="1" si="64"/>
        <v>1.1400434429230633</v>
      </c>
      <c r="H590" s="15">
        <f t="shared" ca="1" si="65"/>
        <v>3.1761910805099124E-2</v>
      </c>
      <c r="J590" s="17">
        <f t="shared" ca="1" si="68"/>
        <v>0</v>
      </c>
      <c r="K590" s="24">
        <f t="shared" ca="1" si="69"/>
        <v>0</v>
      </c>
      <c r="L590" s="17">
        <f t="shared" ca="1" si="70"/>
        <v>0</v>
      </c>
      <c r="N590" s="24" t="str">
        <f ca="1">IF(AND(L590=1,L589&lt;&gt;1),MAX($N$8:N589)+1,"")</f>
        <v/>
      </c>
      <c r="O590" s="24" t="str">
        <f ca="1">IF(AND(L590&lt;&gt;1,L589=1),MAX($O$8:O589)+1,"")</f>
        <v/>
      </c>
      <c r="P590" s="17" t="str">
        <f ca="1">IF(AND(L590=-1,L589&lt;&gt;-1),MAX($P$8:P589)+1,"")</f>
        <v/>
      </c>
      <c r="Q590" s="24" t="str">
        <f ca="1">IF(AND(L590&lt;&gt;-1,L589=-1),MAX($Q$8:Q589)+1,"")</f>
        <v/>
      </c>
    </row>
    <row r="591" spans="1:17" x14ac:dyDescent="0.3">
      <c r="A591" s="3">
        <v>41047</v>
      </c>
      <c r="B591" s="9">
        <v>8.646725</v>
      </c>
      <c r="C591" s="9">
        <v>7.5298809999999996</v>
      </c>
      <c r="E591" s="14">
        <f t="shared" si="67"/>
        <v>1.1483216003015189</v>
      </c>
      <c r="F591" s="18">
        <f t="shared" ca="1" si="66"/>
        <v>0.31126704390745563</v>
      </c>
      <c r="G591" s="15">
        <f t="shared" ca="1" si="64"/>
        <v>1.1387378283575122</v>
      </c>
      <c r="H591" s="15">
        <f t="shared" ca="1" si="65"/>
        <v>3.0789549139856945E-2</v>
      </c>
      <c r="J591" s="17">
        <f t="shared" ca="1" si="68"/>
        <v>0</v>
      </c>
      <c r="K591" s="24">
        <f t="shared" ca="1" si="69"/>
        <v>0</v>
      </c>
      <c r="L591" s="17">
        <f t="shared" ca="1" si="70"/>
        <v>0</v>
      </c>
      <c r="N591" s="24" t="str">
        <f ca="1">IF(AND(L591=1,L590&lt;&gt;1),MAX($N$8:N590)+1,"")</f>
        <v/>
      </c>
      <c r="O591" s="24" t="str">
        <f ca="1">IF(AND(L591&lt;&gt;1,L590=1),MAX($O$8:O590)+1,"")</f>
        <v/>
      </c>
      <c r="P591" s="17" t="str">
        <f ca="1">IF(AND(L591=-1,L590&lt;&gt;-1),MAX($P$8:P590)+1,"")</f>
        <v/>
      </c>
      <c r="Q591" s="24" t="str">
        <f ca="1">IF(AND(L591&lt;&gt;-1,L590=-1),MAX($Q$8:Q590)+1,"")</f>
        <v/>
      </c>
    </row>
    <row r="592" spans="1:17" x14ac:dyDescent="0.3">
      <c r="A592" s="3">
        <v>41050</v>
      </c>
      <c r="B592" s="9">
        <v>8.646725</v>
      </c>
      <c r="C592" s="9">
        <v>8.0615740000000002</v>
      </c>
      <c r="E592" s="14">
        <f t="shared" si="67"/>
        <v>1.072585204824765</v>
      </c>
      <c r="F592" s="18">
        <f t="shared" ca="1" si="66"/>
        <v>-1.8779412736538861</v>
      </c>
      <c r="G592" s="15">
        <f t="shared" ca="1" si="64"/>
        <v>1.1342424306817998</v>
      </c>
      <c r="H592" s="15">
        <f t="shared" ca="1" si="65"/>
        <v>3.2832350362622914E-2</v>
      </c>
      <c r="J592" s="17">
        <f t="shared" ca="1" si="68"/>
        <v>0</v>
      </c>
      <c r="K592" s="24">
        <f t="shared" ca="1" si="69"/>
        <v>-1</v>
      </c>
      <c r="L592" s="17">
        <f t="shared" ca="1" si="70"/>
        <v>-1</v>
      </c>
      <c r="N592" s="24" t="str">
        <f ca="1">IF(AND(L592=1,L591&lt;&gt;1),MAX($N$8:N591)+1,"")</f>
        <v/>
      </c>
      <c r="O592" s="24" t="str">
        <f ca="1">IF(AND(L592&lt;&gt;1,L591=1),MAX($O$8:O591)+1,"")</f>
        <v/>
      </c>
      <c r="P592" s="17">
        <f ca="1">IF(AND(L592=-1,L591&lt;&gt;-1),MAX($P$8:P591)+1,"")</f>
        <v>20</v>
      </c>
      <c r="Q592" s="24" t="str">
        <f ca="1">IF(AND(L592&lt;&gt;-1,L591=-1),MAX($Q$8:Q591)+1,"")</f>
        <v/>
      </c>
    </row>
    <row r="593" spans="1:17" x14ac:dyDescent="0.3">
      <c r="A593" s="3">
        <v>41051</v>
      </c>
      <c r="B593" s="9">
        <v>9.0823839999999993</v>
      </c>
      <c r="C593" s="9">
        <v>8.058802</v>
      </c>
      <c r="E593" s="14">
        <f t="shared" si="67"/>
        <v>1.1270141641400298</v>
      </c>
      <c r="F593" s="18">
        <f t="shared" ca="1" si="66"/>
        <v>-0.14922398430107239</v>
      </c>
      <c r="G593" s="15">
        <f t="shared" ca="1" si="64"/>
        <v>1.1316363197411943</v>
      </c>
      <c r="H593" s="15">
        <f t="shared" ca="1" si="65"/>
        <v>3.097461592929272E-2</v>
      </c>
      <c r="J593" s="17">
        <f t="shared" ca="1" si="68"/>
        <v>0</v>
      </c>
      <c r="K593" s="24">
        <f t="shared" ca="1" si="69"/>
        <v>-1</v>
      </c>
      <c r="L593" s="17">
        <f t="shared" ca="1" si="70"/>
        <v>-1</v>
      </c>
      <c r="N593" s="24" t="str">
        <f ca="1">IF(AND(L593=1,L592&lt;&gt;1),MAX($N$8:N592)+1,"")</f>
        <v/>
      </c>
      <c r="O593" s="24" t="str">
        <f ca="1">IF(AND(L593&lt;&gt;1,L592=1),MAX($O$8:O592)+1,"")</f>
        <v/>
      </c>
      <c r="P593" s="17" t="str">
        <f ca="1">IF(AND(L593=-1,L592&lt;&gt;-1),MAX($P$8:P592)+1,"")</f>
        <v/>
      </c>
      <c r="Q593" s="24" t="str">
        <f ca="1">IF(AND(L593&lt;&gt;-1,L592=-1),MAX($Q$8:Q592)+1,"")</f>
        <v/>
      </c>
    </row>
    <row r="594" spans="1:17" x14ac:dyDescent="0.3">
      <c r="A594" s="3">
        <v>41052</v>
      </c>
      <c r="B594" s="9">
        <v>9.0696779999999997</v>
      </c>
      <c r="C594" s="9">
        <v>7.9669340000000002</v>
      </c>
      <c r="E594" s="14">
        <f t="shared" si="67"/>
        <v>1.1384151042295567</v>
      </c>
      <c r="F594" s="18">
        <f t="shared" ca="1" si="66"/>
        <v>0.39284682967489448</v>
      </c>
      <c r="G594" s="15">
        <f t="shared" ca="1" si="64"/>
        <v>1.1283160924822313</v>
      </c>
      <c r="H594" s="15">
        <f t="shared" ca="1" si="65"/>
        <v>2.5707250216790559E-2</v>
      </c>
      <c r="J594" s="17">
        <f t="shared" ca="1" si="68"/>
        <v>0</v>
      </c>
      <c r="K594" s="24">
        <f t="shared" ca="1" si="69"/>
        <v>0</v>
      </c>
      <c r="L594" s="17">
        <f t="shared" ca="1" si="70"/>
        <v>0</v>
      </c>
      <c r="N594" s="24" t="str">
        <f ca="1">IF(AND(L594=1,L593&lt;&gt;1),MAX($N$8:N593)+1,"")</f>
        <v/>
      </c>
      <c r="O594" s="24" t="str">
        <f ca="1">IF(AND(L594&lt;&gt;1,L593=1),MAX($O$8:O593)+1,"")</f>
        <v/>
      </c>
      <c r="P594" s="17" t="str">
        <f ca="1">IF(AND(L594=-1,L593&lt;&gt;-1),MAX($P$8:P593)+1,"")</f>
        <v/>
      </c>
      <c r="Q594" s="24">
        <f ca="1">IF(AND(L594&lt;&gt;-1,L593=-1),MAX($Q$8:Q593)+1,"")</f>
        <v>20</v>
      </c>
    </row>
    <row r="595" spans="1:17" x14ac:dyDescent="0.3">
      <c r="A595" s="3">
        <v>41053</v>
      </c>
      <c r="B595" s="9">
        <v>8.9424290000000006</v>
      </c>
      <c r="C595" s="9">
        <v>7.8945670000000003</v>
      </c>
      <c r="E595" s="14">
        <f t="shared" si="67"/>
        <v>1.132732042175334</v>
      </c>
      <c r="F595" s="18">
        <f t="shared" ca="1" si="66"/>
        <v>0.34060752986384379</v>
      </c>
      <c r="G595" s="15">
        <f t="shared" ca="1" si="64"/>
        <v>1.1254895133326814</v>
      </c>
      <c r="H595" s="15">
        <f t="shared" ca="1" si="65"/>
        <v>2.1263560572332897E-2</v>
      </c>
      <c r="J595" s="17">
        <f t="shared" ca="1" si="68"/>
        <v>0</v>
      </c>
      <c r="K595" s="24">
        <f t="shared" ca="1" si="69"/>
        <v>0</v>
      </c>
      <c r="L595" s="17">
        <f t="shared" ca="1" si="70"/>
        <v>0</v>
      </c>
      <c r="N595" s="24" t="str">
        <f ca="1">IF(AND(L595=1,L594&lt;&gt;1),MAX($N$8:N594)+1,"")</f>
        <v/>
      </c>
      <c r="O595" s="24" t="str">
        <f ca="1">IF(AND(L595&lt;&gt;1,L594=1),MAX($O$8:O594)+1,"")</f>
        <v/>
      </c>
      <c r="P595" s="17" t="str">
        <f ca="1">IF(AND(L595=-1,L594&lt;&gt;-1),MAX($P$8:P594)+1,"")</f>
        <v/>
      </c>
      <c r="Q595" s="24" t="str">
        <f ca="1">IF(AND(L595&lt;&gt;-1,L594=-1),MAX($Q$8:Q594)+1,"")</f>
        <v/>
      </c>
    </row>
    <row r="596" spans="1:17" x14ac:dyDescent="0.3">
      <c r="A596" s="3">
        <v>41054</v>
      </c>
      <c r="B596" s="9">
        <v>9.0505390000000006</v>
      </c>
      <c r="C596" s="9">
        <v>7.9781029999999999</v>
      </c>
      <c r="E596" s="14">
        <f t="shared" si="67"/>
        <v>1.1344224309964412</v>
      </c>
      <c r="F596" s="18">
        <f t="shared" ca="1" si="66"/>
        <v>0.5704054290985946</v>
      </c>
      <c r="G596" s="15">
        <f t="shared" ca="1" si="64"/>
        <v>1.1237414991741541</v>
      </c>
      <c r="H596" s="15">
        <f t="shared" ca="1" si="65"/>
        <v>1.8725158067247168E-2</v>
      </c>
      <c r="J596" s="17">
        <f t="shared" ca="1" si="68"/>
        <v>0</v>
      </c>
      <c r="K596" s="24">
        <f t="shared" ca="1" si="69"/>
        <v>0</v>
      </c>
      <c r="L596" s="17">
        <f t="shared" ca="1" si="70"/>
        <v>0</v>
      </c>
      <c r="N596" s="24" t="str">
        <f ca="1">IF(AND(L596=1,L595&lt;&gt;1),MAX($N$8:N595)+1,"")</f>
        <v/>
      </c>
      <c r="O596" s="24" t="str">
        <f ca="1">IF(AND(L596&lt;&gt;1,L595=1),MAX($O$8:O595)+1,"")</f>
        <v/>
      </c>
      <c r="P596" s="17" t="str">
        <f ca="1">IF(AND(L596=-1,L595&lt;&gt;-1),MAX($P$8:P595)+1,"")</f>
        <v/>
      </c>
      <c r="Q596" s="24" t="str">
        <f ca="1">IF(AND(L596&lt;&gt;-1,L595=-1),MAX($Q$8:Q595)+1,"")</f>
        <v/>
      </c>
    </row>
    <row r="597" spans="1:17" x14ac:dyDescent="0.3">
      <c r="A597" s="3">
        <v>41057</v>
      </c>
      <c r="B597" s="9">
        <v>9.0760330000000007</v>
      </c>
      <c r="C597" s="9">
        <v>7.9196150000000003</v>
      </c>
      <c r="E597" s="14">
        <f t="shared" si="67"/>
        <v>1.1460194719061469</v>
      </c>
      <c r="F597" s="18">
        <f t="shared" ca="1" si="66"/>
        <v>1.1293643301070186</v>
      </c>
      <c r="G597" s="15">
        <f t="shared" ca="1" si="64"/>
        <v>1.1243289509403327</v>
      </c>
      <c r="H597" s="15">
        <f t="shared" ca="1" si="65"/>
        <v>1.9205955410118946E-2</v>
      </c>
      <c r="J597" s="17">
        <f t="shared" ca="1" si="68"/>
        <v>1</v>
      </c>
      <c r="K597" s="24">
        <f t="shared" ca="1" si="69"/>
        <v>0</v>
      </c>
      <c r="L597" s="17">
        <f t="shared" ca="1" si="70"/>
        <v>1</v>
      </c>
      <c r="N597" s="24">
        <f ca="1">IF(AND(L597=1,L596&lt;&gt;1),MAX($N$8:N596)+1,"")</f>
        <v>18</v>
      </c>
      <c r="O597" s="24" t="str">
        <f ca="1">IF(AND(L597&lt;&gt;1,L596=1),MAX($O$8:O596)+1,"")</f>
        <v/>
      </c>
      <c r="P597" s="17" t="str">
        <f ca="1">IF(AND(L597=-1,L596&lt;&gt;-1),MAX($P$8:P596)+1,"")</f>
        <v/>
      </c>
      <c r="Q597" s="24" t="str">
        <f ca="1">IF(AND(L597&lt;&gt;-1,L596=-1),MAX($Q$8:Q596)+1,"")</f>
        <v/>
      </c>
    </row>
    <row r="598" spans="1:17" x14ac:dyDescent="0.3">
      <c r="A598" s="3">
        <v>41058</v>
      </c>
      <c r="B598" s="9">
        <v>8.9901319999999991</v>
      </c>
      <c r="C598" s="9">
        <v>8.0031529999999993</v>
      </c>
      <c r="E598" s="14">
        <f t="shared" si="67"/>
        <v>1.1233237700191412</v>
      </c>
      <c r="F598" s="18">
        <f t="shared" ca="1" si="66"/>
        <v>-4.6145234297866509E-2</v>
      </c>
      <c r="G598" s="15">
        <f t="shared" ca="1" si="64"/>
        <v>1.1242099293569319</v>
      </c>
      <c r="H598" s="15">
        <f t="shared" ca="1" si="65"/>
        <v>1.9203702208348147E-2</v>
      </c>
      <c r="J598" s="17">
        <f t="shared" ca="1" si="68"/>
        <v>0</v>
      </c>
      <c r="K598" s="24">
        <f t="shared" ca="1" si="69"/>
        <v>0</v>
      </c>
      <c r="L598" s="17">
        <f t="shared" ca="1" si="70"/>
        <v>0</v>
      </c>
      <c r="N598" s="24" t="str">
        <f ca="1">IF(AND(L598=1,L597&lt;&gt;1),MAX($N$8:N597)+1,"")</f>
        <v/>
      </c>
      <c r="O598" s="24">
        <f ca="1">IF(AND(L598&lt;&gt;1,L597=1),MAX($O$8:O597)+1,"")</f>
        <v>18</v>
      </c>
      <c r="P598" s="17" t="str">
        <f ca="1">IF(AND(L598=-1,L597&lt;&gt;-1),MAX($P$8:P597)+1,"")</f>
        <v/>
      </c>
      <c r="Q598" s="24" t="str">
        <f ca="1">IF(AND(L598&lt;&gt;-1,L597=-1),MAX($Q$8:Q597)+1,"")</f>
        <v/>
      </c>
    </row>
    <row r="599" spans="1:17" x14ac:dyDescent="0.3">
      <c r="A599" s="3">
        <v>41059</v>
      </c>
      <c r="B599" s="9">
        <v>8.9424290000000006</v>
      </c>
      <c r="C599" s="9">
        <v>8.0810759999999995</v>
      </c>
      <c r="E599" s="14">
        <f t="shared" si="67"/>
        <v>1.1065888997950275</v>
      </c>
      <c r="F599" s="18">
        <f t="shared" ca="1" si="66"/>
        <v>-0.85352365876413305</v>
      </c>
      <c r="G599" s="15">
        <f t="shared" ca="1" si="64"/>
        <v>1.1232600730269704</v>
      </c>
      <c r="H599" s="15">
        <f t="shared" ca="1" si="65"/>
        <v>1.9532174721532691E-2</v>
      </c>
      <c r="J599" s="17">
        <f t="shared" ca="1" si="68"/>
        <v>0</v>
      </c>
      <c r="K599" s="24">
        <f t="shared" ca="1" si="69"/>
        <v>0</v>
      </c>
      <c r="L599" s="17">
        <f t="shared" ca="1" si="70"/>
        <v>0</v>
      </c>
      <c r="N599" s="24" t="str">
        <f ca="1">IF(AND(L599=1,L598&lt;&gt;1),MAX($N$8:N598)+1,"")</f>
        <v/>
      </c>
      <c r="O599" s="24" t="str">
        <f ca="1">IF(AND(L599&lt;&gt;1,L598=1),MAX($O$8:O598)+1,"")</f>
        <v/>
      </c>
      <c r="P599" s="17" t="str">
        <f ca="1">IF(AND(L599=-1,L598&lt;&gt;-1),MAX($P$8:P598)+1,"")</f>
        <v/>
      </c>
      <c r="Q599" s="24" t="str">
        <f ca="1">IF(AND(L599&lt;&gt;-1,L598=-1),MAX($Q$8:Q598)+1,"")</f>
        <v/>
      </c>
    </row>
    <row r="600" spans="1:17" x14ac:dyDescent="0.3">
      <c r="A600" s="3">
        <v>41060</v>
      </c>
      <c r="B600" s="9">
        <v>9.3176729999999992</v>
      </c>
      <c r="C600" s="9">
        <v>8.2397539999999996</v>
      </c>
      <c r="E600" s="14">
        <f t="shared" si="67"/>
        <v>1.1308193181495467</v>
      </c>
      <c r="F600" s="18">
        <f t="shared" ca="1" si="66"/>
        <v>0.35917487046581792</v>
      </c>
      <c r="G600" s="15">
        <f t="shared" ca="1" si="64"/>
        <v>1.1237895513421434</v>
      </c>
      <c r="H600" s="15">
        <f t="shared" ca="1" si="65"/>
        <v>1.9571989538929382E-2</v>
      </c>
      <c r="J600" s="17">
        <f t="shared" ca="1" si="68"/>
        <v>0</v>
      </c>
      <c r="K600" s="24">
        <f t="shared" ca="1" si="69"/>
        <v>0</v>
      </c>
      <c r="L600" s="17">
        <f t="shared" ca="1" si="70"/>
        <v>0</v>
      </c>
      <c r="N600" s="24" t="str">
        <f ca="1">IF(AND(L600=1,L599&lt;&gt;1),MAX($N$8:N599)+1,"")</f>
        <v/>
      </c>
      <c r="O600" s="24" t="str">
        <f ca="1">IF(AND(L600&lt;&gt;1,L599=1),MAX($O$8:O599)+1,"")</f>
        <v/>
      </c>
      <c r="P600" s="17" t="str">
        <f ca="1">IF(AND(L600=-1,L599&lt;&gt;-1),MAX($P$8:P599)+1,"")</f>
        <v/>
      </c>
      <c r="Q600" s="24" t="str">
        <f ca="1">IF(AND(L600&lt;&gt;-1,L599=-1),MAX($Q$8:Q599)+1,"")</f>
        <v/>
      </c>
    </row>
    <row r="601" spans="1:17" x14ac:dyDescent="0.3">
      <c r="A601" s="3">
        <v>41061</v>
      </c>
      <c r="B601" s="9">
        <v>9.0989710000000006</v>
      </c>
      <c r="C601" s="9">
        <v>8.2007639999999995</v>
      </c>
      <c r="E601" s="14">
        <f t="shared" si="67"/>
        <v>1.1095272342918296</v>
      </c>
      <c r="F601" s="18">
        <f t="shared" ca="1" si="66"/>
        <v>-0.80980040426532951</v>
      </c>
      <c r="G601" s="15">
        <f t="shared" ca="1" si="64"/>
        <v>1.1245856086600545</v>
      </c>
      <c r="H601" s="15">
        <f t="shared" ca="1" si="65"/>
        <v>1.8595167758512297E-2</v>
      </c>
      <c r="J601" s="17">
        <f t="shared" ca="1" si="68"/>
        <v>0</v>
      </c>
      <c r="K601" s="24">
        <f t="shared" ca="1" si="69"/>
        <v>0</v>
      </c>
      <c r="L601" s="17">
        <f t="shared" ca="1" si="70"/>
        <v>0</v>
      </c>
      <c r="N601" s="24" t="str">
        <f ca="1">IF(AND(L601=1,L600&lt;&gt;1),MAX($N$8:N600)+1,"")</f>
        <v/>
      </c>
      <c r="O601" s="24" t="str">
        <f ca="1">IF(AND(L601&lt;&gt;1,L600=1),MAX($O$8:O600)+1,"")</f>
        <v/>
      </c>
      <c r="P601" s="17" t="str">
        <f ca="1">IF(AND(L601=-1,L600&lt;&gt;-1),MAX($P$8:P600)+1,"")</f>
        <v/>
      </c>
      <c r="Q601" s="24" t="str">
        <f ca="1">IF(AND(L601&lt;&gt;-1,L600=-1),MAX($Q$8:Q600)+1,"")</f>
        <v/>
      </c>
    </row>
    <row r="602" spans="1:17" x14ac:dyDescent="0.3">
      <c r="A602" s="3">
        <v>41064</v>
      </c>
      <c r="B602" s="9">
        <v>8.9620739999999994</v>
      </c>
      <c r="C602" s="9">
        <v>8.1480099999999993</v>
      </c>
      <c r="E602" s="14">
        <f t="shared" si="67"/>
        <v>1.0999095484664354</v>
      </c>
      <c r="F602" s="18">
        <f t="shared" ca="1" si="66"/>
        <v>-1.2614648996981457</v>
      </c>
      <c r="G602" s="15">
        <f t="shared" ca="1" si="64"/>
        <v>1.124038993315394</v>
      </c>
      <c r="H602" s="15">
        <f t="shared" ca="1" si="65"/>
        <v>1.9128114349224089E-2</v>
      </c>
      <c r="J602" s="17">
        <f t="shared" ca="1" si="68"/>
        <v>0</v>
      </c>
      <c r="K602" s="24">
        <f t="shared" ca="1" si="69"/>
        <v>-1</v>
      </c>
      <c r="L602" s="17">
        <f t="shared" ca="1" si="70"/>
        <v>-1</v>
      </c>
      <c r="N602" s="24" t="str">
        <f ca="1">IF(AND(L602=1,L601&lt;&gt;1),MAX($N$8:N601)+1,"")</f>
        <v/>
      </c>
      <c r="O602" s="24" t="str">
        <f ca="1">IF(AND(L602&lt;&gt;1,L601=1),MAX($O$8:O601)+1,"")</f>
        <v/>
      </c>
      <c r="P602" s="17">
        <f ca="1">IF(AND(L602=-1,L601&lt;&gt;-1),MAX($P$8:P601)+1,"")</f>
        <v>21</v>
      </c>
      <c r="Q602" s="24" t="str">
        <f ca="1">IF(AND(L602&lt;&gt;-1,L601=-1),MAX($Q$8:Q601)+1,"")</f>
        <v/>
      </c>
    </row>
    <row r="603" spans="1:17" x14ac:dyDescent="0.3">
      <c r="A603" s="3">
        <v>41065</v>
      </c>
      <c r="B603" s="9">
        <v>8.8251720000000002</v>
      </c>
      <c r="C603" s="9">
        <v>7.986389</v>
      </c>
      <c r="E603" s="14">
        <f t="shared" si="67"/>
        <v>1.1050265645712976</v>
      </c>
      <c r="F603" s="18">
        <f t="shared" ca="1" si="66"/>
        <v>-1.0078510592679273</v>
      </c>
      <c r="G603" s="15">
        <f t="shared" ca="1" si="64"/>
        <v>1.1241666287464582</v>
      </c>
      <c r="H603" s="15">
        <f t="shared" ca="1" si="65"/>
        <v>1.8990964983519931E-2</v>
      </c>
      <c r="J603" s="17">
        <f t="shared" ca="1" si="68"/>
        <v>0</v>
      </c>
      <c r="K603" s="24">
        <f t="shared" ca="1" si="69"/>
        <v>-1</v>
      </c>
      <c r="L603" s="17">
        <f t="shared" ca="1" si="70"/>
        <v>-1</v>
      </c>
      <c r="N603" s="24" t="str">
        <f ca="1">IF(AND(L603=1,L602&lt;&gt;1),MAX($N$8:N602)+1,"")</f>
        <v/>
      </c>
      <c r="O603" s="24" t="str">
        <f ca="1">IF(AND(L603&lt;&gt;1,L602=1),MAX($O$8:O602)+1,"")</f>
        <v/>
      </c>
      <c r="P603" s="17" t="str">
        <f ca="1">IF(AND(L603=-1,L602&lt;&gt;-1),MAX($P$8:P602)+1,"")</f>
        <v/>
      </c>
      <c r="Q603" s="24" t="str">
        <f ca="1">IF(AND(L603&lt;&gt;-1,L602=-1),MAX($Q$8:Q602)+1,"")</f>
        <v/>
      </c>
    </row>
    <row r="604" spans="1:17" x14ac:dyDescent="0.3">
      <c r="A604" s="3">
        <v>41066</v>
      </c>
      <c r="B604" s="9">
        <v>9.194483</v>
      </c>
      <c r="C604" s="9">
        <v>8.3069109999999995</v>
      </c>
      <c r="E604" s="14">
        <f t="shared" si="67"/>
        <v>1.1068474189743938</v>
      </c>
      <c r="F604" s="18">
        <f t="shared" ca="1" si="66"/>
        <v>-0.87916020995985678</v>
      </c>
      <c r="G604" s="15">
        <f t="shared" ca="1" si="64"/>
        <v>1.1237744697387844</v>
      </c>
      <c r="H604" s="15">
        <f t="shared" ca="1" si="65"/>
        <v>1.9253658858336537E-2</v>
      </c>
      <c r="J604" s="17">
        <f t="shared" ca="1" si="68"/>
        <v>0</v>
      </c>
      <c r="K604" s="24">
        <f t="shared" ca="1" si="69"/>
        <v>-1</v>
      </c>
      <c r="L604" s="17">
        <f t="shared" ca="1" si="70"/>
        <v>-1</v>
      </c>
      <c r="N604" s="24" t="str">
        <f ca="1">IF(AND(L604=1,L603&lt;&gt;1),MAX($N$8:N603)+1,"")</f>
        <v/>
      </c>
      <c r="O604" s="24" t="str">
        <f ca="1">IF(AND(L604&lt;&gt;1,L603=1),MAX($O$8:O603)+1,"")</f>
        <v/>
      </c>
      <c r="P604" s="17" t="str">
        <f ca="1">IF(AND(L604=-1,L603&lt;&gt;-1),MAX($P$8:P603)+1,"")</f>
        <v/>
      </c>
      <c r="Q604" s="24" t="str">
        <f ca="1">IF(AND(L604&lt;&gt;-1,L603=-1),MAX($Q$8:Q603)+1,"")</f>
        <v/>
      </c>
    </row>
    <row r="605" spans="1:17" x14ac:dyDescent="0.3">
      <c r="A605" s="3">
        <v>41068</v>
      </c>
      <c r="B605" s="9">
        <v>9.1403660000000002</v>
      </c>
      <c r="C605" s="9">
        <v>8.3264329999999998</v>
      </c>
      <c r="E605" s="14">
        <f t="shared" si="67"/>
        <v>1.0977529033140603</v>
      </c>
      <c r="F605" s="18">
        <f t="shared" ca="1" si="66"/>
        <v>-1.2416861101123426</v>
      </c>
      <c r="G605" s="15">
        <f t="shared" ca="1" si="64"/>
        <v>1.1225889884659208</v>
      </c>
      <c r="H605" s="15">
        <f t="shared" ca="1" si="65"/>
        <v>2.0001903016869105E-2</v>
      </c>
      <c r="J605" s="17">
        <f t="shared" ca="1" si="68"/>
        <v>0</v>
      </c>
      <c r="K605" s="24">
        <f t="shared" ca="1" si="69"/>
        <v>-1</v>
      </c>
      <c r="L605" s="17">
        <f t="shared" ca="1" si="70"/>
        <v>-1</v>
      </c>
      <c r="N605" s="24" t="str">
        <f ca="1">IF(AND(L605=1,L604&lt;&gt;1),MAX($N$8:N604)+1,"")</f>
        <v/>
      </c>
      <c r="O605" s="24" t="str">
        <f ca="1">IF(AND(L605&lt;&gt;1,L604=1),MAX($O$8:O604)+1,"")</f>
        <v/>
      </c>
      <c r="P605" s="17" t="str">
        <f ca="1">IF(AND(L605=-1,L604&lt;&gt;-1),MAX($P$8:P604)+1,"")</f>
        <v/>
      </c>
      <c r="Q605" s="24" t="str">
        <f ca="1">IF(AND(L605&lt;&gt;-1,L604=-1),MAX($Q$8:Q604)+1,"")</f>
        <v/>
      </c>
    </row>
    <row r="606" spans="1:17" x14ac:dyDescent="0.3">
      <c r="A606" s="3">
        <v>41071</v>
      </c>
      <c r="B606" s="9">
        <v>9.2326549999999994</v>
      </c>
      <c r="C606" s="9">
        <v>8.4184260000000002</v>
      </c>
      <c r="E606" s="14">
        <f t="shared" si="67"/>
        <v>1.0967198618839198</v>
      </c>
      <c r="F606" s="18">
        <f t="shared" ca="1" si="66"/>
        <v>-1.2146003583664577</v>
      </c>
      <c r="G606" s="15">
        <f t="shared" ca="1" si="64"/>
        <v>1.1218041007481032</v>
      </c>
      <c r="H606" s="15">
        <f t="shared" ca="1" si="65"/>
        <v>2.0652257091311715E-2</v>
      </c>
      <c r="J606" s="17">
        <f t="shared" ca="1" si="68"/>
        <v>0</v>
      </c>
      <c r="K606" s="24">
        <f t="shared" ca="1" si="69"/>
        <v>-1</v>
      </c>
      <c r="L606" s="17">
        <f t="shared" ca="1" si="70"/>
        <v>-1</v>
      </c>
      <c r="N606" s="24" t="str">
        <f ca="1">IF(AND(L606=1,L605&lt;&gt;1),MAX($N$8:N605)+1,"")</f>
        <v/>
      </c>
      <c r="O606" s="24" t="str">
        <f ca="1">IF(AND(L606&lt;&gt;1,L605=1),MAX($O$8:O605)+1,"")</f>
        <v/>
      </c>
      <c r="P606" s="17" t="str">
        <f ca="1">IF(AND(L606=-1,L605&lt;&gt;-1),MAX($P$8:P605)+1,"")</f>
        <v/>
      </c>
      <c r="Q606" s="24" t="str">
        <f ca="1">IF(AND(L606&lt;&gt;-1,L605=-1),MAX($Q$8:Q605)+1,"")</f>
        <v/>
      </c>
    </row>
    <row r="607" spans="1:17" x14ac:dyDescent="0.3">
      <c r="A607" s="3">
        <v>41072</v>
      </c>
      <c r="B607" s="9">
        <v>9.3918610000000005</v>
      </c>
      <c r="C607" s="9">
        <v>8.5578020000000006</v>
      </c>
      <c r="E607" s="14">
        <f t="shared" si="67"/>
        <v>1.0974618248938219</v>
      </c>
      <c r="F607" s="18">
        <f t="shared" ca="1" si="66"/>
        <v>-1.1238992505290704</v>
      </c>
      <c r="G607" s="15">
        <f t="shared" ref="G607:G670" ca="1" si="71">IF(ISNUMBER(E607),IF(ROW(E607)&gt;$J$1,AVERAGE(OFFSET(E607,0,0,-$J$1)),""),"")</f>
        <v>1.1212241238812228</v>
      </c>
      <c r="H607" s="15">
        <f t="shared" ref="H607:H670" ca="1" si="72">IF(ISNUMBER(E607),IF(ROW(E607)&gt;$J$1,_xlfn.STDEV.P(OFFSET(E607,0,0,-$J$1)),""),"")</f>
        <v>2.1142730521632527E-2</v>
      </c>
      <c r="J607" s="17">
        <f t="shared" ca="1" si="68"/>
        <v>0</v>
      </c>
      <c r="K607" s="24">
        <f t="shared" ca="1" si="69"/>
        <v>-1</v>
      </c>
      <c r="L607" s="17">
        <f t="shared" ca="1" si="70"/>
        <v>-1</v>
      </c>
      <c r="N607" s="24" t="str">
        <f ca="1">IF(AND(L607=1,L606&lt;&gt;1),MAX($N$8:N606)+1,"")</f>
        <v/>
      </c>
      <c r="O607" s="24" t="str">
        <f ca="1">IF(AND(L607&lt;&gt;1,L606=1),MAX($O$8:O606)+1,"")</f>
        <v/>
      </c>
      <c r="P607" s="17" t="str">
        <f ca="1">IF(AND(L607=-1,L606&lt;&gt;-1),MAX($P$8:P606)+1,"")</f>
        <v/>
      </c>
      <c r="Q607" s="24" t="str">
        <f ca="1">IF(AND(L607&lt;&gt;-1,L606=-1),MAX($Q$8:Q606)+1,"")</f>
        <v/>
      </c>
    </row>
    <row r="608" spans="1:17" x14ac:dyDescent="0.3">
      <c r="A608" s="3">
        <v>41073</v>
      </c>
      <c r="B608" s="9">
        <v>9.407807</v>
      </c>
      <c r="C608" s="9">
        <v>8.5856700000000004</v>
      </c>
      <c r="E608" s="14">
        <f t="shared" si="67"/>
        <v>1.0957568832717772</v>
      </c>
      <c r="F608" s="18">
        <f t="shared" ca="1" si="66"/>
        <v>-1.1092686353357599</v>
      </c>
      <c r="G608" s="15">
        <f t="shared" ca="1" si="71"/>
        <v>1.1199142510253304</v>
      </c>
      <c r="H608" s="15">
        <f t="shared" ca="1" si="72"/>
        <v>2.1777743446465568E-2</v>
      </c>
      <c r="J608" s="17">
        <f t="shared" ca="1" si="68"/>
        <v>0</v>
      </c>
      <c r="K608" s="24">
        <f t="shared" ca="1" si="69"/>
        <v>-1</v>
      </c>
      <c r="L608" s="17">
        <f t="shared" ca="1" si="70"/>
        <v>-1</v>
      </c>
      <c r="N608" s="24" t="str">
        <f ca="1">IF(AND(L608=1,L607&lt;&gt;1),MAX($N$8:N607)+1,"")</f>
        <v/>
      </c>
      <c r="O608" s="24" t="str">
        <f ca="1">IF(AND(L608&lt;&gt;1,L607=1),MAX($O$8:O607)+1,"")</f>
        <v/>
      </c>
      <c r="P608" s="17" t="str">
        <f ca="1">IF(AND(L608=-1,L607&lt;&gt;-1),MAX($P$8:P607)+1,"")</f>
        <v/>
      </c>
      <c r="Q608" s="24" t="str">
        <f ca="1">IF(AND(L608&lt;&gt;-1,L607=-1),MAX($Q$8:Q607)+1,"")</f>
        <v/>
      </c>
    </row>
    <row r="609" spans="1:17" x14ac:dyDescent="0.3">
      <c r="A609" s="3">
        <v>41074</v>
      </c>
      <c r="B609" s="9">
        <v>9.4141709999999996</v>
      </c>
      <c r="C609" s="9">
        <v>8.6414570000000008</v>
      </c>
      <c r="E609" s="14">
        <f t="shared" si="67"/>
        <v>1.0894194115645079</v>
      </c>
      <c r="F609" s="18">
        <f t="shared" ca="1" si="66"/>
        <v>-1.2758226170736751</v>
      </c>
      <c r="G609" s="15">
        <f t="shared" ca="1" si="71"/>
        <v>1.118316055133959</v>
      </c>
      <c r="H609" s="15">
        <f t="shared" ca="1" si="72"/>
        <v>2.2649420995318817E-2</v>
      </c>
      <c r="J609" s="17">
        <f t="shared" ca="1" si="68"/>
        <v>0</v>
      </c>
      <c r="K609" s="24">
        <f t="shared" ca="1" si="69"/>
        <v>-1</v>
      </c>
      <c r="L609" s="17">
        <f t="shared" ca="1" si="70"/>
        <v>-1</v>
      </c>
      <c r="N609" s="24" t="str">
        <f ca="1">IF(AND(L609=1,L608&lt;&gt;1),MAX($N$8:N608)+1,"")</f>
        <v/>
      </c>
      <c r="O609" s="24" t="str">
        <f ca="1">IF(AND(L609&lt;&gt;1,L608=1),MAX($O$8:O608)+1,"")</f>
        <v/>
      </c>
      <c r="P609" s="17" t="str">
        <f ca="1">IF(AND(L609=-1,L608&lt;&gt;-1),MAX($P$8:P608)+1,"")</f>
        <v/>
      </c>
      <c r="Q609" s="24" t="str">
        <f ca="1">IF(AND(L609&lt;&gt;-1,L608=-1),MAX($Q$8:Q608)+1,"")</f>
        <v/>
      </c>
    </row>
    <row r="610" spans="1:17" x14ac:dyDescent="0.3">
      <c r="A610" s="3">
        <v>41075</v>
      </c>
      <c r="B610" s="9">
        <v>9.6146899999999995</v>
      </c>
      <c r="C610" s="9">
        <v>8.7556919999999998</v>
      </c>
      <c r="E610" s="14">
        <f t="shared" si="67"/>
        <v>1.0981073797479399</v>
      </c>
      <c r="F610" s="18">
        <f t="shared" ca="1" si="66"/>
        <v>-0.81441400287962773</v>
      </c>
      <c r="G610" s="15">
        <f t="shared" ca="1" si="71"/>
        <v>1.1165383965204017</v>
      </c>
      <c r="H610" s="15">
        <f t="shared" ca="1" si="72"/>
        <v>2.2631016543542749E-2</v>
      </c>
      <c r="J610" s="17">
        <f t="shared" ca="1" si="68"/>
        <v>0</v>
      </c>
      <c r="K610" s="24">
        <f t="shared" ca="1" si="69"/>
        <v>-1</v>
      </c>
      <c r="L610" s="17">
        <f t="shared" ca="1" si="70"/>
        <v>-1</v>
      </c>
      <c r="N610" s="24" t="str">
        <f ca="1">IF(AND(L610=1,L609&lt;&gt;1),MAX($N$8:N609)+1,"")</f>
        <v/>
      </c>
      <c r="O610" s="24" t="str">
        <f ca="1">IF(AND(L610&lt;&gt;1,L609=1),MAX($O$8:O609)+1,"")</f>
        <v/>
      </c>
      <c r="P610" s="17" t="str">
        <f ca="1">IF(AND(L610=-1,L609&lt;&gt;-1),MAX($P$8:P609)+1,"")</f>
        <v/>
      </c>
      <c r="Q610" s="24" t="str">
        <f ca="1">IF(AND(L610&lt;&gt;-1,L609=-1),MAX($Q$8:Q609)+1,"")</f>
        <v/>
      </c>
    </row>
    <row r="611" spans="1:17" x14ac:dyDescent="0.3">
      <c r="A611" s="3">
        <v>41078</v>
      </c>
      <c r="B611" s="9">
        <v>9.6146899999999995</v>
      </c>
      <c r="C611" s="9">
        <v>8.6832229999999999</v>
      </c>
      <c r="E611" s="14">
        <f t="shared" si="67"/>
        <v>1.1072720348193292</v>
      </c>
      <c r="F611" s="18">
        <f t="shared" ca="1" si="66"/>
        <v>-0.3350185256256959</v>
      </c>
      <c r="G611" s="15">
        <f t="shared" ca="1" si="71"/>
        <v>1.1142578529332587</v>
      </c>
      <c r="H611" s="15">
        <f t="shared" ca="1" si="72"/>
        <v>2.0852035274414978E-2</v>
      </c>
      <c r="J611" s="17">
        <f t="shared" ca="1" si="68"/>
        <v>0</v>
      </c>
      <c r="K611" s="24">
        <f t="shared" ca="1" si="69"/>
        <v>-1</v>
      </c>
      <c r="L611" s="17">
        <f t="shared" ca="1" si="70"/>
        <v>-1</v>
      </c>
      <c r="N611" s="24" t="str">
        <f ca="1">IF(AND(L611=1,L610&lt;&gt;1),MAX($N$8:N610)+1,"")</f>
        <v/>
      </c>
      <c r="O611" s="24" t="str">
        <f ca="1">IF(AND(L611&lt;&gt;1,L610=1),MAX($O$8:O610)+1,"")</f>
        <v/>
      </c>
      <c r="P611" s="17" t="str">
        <f ca="1">IF(AND(L611=-1,L610&lt;&gt;-1),MAX($P$8:P610)+1,"")</f>
        <v/>
      </c>
      <c r="Q611" s="24" t="str">
        <f ca="1">IF(AND(L611&lt;&gt;-1,L610=-1),MAX($Q$8:Q610)+1,"")</f>
        <v/>
      </c>
    </row>
    <row r="612" spans="1:17" x14ac:dyDescent="0.3">
      <c r="A612" s="3">
        <v>41079</v>
      </c>
      <c r="B612" s="9">
        <v>9.7038329999999995</v>
      </c>
      <c r="C612" s="9">
        <v>8.7529160000000008</v>
      </c>
      <c r="E612" s="14">
        <f t="shared" si="67"/>
        <v>1.1086400235075944</v>
      </c>
      <c r="F612" s="18">
        <f t="shared" ca="1" si="66"/>
        <v>-0.19365787606783716</v>
      </c>
      <c r="G612" s="15">
        <f t="shared" ca="1" si="71"/>
        <v>1.112394686174746</v>
      </c>
      <c r="H612" s="15">
        <f t="shared" ca="1" si="72"/>
        <v>1.9388122721310835E-2</v>
      </c>
      <c r="J612" s="17">
        <f t="shared" ca="1" si="68"/>
        <v>0</v>
      </c>
      <c r="K612" s="24">
        <f t="shared" ca="1" si="69"/>
        <v>-1</v>
      </c>
      <c r="L612" s="17">
        <f t="shared" ca="1" si="70"/>
        <v>-1</v>
      </c>
      <c r="N612" s="24" t="str">
        <f ca="1">IF(AND(L612=1,L611&lt;&gt;1),MAX($N$8:N611)+1,"")</f>
        <v/>
      </c>
      <c r="O612" s="24" t="str">
        <f ca="1">IF(AND(L612&lt;&gt;1,L611=1),MAX($O$8:O611)+1,"")</f>
        <v/>
      </c>
      <c r="P612" s="17" t="str">
        <f ca="1">IF(AND(L612=-1,L611&lt;&gt;-1),MAX($P$8:P611)+1,"")</f>
        <v/>
      </c>
      <c r="Q612" s="24" t="str">
        <f ca="1">IF(AND(L612&lt;&gt;-1,L611=-1),MAX($Q$8:Q611)+1,"")</f>
        <v/>
      </c>
    </row>
    <row r="613" spans="1:17" x14ac:dyDescent="0.3">
      <c r="A613" s="3">
        <v>41080</v>
      </c>
      <c r="B613" s="9">
        <v>9.5669350000000009</v>
      </c>
      <c r="C613" s="9">
        <v>8.6832229999999999</v>
      </c>
      <c r="E613" s="14">
        <f t="shared" si="67"/>
        <v>1.1017723488156415</v>
      </c>
      <c r="F613" s="18">
        <f t="shared" ca="1" si="66"/>
        <v>-0.47710795762248015</v>
      </c>
      <c r="G613" s="15">
        <f t="shared" ca="1" si="71"/>
        <v>1.1102788111072059</v>
      </c>
      <c r="H613" s="15">
        <f t="shared" ca="1" si="72"/>
        <v>1.7829219059673222E-2</v>
      </c>
      <c r="J613" s="17">
        <f t="shared" ca="1" si="68"/>
        <v>0</v>
      </c>
      <c r="K613" s="24">
        <f t="shared" ca="1" si="69"/>
        <v>-1</v>
      </c>
      <c r="L613" s="17">
        <f t="shared" ca="1" si="70"/>
        <v>-1</v>
      </c>
      <c r="N613" s="24" t="str">
        <f ca="1">IF(AND(L613=1,L612&lt;&gt;1),MAX($N$8:N612)+1,"")</f>
        <v/>
      </c>
      <c r="O613" s="24" t="str">
        <f ca="1">IF(AND(L613&lt;&gt;1,L612=1),MAX($O$8:O612)+1,"")</f>
        <v/>
      </c>
      <c r="P613" s="17" t="str">
        <f ca="1">IF(AND(L613=-1,L612&lt;&gt;-1),MAX($P$8:P612)+1,"")</f>
        <v/>
      </c>
      <c r="Q613" s="24" t="str">
        <f ca="1">IF(AND(L613&lt;&gt;-1,L612=-1),MAX($Q$8:Q612)+1,"")</f>
        <v/>
      </c>
    </row>
    <row r="614" spans="1:17" x14ac:dyDescent="0.3">
      <c r="A614" s="3">
        <v>41081</v>
      </c>
      <c r="B614" s="9">
        <v>9.1912660000000006</v>
      </c>
      <c r="C614" s="9">
        <v>8.4323940000000004</v>
      </c>
      <c r="E614" s="14">
        <f t="shared" si="67"/>
        <v>1.0899948460662536</v>
      </c>
      <c r="F614" s="18">
        <f t="shared" ca="1" si="66"/>
        <v>-1.2793505547577455</v>
      </c>
      <c r="G614" s="15">
        <f t="shared" ca="1" si="71"/>
        <v>1.1110701584363645</v>
      </c>
      <c r="H614" s="15">
        <f t="shared" ca="1" si="72"/>
        <v>1.6473446071316716E-2</v>
      </c>
      <c r="J614" s="17">
        <f t="shared" ca="1" si="68"/>
        <v>0</v>
      </c>
      <c r="K614" s="24">
        <f t="shared" ca="1" si="69"/>
        <v>-1</v>
      </c>
      <c r="L614" s="17">
        <f t="shared" ca="1" si="70"/>
        <v>-1</v>
      </c>
      <c r="N614" s="24" t="str">
        <f ca="1">IF(AND(L614=1,L613&lt;&gt;1),MAX($N$8:N613)+1,"")</f>
        <v/>
      </c>
      <c r="O614" s="24" t="str">
        <f ca="1">IF(AND(L614&lt;&gt;1,L613=1),MAX($O$8:O613)+1,"")</f>
        <v/>
      </c>
      <c r="P614" s="17" t="str">
        <f ca="1">IF(AND(L614=-1,L613&lt;&gt;-1),MAX($P$8:P613)+1,"")</f>
        <v/>
      </c>
      <c r="Q614" s="24" t="str">
        <f ca="1">IF(AND(L614&lt;&gt;-1,L613=-1),MAX($Q$8:Q613)+1,"")</f>
        <v/>
      </c>
    </row>
    <row r="615" spans="1:17" x14ac:dyDescent="0.3">
      <c r="A615" s="3">
        <v>41082</v>
      </c>
      <c r="B615" s="9">
        <v>9.0002519999999997</v>
      </c>
      <c r="C615" s="9">
        <v>8.4323940000000004</v>
      </c>
      <c r="E615" s="14">
        <f t="shared" si="67"/>
        <v>1.0673424415415123</v>
      </c>
      <c r="F615" s="18">
        <f t="shared" ca="1" si="66"/>
        <v>-2.226412048443164</v>
      </c>
      <c r="G615" s="15">
        <f t="shared" ca="1" si="71"/>
        <v>1.1083578074091591</v>
      </c>
      <c r="H615" s="15">
        <f t="shared" ca="1" si="72"/>
        <v>1.8422181058680123E-2</v>
      </c>
      <c r="J615" s="17">
        <f t="shared" ca="1" si="68"/>
        <v>0</v>
      </c>
      <c r="K615" s="24">
        <f t="shared" ca="1" si="69"/>
        <v>-1</v>
      </c>
      <c r="L615" s="17">
        <f t="shared" ca="1" si="70"/>
        <v>-1</v>
      </c>
      <c r="N615" s="24" t="str">
        <f ca="1">IF(AND(L615=1,L614&lt;&gt;1),MAX($N$8:N614)+1,"")</f>
        <v/>
      </c>
      <c r="O615" s="24" t="str">
        <f ca="1">IF(AND(L615&lt;&gt;1,L614=1),MAX($O$8:O614)+1,"")</f>
        <v/>
      </c>
      <c r="P615" s="17" t="str">
        <f ca="1">IF(AND(L615=-1,L614&lt;&gt;-1),MAX($P$8:P614)+1,"")</f>
        <v/>
      </c>
      <c r="Q615" s="24" t="str">
        <f ca="1">IF(AND(L615&lt;&gt;-1,L614=-1),MAX($Q$8:Q614)+1,"")</f>
        <v/>
      </c>
    </row>
    <row r="616" spans="1:17" x14ac:dyDescent="0.3">
      <c r="A616" s="3">
        <v>41085</v>
      </c>
      <c r="B616" s="9">
        <v>8.6596030000000006</v>
      </c>
      <c r="C616" s="9">
        <v>8.2233169999999998</v>
      </c>
      <c r="E616" s="14">
        <f t="shared" si="67"/>
        <v>1.0530547466429909</v>
      </c>
      <c r="F616" s="18">
        <f t="shared" ca="1" si="66"/>
        <v>-2.5024158462294301</v>
      </c>
      <c r="G616" s="15">
        <f t="shared" ca="1" si="71"/>
        <v>1.1044777911552244</v>
      </c>
      <c r="H616" s="15">
        <f t="shared" ca="1" si="72"/>
        <v>2.0549360167182545E-2</v>
      </c>
      <c r="J616" s="17">
        <f t="shared" ca="1" si="68"/>
        <v>0</v>
      </c>
      <c r="K616" s="24">
        <f t="shared" ca="1" si="69"/>
        <v>-1</v>
      </c>
      <c r="L616" s="17">
        <f t="shared" ca="1" si="70"/>
        <v>-1</v>
      </c>
      <c r="N616" s="24" t="str">
        <f ca="1">IF(AND(L616=1,L615&lt;&gt;1),MAX($N$8:N615)+1,"")</f>
        <v/>
      </c>
      <c r="O616" s="24" t="str">
        <f ca="1">IF(AND(L616&lt;&gt;1,L615=1),MAX($O$8:O615)+1,"")</f>
        <v/>
      </c>
      <c r="P616" s="17" t="str">
        <f ca="1">IF(AND(L616=-1,L615&lt;&gt;-1),MAX($P$8:P615)+1,"")</f>
        <v/>
      </c>
      <c r="Q616" s="24" t="str">
        <f ca="1">IF(AND(L616&lt;&gt;-1,L615=-1),MAX($Q$8:Q615)+1,"")</f>
        <v/>
      </c>
    </row>
    <row r="617" spans="1:17" x14ac:dyDescent="0.3">
      <c r="A617" s="3">
        <v>41086</v>
      </c>
      <c r="B617" s="9">
        <v>8.6468799999999995</v>
      </c>
      <c r="C617" s="9">
        <v>8.1730909999999994</v>
      </c>
      <c r="E617" s="14">
        <f t="shared" si="67"/>
        <v>1.0579693778033306</v>
      </c>
      <c r="F617" s="18">
        <f t="shared" ca="1" si="66"/>
        <v>-1.9827061495433727</v>
      </c>
      <c r="G617" s="15">
        <f t="shared" ca="1" si="71"/>
        <v>1.1010794882292243</v>
      </c>
      <c r="H617" s="15">
        <f t="shared" ca="1" si="72"/>
        <v>2.1743065877826737E-2</v>
      </c>
      <c r="J617" s="17">
        <f t="shared" ca="1" si="68"/>
        <v>0</v>
      </c>
      <c r="K617" s="24">
        <f t="shared" ca="1" si="69"/>
        <v>-1</v>
      </c>
      <c r="L617" s="17">
        <f t="shared" ca="1" si="70"/>
        <v>-1</v>
      </c>
      <c r="N617" s="24" t="str">
        <f ca="1">IF(AND(L617=1,L616&lt;&gt;1),MAX($N$8:N616)+1,"")</f>
        <v/>
      </c>
      <c r="O617" s="24" t="str">
        <f ca="1">IF(AND(L617&lt;&gt;1,L616=1),MAX($O$8:O616)+1,"")</f>
        <v/>
      </c>
      <c r="P617" s="17" t="str">
        <f ca="1">IF(AND(L617=-1,L616&lt;&gt;-1),MAX($P$8:P616)+1,"")</f>
        <v/>
      </c>
      <c r="Q617" s="24" t="str">
        <f ca="1">IF(AND(L617&lt;&gt;-1,L616=-1),MAX($Q$8:Q616)+1,"")</f>
        <v/>
      </c>
    </row>
    <row r="618" spans="1:17" x14ac:dyDescent="0.3">
      <c r="A618" s="3">
        <v>41087</v>
      </c>
      <c r="B618" s="9">
        <v>8.7583269999999995</v>
      </c>
      <c r="C618" s="9">
        <v>8.3013490000000001</v>
      </c>
      <c r="E618" s="14">
        <f t="shared" si="67"/>
        <v>1.055048643298818</v>
      </c>
      <c r="F618" s="18">
        <f t="shared" ca="1" si="66"/>
        <v>-1.8868238983571453</v>
      </c>
      <c r="G618" s="15">
        <f t="shared" ca="1" si="71"/>
        <v>1.0974715887884234</v>
      </c>
      <c r="H618" s="15">
        <f t="shared" ca="1" si="72"/>
        <v>2.2483786391800025E-2</v>
      </c>
      <c r="J618" s="17">
        <f t="shared" ca="1" si="68"/>
        <v>0</v>
      </c>
      <c r="K618" s="24">
        <f t="shared" ca="1" si="69"/>
        <v>-1</v>
      </c>
      <c r="L618" s="17">
        <f t="shared" ca="1" si="70"/>
        <v>-1</v>
      </c>
      <c r="N618" s="24" t="str">
        <f ca="1">IF(AND(L618=1,L617&lt;&gt;1),MAX($N$8:N617)+1,"")</f>
        <v/>
      </c>
      <c r="O618" s="24" t="str">
        <f ca="1">IF(AND(L618&lt;&gt;1,L617=1),MAX($O$8:O617)+1,"")</f>
        <v/>
      </c>
      <c r="P618" s="17" t="str">
        <f ca="1">IF(AND(L618=-1,L617&lt;&gt;-1),MAX($P$8:P617)+1,"")</f>
        <v/>
      </c>
      <c r="Q618" s="24" t="str">
        <f ca="1">IF(AND(L618&lt;&gt;-1,L617=-1),MAX($Q$8:Q617)+1,"")</f>
        <v/>
      </c>
    </row>
    <row r="619" spans="1:17" x14ac:dyDescent="0.3">
      <c r="A619" s="3">
        <v>41088</v>
      </c>
      <c r="B619" s="9">
        <v>8.6755460000000006</v>
      </c>
      <c r="C619" s="9">
        <v>8.1759310000000003</v>
      </c>
      <c r="E619" s="14">
        <f t="shared" si="67"/>
        <v>1.0611080254958121</v>
      </c>
      <c r="F619" s="18">
        <f t="shared" ca="1" si="66"/>
        <v>-1.5432692931429304</v>
      </c>
      <c r="G619" s="15">
        <f t="shared" ca="1" si="71"/>
        <v>1.0936119775879538</v>
      </c>
      <c r="H619" s="15">
        <f t="shared" ca="1" si="72"/>
        <v>2.1061750037121602E-2</v>
      </c>
      <c r="J619" s="17">
        <f t="shared" ca="1" si="68"/>
        <v>0</v>
      </c>
      <c r="K619" s="24">
        <f t="shared" ca="1" si="69"/>
        <v>-1</v>
      </c>
      <c r="L619" s="17">
        <f t="shared" ca="1" si="70"/>
        <v>-1</v>
      </c>
      <c r="N619" s="24" t="str">
        <f ca="1">IF(AND(L619=1,L618&lt;&gt;1),MAX($N$8:N618)+1,"")</f>
        <v/>
      </c>
      <c r="O619" s="24" t="str">
        <f ca="1">IF(AND(L619&lt;&gt;1,L618=1),MAX($O$8:O618)+1,"")</f>
        <v/>
      </c>
      <c r="P619" s="17" t="str">
        <f ca="1">IF(AND(L619=-1,L618&lt;&gt;-1),MAX($P$8:P618)+1,"")</f>
        <v/>
      </c>
      <c r="Q619" s="24" t="str">
        <f ca="1">IF(AND(L619&lt;&gt;-1,L618=-1),MAX($Q$8:Q618)+1,"")</f>
        <v/>
      </c>
    </row>
    <row r="620" spans="1:17" x14ac:dyDescent="0.3">
      <c r="A620" s="3">
        <v>41089</v>
      </c>
      <c r="B620" s="9">
        <v>9.0066089999999992</v>
      </c>
      <c r="C620" s="9">
        <v>8.3459559999999993</v>
      </c>
      <c r="E620" s="14">
        <f t="shared" si="67"/>
        <v>1.0791584571018586</v>
      </c>
      <c r="F620" s="18">
        <f t="shared" ca="1" si="66"/>
        <v>-0.61546355507381501</v>
      </c>
      <c r="G620" s="15">
        <f t="shared" ca="1" si="71"/>
        <v>1.0916044633644411</v>
      </c>
      <c r="H620" s="15">
        <f t="shared" ca="1" si="72"/>
        <v>2.0222166137992867E-2</v>
      </c>
      <c r="J620" s="17">
        <f t="shared" ca="1" si="68"/>
        <v>0</v>
      </c>
      <c r="K620" s="24">
        <f t="shared" ca="1" si="69"/>
        <v>-1</v>
      </c>
      <c r="L620" s="17">
        <f t="shared" ca="1" si="70"/>
        <v>-1</v>
      </c>
      <c r="N620" s="24" t="str">
        <f ca="1">IF(AND(L620=1,L619&lt;&gt;1),MAX($N$8:N619)+1,"")</f>
        <v/>
      </c>
      <c r="O620" s="24" t="str">
        <f ca="1">IF(AND(L620&lt;&gt;1,L619=1),MAX($O$8:O619)+1,"")</f>
        <v/>
      </c>
      <c r="P620" s="17" t="str">
        <f ca="1">IF(AND(L620=-1,L619&lt;&gt;-1),MAX($P$8:P619)+1,"")</f>
        <v/>
      </c>
      <c r="Q620" s="24" t="str">
        <f ca="1">IF(AND(L620&lt;&gt;-1,L619=-1),MAX($Q$8:Q619)+1,"")</f>
        <v/>
      </c>
    </row>
    <row r="621" spans="1:17" x14ac:dyDescent="0.3">
      <c r="A621" s="3">
        <v>41092</v>
      </c>
      <c r="B621" s="9">
        <v>9.0458119999999997</v>
      </c>
      <c r="C621" s="9">
        <v>8.3654820000000001</v>
      </c>
      <c r="E621" s="14">
        <f t="shared" si="67"/>
        <v>1.0813258578525422</v>
      </c>
      <c r="F621" s="18">
        <f t="shared" ca="1" si="66"/>
        <v>-0.45525633524881137</v>
      </c>
      <c r="G621" s="15">
        <f t="shared" ca="1" si="71"/>
        <v>1.0904561432761462</v>
      </c>
      <c r="H621" s="15">
        <f t="shared" ca="1" si="72"/>
        <v>2.005526275348583E-2</v>
      </c>
      <c r="J621" s="17">
        <f t="shared" ca="1" si="68"/>
        <v>0</v>
      </c>
      <c r="K621" s="24">
        <f t="shared" ca="1" si="69"/>
        <v>-1</v>
      </c>
      <c r="L621" s="17">
        <f t="shared" ca="1" si="70"/>
        <v>-1</v>
      </c>
      <c r="N621" s="24" t="str">
        <f ca="1">IF(AND(L621=1,L620&lt;&gt;1),MAX($N$8:N620)+1,"")</f>
        <v/>
      </c>
      <c r="O621" s="24" t="str">
        <f ca="1">IF(AND(L621&lt;&gt;1,L620=1),MAX($O$8:O620)+1,"")</f>
        <v/>
      </c>
      <c r="P621" s="17" t="str">
        <f ca="1">IF(AND(L621=-1,L620&lt;&gt;-1),MAX($P$8:P620)+1,"")</f>
        <v/>
      </c>
      <c r="Q621" s="24" t="str">
        <f ca="1">IF(AND(L621&lt;&gt;-1,L620=-1),MAX($Q$8:Q620)+1,"")</f>
        <v/>
      </c>
    </row>
    <row r="622" spans="1:17" x14ac:dyDescent="0.3">
      <c r="A622" s="3">
        <v>41093</v>
      </c>
      <c r="B622" s="9">
        <v>9.2275299999999998</v>
      </c>
      <c r="C622" s="9">
        <v>8.583437</v>
      </c>
      <c r="E622" s="14">
        <f t="shared" si="67"/>
        <v>1.0750390548681139</v>
      </c>
      <c r="F622" s="18">
        <f t="shared" ca="1" si="66"/>
        <v>-0.70640190507806255</v>
      </c>
      <c r="G622" s="15">
        <f t="shared" ca="1" si="71"/>
        <v>1.0879206767633536</v>
      </c>
      <c r="H622" s="15">
        <f t="shared" ca="1" si="72"/>
        <v>1.8235542405305599E-2</v>
      </c>
      <c r="J622" s="17">
        <f t="shared" ca="1" si="68"/>
        <v>0</v>
      </c>
      <c r="K622" s="24">
        <f t="shared" ca="1" si="69"/>
        <v>-1</v>
      </c>
      <c r="L622" s="17">
        <f t="shared" ca="1" si="70"/>
        <v>-1</v>
      </c>
      <c r="N622" s="24" t="str">
        <f ca="1">IF(AND(L622=1,L621&lt;&gt;1),MAX($N$8:N621)+1,"")</f>
        <v/>
      </c>
      <c r="O622" s="24" t="str">
        <f ca="1">IF(AND(L622&lt;&gt;1,L621=1),MAX($O$8:O621)+1,"")</f>
        <v/>
      </c>
      <c r="P622" s="17" t="str">
        <f ca="1">IF(AND(L622=-1,L621&lt;&gt;-1),MAX($P$8:P621)+1,"")</f>
        <v/>
      </c>
      <c r="Q622" s="24" t="str">
        <f ca="1">IF(AND(L622&lt;&gt;-1,L621=-1),MAX($Q$8:Q621)+1,"")</f>
        <v/>
      </c>
    </row>
    <row r="623" spans="1:17" x14ac:dyDescent="0.3">
      <c r="A623" s="3">
        <v>41094</v>
      </c>
      <c r="B623" s="9">
        <v>9.2817109999999996</v>
      </c>
      <c r="C623" s="9">
        <v>8.5917899999999996</v>
      </c>
      <c r="E623" s="14">
        <f t="shared" si="67"/>
        <v>1.0803000306106179</v>
      </c>
      <c r="F623" s="18">
        <f t="shared" ca="1" si="66"/>
        <v>-0.3561138850214744</v>
      </c>
      <c r="G623" s="15">
        <f t="shared" ca="1" si="71"/>
        <v>1.0865921675051169</v>
      </c>
      <c r="H623" s="15">
        <f t="shared" ca="1" si="72"/>
        <v>1.7668889529874988E-2</v>
      </c>
      <c r="J623" s="17">
        <f t="shared" ca="1" si="68"/>
        <v>0</v>
      </c>
      <c r="K623" s="24">
        <f t="shared" ca="1" si="69"/>
        <v>-1</v>
      </c>
      <c r="L623" s="17">
        <f t="shared" ca="1" si="70"/>
        <v>-1</v>
      </c>
      <c r="N623" s="24" t="str">
        <f ca="1">IF(AND(L623=1,L622&lt;&gt;1),MAX($N$8:N622)+1,"")</f>
        <v/>
      </c>
      <c r="O623" s="24" t="str">
        <f ca="1">IF(AND(L623&lt;&gt;1,L622=1),MAX($O$8:O622)+1,"")</f>
        <v/>
      </c>
      <c r="P623" s="17" t="str">
        <f ca="1">IF(AND(L623=-1,L622&lt;&gt;-1),MAX($P$8:P622)+1,"")</f>
        <v/>
      </c>
      <c r="Q623" s="24" t="str">
        <f ca="1">IF(AND(L623&lt;&gt;-1,L622=-1),MAX($Q$8:Q622)+1,"")</f>
        <v/>
      </c>
    </row>
    <row r="624" spans="1:17" x14ac:dyDescent="0.3">
      <c r="A624" s="3">
        <v>41095</v>
      </c>
      <c r="B624" s="9">
        <v>9.3868480000000005</v>
      </c>
      <c r="C624" s="9">
        <v>8.6001410000000007</v>
      </c>
      <c r="E624" s="14">
        <f t="shared" si="67"/>
        <v>1.0914760583576479</v>
      </c>
      <c r="F624" s="18">
        <f t="shared" ca="1" si="66"/>
        <v>0.30156844563920854</v>
      </c>
      <c r="G624" s="15">
        <f t="shared" ca="1" si="71"/>
        <v>1.0862088270456267</v>
      </c>
      <c r="H624" s="15">
        <f t="shared" ca="1" si="72"/>
        <v>1.7466122162936283E-2</v>
      </c>
      <c r="J624" s="17">
        <f t="shared" ca="1" si="68"/>
        <v>0</v>
      </c>
      <c r="K624" s="24">
        <f t="shared" ca="1" si="69"/>
        <v>0</v>
      </c>
      <c r="L624" s="17">
        <f t="shared" ca="1" si="70"/>
        <v>0</v>
      </c>
      <c r="N624" s="24" t="str">
        <f ca="1">IF(AND(L624=1,L623&lt;&gt;1),MAX($N$8:N623)+1,"")</f>
        <v/>
      </c>
      <c r="O624" s="24" t="str">
        <f ca="1">IF(AND(L624&lt;&gt;1,L623=1),MAX($O$8:O623)+1,"")</f>
        <v/>
      </c>
      <c r="P624" s="17" t="str">
        <f ca="1">IF(AND(L624=-1,L623&lt;&gt;-1),MAX($P$8:P623)+1,"")</f>
        <v/>
      </c>
      <c r="Q624" s="24">
        <f ca="1">IF(AND(L624&lt;&gt;-1,L623=-1),MAX($Q$8:Q623)+1,"")</f>
        <v>21</v>
      </c>
    </row>
    <row r="625" spans="1:17" x14ac:dyDescent="0.3">
      <c r="A625" s="3">
        <v>41096</v>
      </c>
      <c r="B625" s="9">
        <v>9.3231529999999996</v>
      </c>
      <c r="C625" s="9">
        <v>8.5694569999999999</v>
      </c>
      <c r="E625" s="14">
        <f t="shared" si="67"/>
        <v>1.087951430294825</v>
      </c>
      <c r="F625" s="18">
        <f t="shared" ca="1" si="66"/>
        <v>0.14828849160526925</v>
      </c>
      <c r="G625" s="15">
        <f t="shared" ca="1" si="71"/>
        <v>1.0854326845785143</v>
      </c>
      <c r="H625" s="15">
        <f t="shared" ca="1" si="72"/>
        <v>1.6985442963540275E-2</v>
      </c>
      <c r="J625" s="17">
        <f t="shared" ca="1" si="68"/>
        <v>0</v>
      </c>
      <c r="K625" s="24">
        <f t="shared" ca="1" si="69"/>
        <v>0</v>
      </c>
      <c r="L625" s="17">
        <f t="shared" ca="1" si="70"/>
        <v>0</v>
      </c>
      <c r="N625" s="24" t="str">
        <f ca="1">IF(AND(L625=1,L624&lt;&gt;1),MAX($N$8:N624)+1,"")</f>
        <v/>
      </c>
      <c r="O625" s="24" t="str">
        <f ca="1">IF(AND(L625&lt;&gt;1,L624=1),MAX($O$8:O624)+1,"")</f>
        <v/>
      </c>
      <c r="P625" s="17" t="str">
        <f ca="1">IF(AND(L625=-1,L624&lt;&gt;-1),MAX($P$8:P624)+1,"")</f>
        <v/>
      </c>
      <c r="Q625" s="24" t="str">
        <f ca="1">IF(AND(L625&lt;&gt;-1,L624=-1),MAX($Q$8:Q624)+1,"")</f>
        <v/>
      </c>
    </row>
    <row r="626" spans="1:17" x14ac:dyDescent="0.3">
      <c r="A626" s="3">
        <v>41100</v>
      </c>
      <c r="B626" s="9">
        <v>8.905602</v>
      </c>
      <c r="C626" s="9">
        <v>8.4019879999999993</v>
      </c>
      <c r="E626" s="14">
        <f t="shared" si="67"/>
        <v>1.0599398618517428</v>
      </c>
      <c r="F626" s="18">
        <f t="shared" ca="1" si="66"/>
        <v>-1.3655502023172399</v>
      </c>
      <c r="G626" s="15">
        <f t="shared" ca="1" si="71"/>
        <v>1.0833005228911208</v>
      </c>
      <c r="H626" s="15">
        <f t="shared" ca="1" si="72"/>
        <v>1.7107141868337464E-2</v>
      </c>
      <c r="J626" s="17">
        <f t="shared" ca="1" si="68"/>
        <v>0</v>
      </c>
      <c r="K626" s="24">
        <f t="shared" ca="1" si="69"/>
        <v>-1</v>
      </c>
      <c r="L626" s="17">
        <f t="shared" ca="1" si="70"/>
        <v>-1</v>
      </c>
      <c r="N626" s="24" t="str">
        <f ca="1">IF(AND(L626=1,L625&lt;&gt;1),MAX($N$8:N625)+1,"")</f>
        <v/>
      </c>
      <c r="O626" s="24" t="str">
        <f ca="1">IF(AND(L626&lt;&gt;1,L625=1),MAX($O$8:O625)+1,"")</f>
        <v/>
      </c>
      <c r="P626" s="17">
        <f ca="1">IF(AND(L626=-1,L625&lt;&gt;-1),MAX($P$8:P625)+1,"")</f>
        <v>22</v>
      </c>
      <c r="Q626" s="24" t="str">
        <f ca="1">IF(AND(L626&lt;&gt;-1,L625=-1),MAX($Q$8:Q625)+1,"")</f>
        <v/>
      </c>
    </row>
    <row r="627" spans="1:17" x14ac:dyDescent="0.3">
      <c r="A627" s="3">
        <v>41101</v>
      </c>
      <c r="B627" s="9">
        <v>8.9438209999999998</v>
      </c>
      <c r="C627" s="9">
        <v>8.3880060000000007</v>
      </c>
      <c r="E627" s="14">
        <f t="shared" si="67"/>
        <v>1.0662630665738673</v>
      </c>
      <c r="F627" s="18">
        <f t="shared" ca="1" si="66"/>
        <v>-0.90969343667821845</v>
      </c>
      <c r="G627" s="15">
        <f t="shared" ca="1" si="71"/>
        <v>1.0818691666756577</v>
      </c>
      <c r="H627" s="15">
        <f t="shared" ca="1" si="72"/>
        <v>1.7155339889860823E-2</v>
      </c>
      <c r="J627" s="17">
        <f t="shared" ca="1" si="68"/>
        <v>0</v>
      </c>
      <c r="K627" s="24">
        <f t="shared" ca="1" si="69"/>
        <v>-1</v>
      </c>
      <c r="L627" s="17">
        <f t="shared" ca="1" si="70"/>
        <v>-1</v>
      </c>
      <c r="N627" s="24" t="str">
        <f ca="1">IF(AND(L627=1,L626&lt;&gt;1),MAX($N$8:N626)+1,"")</f>
        <v/>
      </c>
      <c r="O627" s="24" t="str">
        <f ca="1">IF(AND(L627&lt;&gt;1,L626=1),MAX($O$8:O626)+1,"")</f>
        <v/>
      </c>
      <c r="P627" s="17" t="str">
        <f ca="1">IF(AND(L627=-1,L626&lt;&gt;-1),MAX($P$8:P626)+1,"")</f>
        <v/>
      </c>
      <c r="Q627" s="24" t="str">
        <f ca="1">IF(AND(L627&lt;&gt;-1,L626=-1),MAX($Q$8:Q626)+1,"")</f>
        <v/>
      </c>
    </row>
    <row r="628" spans="1:17" x14ac:dyDescent="0.3">
      <c r="A628" s="3">
        <v>41102</v>
      </c>
      <c r="B628" s="9">
        <v>9.0362919999999995</v>
      </c>
      <c r="C628" s="9">
        <v>8.2372969999999999</v>
      </c>
      <c r="E628" s="14">
        <f t="shared" si="67"/>
        <v>1.0969972310091527</v>
      </c>
      <c r="F628" s="18">
        <f t="shared" ca="1" si="66"/>
        <v>0.88052840245761077</v>
      </c>
      <c r="G628" s="15">
        <f t="shared" ca="1" si="71"/>
        <v>1.0818817743631681</v>
      </c>
      <c r="H628" s="15">
        <f t="shared" ca="1" si="72"/>
        <v>1.7166347620129425E-2</v>
      </c>
      <c r="J628" s="17">
        <f t="shared" ca="1" si="68"/>
        <v>0</v>
      </c>
      <c r="K628" s="24">
        <f t="shared" ca="1" si="69"/>
        <v>0</v>
      </c>
      <c r="L628" s="17">
        <f t="shared" ca="1" si="70"/>
        <v>0</v>
      </c>
      <c r="N628" s="24" t="str">
        <f ca="1">IF(AND(L628=1,L627&lt;&gt;1),MAX($N$8:N627)+1,"")</f>
        <v/>
      </c>
      <c r="O628" s="24" t="str">
        <f ca="1">IF(AND(L628&lt;&gt;1,L627=1),MAX($O$8:O627)+1,"")</f>
        <v/>
      </c>
      <c r="P628" s="17" t="str">
        <f ca="1">IF(AND(L628=-1,L627&lt;&gt;-1),MAX($P$8:P627)+1,"")</f>
        <v/>
      </c>
      <c r="Q628" s="24">
        <f ca="1">IF(AND(L628&lt;&gt;-1,L627=-1),MAX($Q$8:Q627)+1,"")</f>
        <v>22</v>
      </c>
    </row>
    <row r="629" spans="1:17" x14ac:dyDescent="0.3">
      <c r="A629" s="3">
        <v>41103</v>
      </c>
      <c r="B629" s="9">
        <v>9.2912309999999998</v>
      </c>
      <c r="C629" s="9">
        <v>8.3266369999999998</v>
      </c>
      <c r="E629" s="14">
        <f t="shared" si="67"/>
        <v>1.1158443679002699</v>
      </c>
      <c r="F629" s="18">
        <f t="shared" ca="1" si="66"/>
        <v>1.8088924868489344</v>
      </c>
      <c r="G629" s="15">
        <f t="shared" ca="1" si="71"/>
        <v>1.0827173444998248</v>
      </c>
      <c r="H629" s="15">
        <f t="shared" ca="1" si="72"/>
        <v>1.8313428598596183E-2</v>
      </c>
      <c r="J629" s="17">
        <f t="shared" ca="1" si="68"/>
        <v>1</v>
      </c>
      <c r="K629" s="24">
        <f t="shared" ca="1" si="69"/>
        <v>0</v>
      </c>
      <c r="L629" s="17">
        <f t="shared" ca="1" si="70"/>
        <v>1</v>
      </c>
      <c r="N629" s="24">
        <f ca="1">IF(AND(L629=1,L628&lt;&gt;1),MAX($N$8:N628)+1,"")</f>
        <v>19</v>
      </c>
      <c r="O629" s="24" t="str">
        <f ca="1">IF(AND(L629&lt;&gt;1,L628=1),MAX($O$8:O628)+1,"")</f>
        <v/>
      </c>
      <c r="P629" s="17" t="str">
        <f ca="1">IF(AND(L629=-1,L628&lt;&gt;-1),MAX($P$8:P628)+1,"")</f>
        <v/>
      </c>
      <c r="Q629" s="24" t="str">
        <f ca="1">IF(AND(L629&lt;&gt;-1,L628=-1),MAX($Q$8:Q628)+1,"")</f>
        <v/>
      </c>
    </row>
    <row r="630" spans="1:17" x14ac:dyDescent="0.3">
      <c r="A630" s="3">
        <v>41106</v>
      </c>
      <c r="B630" s="9">
        <v>9.2912309999999998</v>
      </c>
      <c r="C630" s="9">
        <v>8.3182209999999994</v>
      </c>
      <c r="E630" s="14">
        <f t="shared" si="67"/>
        <v>1.1169733287922983</v>
      </c>
      <c r="F630" s="18">
        <f t="shared" ca="1" si="66"/>
        <v>1.7076822529694111</v>
      </c>
      <c r="G630" s="15">
        <f t="shared" ca="1" si="71"/>
        <v>1.0836817283871212</v>
      </c>
      <c r="H630" s="15">
        <f t="shared" ca="1" si="72"/>
        <v>1.9495196104127591E-2</v>
      </c>
      <c r="J630" s="17">
        <f t="shared" ca="1" si="68"/>
        <v>1</v>
      </c>
      <c r="K630" s="24">
        <f t="shared" ca="1" si="69"/>
        <v>0</v>
      </c>
      <c r="L630" s="17">
        <f t="shared" ca="1" si="70"/>
        <v>1</v>
      </c>
      <c r="N630" s="24" t="str">
        <f ca="1">IF(AND(L630=1,L629&lt;&gt;1),MAX($N$8:N629)+1,"")</f>
        <v/>
      </c>
      <c r="O630" s="24" t="str">
        <f ca="1">IF(AND(L630&lt;&gt;1,L629=1),MAX($O$8:O629)+1,"")</f>
        <v/>
      </c>
      <c r="P630" s="17" t="str">
        <f ca="1">IF(AND(L630=-1,L629&lt;&gt;-1),MAX($P$8:P629)+1,"")</f>
        <v/>
      </c>
      <c r="Q630" s="24" t="str">
        <f ca="1">IF(AND(L630&lt;&gt;-1,L629=-1),MAX($Q$8:Q629)+1,"")</f>
        <v/>
      </c>
    </row>
    <row r="631" spans="1:17" x14ac:dyDescent="0.3">
      <c r="A631" s="3">
        <v>41107</v>
      </c>
      <c r="B631" s="9">
        <v>9.2115679999999998</v>
      </c>
      <c r="C631" s="9">
        <v>8.3154450000000004</v>
      </c>
      <c r="E631" s="14">
        <f t="shared" si="67"/>
        <v>1.1077660906902758</v>
      </c>
      <c r="F631" s="18">
        <f t="shared" ca="1" si="66"/>
        <v>1.1564125851038536</v>
      </c>
      <c r="G631" s="15">
        <f t="shared" ca="1" si="71"/>
        <v>1.0845156683473833</v>
      </c>
      <c r="H631" s="15">
        <f t="shared" ca="1" si="72"/>
        <v>2.010564623940372E-2</v>
      </c>
      <c r="J631" s="17">
        <f t="shared" ca="1" si="68"/>
        <v>1</v>
      </c>
      <c r="K631" s="24">
        <f t="shared" ca="1" si="69"/>
        <v>0</v>
      </c>
      <c r="L631" s="17">
        <f t="shared" ca="1" si="70"/>
        <v>1</v>
      </c>
      <c r="N631" s="24" t="str">
        <f ca="1">IF(AND(L631=1,L630&lt;&gt;1),MAX($N$8:N630)+1,"")</f>
        <v/>
      </c>
      <c r="O631" s="24" t="str">
        <f ca="1">IF(AND(L631&lt;&gt;1,L630=1),MAX($O$8:O630)+1,"")</f>
        <v/>
      </c>
      <c r="P631" s="17" t="str">
        <f ca="1">IF(AND(L631=-1,L630&lt;&gt;-1),MAX($P$8:P630)+1,"")</f>
        <v/>
      </c>
      <c r="Q631" s="24" t="str">
        <f ca="1">IF(AND(L631&lt;&gt;-1,L630=-1),MAX($Q$8:Q630)+1,"")</f>
        <v/>
      </c>
    </row>
    <row r="632" spans="1:17" x14ac:dyDescent="0.3">
      <c r="A632" s="3">
        <v>41108</v>
      </c>
      <c r="B632" s="9">
        <v>9.4315119999999997</v>
      </c>
      <c r="C632" s="9">
        <v>8.4605750000000004</v>
      </c>
      <c r="E632" s="14">
        <f t="shared" si="67"/>
        <v>1.1147601670099254</v>
      </c>
      <c r="F632" s="18">
        <f t="shared" ca="1" si="66"/>
        <v>1.4108301867117807</v>
      </c>
      <c r="G632" s="15">
        <f t="shared" ca="1" si="71"/>
        <v>1.085272613222928</v>
      </c>
      <c r="H632" s="15">
        <f t="shared" ca="1" si="72"/>
        <v>2.0900852607728785E-2</v>
      </c>
      <c r="J632" s="17">
        <f t="shared" ca="1" si="68"/>
        <v>1</v>
      </c>
      <c r="K632" s="24">
        <f t="shared" ca="1" si="69"/>
        <v>0</v>
      </c>
      <c r="L632" s="17">
        <f t="shared" ca="1" si="70"/>
        <v>1</v>
      </c>
      <c r="N632" s="24" t="str">
        <f ca="1">IF(AND(L632=1,L631&lt;&gt;1),MAX($N$8:N631)+1,"")</f>
        <v/>
      </c>
      <c r="O632" s="24" t="str">
        <f ca="1">IF(AND(L632&lt;&gt;1,L631=1),MAX($O$8:O631)+1,"")</f>
        <v/>
      </c>
      <c r="P632" s="17" t="str">
        <f ca="1">IF(AND(L632=-1,L631&lt;&gt;-1),MAX($P$8:P631)+1,"")</f>
        <v/>
      </c>
      <c r="Q632" s="24" t="str">
        <f ca="1">IF(AND(L632&lt;&gt;-1,L631=-1),MAX($Q$8:Q631)+1,"")</f>
        <v/>
      </c>
    </row>
    <row r="633" spans="1:17" x14ac:dyDescent="0.3">
      <c r="A633" s="3">
        <v>41109</v>
      </c>
      <c r="B633" s="9">
        <v>9.6131589999999996</v>
      </c>
      <c r="C633" s="9">
        <v>8.5554790000000001</v>
      </c>
      <c r="E633" s="14">
        <f t="shared" si="67"/>
        <v>1.1236260412771746</v>
      </c>
      <c r="F633" s="18">
        <f t="shared" ca="1" si="66"/>
        <v>1.7145911899239676</v>
      </c>
      <c r="G633" s="15">
        <f t="shared" ca="1" si="71"/>
        <v>1.0860159771528302</v>
      </c>
      <c r="H633" s="15">
        <f t="shared" ca="1" si="72"/>
        <v>2.1935295331834883E-2</v>
      </c>
      <c r="J633" s="17">
        <f t="shared" ca="1" si="68"/>
        <v>1</v>
      </c>
      <c r="K633" s="24">
        <f t="shared" ca="1" si="69"/>
        <v>0</v>
      </c>
      <c r="L633" s="17">
        <f t="shared" ca="1" si="70"/>
        <v>1</v>
      </c>
      <c r="N633" s="24" t="str">
        <f ca="1">IF(AND(L633=1,L632&lt;&gt;1),MAX($N$8:N632)+1,"")</f>
        <v/>
      </c>
      <c r="O633" s="24" t="str">
        <f ca="1">IF(AND(L633&lt;&gt;1,L632=1),MAX($O$8:O632)+1,"")</f>
        <v/>
      </c>
      <c r="P633" s="17" t="str">
        <f ca="1">IF(AND(L633=-1,L632&lt;&gt;-1),MAX($P$8:P632)+1,"")</f>
        <v/>
      </c>
      <c r="Q633" s="24" t="str">
        <f ca="1">IF(AND(L633&lt;&gt;-1,L632=-1),MAX($Q$8:Q632)+1,"")</f>
        <v/>
      </c>
    </row>
    <row r="634" spans="1:17" x14ac:dyDescent="0.3">
      <c r="A634" s="3">
        <v>41110</v>
      </c>
      <c r="B634" s="9">
        <v>9.5780919999999998</v>
      </c>
      <c r="C634" s="9">
        <v>8.5220109999999991</v>
      </c>
      <c r="E634" s="14">
        <f t="shared" si="67"/>
        <v>1.1239239188966079</v>
      </c>
      <c r="F634" s="18">
        <f t="shared" ca="1" si="66"/>
        <v>1.627644581511787</v>
      </c>
      <c r="G634" s="15">
        <f t="shared" ca="1" si="71"/>
        <v>1.0867106996705127</v>
      </c>
      <c r="H634" s="15">
        <f t="shared" ca="1" si="72"/>
        <v>2.2863234178269361E-2</v>
      </c>
      <c r="J634" s="17">
        <f t="shared" ca="1" si="68"/>
        <v>1</v>
      </c>
      <c r="K634" s="24">
        <f t="shared" ca="1" si="69"/>
        <v>0</v>
      </c>
      <c r="L634" s="17">
        <f t="shared" ca="1" si="70"/>
        <v>1</v>
      </c>
      <c r="N634" s="24" t="str">
        <f ca="1">IF(AND(L634=1,L633&lt;&gt;1),MAX($N$8:N633)+1,"")</f>
        <v/>
      </c>
      <c r="O634" s="24" t="str">
        <f ca="1">IF(AND(L634&lt;&gt;1,L633=1),MAX($O$8:O633)+1,"")</f>
        <v/>
      </c>
      <c r="P634" s="17" t="str">
        <f ca="1">IF(AND(L634=-1,L633&lt;&gt;-1),MAX($P$8:P633)+1,"")</f>
        <v/>
      </c>
      <c r="Q634" s="24" t="str">
        <f ca="1">IF(AND(L634&lt;&gt;-1,L633=-1),MAX($Q$8:Q633)+1,"")</f>
        <v/>
      </c>
    </row>
    <row r="635" spans="1:17" x14ac:dyDescent="0.3">
      <c r="A635" s="3">
        <v>41113</v>
      </c>
      <c r="B635" s="9">
        <v>9.3071889999999993</v>
      </c>
      <c r="C635" s="9">
        <v>8.1145040000000002</v>
      </c>
      <c r="E635" s="14">
        <f t="shared" si="67"/>
        <v>1.1469818734453763</v>
      </c>
      <c r="F635" s="18">
        <f t="shared" ca="1" si="66"/>
        <v>2.2435496549675853</v>
      </c>
      <c r="G635" s="15">
        <f t="shared" ca="1" si="71"/>
        <v>1.0887656780627732</v>
      </c>
      <c r="H635" s="15">
        <f t="shared" ca="1" si="72"/>
        <v>2.5948253587212956E-2</v>
      </c>
      <c r="J635" s="17">
        <f t="shared" ca="1" si="68"/>
        <v>1</v>
      </c>
      <c r="K635" s="24">
        <f t="shared" ca="1" si="69"/>
        <v>0</v>
      </c>
      <c r="L635" s="17">
        <f t="shared" ca="1" si="70"/>
        <v>1</v>
      </c>
      <c r="N635" s="24" t="str">
        <f ca="1">IF(AND(L635=1,L634&lt;&gt;1),MAX($N$8:N634)+1,"")</f>
        <v/>
      </c>
      <c r="O635" s="24" t="str">
        <f ca="1">IF(AND(L635&lt;&gt;1,L634=1),MAX($O$8:O634)+1,"")</f>
        <v/>
      </c>
      <c r="P635" s="17" t="str">
        <f ca="1">IF(AND(L635=-1,L634&lt;&gt;-1),MAX($P$8:P634)+1,"")</f>
        <v/>
      </c>
      <c r="Q635" s="24" t="str">
        <f ca="1">IF(AND(L635&lt;&gt;-1,L634=-1),MAX($Q$8:Q634)+1,"")</f>
        <v/>
      </c>
    </row>
    <row r="636" spans="1:17" x14ac:dyDescent="0.3">
      <c r="A636" s="3">
        <v>41114</v>
      </c>
      <c r="B636" s="9">
        <v>9.6227520000000002</v>
      </c>
      <c r="C636" s="9">
        <v>8.1870619999999992</v>
      </c>
      <c r="E636" s="14">
        <f t="shared" si="67"/>
        <v>1.1753608315168496</v>
      </c>
      <c r="F636" s="18">
        <f t="shared" ca="1" si="66"/>
        <v>2.6169337688615459</v>
      </c>
      <c r="G636" s="15">
        <f t="shared" ca="1" si="71"/>
        <v>1.0926459501287094</v>
      </c>
      <c r="H636" s="15">
        <f t="shared" ca="1" si="72"/>
        <v>3.1607556282986844E-2</v>
      </c>
      <c r="J636" s="17">
        <f t="shared" ca="1" si="68"/>
        <v>1</v>
      </c>
      <c r="K636" s="24">
        <f t="shared" ca="1" si="69"/>
        <v>0</v>
      </c>
      <c r="L636" s="17">
        <f t="shared" ca="1" si="70"/>
        <v>1</v>
      </c>
      <c r="N636" s="24" t="str">
        <f ca="1">IF(AND(L636=1,L635&lt;&gt;1),MAX($N$8:N635)+1,"")</f>
        <v/>
      </c>
      <c r="O636" s="24" t="str">
        <f ca="1">IF(AND(L636&lt;&gt;1,L635=1),MAX($O$8:O635)+1,"")</f>
        <v/>
      </c>
      <c r="P636" s="17" t="str">
        <f ca="1">IF(AND(L636=-1,L635&lt;&gt;-1),MAX($P$8:P635)+1,"")</f>
        <v/>
      </c>
      <c r="Q636" s="24" t="str">
        <f ca="1">IF(AND(L636&lt;&gt;-1,L635=-1),MAX($Q$8:Q635)+1,"")</f>
        <v/>
      </c>
    </row>
    <row r="637" spans="1:17" x14ac:dyDescent="0.3">
      <c r="A637" s="3">
        <v>41115</v>
      </c>
      <c r="B637" s="9">
        <v>9.6896719999999998</v>
      </c>
      <c r="C637" s="9">
        <v>8.2233169999999998</v>
      </c>
      <c r="E637" s="14">
        <f t="shared" si="67"/>
        <v>1.1783167303412967</v>
      </c>
      <c r="F637" s="18">
        <f t="shared" ca="1" si="66"/>
        <v>2.2552512033809355</v>
      </c>
      <c r="G637" s="15">
        <f t="shared" ca="1" si="71"/>
        <v>1.0976902359832452</v>
      </c>
      <c r="H637" s="15">
        <f t="shared" ca="1" si="72"/>
        <v>3.5750560397520739E-2</v>
      </c>
      <c r="J637" s="17">
        <f t="shared" ca="1" si="68"/>
        <v>1</v>
      </c>
      <c r="K637" s="24">
        <f t="shared" ca="1" si="69"/>
        <v>0</v>
      </c>
      <c r="L637" s="17">
        <f t="shared" ca="1" si="70"/>
        <v>1</v>
      </c>
      <c r="N637" s="24" t="str">
        <f ca="1">IF(AND(L637=1,L636&lt;&gt;1),MAX($N$8:N636)+1,"")</f>
        <v/>
      </c>
      <c r="O637" s="24" t="str">
        <f ca="1">IF(AND(L637&lt;&gt;1,L636=1),MAX($O$8:O636)+1,"")</f>
        <v/>
      </c>
      <c r="P637" s="17" t="str">
        <f ca="1">IF(AND(L637=-1,L636&lt;&gt;-1),MAX($P$8:P636)+1,"")</f>
        <v/>
      </c>
      <c r="Q637" s="24" t="str">
        <f ca="1">IF(AND(L637&lt;&gt;-1,L636=-1),MAX($Q$8:Q636)+1,"")</f>
        <v/>
      </c>
    </row>
    <row r="638" spans="1:17" x14ac:dyDescent="0.3">
      <c r="A638" s="3">
        <v>41116</v>
      </c>
      <c r="B638" s="9">
        <v>9.9574189999999998</v>
      </c>
      <c r="C638" s="9">
        <v>8.2763369999999998</v>
      </c>
      <c r="E638" s="14">
        <f t="shared" si="67"/>
        <v>1.2031190851701665</v>
      </c>
      <c r="F638" s="18">
        <f t="shared" ca="1" si="66"/>
        <v>2.4303158656676258</v>
      </c>
      <c r="G638" s="15">
        <f t="shared" ca="1" si="71"/>
        <v>1.1045113422799349</v>
      </c>
      <c r="H638" s="15">
        <f t="shared" ca="1" si="72"/>
        <v>4.0574044009354882E-2</v>
      </c>
      <c r="J638" s="17">
        <f t="shared" ca="1" si="68"/>
        <v>1</v>
      </c>
      <c r="K638" s="24">
        <f t="shared" ca="1" si="69"/>
        <v>0</v>
      </c>
      <c r="L638" s="17">
        <f t="shared" ca="1" si="70"/>
        <v>1</v>
      </c>
      <c r="N638" s="24" t="str">
        <f ca="1">IF(AND(L638=1,L637&lt;&gt;1),MAX($N$8:N637)+1,"")</f>
        <v/>
      </c>
      <c r="O638" s="24" t="str">
        <f ca="1">IF(AND(L638&lt;&gt;1,L637=1),MAX($O$8:O637)+1,"")</f>
        <v/>
      </c>
      <c r="P638" s="17" t="str">
        <f ca="1">IF(AND(L638=-1,L637&lt;&gt;-1),MAX($P$8:P637)+1,"")</f>
        <v/>
      </c>
      <c r="Q638" s="24" t="str">
        <f ca="1">IF(AND(L638&lt;&gt;-1,L637=-1),MAX($Q$8:Q637)+1,"")</f>
        <v/>
      </c>
    </row>
    <row r="639" spans="1:17" x14ac:dyDescent="0.3">
      <c r="A639" s="3">
        <v>41117</v>
      </c>
      <c r="B639" s="9">
        <v>10.327158000000001</v>
      </c>
      <c r="C639" s="9">
        <v>8.7369289999999999</v>
      </c>
      <c r="E639" s="14">
        <f t="shared" si="67"/>
        <v>1.1820123523952182</v>
      </c>
      <c r="F639" s="18">
        <f t="shared" ca="1" si="66"/>
        <v>1.6990101387811232</v>
      </c>
      <c r="G639" s="15">
        <f t="shared" ca="1" si="71"/>
        <v>1.1101496593068387</v>
      </c>
      <c r="H639" s="15">
        <f t="shared" ca="1" si="72"/>
        <v>4.2296800618231767E-2</v>
      </c>
      <c r="J639" s="17">
        <f t="shared" ca="1" si="68"/>
        <v>1</v>
      </c>
      <c r="K639" s="24">
        <f t="shared" ca="1" si="69"/>
        <v>0</v>
      </c>
      <c r="L639" s="17">
        <f t="shared" ca="1" si="70"/>
        <v>1</v>
      </c>
      <c r="N639" s="24" t="str">
        <f ca="1">IF(AND(L639=1,L638&lt;&gt;1),MAX($N$8:N638)+1,"")</f>
        <v/>
      </c>
      <c r="O639" s="24" t="str">
        <f ca="1">IF(AND(L639&lt;&gt;1,L638=1),MAX($O$8:O638)+1,"")</f>
        <v/>
      </c>
      <c r="P639" s="17" t="str">
        <f ca="1">IF(AND(L639=-1,L638&lt;&gt;-1),MAX($P$8:P638)+1,"")</f>
        <v/>
      </c>
      <c r="Q639" s="24" t="str">
        <f ca="1">IF(AND(L639&lt;&gt;-1,L638=-1),MAX($Q$8:Q638)+1,"")</f>
        <v/>
      </c>
    </row>
    <row r="640" spans="1:17" x14ac:dyDescent="0.3">
      <c r="A640" s="3">
        <v>41120</v>
      </c>
      <c r="B640" s="9">
        <v>10.610804</v>
      </c>
      <c r="C640" s="9">
        <v>8.8430280000000003</v>
      </c>
      <c r="E640" s="14">
        <f t="shared" si="67"/>
        <v>1.1999061859806393</v>
      </c>
      <c r="F640" s="18">
        <f t="shared" ca="1" si="66"/>
        <v>1.8720627130762073</v>
      </c>
      <c r="G640" s="15">
        <f t="shared" ca="1" si="71"/>
        <v>1.1167340930651037</v>
      </c>
      <c r="H640" s="15">
        <f t="shared" ca="1" si="72"/>
        <v>4.4428048448689854E-2</v>
      </c>
      <c r="J640" s="17">
        <f t="shared" ca="1" si="68"/>
        <v>1</v>
      </c>
      <c r="K640" s="24">
        <f t="shared" ca="1" si="69"/>
        <v>0</v>
      </c>
      <c r="L640" s="17">
        <f t="shared" ca="1" si="70"/>
        <v>1</v>
      </c>
      <c r="N640" s="24" t="str">
        <f ca="1">IF(AND(L640=1,L639&lt;&gt;1),MAX($N$8:N639)+1,"")</f>
        <v/>
      </c>
      <c r="O640" s="24" t="str">
        <f ca="1">IF(AND(L640&lt;&gt;1,L639=1),MAX($O$8:O639)+1,"")</f>
        <v/>
      </c>
      <c r="P640" s="17" t="str">
        <f ca="1">IF(AND(L640=-1,L639&lt;&gt;-1),MAX($P$8:P639)+1,"")</f>
        <v/>
      </c>
      <c r="Q640" s="24" t="str">
        <f ca="1">IF(AND(L640&lt;&gt;-1,L639=-1),MAX($Q$8:Q639)+1,"")</f>
        <v/>
      </c>
    </row>
    <row r="641" spans="1:17" x14ac:dyDescent="0.3">
      <c r="A641" s="3">
        <v>41121</v>
      </c>
      <c r="B641" s="9">
        <v>10.349491</v>
      </c>
      <c r="C641" s="9">
        <v>8.8206959999999999</v>
      </c>
      <c r="E641" s="14">
        <f t="shared" si="67"/>
        <v>1.1733190895593728</v>
      </c>
      <c r="F641" s="18">
        <f t="shared" ca="1" si="66"/>
        <v>1.1650797059188114</v>
      </c>
      <c r="G641" s="15">
        <f t="shared" ca="1" si="71"/>
        <v>1.1218345959770839</v>
      </c>
      <c r="H641" s="15">
        <f t="shared" ca="1" si="72"/>
        <v>4.418967502458291E-2</v>
      </c>
      <c r="J641" s="17">
        <f t="shared" ca="1" si="68"/>
        <v>1</v>
      </c>
      <c r="K641" s="24">
        <f t="shared" ca="1" si="69"/>
        <v>0</v>
      </c>
      <c r="L641" s="17">
        <f t="shared" ca="1" si="70"/>
        <v>1</v>
      </c>
      <c r="N641" s="24" t="str">
        <f ca="1">IF(AND(L641=1,L640&lt;&gt;1),MAX($N$8:N640)+1,"")</f>
        <v/>
      </c>
      <c r="O641" s="24" t="str">
        <f ca="1">IF(AND(L641&lt;&gt;1,L640=1),MAX($O$8:O640)+1,"")</f>
        <v/>
      </c>
      <c r="P641" s="17" t="str">
        <f ca="1">IF(AND(L641=-1,L640&lt;&gt;-1),MAX($P$8:P640)+1,"")</f>
        <v/>
      </c>
      <c r="Q641" s="24" t="str">
        <f ca="1">IF(AND(L641&lt;&gt;-1,L640=-1),MAX($Q$8:Q640)+1,"")</f>
        <v/>
      </c>
    </row>
    <row r="642" spans="1:17" x14ac:dyDescent="0.3">
      <c r="A642" s="3">
        <v>41122</v>
      </c>
      <c r="B642" s="9">
        <v>10.283416000000001</v>
      </c>
      <c r="C642" s="9">
        <v>8.8625170000000004</v>
      </c>
      <c r="E642" s="14">
        <f t="shared" si="67"/>
        <v>1.1603268010656567</v>
      </c>
      <c r="F642" s="18">
        <f t="shared" ref="F642:F705" ca="1" si="73">IF(ISNUMBER(G642),(E642-G642)/H642,"")</f>
        <v>0.79350032057975339</v>
      </c>
      <c r="G642" s="15">
        <f t="shared" ca="1" si="71"/>
        <v>1.1255240661572563</v>
      </c>
      <c r="H642" s="15">
        <f t="shared" ca="1" si="72"/>
        <v>4.3859761622997845E-2</v>
      </c>
      <c r="J642" s="17">
        <f t="shared" ca="1" si="68"/>
        <v>1</v>
      </c>
      <c r="K642" s="24">
        <f t="shared" ca="1" si="69"/>
        <v>0</v>
      </c>
      <c r="L642" s="17">
        <f t="shared" ca="1" si="70"/>
        <v>1</v>
      </c>
      <c r="N642" s="24" t="str">
        <f ca="1">IF(AND(L642=1,L641&lt;&gt;1),MAX($N$8:N641)+1,"")</f>
        <v/>
      </c>
      <c r="O642" s="24" t="str">
        <f ca="1">IF(AND(L642&lt;&gt;1,L641=1),MAX($O$8:O641)+1,"")</f>
        <v/>
      </c>
      <c r="P642" s="17" t="str">
        <f ca="1">IF(AND(L642=-1,L641&lt;&gt;-1),MAX($P$8:P641)+1,"")</f>
        <v/>
      </c>
      <c r="Q642" s="24" t="str">
        <f ca="1">IF(AND(L642&lt;&gt;-1,L641=-1),MAX($Q$8:Q641)+1,"")</f>
        <v/>
      </c>
    </row>
    <row r="643" spans="1:17" x14ac:dyDescent="0.3">
      <c r="A643" s="3">
        <v>41123</v>
      </c>
      <c r="B643" s="9">
        <v>10.01854</v>
      </c>
      <c r="C643" s="9">
        <v>8.7705350000000006</v>
      </c>
      <c r="E643" s="14">
        <f t="shared" ref="E643:E706" si="74">IF(ISNUMBER(B643),B643/C643,"")</f>
        <v>1.142295196359173</v>
      </c>
      <c r="F643" s="18">
        <f t="shared" ca="1" si="73"/>
        <v>0.32637293362195757</v>
      </c>
      <c r="G643" s="15">
        <f t="shared" ca="1" si="71"/>
        <v>1.1282953997257397</v>
      </c>
      <c r="H643" s="15">
        <f t="shared" ca="1" si="72"/>
        <v>4.2895090833878644E-2</v>
      </c>
      <c r="J643" s="17">
        <f t="shared" ca="1" si="68"/>
        <v>1</v>
      </c>
      <c r="K643" s="24">
        <f t="shared" ca="1" si="69"/>
        <v>0</v>
      </c>
      <c r="L643" s="17">
        <f t="shared" ca="1" si="70"/>
        <v>1</v>
      </c>
      <c r="N643" s="24" t="str">
        <f ca="1">IF(AND(L643=1,L642&lt;&gt;1),MAX($N$8:N642)+1,"")</f>
        <v/>
      </c>
      <c r="O643" s="24" t="str">
        <f ca="1">IF(AND(L643&lt;&gt;1,L642=1),MAX($O$8:O642)+1,"")</f>
        <v/>
      </c>
      <c r="P643" s="17" t="str">
        <f ca="1">IF(AND(L643=-1,L642&lt;&gt;-1),MAX($P$8:P642)+1,"")</f>
        <v/>
      </c>
      <c r="Q643" s="24" t="str">
        <f ca="1">IF(AND(L643&lt;&gt;-1,L642=-1),MAX($Q$8:Q642)+1,"")</f>
        <v/>
      </c>
    </row>
    <row r="644" spans="1:17" x14ac:dyDescent="0.3">
      <c r="A644" s="3">
        <v>41124</v>
      </c>
      <c r="B644" s="9">
        <v>10.321674</v>
      </c>
      <c r="C644" s="9">
        <v>9.0248840000000001</v>
      </c>
      <c r="E644" s="14">
        <f t="shared" si="74"/>
        <v>1.1436904895398101</v>
      </c>
      <c r="F644" s="18">
        <f t="shared" ca="1" si="73"/>
        <v>0.29664782593146583</v>
      </c>
      <c r="G644" s="15">
        <f t="shared" ca="1" si="71"/>
        <v>1.131415919483544</v>
      </c>
      <c r="H644" s="15">
        <f t="shared" ca="1" si="72"/>
        <v>4.1377583057365358E-2</v>
      </c>
      <c r="J644" s="17">
        <f t="shared" ca="1" si="68"/>
        <v>1</v>
      </c>
      <c r="K644" s="24">
        <f t="shared" ca="1" si="69"/>
        <v>0</v>
      </c>
      <c r="L644" s="17">
        <f t="shared" ca="1" si="70"/>
        <v>1</v>
      </c>
      <c r="N644" s="24" t="str">
        <f ca="1">IF(AND(L644=1,L643&lt;&gt;1),MAX($N$8:N643)+1,"")</f>
        <v/>
      </c>
      <c r="O644" s="24" t="str">
        <f ca="1">IF(AND(L644&lt;&gt;1,L643=1),MAX($O$8:O643)+1,"")</f>
        <v/>
      </c>
      <c r="P644" s="17" t="str">
        <f ca="1">IF(AND(L644=-1,L643&lt;&gt;-1),MAX($P$8:P643)+1,"")</f>
        <v/>
      </c>
      <c r="Q644" s="24" t="str">
        <f ca="1">IF(AND(L644&lt;&gt;-1,L643=-1),MAX($Q$8:Q643)+1,"")</f>
        <v/>
      </c>
    </row>
    <row r="645" spans="1:17" x14ac:dyDescent="0.3">
      <c r="A645" s="3">
        <v>41127</v>
      </c>
      <c r="B645" s="9">
        <v>10.554591</v>
      </c>
      <c r="C645" s="9">
        <v>9.2289340000000006</v>
      </c>
      <c r="E645" s="14">
        <f t="shared" si="74"/>
        <v>1.1436413999710042</v>
      </c>
      <c r="F645" s="18">
        <f t="shared" ca="1" si="73"/>
        <v>0.23425604924083521</v>
      </c>
      <c r="G645" s="15">
        <f t="shared" ca="1" si="71"/>
        <v>1.1342950726362888</v>
      </c>
      <c r="H645" s="15">
        <f t="shared" ca="1" si="72"/>
        <v>3.9897912412526805E-2</v>
      </c>
      <c r="J645" s="17">
        <f t="shared" ca="1" si="68"/>
        <v>1</v>
      </c>
      <c r="K645" s="24">
        <f t="shared" ca="1" si="69"/>
        <v>0</v>
      </c>
      <c r="L645" s="17">
        <f t="shared" ca="1" si="70"/>
        <v>1</v>
      </c>
      <c r="N645" s="24" t="str">
        <f ca="1">IF(AND(L645=1,L644&lt;&gt;1),MAX($N$8:N644)+1,"")</f>
        <v/>
      </c>
      <c r="O645" s="24" t="str">
        <f ca="1">IF(AND(L645&lt;&gt;1,L644=1),MAX($O$8:O644)+1,"")</f>
        <v/>
      </c>
      <c r="P645" s="17" t="str">
        <f ca="1">IF(AND(L645=-1,L644&lt;&gt;-1),MAX($P$8:P644)+1,"")</f>
        <v/>
      </c>
      <c r="Q645" s="24" t="str">
        <f ca="1">IF(AND(L645&lt;&gt;-1,L644=-1),MAX($Q$8:Q644)+1,"")</f>
        <v/>
      </c>
    </row>
    <row r="646" spans="1:17" x14ac:dyDescent="0.3">
      <c r="A646" s="3">
        <v>41128</v>
      </c>
      <c r="B646" s="9">
        <v>10.554591</v>
      </c>
      <c r="C646" s="9">
        <v>9.3211650000000006</v>
      </c>
      <c r="E646" s="14">
        <f t="shared" si="74"/>
        <v>1.1323253048304585</v>
      </c>
      <c r="F646" s="18">
        <f t="shared" ca="1" si="73"/>
        <v>-9.8629259059608385E-2</v>
      </c>
      <c r="G646" s="15">
        <f t="shared" ca="1" si="71"/>
        <v>1.1361518565668711</v>
      </c>
      <c r="H646" s="15">
        <f t="shared" ca="1" si="72"/>
        <v>3.8797328225897126E-2</v>
      </c>
      <c r="J646" s="17">
        <f t="shared" ca="1" si="68"/>
        <v>0</v>
      </c>
      <c r="K646" s="24">
        <f t="shared" ca="1" si="69"/>
        <v>0</v>
      </c>
      <c r="L646" s="17">
        <f t="shared" ca="1" si="70"/>
        <v>0</v>
      </c>
      <c r="N646" s="24" t="str">
        <f ca="1">IF(AND(L646=1,L645&lt;&gt;1),MAX($N$8:N645)+1,"")</f>
        <v/>
      </c>
      <c r="O646" s="24">
        <f ca="1">IF(AND(L646&lt;&gt;1,L645=1),MAX($O$8:O645)+1,"")</f>
        <v>19</v>
      </c>
      <c r="P646" s="17" t="str">
        <f ca="1">IF(AND(L646=-1,L645&lt;&gt;-1),MAX($P$8:P645)+1,"")</f>
        <v/>
      </c>
      <c r="Q646" s="24" t="str">
        <f ca="1">IF(AND(L646&lt;&gt;-1,L645=-1),MAX($Q$8:Q645)+1,"")</f>
        <v/>
      </c>
    </row>
    <row r="647" spans="1:17" x14ac:dyDescent="0.3">
      <c r="A647" s="3">
        <v>41129</v>
      </c>
      <c r="B647" s="9">
        <v>10.554591</v>
      </c>
      <c r="C647" s="9">
        <v>9.4469189999999994</v>
      </c>
      <c r="E647" s="14">
        <f t="shared" si="74"/>
        <v>1.117252196192219</v>
      </c>
      <c r="F647" s="18">
        <f t="shared" ca="1" si="73"/>
        <v>-0.53800911153634112</v>
      </c>
      <c r="G647" s="15">
        <f t="shared" ca="1" si="71"/>
        <v>1.137483709562207</v>
      </c>
      <c r="H647" s="15">
        <f t="shared" ca="1" si="72"/>
        <v>3.760440657262247E-2</v>
      </c>
      <c r="J647" s="17">
        <f t="shared" ca="1" si="68"/>
        <v>0</v>
      </c>
      <c r="K647" s="24">
        <f t="shared" ca="1" si="69"/>
        <v>0</v>
      </c>
      <c r="L647" s="17">
        <f t="shared" ca="1" si="70"/>
        <v>0</v>
      </c>
      <c r="N647" s="24" t="str">
        <f ca="1">IF(AND(L647=1,L646&lt;&gt;1),MAX($N$8:N646)+1,"")</f>
        <v/>
      </c>
      <c r="O647" s="24" t="str">
        <f ca="1">IF(AND(L647&lt;&gt;1,L646=1),MAX($O$8:O646)+1,"")</f>
        <v/>
      </c>
      <c r="P647" s="17" t="str">
        <f ca="1">IF(AND(L647=-1,L646&lt;&gt;-1),MAX($P$8:P646)+1,"")</f>
        <v/>
      </c>
      <c r="Q647" s="24" t="str">
        <f ca="1">IF(AND(L647&lt;&gt;-1,L646=-1),MAX($Q$8:Q646)+1,"")</f>
        <v/>
      </c>
    </row>
    <row r="648" spans="1:17" x14ac:dyDescent="0.3">
      <c r="A648" s="3">
        <v>41130</v>
      </c>
      <c r="B648" s="9">
        <v>10.787502999999999</v>
      </c>
      <c r="C648" s="9">
        <v>9.3910420000000006</v>
      </c>
      <c r="E648" s="14">
        <f t="shared" si="74"/>
        <v>1.1487013901119811</v>
      </c>
      <c r="F648" s="18">
        <f t="shared" ca="1" si="73"/>
        <v>0.21366320402927244</v>
      </c>
      <c r="G648" s="15">
        <f t="shared" ca="1" si="71"/>
        <v>1.1415183244831271</v>
      </c>
      <c r="H648" s="15">
        <f t="shared" ca="1" si="72"/>
        <v>3.3618636683319457E-2</v>
      </c>
      <c r="J648" s="17">
        <f t="shared" ref="J648:J711" ca="1" si="75">IF(ISNUMBER(F648),IF(AND(J647&lt;&gt;1,F648&gt;$L$1),1,IF(AND(J647=1,F648&gt;$N$1),1,0)),"")</f>
        <v>0</v>
      </c>
      <c r="K648" s="24">
        <f t="shared" ca="1" si="69"/>
        <v>0</v>
      </c>
      <c r="L648" s="17">
        <f t="shared" ca="1" si="70"/>
        <v>0</v>
      </c>
      <c r="N648" s="24" t="str">
        <f ca="1">IF(AND(L648=1,L647&lt;&gt;1),MAX($N$8:N647)+1,"")</f>
        <v/>
      </c>
      <c r="O648" s="24" t="str">
        <f ca="1">IF(AND(L648&lt;&gt;1,L647=1),MAX($O$8:O647)+1,"")</f>
        <v/>
      </c>
      <c r="P648" s="17" t="str">
        <f ca="1">IF(AND(L648=-1,L647&lt;&gt;-1),MAX($P$8:P647)+1,"")</f>
        <v/>
      </c>
      <c r="Q648" s="24" t="str">
        <f ca="1">IF(AND(L648&lt;&gt;-1,L647=-1),MAX($Q$8:Q647)+1,"")</f>
        <v/>
      </c>
    </row>
    <row r="649" spans="1:17" x14ac:dyDescent="0.3">
      <c r="A649" s="3">
        <v>41131</v>
      </c>
      <c r="B649" s="9">
        <v>10.905575000000001</v>
      </c>
      <c r="C649" s="9">
        <v>9.3910420000000006</v>
      </c>
      <c r="E649" s="14">
        <f t="shared" si="74"/>
        <v>1.1612742228178725</v>
      </c>
      <c r="F649" s="18">
        <f t="shared" ca="1" si="73"/>
        <v>0.52280669195896445</v>
      </c>
      <c r="G649" s="15">
        <f t="shared" ca="1" si="71"/>
        <v>1.1458370134033091</v>
      </c>
      <c r="H649" s="15">
        <f t="shared" ca="1" si="72"/>
        <v>2.9527566597741774E-2</v>
      </c>
      <c r="J649" s="17">
        <f t="shared" ca="1" si="75"/>
        <v>0</v>
      </c>
      <c r="K649" s="24">
        <f t="shared" ref="K649:K712" ca="1" si="76">IF(ISNUMBER(F649),IF(AND(K648&lt;&gt;-1,F649&lt;$P$1),-1,IF(AND(K648=-1,F649&lt;R642),-1,0)),"")</f>
        <v>0</v>
      </c>
      <c r="L649" s="17">
        <f t="shared" ref="L649:L712" ca="1" si="77">IF(ISNUMBER(F649),IF(J649=1,1,IF(K649=-1,-1,0)),"")</f>
        <v>0</v>
      </c>
      <c r="N649" s="24" t="str">
        <f ca="1">IF(AND(L649=1,L648&lt;&gt;1),MAX($N$8:N648)+1,"")</f>
        <v/>
      </c>
      <c r="O649" s="24" t="str">
        <f ca="1">IF(AND(L649&lt;&gt;1,L648=1),MAX($O$8:O648)+1,"")</f>
        <v/>
      </c>
      <c r="P649" s="17" t="str">
        <f ca="1">IF(AND(L649=-1,L648&lt;&gt;-1),MAX($P$8:P648)+1,"")</f>
        <v/>
      </c>
      <c r="Q649" s="24" t="str">
        <f ca="1">IF(AND(L649&lt;&gt;-1,L648=-1),MAX($Q$8:Q648)+1,"")</f>
        <v/>
      </c>
    </row>
    <row r="650" spans="1:17" x14ac:dyDescent="0.3">
      <c r="A650" s="3">
        <v>41134</v>
      </c>
      <c r="B650" s="9">
        <v>10.832209000000001</v>
      </c>
      <c r="C650" s="9">
        <v>9.5447260000000007</v>
      </c>
      <c r="E650" s="14">
        <f t="shared" si="74"/>
        <v>1.134889466706535</v>
      </c>
      <c r="F650" s="18">
        <f t="shared" ca="1" si="73"/>
        <v>-0.45780244282918509</v>
      </c>
      <c r="G650" s="15">
        <f t="shared" ca="1" si="71"/>
        <v>1.1475593877531902</v>
      </c>
      <c r="H650" s="15">
        <f t="shared" ca="1" si="72"/>
        <v>2.7675520838980318E-2</v>
      </c>
      <c r="J650" s="17">
        <f t="shared" ca="1" si="75"/>
        <v>0</v>
      </c>
      <c r="K650" s="24">
        <f t="shared" ca="1" si="76"/>
        <v>0</v>
      </c>
      <c r="L650" s="17">
        <f t="shared" ca="1" si="77"/>
        <v>0</v>
      </c>
      <c r="N650" s="24" t="str">
        <f ca="1">IF(AND(L650=1,L649&lt;&gt;1),MAX($N$8:N649)+1,"")</f>
        <v/>
      </c>
      <c r="O650" s="24" t="str">
        <f ca="1">IF(AND(L650&lt;&gt;1,L649=1),MAX($O$8:O649)+1,"")</f>
        <v/>
      </c>
      <c r="P650" s="17" t="str">
        <f ca="1">IF(AND(L650=-1,L649&lt;&gt;-1),MAX($P$8:P649)+1,"")</f>
        <v/>
      </c>
      <c r="Q650" s="24" t="str">
        <f ca="1">IF(AND(L650&lt;&gt;-1,L649=-1),MAX($Q$8:Q649)+1,"")</f>
        <v/>
      </c>
    </row>
    <row r="651" spans="1:17" x14ac:dyDescent="0.3">
      <c r="A651" s="3">
        <v>41135</v>
      </c>
      <c r="B651" s="9">
        <v>10.832209000000001</v>
      </c>
      <c r="C651" s="9">
        <v>9.4944279999999992</v>
      </c>
      <c r="E651" s="14">
        <f t="shared" si="74"/>
        <v>1.1409016951837436</v>
      </c>
      <c r="F651" s="18">
        <f t="shared" ca="1" si="73"/>
        <v>-0.29037658840189989</v>
      </c>
      <c r="G651" s="15">
        <f t="shared" ca="1" si="71"/>
        <v>1.1486983571751663</v>
      </c>
      <c r="H651" s="15">
        <f t="shared" ca="1" si="72"/>
        <v>2.6850174231786286E-2</v>
      </c>
      <c r="J651" s="17">
        <f t="shared" ca="1" si="75"/>
        <v>0</v>
      </c>
      <c r="K651" s="24">
        <f t="shared" ca="1" si="76"/>
        <v>0</v>
      </c>
      <c r="L651" s="17">
        <f t="shared" ca="1" si="77"/>
        <v>0</v>
      </c>
      <c r="N651" s="24" t="str">
        <f ca="1">IF(AND(L651=1,L650&lt;&gt;1),MAX($N$8:N650)+1,"")</f>
        <v/>
      </c>
      <c r="O651" s="24" t="str">
        <f ca="1">IF(AND(L651&lt;&gt;1,L650=1),MAX($O$8:O650)+1,"")</f>
        <v/>
      </c>
      <c r="P651" s="17" t="str">
        <f ca="1">IF(AND(L651=-1,L650&lt;&gt;-1),MAX($P$8:P650)+1,"")</f>
        <v/>
      </c>
      <c r="Q651" s="24" t="str">
        <f ca="1">IF(AND(L651&lt;&gt;-1,L650=-1),MAX($Q$8:Q650)+1,"")</f>
        <v/>
      </c>
    </row>
    <row r="652" spans="1:17" x14ac:dyDescent="0.3">
      <c r="A652" s="3">
        <v>41136</v>
      </c>
      <c r="B652" s="9">
        <v>10.832209000000001</v>
      </c>
      <c r="C652" s="9">
        <v>9.5838750000000008</v>
      </c>
      <c r="E652" s="14">
        <f t="shared" si="74"/>
        <v>1.1302535769717363</v>
      </c>
      <c r="F652" s="18">
        <f t="shared" ca="1" si="73"/>
        <v>-0.72501281111339733</v>
      </c>
      <c r="G652" s="15">
        <f t="shared" ca="1" si="71"/>
        <v>1.149302004819686</v>
      </c>
      <c r="H652" s="15">
        <f t="shared" ca="1" si="72"/>
        <v>2.6273229322247623E-2</v>
      </c>
      <c r="J652" s="17">
        <f t="shared" ca="1" si="75"/>
        <v>0</v>
      </c>
      <c r="K652" s="24">
        <f t="shared" ca="1" si="76"/>
        <v>0</v>
      </c>
      <c r="L652" s="17">
        <f t="shared" ca="1" si="77"/>
        <v>0</v>
      </c>
      <c r="N652" s="24" t="str">
        <f ca="1">IF(AND(L652=1,L651&lt;&gt;1),MAX($N$8:N651)+1,"")</f>
        <v/>
      </c>
      <c r="O652" s="24" t="str">
        <f ca="1">IF(AND(L652&lt;&gt;1,L651=1),MAX($O$8:O651)+1,"")</f>
        <v/>
      </c>
      <c r="P652" s="17" t="str">
        <f ca="1">IF(AND(L652=-1,L651&lt;&gt;-1),MAX($P$8:P651)+1,"")</f>
        <v/>
      </c>
      <c r="Q652" s="24" t="str">
        <f ca="1">IF(AND(L652&lt;&gt;-1,L651=-1),MAX($Q$8:Q651)+1,"")</f>
        <v/>
      </c>
    </row>
    <row r="653" spans="1:17" x14ac:dyDescent="0.3">
      <c r="A653" s="3">
        <v>41137</v>
      </c>
      <c r="B653" s="9">
        <v>10.832209000000001</v>
      </c>
      <c r="C653" s="9">
        <v>9.6230259999999994</v>
      </c>
      <c r="E653" s="14">
        <f t="shared" si="74"/>
        <v>1.1256551733311333</v>
      </c>
      <c r="F653" s="18">
        <f t="shared" ca="1" si="73"/>
        <v>-0.96942956607896658</v>
      </c>
      <c r="G653" s="15">
        <f t="shared" ca="1" si="71"/>
        <v>1.1501151449397249</v>
      </c>
      <c r="H653" s="15">
        <f t="shared" ca="1" si="72"/>
        <v>2.5231303505136918E-2</v>
      </c>
      <c r="J653" s="17">
        <f t="shared" ca="1" si="75"/>
        <v>0</v>
      </c>
      <c r="K653" s="24">
        <f t="shared" ca="1" si="76"/>
        <v>0</v>
      </c>
      <c r="L653" s="17">
        <f t="shared" ca="1" si="77"/>
        <v>0</v>
      </c>
      <c r="N653" s="24" t="str">
        <f ca="1">IF(AND(L653=1,L652&lt;&gt;1),MAX($N$8:N652)+1,"")</f>
        <v/>
      </c>
      <c r="O653" s="24" t="str">
        <f ca="1">IF(AND(L653&lt;&gt;1,L652=1),MAX($O$8:O652)+1,"")</f>
        <v/>
      </c>
      <c r="P653" s="17" t="str">
        <f ca="1">IF(AND(L653=-1,L652&lt;&gt;-1),MAX($P$8:P652)+1,"")</f>
        <v/>
      </c>
      <c r="Q653" s="24" t="str">
        <f ca="1">IF(AND(L653&lt;&gt;-1,L652=-1),MAX($Q$8:Q652)+1,"")</f>
        <v/>
      </c>
    </row>
    <row r="654" spans="1:17" x14ac:dyDescent="0.3">
      <c r="A654" s="3">
        <v>41138</v>
      </c>
      <c r="B654" s="9">
        <v>10.832209000000001</v>
      </c>
      <c r="C654" s="9">
        <v>9.7208369999999995</v>
      </c>
      <c r="E654" s="14">
        <f t="shared" si="74"/>
        <v>1.1143288381442875</v>
      </c>
      <c r="F654" s="18">
        <f t="shared" ca="1" si="73"/>
        <v>-1.4160027371962673</v>
      </c>
      <c r="G654" s="15">
        <f t="shared" ca="1" si="71"/>
        <v>1.1500955390821959</v>
      </c>
      <c r="H654" s="15">
        <f t="shared" ca="1" si="72"/>
        <v>2.5258920762206722E-2</v>
      </c>
      <c r="J654" s="17">
        <f t="shared" ca="1" si="75"/>
        <v>0</v>
      </c>
      <c r="K654" s="24">
        <f t="shared" ca="1" si="76"/>
        <v>-1</v>
      </c>
      <c r="L654" s="17">
        <f t="shared" ca="1" si="77"/>
        <v>-1</v>
      </c>
      <c r="N654" s="24" t="str">
        <f ca="1">IF(AND(L654=1,L653&lt;&gt;1),MAX($N$8:N653)+1,"")</f>
        <v/>
      </c>
      <c r="O654" s="24" t="str">
        <f ca="1">IF(AND(L654&lt;&gt;1,L653=1),MAX($O$8:O653)+1,"")</f>
        <v/>
      </c>
      <c r="P654" s="17">
        <f ca="1">IF(AND(L654=-1,L653&lt;&gt;-1),MAX($P$8:P653)+1,"")</f>
        <v>23</v>
      </c>
      <c r="Q654" s="24" t="str">
        <f ca="1">IF(AND(L654&lt;&gt;-1,L653=-1),MAX($Q$8:Q653)+1,"")</f>
        <v/>
      </c>
    </row>
    <row r="655" spans="1:17" x14ac:dyDescent="0.3">
      <c r="A655" s="3">
        <v>41141</v>
      </c>
      <c r="B655" s="9">
        <v>10.959809</v>
      </c>
      <c r="C655" s="9">
        <v>9.6900530000000007</v>
      </c>
      <c r="E655" s="14">
        <f t="shared" si="74"/>
        <v>1.1310370541832948</v>
      </c>
      <c r="F655" s="18">
        <f t="shared" ca="1" si="73"/>
        <v>-0.77733102180386704</v>
      </c>
      <c r="G655" s="15">
        <f t="shared" ca="1" si="71"/>
        <v>1.1504324033052016</v>
      </c>
      <c r="H655" s="15">
        <f t="shared" ca="1" si="72"/>
        <v>2.4951209430569367E-2</v>
      </c>
      <c r="J655" s="17">
        <f t="shared" ca="1" si="75"/>
        <v>0</v>
      </c>
      <c r="K655" s="24">
        <f t="shared" ca="1" si="76"/>
        <v>-1</v>
      </c>
      <c r="L655" s="17">
        <f t="shared" ca="1" si="77"/>
        <v>-1</v>
      </c>
      <c r="N655" s="24" t="str">
        <f ca="1">IF(AND(L655=1,L654&lt;&gt;1),MAX($N$8:N654)+1,"")</f>
        <v/>
      </c>
      <c r="O655" s="24" t="str">
        <f ca="1">IF(AND(L655&lt;&gt;1,L654=1),MAX($O$8:O654)+1,"")</f>
        <v/>
      </c>
      <c r="P655" s="17" t="str">
        <f ca="1">IF(AND(L655=-1,L654&lt;&gt;-1),MAX($P$8:P654)+1,"")</f>
        <v/>
      </c>
      <c r="Q655" s="24" t="str">
        <f ca="1">IF(AND(L655&lt;&gt;-1,L654=-1),MAX($Q$8:Q654)+1,"")</f>
        <v/>
      </c>
    </row>
    <row r="656" spans="1:17" x14ac:dyDescent="0.3">
      <c r="A656" s="3">
        <v>41142</v>
      </c>
      <c r="B656" s="9">
        <v>10.895974000000001</v>
      </c>
      <c r="C656" s="9">
        <v>9.6621140000000008</v>
      </c>
      <c r="E656" s="14">
        <f t="shared" si="74"/>
        <v>1.1277008323437294</v>
      </c>
      <c r="F656" s="18">
        <f t="shared" ca="1" si="73"/>
        <v>-0.92423972863431159</v>
      </c>
      <c r="G656" s="15">
        <f t="shared" ca="1" si="71"/>
        <v>1.1506040811891618</v>
      </c>
      <c r="H656" s="15">
        <f t="shared" ca="1" si="72"/>
        <v>2.4780636598769678E-2</v>
      </c>
      <c r="J656" s="17">
        <f t="shared" ca="1" si="75"/>
        <v>0</v>
      </c>
      <c r="K656" s="24">
        <f t="shared" ca="1" si="76"/>
        <v>-1</v>
      </c>
      <c r="L656" s="17">
        <f t="shared" ca="1" si="77"/>
        <v>-1</v>
      </c>
      <c r="N656" s="24" t="str">
        <f ca="1">IF(AND(L656=1,L655&lt;&gt;1),MAX($N$8:N655)+1,"")</f>
        <v/>
      </c>
      <c r="O656" s="24" t="str">
        <f ca="1">IF(AND(L656&lt;&gt;1,L655=1),MAX($O$8:O655)+1,"")</f>
        <v/>
      </c>
      <c r="P656" s="17" t="str">
        <f ca="1">IF(AND(L656=-1,L655&lt;&gt;-1),MAX($P$8:P655)+1,"")</f>
        <v/>
      </c>
      <c r="Q656" s="24" t="str">
        <f ca="1">IF(AND(L656&lt;&gt;-1,L655=-1),MAX($Q$8:Q655)+1,"")</f>
        <v/>
      </c>
    </row>
    <row r="657" spans="1:17" x14ac:dyDescent="0.3">
      <c r="A657" s="3">
        <v>41143</v>
      </c>
      <c r="B657" s="9">
        <v>10.937454000000001</v>
      </c>
      <c r="C657" s="9">
        <v>9.6705469999999991</v>
      </c>
      <c r="E657" s="14">
        <f t="shared" si="74"/>
        <v>1.1310067569083737</v>
      </c>
      <c r="F657" s="18">
        <f t="shared" ca="1" si="73"/>
        <v>-0.7515993931652688</v>
      </c>
      <c r="G657" s="15">
        <f t="shared" ca="1" si="71"/>
        <v>1.1498779395283889</v>
      </c>
      <c r="H657" s="15">
        <f t="shared" ca="1" si="72"/>
        <v>2.5108033337469204E-2</v>
      </c>
      <c r="J657" s="17">
        <f t="shared" ca="1" si="75"/>
        <v>0</v>
      </c>
      <c r="K657" s="24">
        <f t="shared" ca="1" si="76"/>
        <v>-1</v>
      </c>
      <c r="L657" s="17">
        <f t="shared" ca="1" si="77"/>
        <v>-1</v>
      </c>
      <c r="N657" s="24" t="str">
        <f ca="1">IF(AND(L657=1,L656&lt;&gt;1),MAX($N$8:N656)+1,"")</f>
        <v/>
      </c>
      <c r="O657" s="24" t="str">
        <f ca="1">IF(AND(L657&lt;&gt;1,L656=1),MAX($O$8:O656)+1,"")</f>
        <v/>
      </c>
      <c r="P657" s="17" t="str">
        <f ca="1">IF(AND(L657=-1,L656&lt;&gt;-1),MAX($P$8:P656)+1,"")</f>
        <v/>
      </c>
      <c r="Q657" s="24" t="str">
        <f ca="1">IF(AND(L657&lt;&gt;-1,L656=-1),MAX($Q$8:Q656)+1,"")</f>
        <v/>
      </c>
    </row>
    <row r="658" spans="1:17" x14ac:dyDescent="0.3">
      <c r="A658" s="3">
        <v>41144</v>
      </c>
      <c r="B658" s="9">
        <v>10.864088000000001</v>
      </c>
      <c r="C658" s="9">
        <v>9.5475089999999998</v>
      </c>
      <c r="E658" s="14">
        <f t="shared" si="74"/>
        <v>1.1378976442965385</v>
      </c>
      <c r="F658" s="18">
        <f t="shared" ca="1" si="73"/>
        <v>-0.41800239105626519</v>
      </c>
      <c r="G658" s="15">
        <f t="shared" ca="1" si="71"/>
        <v>1.148175067382011</v>
      </c>
      <c r="H658" s="15">
        <f t="shared" ca="1" si="72"/>
        <v>2.4586995924837027E-2</v>
      </c>
      <c r="J658" s="17">
        <f t="shared" ca="1" si="75"/>
        <v>0</v>
      </c>
      <c r="K658" s="24">
        <f t="shared" ca="1" si="76"/>
        <v>-1</v>
      </c>
      <c r="L658" s="17">
        <f t="shared" ca="1" si="77"/>
        <v>-1</v>
      </c>
      <c r="N658" s="24" t="str">
        <f ca="1">IF(AND(L658=1,L657&lt;&gt;1),MAX($N$8:N657)+1,"")</f>
        <v/>
      </c>
      <c r="O658" s="24" t="str">
        <f ca="1">IF(AND(L658&lt;&gt;1,L657=1),MAX($O$8:O657)+1,"")</f>
        <v/>
      </c>
      <c r="P658" s="17" t="str">
        <f ca="1">IF(AND(L658=-1,L657&lt;&gt;-1),MAX($P$8:P657)+1,"")</f>
        <v/>
      </c>
      <c r="Q658" s="24" t="str">
        <f ca="1">IF(AND(L658&lt;&gt;-1,L657=-1),MAX($Q$8:Q657)+1,"")</f>
        <v/>
      </c>
    </row>
    <row r="659" spans="1:17" x14ac:dyDescent="0.3">
      <c r="A659" s="3">
        <v>41145</v>
      </c>
      <c r="B659" s="9">
        <v>10.851338999999999</v>
      </c>
      <c r="C659" s="9">
        <v>9.5167920000000006</v>
      </c>
      <c r="E659" s="14">
        <f t="shared" si="74"/>
        <v>1.14023076263514</v>
      </c>
      <c r="F659" s="18">
        <f t="shared" ca="1" si="73"/>
        <v>-0.26182970904505226</v>
      </c>
      <c r="G659" s="15">
        <f t="shared" ca="1" si="71"/>
        <v>1.1464438870317315</v>
      </c>
      <c r="H659" s="15">
        <f t="shared" ca="1" si="72"/>
        <v>2.3729638700100388E-2</v>
      </c>
      <c r="J659" s="17">
        <f t="shared" ca="1" si="75"/>
        <v>0</v>
      </c>
      <c r="K659" s="24">
        <f t="shared" ca="1" si="76"/>
        <v>-1</v>
      </c>
      <c r="L659" s="17">
        <f t="shared" ca="1" si="77"/>
        <v>-1</v>
      </c>
      <c r="N659" s="24" t="str">
        <f ca="1">IF(AND(L659=1,L658&lt;&gt;1),MAX($N$8:N658)+1,"")</f>
        <v/>
      </c>
      <c r="O659" s="24" t="str">
        <f ca="1">IF(AND(L659&lt;&gt;1,L658=1),MAX($O$8:O658)+1,"")</f>
        <v/>
      </c>
      <c r="P659" s="17" t="str">
        <f ca="1">IF(AND(L659=-1,L658&lt;&gt;-1),MAX($P$8:P658)+1,"")</f>
        <v/>
      </c>
      <c r="Q659" s="24" t="str">
        <f ca="1">IF(AND(L659&lt;&gt;-1,L658=-1),MAX($Q$8:Q658)+1,"")</f>
        <v/>
      </c>
    </row>
    <row r="660" spans="1:17" x14ac:dyDescent="0.3">
      <c r="A660" s="3">
        <v>41148</v>
      </c>
      <c r="B660" s="9">
        <v>10.688632999999999</v>
      </c>
      <c r="C660" s="9">
        <v>9.4497060000000008</v>
      </c>
      <c r="E660" s="14">
        <f t="shared" si="74"/>
        <v>1.1311074651423016</v>
      </c>
      <c r="F660" s="18">
        <f t="shared" ca="1" si="73"/>
        <v>-0.59068680894764491</v>
      </c>
      <c r="G660" s="15">
        <f t="shared" ca="1" si="71"/>
        <v>1.1431706315759191</v>
      </c>
      <c r="H660" s="15">
        <f t="shared" ca="1" si="72"/>
        <v>2.042227158434259E-2</v>
      </c>
      <c r="J660" s="17">
        <f t="shared" ca="1" si="75"/>
        <v>0</v>
      </c>
      <c r="K660" s="24">
        <f t="shared" ca="1" si="76"/>
        <v>-1</v>
      </c>
      <c r="L660" s="17">
        <f t="shared" ca="1" si="77"/>
        <v>-1</v>
      </c>
      <c r="N660" s="24" t="str">
        <f ca="1">IF(AND(L660=1,L659&lt;&gt;1),MAX($N$8:N659)+1,"")</f>
        <v/>
      </c>
      <c r="O660" s="24" t="str">
        <f ca="1">IF(AND(L660&lt;&gt;1,L659=1),MAX($O$8:O659)+1,"")</f>
        <v/>
      </c>
      <c r="P660" s="17" t="str">
        <f ca="1">IF(AND(L660=-1,L659&lt;&gt;-1),MAX($P$8:P659)+1,"")</f>
        <v/>
      </c>
      <c r="Q660" s="24" t="str">
        <f ca="1">IF(AND(L660&lt;&gt;-1,L659=-1),MAX($Q$8:Q659)+1,"")</f>
        <v/>
      </c>
    </row>
    <row r="661" spans="1:17" x14ac:dyDescent="0.3">
      <c r="A661" s="3">
        <v>41149</v>
      </c>
      <c r="B661" s="9">
        <v>10.688632999999999</v>
      </c>
      <c r="C661" s="9">
        <v>9.5531559999999995</v>
      </c>
      <c r="E661" s="14">
        <f t="shared" si="74"/>
        <v>1.1188588357606637</v>
      </c>
      <c r="F661" s="18">
        <f t="shared" ca="1" si="73"/>
        <v>-1.1190392446946027</v>
      </c>
      <c r="G661" s="15">
        <f t="shared" ca="1" si="71"/>
        <v>1.1403000171834392</v>
      </c>
      <c r="H661" s="15">
        <f t="shared" ca="1" si="72"/>
        <v>1.9160348061454297E-2</v>
      </c>
      <c r="J661" s="17">
        <f t="shared" ca="1" si="75"/>
        <v>0</v>
      </c>
      <c r="K661" s="24">
        <f t="shared" ca="1" si="76"/>
        <v>-1</v>
      </c>
      <c r="L661" s="17">
        <f t="shared" ca="1" si="77"/>
        <v>-1</v>
      </c>
      <c r="N661" s="24" t="str">
        <f ca="1">IF(AND(L661=1,L660&lt;&gt;1),MAX($N$8:N660)+1,"")</f>
        <v/>
      </c>
      <c r="O661" s="24" t="str">
        <f ca="1">IF(AND(L661&lt;&gt;1,L660=1),MAX($O$8:O660)+1,"")</f>
        <v/>
      </c>
      <c r="P661" s="17" t="str">
        <f ca="1">IF(AND(L661=-1,L660&lt;&gt;-1),MAX($P$8:P660)+1,"")</f>
        <v/>
      </c>
      <c r="Q661" s="24" t="str">
        <f ca="1">IF(AND(L661&lt;&gt;-1,L660=-1),MAX($Q$8:Q660)+1,"")</f>
        <v/>
      </c>
    </row>
    <row r="662" spans="1:17" x14ac:dyDescent="0.3">
      <c r="A662" s="3">
        <v>41150</v>
      </c>
      <c r="B662" s="9">
        <v>10.430142999999999</v>
      </c>
      <c r="C662" s="9">
        <v>9.4105500000000006</v>
      </c>
      <c r="E662" s="14">
        <f t="shared" si="74"/>
        <v>1.1083457396220198</v>
      </c>
      <c r="F662" s="18">
        <f t="shared" ca="1" si="73"/>
        <v>-1.8140778948670069</v>
      </c>
      <c r="G662" s="15">
        <f t="shared" ca="1" si="71"/>
        <v>1.136138178712593</v>
      </c>
      <c r="H662" s="15">
        <f t="shared" ca="1" si="72"/>
        <v>1.5320422110435772E-2</v>
      </c>
      <c r="J662" s="17">
        <f t="shared" ca="1" si="75"/>
        <v>0</v>
      </c>
      <c r="K662" s="24">
        <f t="shared" ca="1" si="76"/>
        <v>-1</v>
      </c>
      <c r="L662" s="17">
        <f t="shared" ca="1" si="77"/>
        <v>-1</v>
      </c>
      <c r="N662" s="24" t="str">
        <f ca="1">IF(AND(L662=1,L661&lt;&gt;1),MAX($N$8:N661)+1,"")</f>
        <v/>
      </c>
      <c r="O662" s="24" t="str">
        <f ca="1">IF(AND(L662&lt;&gt;1,L661=1),MAX($O$8:O661)+1,"")</f>
        <v/>
      </c>
      <c r="P662" s="17" t="str">
        <f ca="1">IF(AND(L662=-1,L661&lt;&gt;-1),MAX($P$8:P661)+1,"")</f>
        <v/>
      </c>
      <c r="Q662" s="24" t="str">
        <f ca="1">IF(AND(L662&lt;&gt;-1,L661=-1),MAX($Q$8:Q661)+1,"")</f>
        <v/>
      </c>
    </row>
    <row r="663" spans="1:17" x14ac:dyDescent="0.3">
      <c r="A663" s="3">
        <v>41151</v>
      </c>
      <c r="B663" s="9">
        <v>10.369534</v>
      </c>
      <c r="C663" s="9">
        <v>9.4189819999999997</v>
      </c>
      <c r="E663" s="14">
        <f t="shared" si="74"/>
        <v>1.1009187617090679</v>
      </c>
      <c r="F663" s="18">
        <f t="shared" ca="1" si="73"/>
        <v>-2.165302922927649</v>
      </c>
      <c r="G663" s="15">
        <f t="shared" ca="1" si="71"/>
        <v>1.1328472547193971</v>
      </c>
      <c r="H663" s="15">
        <f t="shared" ca="1" si="72"/>
        <v>1.4745508664053115E-2</v>
      </c>
      <c r="J663" s="17">
        <f t="shared" ca="1" si="75"/>
        <v>0</v>
      </c>
      <c r="K663" s="24">
        <f t="shared" ca="1" si="76"/>
        <v>-1</v>
      </c>
      <c r="L663" s="17">
        <f t="shared" ca="1" si="77"/>
        <v>-1</v>
      </c>
      <c r="N663" s="24" t="str">
        <f ca="1">IF(AND(L663=1,L662&lt;&gt;1),MAX($N$8:N662)+1,"")</f>
        <v/>
      </c>
      <c r="O663" s="24" t="str">
        <f ca="1">IF(AND(L663&lt;&gt;1,L662=1),MAX($O$8:O662)+1,"")</f>
        <v/>
      </c>
      <c r="P663" s="17" t="str">
        <f ca="1">IF(AND(L663=-1,L662&lt;&gt;-1),MAX($P$8:P662)+1,"")</f>
        <v/>
      </c>
      <c r="Q663" s="24" t="str">
        <f ca="1">IF(AND(L663&lt;&gt;-1,L662=-1),MAX($Q$8:Q662)+1,"")</f>
        <v/>
      </c>
    </row>
    <row r="664" spans="1:17" x14ac:dyDescent="0.3">
      <c r="A664" s="3">
        <v>41152</v>
      </c>
      <c r="B664" s="9">
        <v>10.114329</v>
      </c>
      <c r="C664" s="9">
        <v>9.1814180000000007</v>
      </c>
      <c r="E664" s="14">
        <f t="shared" si="74"/>
        <v>1.1016085968420126</v>
      </c>
      <c r="F664" s="18">
        <f t="shared" ca="1" si="73"/>
        <v>-1.9246807395394174</v>
      </c>
      <c r="G664" s="15">
        <f t="shared" ca="1" si="71"/>
        <v>1.1301782454365041</v>
      </c>
      <c r="H664" s="15">
        <f t="shared" ca="1" si="72"/>
        <v>1.4843837737643868E-2</v>
      </c>
      <c r="J664" s="17">
        <f t="shared" ca="1" si="75"/>
        <v>0</v>
      </c>
      <c r="K664" s="24">
        <f t="shared" ca="1" si="76"/>
        <v>-1</v>
      </c>
      <c r="L664" s="17">
        <f t="shared" ca="1" si="77"/>
        <v>-1</v>
      </c>
      <c r="N664" s="24" t="str">
        <f ca="1">IF(AND(L664=1,L663&lt;&gt;1),MAX($N$8:N663)+1,"")</f>
        <v/>
      </c>
      <c r="O664" s="24" t="str">
        <f ca="1">IF(AND(L664&lt;&gt;1,L663=1),MAX($O$8:O663)+1,"")</f>
        <v/>
      </c>
      <c r="P664" s="17" t="str">
        <f ca="1">IF(AND(L664=-1,L663&lt;&gt;-1),MAX($P$8:P663)+1,"")</f>
        <v/>
      </c>
      <c r="Q664" s="24" t="str">
        <f ca="1">IF(AND(L664&lt;&gt;-1,L663=-1),MAX($Q$8:Q663)+1,"")</f>
        <v/>
      </c>
    </row>
    <row r="665" spans="1:17" x14ac:dyDescent="0.3">
      <c r="A665" s="3">
        <v>41155</v>
      </c>
      <c r="B665" s="9">
        <v>10.236589</v>
      </c>
      <c r="C665" s="9">
        <v>9.3854030000000002</v>
      </c>
      <c r="E665" s="14">
        <f t="shared" si="74"/>
        <v>1.0906925360583877</v>
      </c>
      <c r="F665" s="18">
        <f t="shared" ca="1" si="73"/>
        <v>-2.2233890419064273</v>
      </c>
      <c r="G665" s="15">
        <f t="shared" ca="1" si="71"/>
        <v>1.1278326699682866</v>
      </c>
      <c r="H665" s="15">
        <f t="shared" ca="1" si="72"/>
        <v>1.6704289357319754E-2</v>
      </c>
      <c r="J665" s="17">
        <f t="shared" ca="1" si="75"/>
        <v>0</v>
      </c>
      <c r="K665" s="24">
        <f t="shared" ca="1" si="76"/>
        <v>-1</v>
      </c>
      <c r="L665" s="17">
        <f t="shared" ca="1" si="77"/>
        <v>-1</v>
      </c>
      <c r="N665" s="24" t="str">
        <f ca="1">IF(AND(L665=1,L664&lt;&gt;1),MAX($N$8:N664)+1,"")</f>
        <v/>
      </c>
      <c r="O665" s="24" t="str">
        <f ca="1">IF(AND(L665&lt;&gt;1,L664=1),MAX($O$8:O664)+1,"")</f>
        <v/>
      </c>
      <c r="P665" s="17" t="str">
        <f ca="1">IF(AND(L665=-1,L664&lt;&gt;-1),MAX($P$8:P664)+1,"")</f>
        <v/>
      </c>
      <c r="Q665" s="24" t="str">
        <f ca="1">IF(AND(L665&lt;&gt;-1,L664=-1),MAX($Q$8:Q664)+1,"")</f>
        <v/>
      </c>
    </row>
    <row r="666" spans="1:17" x14ac:dyDescent="0.3">
      <c r="A666" s="3">
        <v>41156</v>
      </c>
      <c r="B666" s="9">
        <v>10.028962</v>
      </c>
      <c r="C666" s="9">
        <v>9.2905160000000002</v>
      </c>
      <c r="E666" s="14">
        <f t="shared" si="74"/>
        <v>1.0794838521348007</v>
      </c>
      <c r="F666" s="18">
        <f t="shared" ca="1" si="73"/>
        <v>-2.3768250372797408</v>
      </c>
      <c r="G666" s="15">
        <f t="shared" ca="1" si="71"/>
        <v>1.1249141864498773</v>
      </c>
      <c r="H666" s="15">
        <f t="shared" ca="1" si="72"/>
        <v>1.9113874013659535E-2</v>
      </c>
      <c r="J666" s="17">
        <f t="shared" ca="1" si="75"/>
        <v>0</v>
      </c>
      <c r="K666" s="24">
        <f t="shared" ca="1" si="76"/>
        <v>-1</v>
      </c>
      <c r="L666" s="17">
        <f t="shared" ca="1" si="77"/>
        <v>-1</v>
      </c>
      <c r="N666" s="24" t="str">
        <f ca="1">IF(AND(L666=1,L665&lt;&gt;1),MAX($N$8:N665)+1,"")</f>
        <v/>
      </c>
      <c r="O666" s="24" t="str">
        <f ca="1">IF(AND(L666&lt;&gt;1,L665=1),MAX($O$8:O665)+1,"")</f>
        <v/>
      </c>
      <c r="P666" s="17" t="str">
        <f ca="1">IF(AND(L666=-1,L665&lt;&gt;-1),MAX($P$8:P665)+1,"")</f>
        <v/>
      </c>
      <c r="Q666" s="24" t="str">
        <f ca="1">IF(AND(L666&lt;&gt;-1,L665=-1),MAX($Q$8:Q665)+1,"")</f>
        <v/>
      </c>
    </row>
    <row r="667" spans="1:17" x14ac:dyDescent="0.3">
      <c r="A667" s="3">
        <v>41157</v>
      </c>
      <c r="B667" s="9">
        <v>10.060949000000001</v>
      </c>
      <c r="C667" s="9">
        <v>9.3184850000000008</v>
      </c>
      <c r="E667" s="14">
        <f t="shared" si="74"/>
        <v>1.0796764710143334</v>
      </c>
      <c r="F667" s="18">
        <f t="shared" ca="1" si="73"/>
        <v>-2.0319954862275322</v>
      </c>
      <c r="G667" s="15">
        <f t="shared" ca="1" si="71"/>
        <v>1.1220066896791197</v>
      </c>
      <c r="H667" s="15">
        <f t="shared" ca="1" si="72"/>
        <v>2.0831846798721843E-2</v>
      </c>
      <c r="J667" s="17">
        <f t="shared" ca="1" si="75"/>
        <v>0</v>
      </c>
      <c r="K667" s="24">
        <f t="shared" ca="1" si="76"/>
        <v>-1</v>
      </c>
      <c r="L667" s="17">
        <f t="shared" ca="1" si="77"/>
        <v>-1</v>
      </c>
      <c r="N667" s="24" t="str">
        <f ca="1">IF(AND(L667=1,L666&lt;&gt;1),MAX($N$8:N666)+1,"")</f>
        <v/>
      </c>
      <c r="O667" s="24" t="str">
        <f ca="1">IF(AND(L667&lt;&gt;1,L666=1),MAX($O$8:O666)+1,"")</f>
        <v/>
      </c>
      <c r="P667" s="17" t="str">
        <f ca="1">IF(AND(L667=-1,L666&lt;&gt;-1),MAX($P$8:P666)+1,"")</f>
        <v/>
      </c>
      <c r="Q667" s="24" t="str">
        <f ca="1">IF(AND(L667&lt;&gt;-1,L666=-1),MAX($Q$8:Q666)+1,"")</f>
        <v/>
      </c>
    </row>
    <row r="668" spans="1:17" x14ac:dyDescent="0.3">
      <c r="A668" s="3">
        <v>41158</v>
      </c>
      <c r="B668" s="9">
        <v>10.348402</v>
      </c>
      <c r="C668" s="9">
        <v>9.4108400000000003</v>
      </c>
      <c r="E668" s="14">
        <f t="shared" si="74"/>
        <v>1.0996257507300091</v>
      </c>
      <c r="F668" s="18">
        <f t="shared" ca="1" si="73"/>
        <v>-0.98532519034731847</v>
      </c>
      <c r="G668" s="15">
        <f t="shared" ca="1" si="71"/>
        <v>1.1205203463109172</v>
      </c>
      <c r="H668" s="15">
        <f t="shared" ca="1" si="72"/>
        <v>2.1205786460755108E-2</v>
      </c>
      <c r="J668" s="17">
        <f t="shared" ca="1" si="75"/>
        <v>0</v>
      </c>
      <c r="K668" s="24">
        <f t="shared" ca="1" si="76"/>
        <v>-1</v>
      </c>
      <c r="L668" s="17">
        <f t="shared" ca="1" si="77"/>
        <v>-1</v>
      </c>
      <c r="N668" s="24" t="str">
        <f ca="1">IF(AND(L668=1,L667&lt;&gt;1),MAX($N$8:N667)+1,"")</f>
        <v/>
      </c>
      <c r="O668" s="24" t="str">
        <f ca="1">IF(AND(L668&lt;&gt;1,L667=1),MAX($O$8:O667)+1,"")</f>
        <v/>
      </c>
      <c r="P668" s="17" t="str">
        <f ca="1">IF(AND(L668=-1,L667&lt;&gt;-1),MAX($P$8:P667)+1,"")</f>
        <v/>
      </c>
      <c r="Q668" s="24" t="str">
        <f ca="1">IF(AND(L668&lt;&gt;-1,L667=-1),MAX($Q$8:Q667)+1,"")</f>
        <v/>
      </c>
    </row>
    <row r="669" spans="1:17" x14ac:dyDescent="0.3">
      <c r="A669" s="3">
        <v>41162</v>
      </c>
      <c r="B669" s="9">
        <v>10.409077</v>
      </c>
      <c r="C669" s="9">
        <v>9.4192119999999999</v>
      </c>
      <c r="E669" s="14">
        <f t="shared" si="74"/>
        <v>1.1050900011593328</v>
      </c>
      <c r="F669" s="18">
        <f t="shared" ca="1" si="73"/>
        <v>-0.69388148939269245</v>
      </c>
      <c r="G669" s="15">
        <f t="shared" ca="1" si="71"/>
        <v>1.119967519263968</v>
      </c>
      <c r="H669" s="15">
        <f t="shared" ca="1" si="72"/>
        <v>2.1441007336363029E-2</v>
      </c>
      <c r="J669" s="17">
        <f t="shared" ca="1" si="75"/>
        <v>0</v>
      </c>
      <c r="K669" s="24">
        <f t="shared" ca="1" si="76"/>
        <v>-1</v>
      </c>
      <c r="L669" s="17">
        <f t="shared" ca="1" si="77"/>
        <v>-1</v>
      </c>
      <c r="N669" s="24" t="str">
        <f ca="1">IF(AND(L669=1,L668&lt;&gt;1),MAX($N$8:N668)+1,"")</f>
        <v/>
      </c>
      <c r="O669" s="24" t="str">
        <f ca="1">IF(AND(L669&lt;&gt;1,L668=1),MAX($O$8:O668)+1,"")</f>
        <v/>
      </c>
      <c r="P669" s="17" t="str">
        <f ca="1">IF(AND(L669=-1,L668&lt;&gt;-1),MAX($P$8:P668)+1,"")</f>
        <v/>
      </c>
      <c r="Q669" s="24" t="str">
        <f ca="1">IF(AND(L669&lt;&gt;-1,L668=-1),MAX($Q$8:Q668)+1,"")</f>
        <v/>
      </c>
    </row>
    <row r="670" spans="1:17" x14ac:dyDescent="0.3">
      <c r="A670" s="3">
        <v>41163</v>
      </c>
      <c r="B670" s="9">
        <v>10.520887999999999</v>
      </c>
      <c r="C670" s="9">
        <v>9.4780130000000007</v>
      </c>
      <c r="E670" s="14">
        <f t="shared" si="74"/>
        <v>1.1100309737916585</v>
      </c>
      <c r="F670" s="18">
        <f t="shared" ca="1" si="73"/>
        <v>-0.3973915700986736</v>
      </c>
      <c r="G670" s="15">
        <f t="shared" ca="1" si="71"/>
        <v>1.1182097730675897</v>
      </c>
      <c r="H670" s="15">
        <f t="shared" ca="1" si="72"/>
        <v>2.0581209797430819E-2</v>
      </c>
      <c r="J670" s="17">
        <f t="shared" ca="1" si="75"/>
        <v>0</v>
      </c>
      <c r="K670" s="24">
        <f t="shared" ca="1" si="76"/>
        <v>-1</v>
      </c>
      <c r="L670" s="17">
        <f t="shared" ca="1" si="77"/>
        <v>-1</v>
      </c>
      <c r="N670" s="24" t="str">
        <f ca="1">IF(AND(L670=1,L669&lt;&gt;1),MAX($N$8:N669)+1,"")</f>
        <v/>
      </c>
      <c r="O670" s="24" t="str">
        <f ca="1">IF(AND(L670&lt;&gt;1,L669=1),MAX($O$8:O669)+1,"")</f>
        <v/>
      </c>
      <c r="P670" s="17" t="str">
        <f ca="1">IF(AND(L670=-1,L669&lt;&gt;-1),MAX($P$8:P669)+1,"")</f>
        <v/>
      </c>
      <c r="Q670" s="24" t="str">
        <f ca="1">IF(AND(L670&lt;&gt;-1,L669=-1),MAX($Q$8:Q669)+1,"")</f>
        <v/>
      </c>
    </row>
    <row r="671" spans="1:17" x14ac:dyDescent="0.3">
      <c r="A671" s="3">
        <v>41164</v>
      </c>
      <c r="B671" s="9">
        <v>10.798724</v>
      </c>
      <c r="C671" s="9">
        <v>9.6123460000000005</v>
      </c>
      <c r="E671" s="14">
        <f t="shared" si="74"/>
        <v>1.1234223154264318</v>
      </c>
      <c r="F671" s="18">
        <f t="shared" ca="1" si="73"/>
        <v>0.37735384093326824</v>
      </c>
      <c r="G671" s="15">
        <f t="shared" ref="G671:G734" ca="1" si="78">IF(ISNUMBER(E671),IF(ROW(E671)&gt;$J$1,AVERAGE(OFFSET(E671,0,0,-$J$1)),""),"")</f>
        <v>1.1164892318225241</v>
      </c>
      <c r="H671" s="15">
        <f t="shared" ref="H671:H734" ca="1" si="79">IF(ISNUMBER(E671),IF(ROW(E671)&gt;$J$1,_xlfn.STDEV.P(OFFSET(E671,0,0,-$J$1)),""),"")</f>
        <v>1.837289793251027E-2</v>
      </c>
      <c r="J671" s="17">
        <f t="shared" ca="1" si="75"/>
        <v>0</v>
      </c>
      <c r="K671" s="24">
        <f t="shared" ca="1" si="76"/>
        <v>0</v>
      </c>
      <c r="L671" s="17">
        <f t="shared" ca="1" si="77"/>
        <v>0</v>
      </c>
      <c r="N671" s="24" t="str">
        <f ca="1">IF(AND(L671=1,L670&lt;&gt;1),MAX($N$8:N670)+1,"")</f>
        <v/>
      </c>
      <c r="O671" s="24" t="str">
        <f ca="1">IF(AND(L671&lt;&gt;1,L670=1),MAX($O$8:O670)+1,"")</f>
        <v/>
      </c>
      <c r="P671" s="17" t="str">
        <f ca="1">IF(AND(L671=-1,L670&lt;&gt;-1),MAX($P$8:P670)+1,"")</f>
        <v/>
      </c>
      <c r="Q671" s="24">
        <f ca="1">IF(AND(L671&lt;&gt;-1,L670=-1),MAX($Q$8:Q670)+1,"")</f>
        <v>23</v>
      </c>
    </row>
    <row r="672" spans="1:17" x14ac:dyDescent="0.3">
      <c r="A672" s="3">
        <v>41165</v>
      </c>
      <c r="B672" s="9">
        <v>11.019119999999999</v>
      </c>
      <c r="C672" s="9">
        <v>9.8613569999999999</v>
      </c>
      <c r="E672" s="14">
        <f t="shared" si="74"/>
        <v>1.1174040246185184</v>
      </c>
      <c r="F672" s="18">
        <f t="shared" ca="1" si="73"/>
        <v>9.5333640982082635E-2</v>
      </c>
      <c r="G672" s="15">
        <f t="shared" ca="1" si="78"/>
        <v>1.1156944390003416</v>
      </c>
      <c r="H672" s="15">
        <f t="shared" ca="1" si="79"/>
        <v>1.7932658404372775E-2</v>
      </c>
      <c r="J672" s="17">
        <f t="shared" ca="1" si="75"/>
        <v>0</v>
      </c>
      <c r="K672" s="24">
        <f t="shared" ca="1" si="76"/>
        <v>0</v>
      </c>
      <c r="L672" s="17">
        <f t="shared" ca="1" si="77"/>
        <v>0</v>
      </c>
      <c r="N672" s="24" t="str">
        <f ca="1">IF(AND(L672=1,L671&lt;&gt;1),MAX($N$8:N671)+1,"")</f>
        <v/>
      </c>
      <c r="O672" s="24" t="str">
        <f ca="1">IF(AND(L672&lt;&gt;1,L671=1),MAX($O$8:O671)+1,"")</f>
        <v/>
      </c>
      <c r="P672" s="17" t="str">
        <f ca="1">IF(AND(L672=-1,L671&lt;&gt;-1),MAX($P$8:P671)+1,"")</f>
        <v/>
      </c>
      <c r="Q672" s="24" t="str">
        <f ca="1">IF(AND(L672&lt;&gt;-1,L671=-1),MAX($Q$8:Q671)+1,"")</f>
        <v/>
      </c>
    </row>
    <row r="673" spans="1:17" x14ac:dyDescent="0.3">
      <c r="A673" s="3">
        <v>41166</v>
      </c>
      <c r="B673" s="9">
        <v>11.146851</v>
      </c>
      <c r="C673" s="9">
        <v>9.9929020000000008</v>
      </c>
      <c r="E673" s="14">
        <f t="shared" si="74"/>
        <v>1.115476865479117</v>
      </c>
      <c r="F673" s="18">
        <f t="shared" ca="1" si="73"/>
        <v>5.4957998354704371E-2</v>
      </c>
      <c r="G673" s="15">
        <f t="shared" ca="1" si="78"/>
        <v>1.1145387649228586</v>
      </c>
      <c r="H673" s="15">
        <f t="shared" ca="1" si="79"/>
        <v>1.7069409082254423E-2</v>
      </c>
      <c r="J673" s="17">
        <f t="shared" ca="1" si="75"/>
        <v>0</v>
      </c>
      <c r="K673" s="24">
        <f t="shared" ca="1" si="76"/>
        <v>0</v>
      </c>
      <c r="L673" s="17">
        <f t="shared" ca="1" si="77"/>
        <v>0</v>
      </c>
      <c r="N673" s="24" t="str">
        <f ca="1">IF(AND(L673=1,L672&lt;&gt;1),MAX($N$8:N672)+1,"")</f>
        <v/>
      </c>
      <c r="O673" s="24" t="str">
        <f ca="1">IF(AND(L673&lt;&gt;1,L672=1),MAX($O$8:O672)+1,"")</f>
        <v/>
      </c>
      <c r="P673" s="17" t="str">
        <f ca="1">IF(AND(L673=-1,L672&lt;&gt;-1),MAX($P$8:P672)+1,"")</f>
        <v/>
      </c>
      <c r="Q673" s="24" t="str">
        <f ca="1">IF(AND(L673&lt;&gt;-1,L672=-1),MAX($Q$8:Q672)+1,"")</f>
        <v/>
      </c>
    </row>
    <row r="674" spans="1:17" x14ac:dyDescent="0.3">
      <c r="A674" s="3">
        <v>41169</v>
      </c>
      <c r="B674" s="9">
        <v>11.019119999999999</v>
      </c>
      <c r="C674" s="9">
        <v>10.032104</v>
      </c>
      <c r="E674" s="14">
        <f t="shared" si="74"/>
        <v>1.0983857424125587</v>
      </c>
      <c r="F674" s="18">
        <f t="shared" ca="1" si="73"/>
        <v>-0.86362414967301926</v>
      </c>
      <c r="G674" s="15">
        <f t="shared" ca="1" si="78"/>
        <v>1.1130902269883507</v>
      </c>
      <c r="H674" s="15">
        <f t="shared" ca="1" si="79"/>
        <v>1.7026486095090464E-2</v>
      </c>
      <c r="J674" s="17">
        <f t="shared" ca="1" si="75"/>
        <v>0</v>
      </c>
      <c r="K674" s="24">
        <f t="shared" ca="1" si="76"/>
        <v>0</v>
      </c>
      <c r="L674" s="17">
        <f t="shared" ca="1" si="77"/>
        <v>0</v>
      </c>
      <c r="N674" s="24" t="str">
        <f ca="1">IF(AND(L674=1,L673&lt;&gt;1),MAX($N$8:N673)+1,"")</f>
        <v/>
      </c>
      <c r="O674" s="24" t="str">
        <f ca="1">IF(AND(L674&lt;&gt;1,L673=1),MAX($O$8:O673)+1,"")</f>
        <v/>
      </c>
      <c r="P674" s="17" t="str">
        <f ca="1">IF(AND(L674=-1,L673&lt;&gt;-1),MAX($P$8:P673)+1,"")</f>
        <v/>
      </c>
      <c r="Q674" s="24" t="str">
        <f ca="1">IF(AND(L674&lt;&gt;-1,L673=-1),MAX($Q$8:Q673)+1,"")</f>
        <v/>
      </c>
    </row>
    <row r="675" spans="1:17" x14ac:dyDescent="0.3">
      <c r="A675" s="3">
        <v>41170</v>
      </c>
      <c r="B675" s="9">
        <v>10.757194999999999</v>
      </c>
      <c r="C675" s="9">
        <v>9.9117139999999999</v>
      </c>
      <c r="E675" s="14">
        <f t="shared" si="74"/>
        <v>1.0853011900868004</v>
      </c>
      <c r="F675" s="18">
        <f t="shared" ca="1" si="73"/>
        <v>-1.4636362380146108</v>
      </c>
      <c r="G675" s="15">
        <f t="shared" ca="1" si="78"/>
        <v>1.111255955022699</v>
      </c>
      <c r="H675" s="15">
        <f t="shared" ca="1" si="79"/>
        <v>1.7733070732865772E-2</v>
      </c>
      <c r="J675" s="17">
        <f t="shared" ca="1" si="75"/>
        <v>0</v>
      </c>
      <c r="K675" s="24">
        <f t="shared" ca="1" si="76"/>
        <v>-1</v>
      </c>
      <c r="L675" s="17">
        <f t="shared" ca="1" si="77"/>
        <v>-1</v>
      </c>
      <c r="N675" s="24" t="str">
        <f ca="1">IF(AND(L675=1,L674&lt;&gt;1),MAX($N$8:N674)+1,"")</f>
        <v/>
      </c>
      <c r="O675" s="24" t="str">
        <f ca="1">IF(AND(L675&lt;&gt;1,L674=1),MAX($O$8:O674)+1,"")</f>
        <v/>
      </c>
      <c r="P675" s="17">
        <f ca="1">IF(AND(L675=-1,L674&lt;&gt;-1),MAX($P$8:P674)+1,"")</f>
        <v>24</v>
      </c>
      <c r="Q675" s="24" t="str">
        <f ca="1">IF(AND(L675&lt;&gt;-1,L674=-1),MAX($Q$8:Q674)+1,"")</f>
        <v/>
      </c>
    </row>
    <row r="676" spans="1:17" x14ac:dyDescent="0.3">
      <c r="A676" s="3">
        <v>41171</v>
      </c>
      <c r="B676" s="9">
        <v>10.763582</v>
      </c>
      <c r="C676" s="9">
        <v>9.9061330000000005</v>
      </c>
      <c r="E676" s="14">
        <f t="shared" si="74"/>
        <v>1.0865573882361563</v>
      </c>
      <c r="F676" s="18">
        <f t="shared" ca="1" si="73"/>
        <v>-1.2706954576930083</v>
      </c>
      <c r="G676" s="15">
        <f t="shared" ca="1" si="78"/>
        <v>1.1099936163905113</v>
      </c>
      <c r="H676" s="15">
        <f t="shared" ca="1" si="79"/>
        <v>1.8443623145473632E-2</v>
      </c>
      <c r="J676" s="17">
        <f t="shared" ca="1" si="75"/>
        <v>0</v>
      </c>
      <c r="K676" s="24">
        <f t="shared" ca="1" si="76"/>
        <v>-1</v>
      </c>
      <c r="L676" s="17">
        <f t="shared" ca="1" si="77"/>
        <v>-1</v>
      </c>
      <c r="N676" s="24" t="str">
        <f ca="1">IF(AND(L676=1,L675&lt;&gt;1),MAX($N$8:N675)+1,"")</f>
        <v/>
      </c>
      <c r="O676" s="24" t="str">
        <f ca="1">IF(AND(L676&lt;&gt;1,L675=1),MAX($O$8:O675)+1,"")</f>
        <v/>
      </c>
      <c r="P676" s="17" t="str">
        <f ca="1">IF(AND(L676=-1,L675&lt;&gt;-1),MAX($P$8:P675)+1,"")</f>
        <v/>
      </c>
      <c r="Q676" s="24" t="str">
        <f ca="1">IF(AND(L676&lt;&gt;-1,L675=-1),MAX($Q$8:Q675)+1,"")</f>
        <v/>
      </c>
    </row>
    <row r="677" spans="1:17" x14ac:dyDescent="0.3">
      <c r="A677" s="3">
        <v>41172</v>
      </c>
      <c r="B677" s="9">
        <v>10.683763000000001</v>
      </c>
      <c r="C677" s="9">
        <v>9.8865359999999995</v>
      </c>
      <c r="E677" s="14">
        <f t="shared" si="74"/>
        <v>1.0806376469978971</v>
      </c>
      <c r="F677" s="18">
        <f t="shared" ca="1" si="73"/>
        <v>-1.4385701191101825</v>
      </c>
      <c r="G677" s="15">
        <f t="shared" ca="1" si="78"/>
        <v>1.1077027342457204</v>
      </c>
      <c r="H677" s="15">
        <f t="shared" ca="1" si="79"/>
        <v>1.8813881150655503E-2</v>
      </c>
      <c r="J677" s="17">
        <f t="shared" ca="1" si="75"/>
        <v>0</v>
      </c>
      <c r="K677" s="24">
        <f t="shared" ca="1" si="76"/>
        <v>-1</v>
      </c>
      <c r="L677" s="17">
        <f t="shared" ca="1" si="77"/>
        <v>-1</v>
      </c>
      <c r="N677" s="24" t="str">
        <f ca="1">IF(AND(L677=1,L676&lt;&gt;1),MAX($N$8:N676)+1,"")</f>
        <v/>
      </c>
      <c r="O677" s="24" t="str">
        <f ca="1">IF(AND(L677&lt;&gt;1,L676=1),MAX($O$8:O676)+1,"")</f>
        <v/>
      </c>
      <c r="P677" s="17" t="str">
        <f ca="1">IF(AND(L677=-1,L676&lt;&gt;-1),MAX($P$8:P676)+1,"")</f>
        <v/>
      </c>
      <c r="Q677" s="24" t="str">
        <f ca="1">IF(AND(L677&lt;&gt;-1,L676=-1),MAX($Q$8:Q676)+1,"")</f>
        <v/>
      </c>
    </row>
    <row r="678" spans="1:17" x14ac:dyDescent="0.3">
      <c r="A678" s="3">
        <v>41173</v>
      </c>
      <c r="B678" s="9">
        <v>10.744434999999999</v>
      </c>
      <c r="C678" s="9">
        <v>9.962078</v>
      </c>
      <c r="E678" s="14">
        <f t="shared" si="74"/>
        <v>1.0785335147948047</v>
      </c>
      <c r="F678" s="18">
        <f t="shared" ca="1" si="73"/>
        <v>-1.4012654838853023</v>
      </c>
      <c r="G678" s="15">
        <f t="shared" ca="1" si="78"/>
        <v>1.1054678561753148</v>
      </c>
      <c r="H678" s="15">
        <f t="shared" ca="1" si="79"/>
        <v>1.9221440683623341E-2</v>
      </c>
      <c r="J678" s="17">
        <f t="shared" ca="1" si="75"/>
        <v>0</v>
      </c>
      <c r="K678" s="24">
        <f t="shared" ca="1" si="76"/>
        <v>-1</v>
      </c>
      <c r="L678" s="17">
        <f t="shared" ca="1" si="77"/>
        <v>-1</v>
      </c>
      <c r="N678" s="24" t="str">
        <f ca="1">IF(AND(L678=1,L677&lt;&gt;1),MAX($N$8:N677)+1,"")</f>
        <v/>
      </c>
      <c r="O678" s="24" t="str">
        <f ca="1">IF(AND(L678&lt;&gt;1,L677=1),MAX($O$8:O677)+1,"")</f>
        <v/>
      </c>
      <c r="P678" s="17" t="str">
        <f ca="1">IF(AND(L678=-1,L677&lt;&gt;-1),MAX($P$8:P677)+1,"")</f>
        <v/>
      </c>
      <c r="Q678" s="24" t="str">
        <f ca="1">IF(AND(L678&lt;&gt;-1,L677=-1),MAX($Q$8:Q677)+1,"")</f>
        <v/>
      </c>
    </row>
    <row r="679" spans="1:17" x14ac:dyDescent="0.3">
      <c r="A679" s="3">
        <v>41176</v>
      </c>
      <c r="B679" s="9">
        <v>10.782804</v>
      </c>
      <c r="C679" s="9">
        <v>9.9033409999999993</v>
      </c>
      <c r="E679" s="14">
        <f t="shared" si="74"/>
        <v>1.0888046771286579</v>
      </c>
      <c r="F679" s="18">
        <f t="shared" ca="1" si="73"/>
        <v>-0.78955043502255218</v>
      </c>
      <c r="G679" s="15">
        <f t="shared" ca="1" si="78"/>
        <v>1.1035495798216912</v>
      </c>
      <c r="H679" s="15">
        <f t="shared" ca="1" si="79"/>
        <v>1.8675061198100838E-2</v>
      </c>
      <c r="J679" s="17">
        <f t="shared" ca="1" si="75"/>
        <v>0</v>
      </c>
      <c r="K679" s="24">
        <f t="shared" ca="1" si="76"/>
        <v>-1</v>
      </c>
      <c r="L679" s="17">
        <f t="shared" ca="1" si="77"/>
        <v>-1</v>
      </c>
      <c r="N679" s="24" t="str">
        <f ca="1">IF(AND(L679=1,L678&lt;&gt;1),MAX($N$8:N678)+1,"")</f>
        <v/>
      </c>
      <c r="O679" s="24" t="str">
        <f ca="1">IF(AND(L679&lt;&gt;1,L678=1),MAX($O$8:O678)+1,"")</f>
        <v/>
      </c>
      <c r="P679" s="17" t="str">
        <f ca="1">IF(AND(L679=-1,L678&lt;&gt;-1),MAX($P$8:P678)+1,"")</f>
        <v/>
      </c>
      <c r="Q679" s="24" t="str">
        <f ca="1">IF(AND(L679&lt;&gt;-1,L678=-1),MAX($Q$8:Q678)+1,"")</f>
        <v/>
      </c>
    </row>
    <row r="680" spans="1:17" x14ac:dyDescent="0.3">
      <c r="A680" s="3">
        <v>41177</v>
      </c>
      <c r="B680" s="9">
        <v>10.134395</v>
      </c>
      <c r="C680" s="9">
        <v>9.234572</v>
      </c>
      <c r="E680" s="14">
        <f t="shared" si="74"/>
        <v>1.0974406826867558</v>
      </c>
      <c r="F680" s="18">
        <f t="shared" ca="1" si="73"/>
        <v>-0.24926331266233426</v>
      </c>
      <c r="G680" s="15">
        <f t="shared" ca="1" si="78"/>
        <v>1.1017106270212467</v>
      </c>
      <c r="H680" s="15">
        <f t="shared" ca="1" si="79"/>
        <v>1.7130255908438502E-2</v>
      </c>
      <c r="J680" s="17">
        <f t="shared" ca="1" si="75"/>
        <v>0</v>
      </c>
      <c r="K680" s="24">
        <f t="shared" ca="1" si="76"/>
        <v>-1</v>
      </c>
      <c r="L680" s="17">
        <f t="shared" ca="1" si="77"/>
        <v>-1</v>
      </c>
      <c r="N680" s="24" t="str">
        <f ca="1">IF(AND(L680=1,L679&lt;&gt;1),MAX($N$8:N679)+1,"")</f>
        <v/>
      </c>
      <c r="O680" s="24" t="str">
        <f ca="1">IF(AND(L680&lt;&gt;1,L679=1),MAX($O$8:O679)+1,"")</f>
        <v/>
      </c>
      <c r="P680" s="17" t="str">
        <f ca="1">IF(AND(L680=-1,L679&lt;&gt;-1),MAX($P$8:P679)+1,"")</f>
        <v/>
      </c>
      <c r="Q680" s="24" t="str">
        <f ca="1">IF(AND(L680&lt;&gt;-1,L679=-1),MAX($Q$8:Q679)+1,"")</f>
        <v/>
      </c>
    </row>
    <row r="681" spans="1:17" x14ac:dyDescent="0.3">
      <c r="A681" s="3">
        <v>41178</v>
      </c>
      <c r="B681" s="9">
        <v>10.188682999999999</v>
      </c>
      <c r="C681" s="9">
        <v>9.1589740000000006</v>
      </c>
      <c r="E681" s="14">
        <f t="shared" si="74"/>
        <v>1.1124262390088671</v>
      </c>
      <c r="F681" s="18">
        <f t="shared" ca="1" si="73"/>
        <v>0.79055141157787778</v>
      </c>
      <c r="G681" s="15">
        <f t="shared" ca="1" si="78"/>
        <v>1.1004467850382342</v>
      </c>
      <c r="H681" s="15">
        <f t="shared" ca="1" si="79"/>
        <v>1.5153288951470957E-2</v>
      </c>
      <c r="J681" s="17">
        <f t="shared" ca="1" si="75"/>
        <v>0</v>
      </c>
      <c r="K681" s="24">
        <f t="shared" ca="1" si="76"/>
        <v>0</v>
      </c>
      <c r="L681" s="17">
        <f t="shared" ca="1" si="77"/>
        <v>0</v>
      </c>
      <c r="N681" s="24" t="str">
        <f ca="1">IF(AND(L681=1,L680&lt;&gt;1),MAX($N$8:N680)+1,"")</f>
        <v/>
      </c>
      <c r="O681" s="24" t="str">
        <f ca="1">IF(AND(L681&lt;&gt;1,L680=1),MAX($O$8:O680)+1,"")</f>
        <v/>
      </c>
      <c r="P681" s="17" t="str">
        <f ca="1">IF(AND(L681=-1,L680&lt;&gt;-1),MAX($P$8:P680)+1,"")</f>
        <v/>
      </c>
      <c r="Q681" s="24">
        <f ca="1">IF(AND(L681&lt;&gt;-1,L680=-1),MAX($Q$8:Q680)+1,"")</f>
        <v>24</v>
      </c>
    </row>
    <row r="682" spans="1:17" x14ac:dyDescent="0.3">
      <c r="A682" s="3">
        <v>41179</v>
      </c>
      <c r="B682" s="9">
        <v>10.060949000000001</v>
      </c>
      <c r="C682" s="9">
        <v>9.2765029999999999</v>
      </c>
      <c r="E682" s="14">
        <f t="shared" si="74"/>
        <v>1.084562684882439</v>
      </c>
      <c r="F682" s="18">
        <f t="shared" ca="1" si="73"/>
        <v>-0.9888119656870259</v>
      </c>
      <c r="G682" s="15">
        <f t="shared" ca="1" si="78"/>
        <v>1.0983311132082403</v>
      </c>
      <c r="H682" s="15">
        <f t="shared" ca="1" si="79"/>
        <v>1.3924212897479431E-2</v>
      </c>
      <c r="J682" s="17">
        <f t="shared" ca="1" si="75"/>
        <v>0</v>
      </c>
      <c r="K682" s="24">
        <f t="shared" ca="1" si="76"/>
        <v>0</v>
      </c>
      <c r="L682" s="17">
        <f t="shared" ca="1" si="77"/>
        <v>0</v>
      </c>
      <c r="N682" s="24" t="str">
        <f ca="1">IF(AND(L682=1,L681&lt;&gt;1),MAX($N$8:N681)+1,"")</f>
        <v/>
      </c>
      <c r="O682" s="24" t="str">
        <f ca="1">IF(AND(L682&lt;&gt;1,L681=1),MAX($O$8:O681)+1,"")</f>
        <v/>
      </c>
      <c r="P682" s="17" t="str">
        <f ca="1">IF(AND(L682=-1,L681&lt;&gt;-1),MAX($P$8:P681)+1,"")</f>
        <v/>
      </c>
      <c r="Q682" s="24" t="str">
        <f ca="1">IF(AND(L682&lt;&gt;-1,L681=-1),MAX($Q$8:Q681)+1,"")</f>
        <v/>
      </c>
    </row>
    <row r="683" spans="1:17" x14ac:dyDescent="0.3">
      <c r="A683" s="3">
        <v>41180</v>
      </c>
      <c r="B683" s="9">
        <v>9.76389</v>
      </c>
      <c r="C683" s="9">
        <v>9.1141939999999995</v>
      </c>
      <c r="E683" s="14">
        <f t="shared" si="74"/>
        <v>1.0712839774970777</v>
      </c>
      <c r="F683" s="18">
        <f t="shared" ca="1" si="73"/>
        <v>-1.7452466762918011</v>
      </c>
      <c r="G683" s="15">
        <f t="shared" ca="1" si="78"/>
        <v>1.0961686196508047</v>
      </c>
      <c r="H683" s="15">
        <f t="shared" ca="1" si="79"/>
        <v>1.4258524305916705E-2</v>
      </c>
      <c r="J683" s="17">
        <f t="shared" ca="1" si="75"/>
        <v>0</v>
      </c>
      <c r="K683" s="24">
        <f t="shared" ca="1" si="76"/>
        <v>-1</v>
      </c>
      <c r="L683" s="17">
        <f t="shared" ca="1" si="77"/>
        <v>-1</v>
      </c>
      <c r="N683" s="24" t="str">
        <f ca="1">IF(AND(L683=1,L682&lt;&gt;1),MAX($N$8:N682)+1,"")</f>
        <v/>
      </c>
      <c r="O683" s="24" t="str">
        <f ca="1">IF(AND(L683&lt;&gt;1,L682=1),MAX($O$8:O682)+1,"")</f>
        <v/>
      </c>
      <c r="P683" s="17">
        <f ca="1">IF(AND(L683=-1,L682&lt;&gt;-1),MAX($P$8:P682)+1,"")</f>
        <v>25</v>
      </c>
      <c r="Q683" s="24" t="str">
        <f ca="1">IF(AND(L683&lt;&gt;-1,L682=-1),MAX($Q$8:Q682)+1,"")</f>
        <v/>
      </c>
    </row>
    <row r="684" spans="1:17" x14ac:dyDescent="0.3">
      <c r="A684" s="3">
        <v>41183</v>
      </c>
      <c r="B684" s="9">
        <v>9.9279250000000001</v>
      </c>
      <c r="C684" s="9">
        <v>9.2737099999999995</v>
      </c>
      <c r="E684" s="14">
        <f t="shared" si="74"/>
        <v>1.0705451216395596</v>
      </c>
      <c r="F684" s="18">
        <f t="shared" ca="1" si="73"/>
        <v>-1.599178820108148</v>
      </c>
      <c r="G684" s="15">
        <f t="shared" ca="1" si="78"/>
        <v>1.0944504097425112</v>
      </c>
      <c r="H684" s="15">
        <f t="shared" ca="1" si="79"/>
        <v>1.4948477182392218E-2</v>
      </c>
      <c r="J684" s="17">
        <f t="shared" ca="1" si="75"/>
        <v>0</v>
      </c>
      <c r="K684" s="24">
        <f t="shared" ca="1" si="76"/>
        <v>-1</v>
      </c>
      <c r="L684" s="17">
        <f t="shared" ca="1" si="77"/>
        <v>-1</v>
      </c>
      <c r="N684" s="24" t="str">
        <f ca="1">IF(AND(L684=1,L683&lt;&gt;1),MAX($N$8:N683)+1,"")</f>
        <v/>
      </c>
      <c r="O684" s="24" t="str">
        <f ca="1">IF(AND(L684&lt;&gt;1,L683=1),MAX($O$8:O683)+1,"")</f>
        <v/>
      </c>
      <c r="P684" s="17" t="str">
        <f ca="1">IF(AND(L684=-1,L683&lt;&gt;-1),MAX($P$8:P683)+1,"")</f>
        <v/>
      </c>
      <c r="Q684" s="24" t="str">
        <f ca="1">IF(AND(L684&lt;&gt;-1,L683=-1),MAX($Q$8:Q683)+1,"")</f>
        <v/>
      </c>
    </row>
    <row r="685" spans="1:17" x14ac:dyDescent="0.3">
      <c r="A685" s="3">
        <v>41184</v>
      </c>
      <c r="B685" s="9">
        <v>9.8799689999999991</v>
      </c>
      <c r="C685" s="9">
        <v>9.3012040000000002</v>
      </c>
      <c r="E685" s="14">
        <f t="shared" si="74"/>
        <v>1.062224739936894</v>
      </c>
      <c r="F685" s="18">
        <f t="shared" ca="1" si="73"/>
        <v>-1.8692164031243379</v>
      </c>
      <c r="G685" s="15">
        <f t="shared" ca="1" si="78"/>
        <v>1.0926915905710486</v>
      </c>
      <c r="H685" s="15">
        <f t="shared" ca="1" si="79"/>
        <v>1.6299263468494148E-2</v>
      </c>
      <c r="J685" s="17">
        <f t="shared" ca="1" si="75"/>
        <v>0</v>
      </c>
      <c r="K685" s="24">
        <f t="shared" ca="1" si="76"/>
        <v>-1</v>
      </c>
      <c r="L685" s="17">
        <f t="shared" ca="1" si="77"/>
        <v>-1</v>
      </c>
      <c r="N685" s="24" t="str">
        <f ca="1">IF(AND(L685=1,L684&lt;&gt;1),MAX($N$8:N684)+1,"")</f>
        <v/>
      </c>
      <c r="O685" s="24" t="str">
        <f ca="1">IF(AND(L685&lt;&gt;1,L684=1),MAX($O$8:O684)+1,"")</f>
        <v/>
      </c>
      <c r="P685" s="17" t="str">
        <f ca="1">IF(AND(L685=-1,L684&lt;&gt;-1),MAX($P$8:P684)+1,"")</f>
        <v/>
      </c>
      <c r="Q685" s="24" t="str">
        <f ca="1">IF(AND(L685&lt;&gt;-1,L684=-1),MAX($Q$8:Q684)+1,"")</f>
        <v/>
      </c>
    </row>
    <row r="686" spans="1:17" x14ac:dyDescent="0.3">
      <c r="A686" s="3">
        <v>41185</v>
      </c>
      <c r="B686" s="9">
        <v>9.752027</v>
      </c>
      <c r="C686" s="9">
        <v>9.0685950000000002</v>
      </c>
      <c r="E686" s="14">
        <f t="shared" si="74"/>
        <v>1.0753625010268955</v>
      </c>
      <c r="F686" s="18">
        <f t="shared" ca="1" si="73"/>
        <v>-0.97432172965398811</v>
      </c>
      <c r="G686" s="15">
        <f t="shared" ca="1" si="78"/>
        <v>1.091498586215816</v>
      </c>
      <c r="H686" s="15">
        <f t="shared" ca="1" si="79"/>
        <v>1.656135206452897E-2</v>
      </c>
      <c r="J686" s="17">
        <f t="shared" ca="1" si="75"/>
        <v>0</v>
      </c>
      <c r="K686" s="24">
        <f t="shared" ca="1" si="76"/>
        <v>-1</v>
      </c>
      <c r="L686" s="17">
        <f t="shared" ca="1" si="77"/>
        <v>-1</v>
      </c>
      <c r="N686" s="24" t="str">
        <f ca="1">IF(AND(L686=1,L685&lt;&gt;1),MAX($N$8:N685)+1,"")</f>
        <v/>
      </c>
      <c r="O686" s="24" t="str">
        <f ca="1">IF(AND(L686&lt;&gt;1,L685=1),MAX($O$8:O685)+1,"")</f>
        <v/>
      </c>
      <c r="P686" s="17" t="str">
        <f ca="1">IF(AND(L686=-1,L685&lt;&gt;-1),MAX($P$8:P685)+1,"")</f>
        <v/>
      </c>
      <c r="Q686" s="24" t="str">
        <f ca="1">IF(AND(L686&lt;&gt;-1,L685=-1),MAX($Q$8:Q685)+1,"")</f>
        <v/>
      </c>
    </row>
    <row r="687" spans="1:17" x14ac:dyDescent="0.3">
      <c r="A687" s="3">
        <v>41186</v>
      </c>
      <c r="B687" s="9">
        <v>9.7680349999999994</v>
      </c>
      <c r="C687" s="9">
        <v>9.1078530000000004</v>
      </c>
      <c r="E687" s="14">
        <f t="shared" si="74"/>
        <v>1.0724849204307534</v>
      </c>
      <c r="F687" s="18">
        <f t="shared" ca="1" si="73"/>
        <v>-1.0679277041709667</v>
      </c>
      <c r="G687" s="15">
        <f t="shared" ca="1" si="78"/>
        <v>1.090670967323651</v>
      </c>
      <c r="H687" s="15">
        <f t="shared" ca="1" si="79"/>
        <v>1.7029286553639365E-2</v>
      </c>
      <c r="J687" s="17">
        <f t="shared" ca="1" si="75"/>
        <v>0</v>
      </c>
      <c r="K687" s="24">
        <f t="shared" ca="1" si="76"/>
        <v>-1</v>
      </c>
      <c r="L687" s="17">
        <f t="shared" ca="1" si="77"/>
        <v>-1</v>
      </c>
      <c r="N687" s="24" t="str">
        <f ca="1">IF(AND(L687=1,L686&lt;&gt;1),MAX($N$8:N686)+1,"")</f>
        <v/>
      </c>
      <c r="O687" s="24" t="str">
        <f ca="1">IF(AND(L687&lt;&gt;1,L686=1),MAX($O$8:O686)+1,"")</f>
        <v/>
      </c>
      <c r="P687" s="17" t="str">
        <f ca="1">IF(AND(L687=-1,L686&lt;&gt;-1),MAX($P$8:P686)+1,"")</f>
        <v/>
      </c>
      <c r="Q687" s="24" t="str">
        <f ca="1">IF(AND(L687&lt;&gt;-1,L686=-1),MAX($Q$8:Q686)+1,"")</f>
        <v/>
      </c>
    </row>
    <row r="688" spans="1:17" x14ac:dyDescent="0.3">
      <c r="A688" s="3">
        <v>41187</v>
      </c>
      <c r="B688" s="9">
        <v>9.8447879999999994</v>
      </c>
      <c r="C688" s="9">
        <v>9.065804</v>
      </c>
      <c r="E688" s="14">
        <f t="shared" si="74"/>
        <v>1.0859255285024914</v>
      </c>
      <c r="F688" s="18">
        <f t="shared" ca="1" si="73"/>
        <v>-0.2983111255422799</v>
      </c>
      <c r="G688" s="15">
        <f t="shared" ca="1" si="78"/>
        <v>1.0909637707949094</v>
      </c>
      <c r="H688" s="15">
        <f t="shared" ca="1" si="79"/>
        <v>1.6889220216843474E-2</v>
      </c>
      <c r="J688" s="17">
        <f t="shared" ca="1" si="75"/>
        <v>0</v>
      </c>
      <c r="K688" s="24">
        <f t="shared" ca="1" si="76"/>
        <v>-1</v>
      </c>
      <c r="L688" s="17">
        <f t="shared" ca="1" si="77"/>
        <v>-1</v>
      </c>
      <c r="N688" s="24" t="str">
        <f ca="1">IF(AND(L688=1,L687&lt;&gt;1),MAX($N$8:N687)+1,"")</f>
        <v/>
      </c>
      <c r="O688" s="24" t="str">
        <f ca="1">IF(AND(L688&lt;&gt;1,L687=1),MAX($O$8:O687)+1,"")</f>
        <v/>
      </c>
      <c r="P688" s="17" t="str">
        <f ca="1">IF(AND(L688=-1,L687&lt;&gt;-1),MAX($P$8:P687)+1,"")</f>
        <v/>
      </c>
      <c r="Q688" s="24" t="str">
        <f ca="1">IF(AND(L688&lt;&gt;-1,L687=-1),MAX($Q$8:Q687)+1,"")</f>
        <v/>
      </c>
    </row>
    <row r="689" spans="1:17" x14ac:dyDescent="0.3">
      <c r="A689" s="3">
        <v>41190</v>
      </c>
      <c r="B689" s="9">
        <v>9.8671849999999992</v>
      </c>
      <c r="C689" s="9">
        <v>9.0321320000000007</v>
      </c>
      <c r="E689" s="14">
        <f t="shared" si="74"/>
        <v>1.0924535868164902</v>
      </c>
      <c r="F689" s="18">
        <f t="shared" ca="1" si="73"/>
        <v>5.4401405293946284E-2</v>
      </c>
      <c r="G689" s="15">
        <f t="shared" ca="1" si="78"/>
        <v>1.0915445487859168</v>
      </c>
      <c r="H689" s="15">
        <f t="shared" ca="1" si="79"/>
        <v>1.6709826256539044E-2</v>
      </c>
      <c r="J689" s="17">
        <f t="shared" ca="1" si="75"/>
        <v>0</v>
      </c>
      <c r="K689" s="24">
        <f t="shared" ca="1" si="76"/>
        <v>0</v>
      </c>
      <c r="L689" s="17">
        <f t="shared" ca="1" si="77"/>
        <v>0</v>
      </c>
      <c r="N689" s="24" t="str">
        <f ca="1">IF(AND(L689=1,L688&lt;&gt;1),MAX($N$8:N688)+1,"")</f>
        <v/>
      </c>
      <c r="O689" s="24" t="str">
        <f ca="1">IF(AND(L689&lt;&gt;1,L688=1),MAX($O$8:O688)+1,"")</f>
        <v/>
      </c>
      <c r="P689" s="17" t="str">
        <f ca="1">IF(AND(L689=-1,L688&lt;&gt;-1),MAX($P$8:P688)+1,"")</f>
        <v/>
      </c>
      <c r="Q689" s="24">
        <f ca="1">IF(AND(L689&lt;&gt;-1,L688=-1),MAX($Q$8:Q688)+1,"")</f>
        <v>25</v>
      </c>
    </row>
    <row r="690" spans="1:17" x14ac:dyDescent="0.3">
      <c r="A690" s="3">
        <v>41191</v>
      </c>
      <c r="B690" s="9">
        <v>9.6241579999999995</v>
      </c>
      <c r="C690" s="9">
        <v>8.7603460000000002</v>
      </c>
      <c r="E690" s="14">
        <f t="shared" si="74"/>
        <v>1.098604781135357</v>
      </c>
      <c r="F690" s="18">
        <f t="shared" ca="1" si="73"/>
        <v>0.42583487346914795</v>
      </c>
      <c r="G690" s="15">
        <f t="shared" ca="1" si="78"/>
        <v>1.0914981410770688</v>
      </c>
      <c r="H690" s="15">
        <f t="shared" ca="1" si="79"/>
        <v>1.6688722556686252E-2</v>
      </c>
      <c r="J690" s="17">
        <f t="shared" ca="1" si="75"/>
        <v>0</v>
      </c>
      <c r="K690" s="24">
        <f t="shared" ca="1" si="76"/>
        <v>0</v>
      </c>
      <c r="L690" s="17">
        <f t="shared" ca="1" si="77"/>
        <v>0</v>
      </c>
      <c r="N690" s="24" t="str">
        <f ca="1">IF(AND(L690=1,L689&lt;&gt;1),MAX($N$8:N689)+1,"")</f>
        <v/>
      </c>
      <c r="O690" s="24" t="str">
        <f ca="1">IF(AND(L690&lt;&gt;1,L689=1),MAX($O$8:O689)+1,"")</f>
        <v/>
      </c>
      <c r="P690" s="17" t="str">
        <f ca="1">IF(AND(L690=-1,L689&lt;&gt;-1),MAX($P$8:P689)+1,"")</f>
        <v/>
      </c>
      <c r="Q690" s="24" t="str">
        <f ca="1">IF(AND(L690&lt;&gt;-1,L689=-1),MAX($Q$8:Q689)+1,"")</f>
        <v/>
      </c>
    </row>
    <row r="691" spans="1:17" x14ac:dyDescent="0.3">
      <c r="A691" s="3">
        <v>41192</v>
      </c>
      <c r="B691" s="9">
        <v>9.4003599999999992</v>
      </c>
      <c r="C691" s="9">
        <v>8.6930750000000003</v>
      </c>
      <c r="E691" s="14">
        <f t="shared" si="74"/>
        <v>1.0813618886297425</v>
      </c>
      <c r="F691" s="18">
        <f t="shared" ca="1" si="73"/>
        <v>-0.54757247582033208</v>
      </c>
      <c r="G691" s="15">
        <f t="shared" ca="1" si="78"/>
        <v>1.090419590507542</v>
      </c>
      <c r="H691" s="15">
        <f t="shared" ca="1" si="79"/>
        <v>1.6541558017922574E-2</v>
      </c>
      <c r="J691" s="17">
        <f t="shared" ca="1" si="75"/>
        <v>0</v>
      </c>
      <c r="K691" s="24">
        <f t="shared" ca="1" si="76"/>
        <v>0</v>
      </c>
      <c r="L691" s="17">
        <f t="shared" ca="1" si="77"/>
        <v>0</v>
      </c>
      <c r="N691" s="24" t="str">
        <f ca="1">IF(AND(L691=1,L690&lt;&gt;1),MAX($N$8:N690)+1,"")</f>
        <v/>
      </c>
      <c r="O691" s="24" t="str">
        <f ca="1">IF(AND(L691&lt;&gt;1,L690=1),MAX($O$8:O690)+1,"")</f>
        <v/>
      </c>
      <c r="P691" s="17" t="str">
        <f ca="1">IF(AND(L691=-1,L690&lt;&gt;-1),MAX($P$8:P690)+1,"")</f>
        <v/>
      </c>
      <c r="Q691" s="24" t="str">
        <f ca="1">IF(AND(L691&lt;&gt;-1,L690=-1),MAX($Q$8:Q690)+1,"")</f>
        <v/>
      </c>
    </row>
    <row r="692" spans="1:17" x14ac:dyDescent="0.3">
      <c r="A692" s="3">
        <v>41193</v>
      </c>
      <c r="B692" s="9">
        <v>9.4802769999999992</v>
      </c>
      <c r="C692" s="9">
        <v>8.8471689999999992</v>
      </c>
      <c r="E692" s="14">
        <f t="shared" si="74"/>
        <v>1.0715605183985975</v>
      </c>
      <c r="F692" s="18">
        <f t="shared" ca="1" si="73"/>
        <v>-1.042756353973501</v>
      </c>
      <c r="G692" s="15">
        <f t="shared" ca="1" si="78"/>
        <v>1.0886709334442211</v>
      </c>
      <c r="H692" s="15">
        <f t="shared" ca="1" si="79"/>
        <v>1.6408833166466061E-2</v>
      </c>
      <c r="J692" s="17">
        <f t="shared" ca="1" si="75"/>
        <v>0</v>
      </c>
      <c r="K692" s="24">
        <f t="shared" ca="1" si="76"/>
        <v>-1</v>
      </c>
      <c r="L692" s="17">
        <f t="shared" ca="1" si="77"/>
        <v>-1</v>
      </c>
      <c r="N692" s="24" t="str">
        <f ca="1">IF(AND(L692=1,L691&lt;&gt;1),MAX($N$8:N691)+1,"")</f>
        <v/>
      </c>
      <c r="O692" s="24" t="str">
        <f ca="1">IF(AND(L692&lt;&gt;1,L691=1),MAX($O$8:O691)+1,"")</f>
        <v/>
      </c>
      <c r="P692" s="17">
        <f ca="1">IF(AND(L692=-1,L691&lt;&gt;-1),MAX($P$8:P691)+1,"")</f>
        <v>26</v>
      </c>
      <c r="Q692" s="24" t="str">
        <f ca="1">IF(AND(L692&lt;&gt;-1,L691=-1),MAX($Q$8:Q691)+1,"")</f>
        <v/>
      </c>
    </row>
    <row r="693" spans="1:17" x14ac:dyDescent="0.3">
      <c r="A693" s="3">
        <v>41197</v>
      </c>
      <c r="B693" s="9">
        <v>9.5314700000000006</v>
      </c>
      <c r="C693" s="9">
        <v>8.8415820000000007</v>
      </c>
      <c r="E693" s="14">
        <f t="shared" si="74"/>
        <v>1.0780276651848051</v>
      </c>
      <c r="F693" s="18">
        <f t="shared" ca="1" si="73"/>
        <v>-0.58480584900864385</v>
      </c>
      <c r="G693" s="15">
        <f t="shared" ca="1" si="78"/>
        <v>1.0866075402514199</v>
      </c>
      <c r="H693" s="15">
        <f t="shared" ca="1" si="79"/>
        <v>1.4671322253632286E-2</v>
      </c>
      <c r="J693" s="17">
        <f t="shared" ca="1" si="75"/>
        <v>0</v>
      </c>
      <c r="K693" s="24">
        <f t="shared" ca="1" si="76"/>
        <v>-1</v>
      </c>
      <c r="L693" s="17">
        <f t="shared" ca="1" si="77"/>
        <v>-1</v>
      </c>
      <c r="N693" s="24" t="str">
        <f ca="1">IF(AND(L693=1,L692&lt;&gt;1),MAX($N$8:N692)+1,"")</f>
        <v/>
      </c>
      <c r="O693" s="24" t="str">
        <f ca="1">IF(AND(L693&lt;&gt;1,L692=1),MAX($O$8:O692)+1,"")</f>
        <v/>
      </c>
      <c r="P693" s="17" t="str">
        <f ca="1">IF(AND(L693=-1,L692&lt;&gt;-1),MAX($P$8:P692)+1,"")</f>
        <v/>
      </c>
      <c r="Q693" s="24" t="str">
        <f ca="1">IF(AND(L693&lt;&gt;-1,L692=-1),MAX($Q$8:Q692)+1,"")</f>
        <v/>
      </c>
    </row>
    <row r="694" spans="1:17" x14ac:dyDescent="0.3">
      <c r="A694" s="3">
        <v>41198</v>
      </c>
      <c r="B694" s="9">
        <v>9.5634169999999994</v>
      </c>
      <c r="C694" s="9">
        <v>8.9872949999999996</v>
      </c>
      <c r="E694" s="14">
        <f t="shared" si="74"/>
        <v>1.0641040491048752</v>
      </c>
      <c r="F694" s="18">
        <f t="shared" ca="1" si="73"/>
        <v>-1.4595551119591714</v>
      </c>
      <c r="G694" s="15">
        <f t="shared" ca="1" si="78"/>
        <v>1.0841848140917087</v>
      </c>
      <c r="H694" s="15">
        <f t="shared" ca="1" si="79"/>
        <v>1.3758140972065781E-2</v>
      </c>
      <c r="J694" s="17">
        <f t="shared" ca="1" si="75"/>
        <v>0</v>
      </c>
      <c r="K694" s="24">
        <f t="shared" ca="1" si="76"/>
        <v>-1</v>
      </c>
      <c r="L694" s="17">
        <f t="shared" ca="1" si="77"/>
        <v>-1</v>
      </c>
      <c r="N694" s="24" t="str">
        <f ca="1">IF(AND(L694=1,L693&lt;&gt;1),MAX($N$8:N693)+1,"")</f>
        <v/>
      </c>
      <c r="O694" s="24" t="str">
        <f ca="1">IF(AND(L694&lt;&gt;1,L693=1),MAX($O$8:O693)+1,"")</f>
        <v/>
      </c>
      <c r="P694" s="17" t="str">
        <f ca="1">IF(AND(L694=-1,L693&lt;&gt;-1),MAX($P$8:P693)+1,"")</f>
        <v/>
      </c>
      <c r="Q694" s="24" t="str">
        <f ca="1">IF(AND(L694&lt;&gt;-1,L693=-1),MAX($Q$8:Q693)+1,"")</f>
        <v/>
      </c>
    </row>
    <row r="695" spans="1:17" x14ac:dyDescent="0.3">
      <c r="A695" s="3">
        <v>41199</v>
      </c>
      <c r="B695" s="9">
        <v>9.5601839999999996</v>
      </c>
      <c r="C695" s="9">
        <v>9.0293430000000008</v>
      </c>
      <c r="E695" s="14">
        <f t="shared" si="74"/>
        <v>1.0587906561972449</v>
      </c>
      <c r="F695" s="18">
        <f t="shared" ca="1" si="73"/>
        <v>-1.7632950603099498</v>
      </c>
      <c r="G695" s="15">
        <f t="shared" ca="1" si="78"/>
        <v>1.0816081682152601</v>
      </c>
      <c r="H695" s="15">
        <f t="shared" ca="1" si="79"/>
        <v>1.2940268779522555E-2</v>
      </c>
      <c r="J695" s="17">
        <f t="shared" ca="1" si="75"/>
        <v>0</v>
      </c>
      <c r="K695" s="24">
        <f t="shared" ca="1" si="76"/>
        <v>-1</v>
      </c>
      <c r="L695" s="17">
        <f t="shared" ca="1" si="77"/>
        <v>-1</v>
      </c>
      <c r="N695" s="24" t="str">
        <f ca="1">IF(AND(L695=1,L694&lt;&gt;1),MAX($N$8:N694)+1,"")</f>
        <v/>
      </c>
      <c r="O695" s="24" t="str">
        <f ca="1">IF(AND(L695&lt;&gt;1,L694=1),MAX($O$8:O694)+1,"")</f>
        <v/>
      </c>
      <c r="P695" s="17" t="str">
        <f ca="1">IF(AND(L695=-1,L694&lt;&gt;-1),MAX($P$8:P694)+1,"")</f>
        <v/>
      </c>
      <c r="Q695" s="24" t="str">
        <f ca="1">IF(AND(L695&lt;&gt;-1,L694=-1),MAX($Q$8:Q694)+1,"")</f>
        <v/>
      </c>
    </row>
    <row r="696" spans="1:17" x14ac:dyDescent="0.3">
      <c r="A696" s="3">
        <v>41200</v>
      </c>
      <c r="B696" s="9">
        <v>9.5346259999999994</v>
      </c>
      <c r="C696" s="9">
        <v>9.0910189999999993</v>
      </c>
      <c r="E696" s="14">
        <f t="shared" si="74"/>
        <v>1.0487961800541832</v>
      </c>
      <c r="F696" s="18">
        <f t="shared" ca="1" si="73"/>
        <v>-2.168851907281736</v>
      </c>
      <c r="G696" s="15">
        <f t="shared" ca="1" si="78"/>
        <v>1.0793540971989706</v>
      </c>
      <c r="H696" s="15">
        <f t="shared" ca="1" si="79"/>
        <v>1.4089443839937517E-2</v>
      </c>
      <c r="J696" s="17">
        <f t="shared" ca="1" si="75"/>
        <v>0</v>
      </c>
      <c r="K696" s="24">
        <f t="shared" ca="1" si="76"/>
        <v>-1</v>
      </c>
      <c r="L696" s="17">
        <f t="shared" ca="1" si="77"/>
        <v>-1</v>
      </c>
      <c r="N696" s="24" t="str">
        <f ca="1">IF(AND(L696=1,L695&lt;&gt;1),MAX($N$8:N695)+1,"")</f>
        <v/>
      </c>
      <c r="O696" s="24" t="str">
        <f ca="1">IF(AND(L696&lt;&gt;1,L695=1),MAX($O$8:O695)+1,"")</f>
        <v/>
      </c>
      <c r="P696" s="17" t="str">
        <f ca="1">IF(AND(L696=-1,L695&lt;&gt;-1),MAX($P$8:P695)+1,"")</f>
        <v/>
      </c>
      <c r="Q696" s="24" t="str">
        <f ca="1">IF(AND(L696&lt;&gt;-1,L695=-1),MAX($Q$8:Q695)+1,"")</f>
        <v/>
      </c>
    </row>
    <row r="697" spans="1:17" x14ac:dyDescent="0.3">
      <c r="A697" s="3">
        <v>41201</v>
      </c>
      <c r="B697" s="9">
        <v>9.4323149999999991</v>
      </c>
      <c r="C697" s="9">
        <v>9.065804</v>
      </c>
      <c r="E697" s="14">
        <f t="shared" si="74"/>
        <v>1.0404278539443383</v>
      </c>
      <c r="F697" s="18">
        <f t="shared" ca="1" si="73"/>
        <v>-2.2805148408334057</v>
      </c>
      <c r="G697" s="15">
        <f t="shared" ca="1" si="78"/>
        <v>1.0773144001015857</v>
      </c>
      <c r="H697" s="15">
        <f t="shared" ca="1" si="79"/>
        <v>1.6174657361040172E-2</v>
      </c>
      <c r="J697" s="17">
        <f t="shared" ca="1" si="75"/>
        <v>0</v>
      </c>
      <c r="K697" s="24">
        <f t="shared" ca="1" si="76"/>
        <v>-1</v>
      </c>
      <c r="L697" s="17">
        <f t="shared" ca="1" si="77"/>
        <v>-1</v>
      </c>
      <c r="N697" s="24" t="str">
        <f ca="1">IF(AND(L697=1,L696&lt;&gt;1),MAX($N$8:N696)+1,"")</f>
        <v/>
      </c>
      <c r="O697" s="24" t="str">
        <f ca="1">IF(AND(L697&lt;&gt;1,L696=1),MAX($O$8:O696)+1,"")</f>
        <v/>
      </c>
      <c r="P697" s="17" t="str">
        <f ca="1">IF(AND(L697=-1,L696&lt;&gt;-1),MAX($P$8:P696)+1,"")</f>
        <v/>
      </c>
      <c r="Q697" s="24" t="str">
        <f ca="1">IF(AND(L697&lt;&gt;-1,L696=-1),MAX($Q$8:Q696)+1,"")</f>
        <v/>
      </c>
    </row>
    <row r="698" spans="1:17" x14ac:dyDescent="0.3">
      <c r="A698" s="3">
        <v>41204</v>
      </c>
      <c r="B698" s="9">
        <v>9.3843560000000004</v>
      </c>
      <c r="C698" s="9">
        <v>8.9536909999999992</v>
      </c>
      <c r="E698" s="14">
        <f t="shared" si="74"/>
        <v>1.0480991582130768</v>
      </c>
      <c r="F698" s="18">
        <f t="shared" ca="1" si="73"/>
        <v>-1.6033423396874096</v>
      </c>
      <c r="G698" s="15">
        <f t="shared" ca="1" si="78"/>
        <v>1.0755662987369001</v>
      </c>
      <c r="H698" s="15">
        <f t="shared" ca="1" si="79"/>
        <v>1.713117644556085E-2</v>
      </c>
      <c r="J698" s="17">
        <f t="shared" ca="1" si="75"/>
        <v>0</v>
      </c>
      <c r="K698" s="24">
        <f t="shared" ca="1" si="76"/>
        <v>-1</v>
      </c>
      <c r="L698" s="17">
        <f t="shared" ca="1" si="77"/>
        <v>-1</v>
      </c>
      <c r="N698" s="24" t="str">
        <f ca="1">IF(AND(L698=1,L697&lt;&gt;1),MAX($N$8:N697)+1,"")</f>
        <v/>
      </c>
      <c r="O698" s="24" t="str">
        <f ca="1">IF(AND(L698&lt;&gt;1,L697=1),MAX($O$8:O697)+1,"")</f>
        <v/>
      </c>
      <c r="P698" s="17" t="str">
        <f ca="1">IF(AND(L698=-1,L697&lt;&gt;-1),MAX($P$8:P697)+1,"")</f>
        <v/>
      </c>
      <c r="Q698" s="24" t="str">
        <f ca="1">IF(AND(L698&lt;&gt;-1,L697=-1),MAX($Q$8:Q697)+1,"")</f>
        <v/>
      </c>
    </row>
    <row r="699" spans="1:17" x14ac:dyDescent="0.3">
      <c r="A699" s="3">
        <v>41205</v>
      </c>
      <c r="B699" s="9">
        <v>9.0869680000000006</v>
      </c>
      <c r="C699" s="9">
        <v>8.802327</v>
      </c>
      <c r="E699" s="14">
        <f t="shared" si="74"/>
        <v>1.0323370172455535</v>
      </c>
      <c r="F699" s="18">
        <f t="shared" ca="1" si="73"/>
        <v>-2.1262686283166188</v>
      </c>
      <c r="G699" s="15">
        <f t="shared" ca="1" si="78"/>
        <v>1.0733708155663388</v>
      </c>
      <c r="H699" s="15">
        <f t="shared" ca="1" si="79"/>
        <v>1.9298501503675049E-2</v>
      </c>
      <c r="J699" s="17">
        <f t="shared" ca="1" si="75"/>
        <v>0</v>
      </c>
      <c r="K699" s="24">
        <f t="shared" ca="1" si="76"/>
        <v>-1</v>
      </c>
      <c r="L699" s="17">
        <f t="shared" ca="1" si="77"/>
        <v>-1</v>
      </c>
      <c r="N699" s="24" t="str">
        <f ca="1">IF(AND(L699=1,L698&lt;&gt;1),MAX($N$8:N698)+1,"")</f>
        <v/>
      </c>
      <c r="O699" s="24" t="str">
        <f ca="1">IF(AND(L699&lt;&gt;1,L698=1),MAX($O$8:O698)+1,"")</f>
        <v/>
      </c>
      <c r="P699" s="17" t="str">
        <f ca="1">IF(AND(L699=-1,L698&lt;&gt;-1),MAX($P$8:P698)+1,"")</f>
        <v/>
      </c>
      <c r="Q699" s="24" t="str">
        <f ca="1">IF(AND(L699&lt;&gt;-1,L698=-1),MAX($Q$8:Q698)+1,"")</f>
        <v/>
      </c>
    </row>
    <row r="700" spans="1:17" x14ac:dyDescent="0.3">
      <c r="A700" s="3">
        <v>41206</v>
      </c>
      <c r="B700" s="9">
        <v>9.4578699999999998</v>
      </c>
      <c r="C700" s="9">
        <v>8.8695909999999998</v>
      </c>
      <c r="E700" s="14">
        <f t="shared" si="74"/>
        <v>1.0663253807306334</v>
      </c>
      <c r="F700" s="18">
        <f t="shared" ca="1" si="73"/>
        <v>-0.33599026689986478</v>
      </c>
      <c r="G700" s="15">
        <f t="shared" ca="1" si="78"/>
        <v>1.0728159003816038</v>
      </c>
      <c r="H700" s="15">
        <f t="shared" ca="1" si="79"/>
        <v>1.9317582353969593E-2</v>
      </c>
      <c r="J700" s="17">
        <f t="shared" ca="1" si="75"/>
        <v>0</v>
      </c>
      <c r="K700" s="24">
        <f t="shared" ca="1" si="76"/>
        <v>-1</v>
      </c>
      <c r="L700" s="17">
        <f t="shared" ca="1" si="77"/>
        <v>-1</v>
      </c>
      <c r="N700" s="24" t="str">
        <f ca="1">IF(AND(L700=1,L699&lt;&gt;1),MAX($N$8:N699)+1,"")</f>
        <v/>
      </c>
      <c r="O700" s="24" t="str">
        <f ca="1">IF(AND(L700&lt;&gt;1,L699=1),MAX($O$8:O699)+1,"")</f>
        <v/>
      </c>
      <c r="P700" s="17" t="str">
        <f ca="1">IF(AND(L700=-1,L699&lt;&gt;-1),MAX($P$8:P699)+1,"")</f>
        <v/>
      </c>
      <c r="Q700" s="24" t="str">
        <f ca="1">IF(AND(L700&lt;&gt;-1,L699=-1),MAX($Q$8:Q699)+1,"")</f>
        <v/>
      </c>
    </row>
    <row r="701" spans="1:17" x14ac:dyDescent="0.3">
      <c r="A701" s="3">
        <v>41207</v>
      </c>
      <c r="B701" s="9">
        <v>9.5922070000000001</v>
      </c>
      <c r="C701" s="9">
        <v>9.0882280000000009</v>
      </c>
      <c r="E701" s="14">
        <f t="shared" si="74"/>
        <v>1.0554540445068059</v>
      </c>
      <c r="F701" s="18">
        <f t="shared" ca="1" si="73"/>
        <v>-0.82052286622814152</v>
      </c>
      <c r="G701" s="15">
        <f t="shared" ca="1" si="78"/>
        <v>1.0712999625351562</v>
      </c>
      <c r="H701" s="15">
        <f t="shared" ca="1" si="79"/>
        <v>1.9311976156365242E-2</v>
      </c>
      <c r="J701" s="17">
        <f t="shared" ca="1" si="75"/>
        <v>0</v>
      </c>
      <c r="K701" s="24">
        <f t="shared" ca="1" si="76"/>
        <v>-1</v>
      </c>
      <c r="L701" s="17">
        <f t="shared" ca="1" si="77"/>
        <v>-1</v>
      </c>
      <c r="N701" s="24" t="str">
        <f ca="1">IF(AND(L701=1,L700&lt;&gt;1),MAX($N$8:N700)+1,"")</f>
        <v/>
      </c>
      <c r="O701" s="24" t="str">
        <f ca="1">IF(AND(L701&lt;&gt;1,L700=1),MAX($O$8:O700)+1,"")</f>
        <v/>
      </c>
      <c r="P701" s="17" t="str">
        <f ca="1">IF(AND(L701=-1,L700&lt;&gt;-1),MAX($P$8:P700)+1,"")</f>
        <v/>
      </c>
      <c r="Q701" s="24" t="str">
        <f ca="1">IF(AND(L701&lt;&gt;-1,L700=-1),MAX($Q$8:Q700)+1,"")</f>
        <v/>
      </c>
    </row>
    <row r="702" spans="1:17" x14ac:dyDescent="0.3">
      <c r="A702" s="3">
        <v>41208</v>
      </c>
      <c r="B702" s="9">
        <v>9.4611070000000002</v>
      </c>
      <c r="C702" s="9">
        <v>8.9340650000000004</v>
      </c>
      <c r="E702" s="14">
        <f t="shared" si="74"/>
        <v>1.0589924071517276</v>
      </c>
      <c r="F702" s="18">
        <f t="shared" ca="1" si="73"/>
        <v>-0.56793177525010907</v>
      </c>
      <c r="G702" s="15">
        <f t="shared" ca="1" si="78"/>
        <v>1.0695523136472003</v>
      </c>
      <c r="H702" s="15">
        <f t="shared" ca="1" si="79"/>
        <v>1.8593618028894823E-2</v>
      </c>
      <c r="J702" s="17">
        <f t="shared" ca="1" si="75"/>
        <v>0</v>
      </c>
      <c r="K702" s="24">
        <f t="shared" ca="1" si="76"/>
        <v>-1</v>
      </c>
      <c r="L702" s="17">
        <f t="shared" ca="1" si="77"/>
        <v>-1</v>
      </c>
      <c r="N702" s="24" t="str">
        <f ca="1">IF(AND(L702=1,L701&lt;&gt;1),MAX($N$8:N701)+1,"")</f>
        <v/>
      </c>
      <c r="O702" s="24" t="str">
        <f ca="1">IF(AND(L702&lt;&gt;1,L701=1),MAX($O$8:O701)+1,"")</f>
        <v/>
      </c>
      <c r="P702" s="17" t="str">
        <f ca="1">IF(AND(L702=-1,L701&lt;&gt;-1),MAX($P$8:P701)+1,"")</f>
        <v/>
      </c>
      <c r="Q702" s="24" t="str">
        <f ca="1">IF(AND(L702&lt;&gt;-1,L701=-1),MAX($Q$8:Q701)+1,"")</f>
        <v/>
      </c>
    </row>
    <row r="703" spans="1:17" x14ac:dyDescent="0.3">
      <c r="A703" s="3">
        <v>41211</v>
      </c>
      <c r="B703" s="9">
        <v>9.4642689999999998</v>
      </c>
      <c r="C703" s="9">
        <v>8.9733160000000005</v>
      </c>
      <c r="E703" s="14">
        <f t="shared" si="74"/>
        <v>1.0547125499648067</v>
      </c>
      <c r="F703" s="18">
        <f t="shared" ca="1" si="73"/>
        <v>-0.75002780232192467</v>
      </c>
      <c r="G703" s="15">
        <f t="shared" ca="1" si="78"/>
        <v>1.0669289641451976</v>
      </c>
      <c r="H703" s="15">
        <f t="shared" ca="1" si="79"/>
        <v>1.6287948450139433E-2</v>
      </c>
      <c r="J703" s="17">
        <f t="shared" ca="1" si="75"/>
        <v>0</v>
      </c>
      <c r="K703" s="24">
        <f t="shared" ca="1" si="76"/>
        <v>-1</v>
      </c>
      <c r="L703" s="17">
        <f t="shared" ca="1" si="77"/>
        <v>-1</v>
      </c>
      <c r="N703" s="24" t="str">
        <f ca="1">IF(AND(L703=1,L702&lt;&gt;1),MAX($N$8:N702)+1,"")</f>
        <v/>
      </c>
      <c r="O703" s="24" t="str">
        <f ca="1">IF(AND(L703&lt;&gt;1,L702=1),MAX($O$8:O702)+1,"")</f>
        <v/>
      </c>
      <c r="P703" s="17" t="str">
        <f ca="1">IF(AND(L703=-1,L702&lt;&gt;-1),MAX($P$8:P702)+1,"")</f>
        <v/>
      </c>
      <c r="Q703" s="24" t="str">
        <f ca="1">IF(AND(L703&lt;&gt;-1,L702=-1),MAX($Q$8:Q702)+1,"")</f>
        <v/>
      </c>
    </row>
    <row r="704" spans="1:17" x14ac:dyDescent="0.3">
      <c r="A704" s="3">
        <v>41212</v>
      </c>
      <c r="B704" s="9">
        <v>9.5794309999999996</v>
      </c>
      <c r="C704" s="9">
        <v>9.0377259999999993</v>
      </c>
      <c r="E704" s="14">
        <f t="shared" si="74"/>
        <v>1.0599381968428785</v>
      </c>
      <c r="F704" s="18">
        <f t="shared" ca="1" si="73"/>
        <v>-0.36977127987899572</v>
      </c>
      <c r="G704" s="15">
        <f t="shared" ca="1" si="78"/>
        <v>1.0658096692343084</v>
      </c>
      <c r="H704" s="15">
        <f t="shared" ca="1" si="79"/>
        <v>1.5878659893086663E-2</v>
      </c>
      <c r="J704" s="17">
        <f t="shared" ca="1" si="75"/>
        <v>0</v>
      </c>
      <c r="K704" s="24">
        <f t="shared" ca="1" si="76"/>
        <v>-1</v>
      </c>
      <c r="L704" s="17">
        <f t="shared" ca="1" si="77"/>
        <v>-1</v>
      </c>
      <c r="N704" s="24" t="str">
        <f ca="1">IF(AND(L704=1,L703&lt;&gt;1),MAX($N$8:N703)+1,"")</f>
        <v/>
      </c>
      <c r="O704" s="24" t="str">
        <f ca="1">IF(AND(L704&lt;&gt;1,L703=1),MAX($O$8:O703)+1,"")</f>
        <v/>
      </c>
      <c r="P704" s="17" t="str">
        <f ca="1">IF(AND(L704=-1,L703&lt;&gt;-1),MAX($P$8:P703)+1,"")</f>
        <v/>
      </c>
      <c r="Q704" s="24" t="str">
        <f ca="1">IF(AND(L704&lt;&gt;-1,L703=-1),MAX($Q$8:Q703)+1,"")</f>
        <v/>
      </c>
    </row>
    <row r="705" spans="1:17" x14ac:dyDescent="0.3">
      <c r="A705" s="3">
        <v>41213</v>
      </c>
      <c r="B705" s="9">
        <v>9.4898959999999999</v>
      </c>
      <c r="C705" s="9">
        <v>8.9677279999999993</v>
      </c>
      <c r="E705" s="14">
        <f t="shared" si="74"/>
        <v>1.0582274573894304</v>
      </c>
      <c r="F705" s="18">
        <f t="shared" ca="1" si="73"/>
        <v>-0.43935133590781594</v>
      </c>
      <c r="G705" s="15">
        <f t="shared" ca="1" si="78"/>
        <v>1.0652161910475972</v>
      </c>
      <c r="H705" s="15">
        <f t="shared" ca="1" si="79"/>
        <v>1.5906936173817041E-2</v>
      </c>
      <c r="J705" s="17">
        <f t="shared" ca="1" si="75"/>
        <v>0</v>
      </c>
      <c r="K705" s="24">
        <f t="shared" ca="1" si="76"/>
        <v>-1</v>
      </c>
      <c r="L705" s="17">
        <f t="shared" ca="1" si="77"/>
        <v>-1</v>
      </c>
      <c r="N705" s="24" t="str">
        <f ca="1">IF(AND(L705=1,L704&lt;&gt;1),MAX($N$8:N704)+1,"")</f>
        <v/>
      </c>
      <c r="O705" s="24" t="str">
        <f ca="1">IF(AND(L705&lt;&gt;1,L704=1),MAX($O$8:O704)+1,"")</f>
        <v/>
      </c>
      <c r="P705" s="17" t="str">
        <f ca="1">IF(AND(L705=-1,L704&lt;&gt;-1),MAX($P$8:P704)+1,"")</f>
        <v/>
      </c>
      <c r="Q705" s="24" t="str">
        <f ca="1">IF(AND(L705&lt;&gt;-1,L704=-1),MAX($Q$8:Q704)+1,"")</f>
        <v/>
      </c>
    </row>
    <row r="706" spans="1:17" x14ac:dyDescent="0.3">
      <c r="A706" s="3">
        <v>41214</v>
      </c>
      <c r="B706" s="9">
        <v>9.9229240000000001</v>
      </c>
      <c r="C706" s="9">
        <v>9.2899609999999999</v>
      </c>
      <c r="E706" s="14">
        <f t="shared" si="74"/>
        <v>1.0681340858158608</v>
      </c>
      <c r="F706" s="18">
        <f t="shared" ref="F706:F769" ca="1" si="80">IF(ISNUMBER(G706),(E706-G706)/H706,"")</f>
        <v>0.1906703419055959</v>
      </c>
      <c r="G706" s="15">
        <f t="shared" ca="1" si="78"/>
        <v>1.0651065985101564</v>
      </c>
      <c r="H706" s="15">
        <f t="shared" ca="1" si="79"/>
        <v>1.5878123862615751E-2</v>
      </c>
      <c r="J706" s="17">
        <f t="shared" ca="1" si="75"/>
        <v>0</v>
      </c>
      <c r="K706" s="24">
        <f t="shared" ca="1" si="76"/>
        <v>0</v>
      </c>
      <c r="L706" s="17">
        <f t="shared" ca="1" si="77"/>
        <v>0</v>
      </c>
      <c r="N706" s="24" t="str">
        <f ca="1">IF(AND(L706=1,L705&lt;&gt;1),MAX($N$8:N705)+1,"")</f>
        <v/>
      </c>
      <c r="O706" s="24" t="str">
        <f ca="1">IF(AND(L706&lt;&gt;1,L705=1),MAX($O$8:O705)+1,"")</f>
        <v/>
      </c>
      <c r="P706" s="17" t="str">
        <f ca="1">IF(AND(L706=-1,L705&lt;&gt;-1),MAX($P$8:P705)+1,"")</f>
        <v/>
      </c>
      <c r="Q706" s="24">
        <f ca="1">IF(AND(L706&lt;&gt;-1,L705=-1),MAX($Q$8:Q705)+1,"")</f>
        <v>26</v>
      </c>
    </row>
    <row r="707" spans="1:17" x14ac:dyDescent="0.3">
      <c r="A707" s="3">
        <v>41218</v>
      </c>
      <c r="B707" s="9">
        <v>9.9133659999999999</v>
      </c>
      <c r="C707" s="9">
        <v>9.3014080000000003</v>
      </c>
      <c r="E707" s="14">
        <f t="shared" ref="E707:E770" si="81">IF(ISNUMBER(B707),B707/C707,"")</f>
        <v>1.0657919747203863</v>
      </c>
      <c r="F707" s="18">
        <f t="shared" ca="1" si="80"/>
        <v>3.2977855988269626E-2</v>
      </c>
      <c r="G707" s="15">
        <f t="shared" ca="1" si="78"/>
        <v>1.0652687455457697</v>
      </c>
      <c r="H707" s="15">
        <f t="shared" ca="1" si="79"/>
        <v>1.5866076157370068E-2</v>
      </c>
      <c r="J707" s="17">
        <f t="shared" ca="1" si="75"/>
        <v>0</v>
      </c>
      <c r="K707" s="24">
        <f t="shared" ca="1" si="76"/>
        <v>0</v>
      </c>
      <c r="L707" s="17">
        <f t="shared" ca="1" si="77"/>
        <v>0</v>
      </c>
      <c r="N707" s="24" t="str">
        <f ca="1">IF(AND(L707=1,L706&lt;&gt;1),MAX($N$8:N706)+1,"")</f>
        <v/>
      </c>
      <c r="O707" s="24" t="str">
        <f ca="1">IF(AND(L707&lt;&gt;1,L706=1),MAX($O$8:O706)+1,"")</f>
        <v/>
      </c>
      <c r="P707" s="17" t="str">
        <f ca="1">IF(AND(L707=-1,L706&lt;&gt;-1),MAX($P$8:P706)+1,"")</f>
        <v/>
      </c>
      <c r="Q707" s="24" t="str">
        <f ca="1">IF(AND(L707&lt;&gt;-1,L706=-1),MAX($Q$8:Q706)+1,"")</f>
        <v/>
      </c>
    </row>
    <row r="708" spans="1:17" x14ac:dyDescent="0.3">
      <c r="A708" s="3">
        <v>41219</v>
      </c>
      <c r="B708" s="9">
        <v>10.006157</v>
      </c>
      <c r="C708" s="9">
        <v>9.4277110000000004</v>
      </c>
      <c r="E708" s="14">
        <f t="shared" si="81"/>
        <v>1.0613559325269941</v>
      </c>
      <c r="F708" s="18">
        <f t="shared" ca="1" si="80"/>
        <v>-0.20829132454012697</v>
      </c>
      <c r="G708" s="15">
        <f t="shared" ca="1" si="78"/>
        <v>1.0646320833412288</v>
      </c>
      <c r="H708" s="15">
        <f t="shared" ca="1" si="79"/>
        <v>1.5728695477202018E-2</v>
      </c>
      <c r="J708" s="17">
        <f t="shared" ca="1" si="75"/>
        <v>0</v>
      </c>
      <c r="K708" s="24">
        <f t="shared" ca="1" si="76"/>
        <v>0</v>
      </c>
      <c r="L708" s="17">
        <f t="shared" ca="1" si="77"/>
        <v>0</v>
      </c>
      <c r="N708" s="24" t="str">
        <f ca="1">IF(AND(L708=1,L707&lt;&gt;1),MAX($N$8:N707)+1,"")</f>
        <v/>
      </c>
      <c r="O708" s="24" t="str">
        <f ca="1">IF(AND(L708&lt;&gt;1,L707=1),MAX($O$8:O707)+1,"")</f>
        <v/>
      </c>
      <c r="P708" s="17" t="str">
        <f ca="1">IF(AND(L708=-1,L707&lt;&gt;-1),MAX($P$8:P707)+1,"")</f>
        <v/>
      </c>
      <c r="Q708" s="24" t="str">
        <f ca="1">IF(AND(L708&lt;&gt;-1,L707=-1),MAX($Q$8:Q707)+1,"")</f>
        <v/>
      </c>
    </row>
    <row r="709" spans="1:17" x14ac:dyDescent="0.3">
      <c r="A709" s="3">
        <v>41220</v>
      </c>
      <c r="B709" s="9">
        <v>9.7564620000000009</v>
      </c>
      <c r="C709" s="9">
        <v>9.2032109999999996</v>
      </c>
      <c r="E709" s="14">
        <f t="shared" si="81"/>
        <v>1.0601149968201318</v>
      </c>
      <c r="F709" s="18">
        <f t="shared" ca="1" si="80"/>
        <v>-0.25256087771740954</v>
      </c>
      <c r="G709" s="15">
        <f t="shared" ca="1" si="78"/>
        <v>1.0640698140862006</v>
      </c>
      <c r="H709" s="15">
        <f t="shared" ca="1" si="79"/>
        <v>1.5658867287014575E-2</v>
      </c>
      <c r="J709" s="17">
        <f t="shared" ca="1" si="75"/>
        <v>0</v>
      </c>
      <c r="K709" s="24">
        <f t="shared" ca="1" si="76"/>
        <v>0</v>
      </c>
      <c r="L709" s="17">
        <f t="shared" ca="1" si="77"/>
        <v>0</v>
      </c>
      <c r="N709" s="24" t="str">
        <f ca="1">IF(AND(L709=1,L708&lt;&gt;1),MAX($N$8:N708)+1,"")</f>
        <v/>
      </c>
      <c r="O709" s="24" t="str">
        <f ca="1">IF(AND(L709&lt;&gt;1,L708=1),MAX($O$8:O708)+1,"")</f>
        <v/>
      </c>
      <c r="P709" s="17" t="str">
        <f ca="1">IF(AND(L709=-1,L708&lt;&gt;-1),MAX($P$8:P708)+1,"")</f>
        <v/>
      </c>
      <c r="Q709" s="24" t="str">
        <f ca="1">IF(AND(L709&lt;&gt;-1,L708=-1),MAX($Q$8:Q708)+1,"")</f>
        <v/>
      </c>
    </row>
    <row r="710" spans="1:17" x14ac:dyDescent="0.3">
      <c r="A710" s="3">
        <v>41221</v>
      </c>
      <c r="B710" s="9">
        <v>9.5388219999999997</v>
      </c>
      <c r="C710" s="9">
        <v>9.0517289999999999</v>
      </c>
      <c r="E710" s="14">
        <f t="shared" si="81"/>
        <v>1.053812150142807</v>
      </c>
      <c r="F710" s="18">
        <f t="shared" ca="1" si="80"/>
        <v>-0.58505107473308526</v>
      </c>
      <c r="G710" s="15">
        <f t="shared" ca="1" si="78"/>
        <v>1.0626101150698515</v>
      </c>
      <c r="H710" s="15">
        <f t="shared" ca="1" si="79"/>
        <v>1.5037943364275131E-2</v>
      </c>
      <c r="J710" s="17">
        <f t="shared" ca="1" si="75"/>
        <v>0</v>
      </c>
      <c r="K710" s="24">
        <f t="shared" ca="1" si="76"/>
        <v>0</v>
      </c>
      <c r="L710" s="17">
        <f t="shared" ca="1" si="77"/>
        <v>0</v>
      </c>
      <c r="N710" s="24" t="str">
        <f ca="1">IF(AND(L710=1,L709&lt;&gt;1),MAX($N$8:N709)+1,"")</f>
        <v/>
      </c>
      <c r="O710" s="24" t="str">
        <f ca="1">IF(AND(L710&lt;&gt;1,L709=1),MAX($O$8:O709)+1,"")</f>
        <v/>
      </c>
      <c r="P710" s="17" t="str">
        <f ca="1">IF(AND(L710=-1,L709&lt;&gt;-1),MAX($P$8:P709)+1,"")</f>
        <v/>
      </c>
      <c r="Q710" s="24" t="str">
        <f ca="1">IF(AND(L710&lt;&gt;-1,L709=-1),MAX($Q$8:Q709)+1,"")</f>
        <v/>
      </c>
    </row>
    <row r="711" spans="1:17" x14ac:dyDescent="0.3">
      <c r="A711" s="3">
        <v>41222</v>
      </c>
      <c r="B711" s="9">
        <v>9.5452180000000002</v>
      </c>
      <c r="C711" s="9">
        <v>9.0348690000000005</v>
      </c>
      <c r="E711" s="14">
        <f t="shared" si="81"/>
        <v>1.0564865965405807</v>
      </c>
      <c r="F711" s="18">
        <f t="shared" ca="1" si="80"/>
        <v>-0.33029106133628533</v>
      </c>
      <c r="G711" s="15">
        <f t="shared" ca="1" si="78"/>
        <v>1.0609752518754918</v>
      </c>
      <c r="H711" s="15">
        <f t="shared" ca="1" si="79"/>
        <v>1.3589999428839929E-2</v>
      </c>
      <c r="J711" s="17">
        <f t="shared" ca="1" si="75"/>
        <v>0</v>
      </c>
      <c r="K711" s="24">
        <f t="shared" ca="1" si="76"/>
        <v>0</v>
      </c>
      <c r="L711" s="17">
        <f t="shared" ca="1" si="77"/>
        <v>0</v>
      </c>
      <c r="N711" s="24" t="str">
        <f ca="1">IF(AND(L711=1,L710&lt;&gt;1),MAX($N$8:N710)+1,"")</f>
        <v/>
      </c>
      <c r="O711" s="24" t="str">
        <f ca="1">IF(AND(L711&lt;&gt;1,L710=1),MAX($O$8:O710)+1,"")</f>
        <v/>
      </c>
      <c r="P711" s="17" t="str">
        <f ca="1">IF(AND(L711=-1,L710&lt;&gt;-1),MAX($P$8:P710)+1,"")</f>
        <v/>
      </c>
      <c r="Q711" s="24" t="str">
        <f ca="1">IF(AND(L711&lt;&gt;-1,L710=-1),MAX($Q$8:Q710)+1,"")</f>
        <v/>
      </c>
    </row>
    <row r="712" spans="1:17" x14ac:dyDescent="0.3">
      <c r="A712" s="3">
        <v>41225</v>
      </c>
      <c r="B712" s="9">
        <v>9.5388219999999997</v>
      </c>
      <c r="C712" s="9">
        <v>8.9759170000000008</v>
      </c>
      <c r="E712" s="14">
        <f t="shared" si="81"/>
        <v>1.0627128125182084</v>
      </c>
      <c r="F712" s="18">
        <f t="shared" ca="1" si="80"/>
        <v>0.31040485901057824</v>
      </c>
      <c r="G712" s="15">
        <f t="shared" ca="1" si="78"/>
        <v>1.0593437987565304</v>
      </c>
      <c r="H712" s="15">
        <f t="shared" ca="1" si="79"/>
        <v>1.0853611545955738E-2</v>
      </c>
      <c r="J712" s="17">
        <f t="shared" ref="J712:J775" ca="1" si="82">IF(ISNUMBER(F712),IF(AND(J711&lt;&gt;1,F712&gt;$L$1),1,IF(AND(J711=1,F712&gt;$N$1),1,0)),"")</f>
        <v>0</v>
      </c>
      <c r="K712" s="24">
        <f t="shared" ca="1" si="76"/>
        <v>0</v>
      </c>
      <c r="L712" s="17">
        <f t="shared" ca="1" si="77"/>
        <v>0</v>
      </c>
      <c r="N712" s="24" t="str">
        <f ca="1">IF(AND(L712=1,L711&lt;&gt;1),MAX($N$8:N711)+1,"")</f>
        <v/>
      </c>
      <c r="O712" s="24" t="str">
        <f ca="1">IF(AND(L712&lt;&gt;1,L711=1),MAX($O$8:O711)+1,"")</f>
        <v/>
      </c>
      <c r="P712" s="17" t="str">
        <f ca="1">IF(AND(L712=-1,L711&lt;&gt;-1),MAX($P$8:P711)+1,"")</f>
        <v/>
      </c>
      <c r="Q712" s="24" t="str">
        <f ca="1">IF(AND(L712&lt;&gt;-1,L711=-1),MAX($Q$8:Q711)+1,"")</f>
        <v/>
      </c>
    </row>
    <row r="713" spans="1:17" x14ac:dyDescent="0.3">
      <c r="A713" s="3">
        <v>41226</v>
      </c>
      <c r="B713" s="9">
        <v>9.7148459999999996</v>
      </c>
      <c r="C713" s="9">
        <v>9.1639119999999998</v>
      </c>
      <c r="E713" s="14">
        <f t="shared" si="81"/>
        <v>1.0601199575028655</v>
      </c>
      <c r="F713" s="18">
        <f t="shared" ca="1" si="80"/>
        <v>0.17882676360322589</v>
      </c>
      <c r="G713" s="15">
        <f t="shared" ca="1" si="78"/>
        <v>1.0583782564325814</v>
      </c>
      <c r="H713" s="15">
        <f t="shared" ca="1" si="79"/>
        <v>9.739599572178478E-3</v>
      </c>
      <c r="J713" s="17">
        <f t="shared" ca="1" si="82"/>
        <v>0</v>
      </c>
      <c r="K713" s="24">
        <f t="shared" ref="K713:K776" ca="1" si="83">IF(ISNUMBER(F713),IF(AND(K712&lt;&gt;-1,F713&lt;$P$1),-1,IF(AND(K712=-1,F713&lt;R706),-1,0)),"")</f>
        <v>0</v>
      </c>
      <c r="L713" s="17">
        <f t="shared" ref="L713:L776" ca="1" si="84">IF(ISNUMBER(F713),IF(J713=1,1,IF(K713=-1,-1,0)),"")</f>
        <v>0</v>
      </c>
      <c r="N713" s="24" t="str">
        <f ca="1">IF(AND(L713=1,L712&lt;&gt;1),MAX($N$8:N712)+1,"")</f>
        <v/>
      </c>
      <c r="O713" s="24" t="str">
        <f ca="1">IF(AND(L713&lt;&gt;1,L712=1),MAX($O$8:O712)+1,"")</f>
        <v/>
      </c>
      <c r="P713" s="17" t="str">
        <f ca="1">IF(AND(L713=-1,L712&lt;&gt;-1),MAX($P$8:P712)+1,"")</f>
        <v/>
      </c>
      <c r="Q713" s="24" t="str">
        <f ca="1">IF(AND(L713&lt;&gt;-1,L712=-1),MAX($Q$8:Q712)+1,"")</f>
        <v/>
      </c>
    </row>
    <row r="714" spans="1:17" x14ac:dyDescent="0.3">
      <c r="A714" s="3">
        <v>41227</v>
      </c>
      <c r="B714" s="9">
        <v>9.5804379999999991</v>
      </c>
      <c r="C714" s="9">
        <v>9.0909669999999991</v>
      </c>
      <c r="E714" s="14">
        <f t="shared" si="81"/>
        <v>1.053841467029855</v>
      </c>
      <c r="F714" s="18">
        <f t="shared" ca="1" si="80"/>
        <v>-0.39947686089433293</v>
      </c>
      <c r="G714" s="15">
        <f t="shared" ca="1" si="78"/>
        <v>1.0575728450067297</v>
      </c>
      <c r="H714" s="15">
        <f t="shared" ca="1" si="79"/>
        <v>9.3406611049284705E-3</v>
      </c>
      <c r="J714" s="17">
        <f t="shared" ca="1" si="82"/>
        <v>0</v>
      </c>
      <c r="K714" s="24">
        <f t="shared" ca="1" si="83"/>
        <v>0</v>
      </c>
      <c r="L714" s="17">
        <f t="shared" ca="1" si="84"/>
        <v>0</v>
      </c>
      <c r="N714" s="24" t="str">
        <f ca="1">IF(AND(L714=1,L713&lt;&gt;1),MAX($N$8:N713)+1,"")</f>
        <v/>
      </c>
      <c r="O714" s="24" t="str">
        <f ca="1">IF(AND(L714&lt;&gt;1,L713=1),MAX($O$8:O713)+1,"")</f>
        <v/>
      </c>
      <c r="P714" s="17" t="str">
        <f ca="1">IF(AND(L714=-1,L713&lt;&gt;-1),MAX($P$8:P713)+1,"")</f>
        <v/>
      </c>
      <c r="Q714" s="24" t="str">
        <f ca="1">IF(AND(L714&lt;&gt;-1,L713=-1),MAX($Q$8:Q713)+1,"")</f>
        <v/>
      </c>
    </row>
    <row r="715" spans="1:17" x14ac:dyDescent="0.3">
      <c r="A715" s="3">
        <v>41229</v>
      </c>
      <c r="B715" s="9">
        <v>9.6156590000000008</v>
      </c>
      <c r="C715" s="9">
        <v>9.1948179999999997</v>
      </c>
      <c r="E715" s="14">
        <f t="shared" si="81"/>
        <v>1.0457693670500059</v>
      </c>
      <c r="F715" s="18">
        <f t="shared" ca="1" si="80"/>
        <v>-1.2147739454219111</v>
      </c>
      <c r="G715" s="15">
        <f t="shared" ca="1" si="78"/>
        <v>1.0561065587278751</v>
      </c>
      <c r="H715" s="15">
        <f t="shared" ca="1" si="79"/>
        <v>8.50955992003837E-3</v>
      </c>
      <c r="J715" s="17">
        <f t="shared" ca="1" si="82"/>
        <v>0</v>
      </c>
      <c r="K715" s="24">
        <f t="shared" ca="1" si="83"/>
        <v>-1</v>
      </c>
      <c r="L715" s="17">
        <f t="shared" ca="1" si="84"/>
        <v>-1</v>
      </c>
      <c r="N715" s="24" t="str">
        <f ca="1">IF(AND(L715=1,L714&lt;&gt;1),MAX($N$8:N714)+1,"")</f>
        <v/>
      </c>
      <c r="O715" s="24" t="str">
        <f ca="1">IF(AND(L715&lt;&gt;1,L714=1),MAX($O$8:O714)+1,"")</f>
        <v/>
      </c>
      <c r="P715" s="17">
        <f ca="1">IF(AND(L715=-1,L714&lt;&gt;-1),MAX($P$8:P714)+1,"")</f>
        <v>27</v>
      </c>
      <c r="Q715" s="24" t="str">
        <f ca="1">IF(AND(L715&lt;&gt;-1,L714=-1),MAX($Q$8:Q714)+1,"")</f>
        <v/>
      </c>
    </row>
    <row r="716" spans="1:17" x14ac:dyDescent="0.3">
      <c r="A716" s="3">
        <v>41232</v>
      </c>
      <c r="B716" s="9">
        <v>9.9133659999999999</v>
      </c>
      <c r="C716" s="9">
        <v>9.3996010000000005</v>
      </c>
      <c r="E716" s="14">
        <f t="shared" si="81"/>
        <v>1.0546581711287533</v>
      </c>
      <c r="F716" s="18">
        <f t="shared" ca="1" si="80"/>
        <v>-0.12230828290076826</v>
      </c>
      <c r="G716" s="15">
        <f t="shared" ca="1" si="78"/>
        <v>1.0556772006380513</v>
      </c>
      <c r="H716" s="15">
        <f t="shared" ca="1" si="79"/>
        <v>8.3316475804403305E-3</v>
      </c>
      <c r="J716" s="17">
        <f t="shared" ca="1" si="82"/>
        <v>0</v>
      </c>
      <c r="K716" s="24">
        <f t="shared" ca="1" si="83"/>
        <v>-1</v>
      </c>
      <c r="L716" s="17">
        <f t="shared" ca="1" si="84"/>
        <v>-1</v>
      </c>
      <c r="N716" s="24" t="str">
        <f ca="1">IF(AND(L716=1,L715&lt;&gt;1),MAX($N$8:N715)+1,"")</f>
        <v/>
      </c>
      <c r="O716" s="24" t="str">
        <f ca="1">IF(AND(L716&lt;&gt;1,L715=1),MAX($O$8:O715)+1,"")</f>
        <v/>
      </c>
      <c r="P716" s="17" t="str">
        <f ca="1">IF(AND(L716=-1,L715&lt;&gt;-1),MAX($P$8:P715)+1,"")</f>
        <v/>
      </c>
      <c r="Q716" s="24" t="str">
        <f ca="1">IF(AND(L716&lt;&gt;-1,L715=-1),MAX($Q$8:Q715)+1,"")</f>
        <v/>
      </c>
    </row>
    <row r="717" spans="1:17" x14ac:dyDescent="0.3">
      <c r="A717" s="3">
        <v>41234</v>
      </c>
      <c r="B717" s="9">
        <v>10.034985000000001</v>
      </c>
      <c r="C717" s="9">
        <v>9.5904550000000004</v>
      </c>
      <c r="E717" s="14">
        <f t="shared" si="81"/>
        <v>1.0463512940731174</v>
      </c>
      <c r="F717" s="18">
        <f t="shared" ca="1" si="80"/>
        <v>-1.0280914711824241</v>
      </c>
      <c r="G717" s="15">
        <f t="shared" ca="1" si="78"/>
        <v>1.0551117750869545</v>
      </c>
      <c r="H717" s="15">
        <f t="shared" ca="1" si="79"/>
        <v>8.5211104842271655E-3</v>
      </c>
      <c r="J717" s="17">
        <f t="shared" ca="1" si="82"/>
        <v>0</v>
      </c>
      <c r="K717" s="24">
        <f t="shared" ca="1" si="83"/>
        <v>-1</v>
      </c>
      <c r="L717" s="17">
        <f t="shared" ca="1" si="84"/>
        <v>-1</v>
      </c>
      <c r="N717" s="24" t="str">
        <f ca="1">IF(AND(L717=1,L716&lt;&gt;1),MAX($N$8:N716)+1,"")</f>
        <v/>
      </c>
      <c r="O717" s="24" t="str">
        <f ca="1">IF(AND(L717&lt;&gt;1,L716=1),MAX($O$8:O716)+1,"")</f>
        <v/>
      </c>
      <c r="P717" s="17" t="str">
        <f ca="1">IF(AND(L717=-1,L716&lt;&gt;-1),MAX($P$8:P716)+1,"")</f>
        <v/>
      </c>
      <c r="Q717" s="24" t="str">
        <f ca="1">IF(AND(L717&lt;&gt;-1,L716=-1),MAX($Q$8:Q716)+1,"")</f>
        <v/>
      </c>
    </row>
    <row r="718" spans="1:17" x14ac:dyDescent="0.3">
      <c r="A718" s="3">
        <v>41235</v>
      </c>
      <c r="B718" s="9">
        <v>10.153435</v>
      </c>
      <c r="C718" s="9">
        <v>9.6942470000000007</v>
      </c>
      <c r="E718" s="14">
        <f t="shared" si="81"/>
        <v>1.0473670621348929</v>
      </c>
      <c r="F718" s="18">
        <f t="shared" ca="1" si="80"/>
        <v>-0.89567211429667803</v>
      </c>
      <c r="G718" s="15">
        <f t="shared" ca="1" si="78"/>
        <v>1.0550468151815322</v>
      </c>
      <c r="H718" s="15">
        <f t="shared" ca="1" si="79"/>
        <v>8.5742906629059749E-3</v>
      </c>
      <c r="J718" s="17">
        <f t="shared" ca="1" si="82"/>
        <v>0</v>
      </c>
      <c r="K718" s="24">
        <f t="shared" ca="1" si="83"/>
        <v>-1</v>
      </c>
      <c r="L718" s="17">
        <f t="shared" ca="1" si="84"/>
        <v>-1</v>
      </c>
      <c r="N718" s="24" t="str">
        <f ca="1">IF(AND(L718=1,L717&lt;&gt;1),MAX($N$8:N717)+1,"")</f>
        <v/>
      </c>
      <c r="O718" s="24" t="str">
        <f ca="1">IF(AND(L718&lt;&gt;1,L717=1),MAX($O$8:O717)+1,"")</f>
        <v/>
      </c>
      <c r="P718" s="17" t="str">
        <f ca="1">IF(AND(L718=-1,L717&lt;&gt;-1),MAX($P$8:P717)+1,"")</f>
        <v/>
      </c>
      <c r="Q718" s="24" t="str">
        <f ca="1">IF(AND(L718&lt;&gt;-1,L717=-1),MAX($Q$8:Q717)+1,"")</f>
        <v/>
      </c>
    </row>
    <row r="719" spans="1:17" x14ac:dyDescent="0.3">
      <c r="A719" s="3">
        <v>41236</v>
      </c>
      <c r="B719" s="9">
        <v>10.271818</v>
      </c>
      <c r="C719" s="9">
        <v>9.806495</v>
      </c>
      <c r="E719" s="14">
        <f t="shared" si="81"/>
        <v>1.0474504907206907</v>
      </c>
      <c r="F719" s="18">
        <f t="shared" ca="1" si="80"/>
        <v>-0.97194341150036745</v>
      </c>
      <c r="G719" s="15">
        <f t="shared" ca="1" si="78"/>
        <v>1.055366025944094</v>
      </c>
      <c r="H719" s="15">
        <f t="shared" ca="1" si="79"/>
        <v>8.1440288907192997E-3</v>
      </c>
      <c r="J719" s="17">
        <f t="shared" ca="1" si="82"/>
        <v>0</v>
      </c>
      <c r="K719" s="24">
        <f t="shared" ca="1" si="83"/>
        <v>-1</v>
      </c>
      <c r="L719" s="17">
        <f t="shared" ca="1" si="84"/>
        <v>-1</v>
      </c>
      <c r="N719" s="24" t="str">
        <f ca="1">IF(AND(L719=1,L718&lt;&gt;1),MAX($N$8:N718)+1,"")</f>
        <v/>
      </c>
      <c r="O719" s="24" t="str">
        <f ca="1">IF(AND(L719&lt;&gt;1,L718=1),MAX($O$8:O718)+1,"")</f>
        <v/>
      </c>
      <c r="P719" s="17" t="str">
        <f ca="1">IF(AND(L719=-1,L718&lt;&gt;-1),MAX($P$8:P718)+1,"")</f>
        <v/>
      </c>
      <c r="Q719" s="24" t="str">
        <f ca="1">IF(AND(L719&lt;&gt;-1,L718=-1),MAX($Q$8:Q718)+1,"")</f>
        <v/>
      </c>
    </row>
    <row r="720" spans="1:17" x14ac:dyDescent="0.3">
      <c r="A720" s="3">
        <v>41239</v>
      </c>
      <c r="B720" s="9">
        <v>10.082993999999999</v>
      </c>
      <c r="C720" s="9">
        <v>9.7138989999999996</v>
      </c>
      <c r="E720" s="14">
        <f t="shared" si="81"/>
        <v>1.0379965861288036</v>
      </c>
      <c r="F720" s="18">
        <f t="shared" ca="1" si="80"/>
        <v>-1.9217721332335405</v>
      </c>
      <c r="G720" s="15">
        <f t="shared" ca="1" si="78"/>
        <v>1.0549068181220813</v>
      </c>
      <c r="H720" s="15">
        <f t="shared" ca="1" si="79"/>
        <v>8.7992908736920939E-3</v>
      </c>
      <c r="J720" s="17">
        <f t="shared" ca="1" si="82"/>
        <v>0</v>
      </c>
      <c r="K720" s="24">
        <f t="shared" ca="1" si="83"/>
        <v>-1</v>
      </c>
      <c r="L720" s="17">
        <f t="shared" ca="1" si="84"/>
        <v>-1</v>
      </c>
      <c r="N720" s="24" t="str">
        <f ca="1">IF(AND(L720=1,L719&lt;&gt;1),MAX($N$8:N719)+1,"")</f>
        <v/>
      </c>
      <c r="O720" s="24" t="str">
        <f ca="1">IF(AND(L720&lt;&gt;1,L719=1),MAX($O$8:O719)+1,"")</f>
        <v/>
      </c>
      <c r="P720" s="17" t="str">
        <f ca="1">IF(AND(L720=-1,L719&lt;&gt;-1),MAX($P$8:P719)+1,"")</f>
        <v/>
      </c>
      <c r="Q720" s="24" t="str">
        <f ca="1">IF(AND(L720&lt;&gt;-1,L719=-1),MAX($Q$8:Q719)+1,"")</f>
        <v/>
      </c>
    </row>
    <row r="721" spans="1:17" x14ac:dyDescent="0.3">
      <c r="A721" s="3">
        <v>41240</v>
      </c>
      <c r="B721" s="9">
        <v>9.9261630000000007</v>
      </c>
      <c r="C721" s="9">
        <v>9.5651449999999993</v>
      </c>
      <c r="E721" s="14">
        <f t="shared" si="81"/>
        <v>1.0377430765555569</v>
      </c>
      <c r="F721" s="18">
        <f t="shared" ca="1" si="80"/>
        <v>-2.1173920217639695</v>
      </c>
      <c r="G721" s="15">
        <f t="shared" ca="1" si="78"/>
        <v>1.055152548090718</v>
      </c>
      <c r="H721" s="15">
        <f t="shared" ca="1" si="79"/>
        <v>8.2221295613731284E-3</v>
      </c>
      <c r="J721" s="17">
        <f t="shared" ca="1" si="82"/>
        <v>0</v>
      </c>
      <c r="K721" s="24">
        <f t="shared" ca="1" si="83"/>
        <v>-1</v>
      </c>
      <c r="L721" s="17">
        <f t="shared" ca="1" si="84"/>
        <v>-1</v>
      </c>
      <c r="N721" s="24" t="str">
        <f ca="1">IF(AND(L721=1,L720&lt;&gt;1),MAX($N$8:N720)+1,"")</f>
        <v/>
      </c>
      <c r="O721" s="24" t="str">
        <f ca="1">IF(AND(L721&lt;&gt;1,L720=1),MAX($O$8:O720)+1,"")</f>
        <v/>
      </c>
      <c r="P721" s="17" t="str">
        <f ca="1">IF(AND(L721=-1,L720&lt;&gt;-1),MAX($P$8:P720)+1,"")</f>
        <v/>
      </c>
      <c r="Q721" s="24" t="str">
        <f ca="1">IF(AND(L721&lt;&gt;-1,L720=-1),MAX($Q$8:Q720)+1,"")</f>
        <v/>
      </c>
    </row>
    <row r="722" spans="1:17" x14ac:dyDescent="0.3">
      <c r="A722" s="3">
        <v>41241</v>
      </c>
      <c r="B722" s="9">
        <v>9.9709420000000009</v>
      </c>
      <c r="C722" s="9">
        <v>9.5006579999999996</v>
      </c>
      <c r="E722" s="14">
        <f t="shared" si="81"/>
        <v>1.0495001504106349</v>
      </c>
      <c r="F722" s="18">
        <f t="shared" ca="1" si="80"/>
        <v>-0.61677807728919287</v>
      </c>
      <c r="G722" s="15">
        <f t="shared" ca="1" si="78"/>
        <v>1.054387764894354</v>
      </c>
      <c r="H722" s="15">
        <f t="shared" ca="1" si="79"/>
        <v>7.9244296509381543E-3</v>
      </c>
      <c r="J722" s="17">
        <f t="shared" ca="1" si="82"/>
        <v>0</v>
      </c>
      <c r="K722" s="24">
        <f t="shared" ca="1" si="83"/>
        <v>-1</v>
      </c>
      <c r="L722" s="17">
        <f t="shared" ca="1" si="84"/>
        <v>-1</v>
      </c>
      <c r="N722" s="24" t="str">
        <f ca="1">IF(AND(L722=1,L721&lt;&gt;1),MAX($N$8:N721)+1,"")</f>
        <v/>
      </c>
      <c r="O722" s="24" t="str">
        <f ca="1">IF(AND(L722&lt;&gt;1,L721=1),MAX($O$8:O721)+1,"")</f>
        <v/>
      </c>
      <c r="P722" s="17" t="str">
        <f ca="1">IF(AND(L722=-1,L721&lt;&gt;-1),MAX($P$8:P721)+1,"")</f>
        <v/>
      </c>
      <c r="Q722" s="24" t="str">
        <f ca="1">IF(AND(L722&lt;&gt;-1,L721=-1),MAX($Q$8:Q721)+1,"")</f>
        <v/>
      </c>
    </row>
    <row r="723" spans="1:17" x14ac:dyDescent="0.3">
      <c r="A723" s="3">
        <v>41242</v>
      </c>
      <c r="B723" s="9">
        <v>10.223803999999999</v>
      </c>
      <c r="C723" s="9">
        <v>9.6521430000000006</v>
      </c>
      <c r="E723" s="14">
        <f t="shared" si="81"/>
        <v>1.0592263293239645</v>
      </c>
      <c r="F723" s="18">
        <f t="shared" ca="1" si="80"/>
        <v>0.58439390449994366</v>
      </c>
      <c r="G723" s="15">
        <f t="shared" ca="1" si="78"/>
        <v>1.0545592323860433</v>
      </c>
      <c r="H723" s="15">
        <f t="shared" ca="1" si="79"/>
        <v>7.9862176897871322E-3</v>
      </c>
      <c r="J723" s="17">
        <f t="shared" ca="1" si="82"/>
        <v>0</v>
      </c>
      <c r="K723" s="24">
        <f t="shared" ca="1" si="83"/>
        <v>0</v>
      </c>
      <c r="L723" s="17">
        <f t="shared" ca="1" si="84"/>
        <v>0</v>
      </c>
      <c r="N723" s="24" t="str">
        <f ca="1">IF(AND(L723=1,L722&lt;&gt;1),MAX($N$8:N722)+1,"")</f>
        <v/>
      </c>
      <c r="O723" s="24" t="str">
        <f ca="1">IF(AND(L723&lt;&gt;1,L722=1),MAX($O$8:O722)+1,"")</f>
        <v/>
      </c>
      <c r="P723" s="17" t="str">
        <f ca="1">IF(AND(L723=-1,L722&lt;&gt;-1),MAX($P$8:P722)+1,"")</f>
        <v/>
      </c>
      <c r="Q723" s="24">
        <f ca="1">IF(AND(L723&lt;&gt;-1,L722=-1),MAX($Q$8:Q722)+1,"")</f>
        <v>27</v>
      </c>
    </row>
    <row r="724" spans="1:17" x14ac:dyDescent="0.3">
      <c r="A724" s="3">
        <v>41243</v>
      </c>
      <c r="B724" s="9">
        <v>10.281447999999999</v>
      </c>
      <c r="C724" s="9">
        <v>9.9579760000000004</v>
      </c>
      <c r="E724" s="14">
        <f t="shared" si="81"/>
        <v>1.0324837095409749</v>
      </c>
      <c r="F724" s="18">
        <f t="shared" ca="1" si="80"/>
        <v>-2.2828026731431135</v>
      </c>
      <c r="G724" s="15">
        <f t="shared" ca="1" si="78"/>
        <v>1.0533542915855547</v>
      </c>
      <c r="H724" s="15">
        <f t="shared" ca="1" si="79"/>
        <v>9.1425256725513708E-3</v>
      </c>
      <c r="J724" s="17">
        <f t="shared" ca="1" si="82"/>
        <v>0</v>
      </c>
      <c r="K724" s="24">
        <f t="shared" ca="1" si="83"/>
        <v>-1</v>
      </c>
      <c r="L724" s="17">
        <f t="shared" ca="1" si="84"/>
        <v>-1</v>
      </c>
      <c r="N724" s="24" t="str">
        <f ca="1">IF(AND(L724=1,L723&lt;&gt;1),MAX($N$8:N723)+1,"")</f>
        <v/>
      </c>
      <c r="O724" s="24" t="str">
        <f ca="1">IF(AND(L724&lt;&gt;1,L723=1),MAX($O$8:O723)+1,"")</f>
        <v/>
      </c>
      <c r="P724" s="17">
        <f ca="1">IF(AND(L724=-1,L723&lt;&gt;-1),MAX($P$8:P723)+1,"")</f>
        <v>28</v>
      </c>
      <c r="Q724" s="24" t="str">
        <f ca="1">IF(AND(L724&lt;&gt;-1,L723=-1),MAX($Q$8:Q723)+1,"")</f>
        <v/>
      </c>
    </row>
    <row r="725" spans="1:17" x14ac:dyDescent="0.3">
      <c r="A725" s="3">
        <v>41246</v>
      </c>
      <c r="B725" s="9">
        <v>10.563129</v>
      </c>
      <c r="C725" s="9">
        <v>10.036583</v>
      </c>
      <c r="E725" s="14">
        <f t="shared" si="81"/>
        <v>1.0524626757931459</v>
      </c>
      <c r="F725" s="18">
        <f t="shared" ca="1" si="80"/>
        <v>-8.6368217414540635E-2</v>
      </c>
      <c r="G725" s="15">
        <f t="shared" ca="1" si="78"/>
        <v>1.0532520245777517</v>
      </c>
      <c r="H725" s="15">
        <f t="shared" ca="1" si="79"/>
        <v>9.1393432472637835E-3</v>
      </c>
      <c r="J725" s="17">
        <f t="shared" ca="1" si="82"/>
        <v>0</v>
      </c>
      <c r="K725" s="24">
        <f t="shared" ca="1" si="83"/>
        <v>-1</v>
      </c>
      <c r="L725" s="17">
        <f t="shared" ca="1" si="84"/>
        <v>-1</v>
      </c>
      <c r="N725" s="24" t="str">
        <f ca="1">IF(AND(L725=1,L724&lt;&gt;1),MAX($N$8:N724)+1,"")</f>
        <v/>
      </c>
      <c r="O725" s="24" t="str">
        <f ca="1">IF(AND(L725&lt;&gt;1,L724=1),MAX($O$8:O724)+1,"")</f>
        <v/>
      </c>
      <c r="P725" s="17" t="str">
        <f ca="1">IF(AND(L725=-1,L724&lt;&gt;-1),MAX($P$8:P724)+1,"")</f>
        <v/>
      </c>
      <c r="Q725" s="24" t="str">
        <f ca="1">IF(AND(L725&lt;&gt;-1,L724=-1),MAX($Q$8:Q724)+1,"")</f>
        <v/>
      </c>
    </row>
    <row r="726" spans="1:17" x14ac:dyDescent="0.3">
      <c r="A726" s="3">
        <v>41247</v>
      </c>
      <c r="B726" s="9">
        <v>10.447913</v>
      </c>
      <c r="C726" s="9">
        <v>9.9131979999999995</v>
      </c>
      <c r="E726" s="14">
        <f t="shared" si="81"/>
        <v>1.0539397074485952</v>
      </c>
      <c r="F726" s="18">
        <f t="shared" ca="1" si="80"/>
        <v>0.106414200602474</v>
      </c>
      <c r="G726" s="15">
        <f t="shared" ca="1" si="78"/>
        <v>1.0529793659689206</v>
      </c>
      <c r="H726" s="15">
        <f t="shared" ca="1" si="79"/>
        <v>9.0245613295739241E-3</v>
      </c>
      <c r="J726" s="17">
        <f t="shared" ca="1" si="82"/>
        <v>0</v>
      </c>
      <c r="K726" s="24">
        <f t="shared" ca="1" si="83"/>
        <v>0</v>
      </c>
      <c r="L726" s="17">
        <f t="shared" ca="1" si="84"/>
        <v>0</v>
      </c>
      <c r="N726" s="24" t="str">
        <f ca="1">IF(AND(L726=1,L725&lt;&gt;1),MAX($N$8:N725)+1,"")</f>
        <v/>
      </c>
      <c r="O726" s="24" t="str">
        <f ca="1">IF(AND(L726&lt;&gt;1,L725=1),MAX($O$8:O725)+1,"")</f>
        <v/>
      </c>
      <c r="P726" s="17" t="str">
        <f ca="1">IF(AND(L726=-1,L725&lt;&gt;-1),MAX($P$8:P725)+1,"")</f>
        <v/>
      </c>
      <c r="Q726" s="24">
        <f ca="1">IF(AND(L726&lt;&gt;-1,L725=-1),MAX($Q$8:Q725)+1,"")</f>
        <v>28</v>
      </c>
    </row>
    <row r="727" spans="1:17" x14ac:dyDescent="0.3">
      <c r="A727" s="3">
        <v>41248</v>
      </c>
      <c r="B727" s="9">
        <v>10.502321</v>
      </c>
      <c r="C727" s="9">
        <v>10.070525</v>
      </c>
      <c r="E727" s="14">
        <f t="shared" si="81"/>
        <v>1.0428772084871445</v>
      </c>
      <c r="F727" s="18">
        <f t="shared" ca="1" si="80"/>
        <v>-1.0240192473724972</v>
      </c>
      <c r="G727" s="15">
        <f t="shared" ca="1" si="78"/>
        <v>1.0522816273824533</v>
      </c>
      <c r="H727" s="15">
        <f t="shared" ca="1" si="79"/>
        <v>9.1838302057694644E-3</v>
      </c>
      <c r="J727" s="17">
        <f t="shared" ca="1" si="82"/>
        <v>0</v>
      </c>
      <c r="K727" s="24">
        <f t="shared" ca="1" si="83"/>
        <v>-1</v>
      </c>
      <c r="L727" s="17">
        <f t="shared" ca="1" si="84"/>
        <v>-1</v>
      </c>
      <c r="N727" s="24" t="str">
        <f ca="1">IF(AND(L727=1,L726&lt;&gt;1),MAX($N$8:N726)+1,"")</f>
        <v/>
      </c>
      <c r="O727" s="24" t="str">
        <f ca="1">IF(AND(L727&lt;&gt;1,L726=1),MAX($O$8:O726)+1,"")</f>
        <v/>
      </c>
      <c r="P727" s="17">
        <f ca="1">IF(AND(L727=-1,L726&lt;&gt;-1),MAX($P$8:P726)+1,"")</f>
        <v>29</v>
      </c>
      <c r="Q727" s="24" t="str">
        <f ca="1">IF(AND(L727&lt;&gt;-1,L726=-1),MAX($Q$8:Q726)+1,"")</f>
        <v/>
      </c>
    </row>
    <row r="728" spans="1:17" x14ac:dyDescent="0.3">
      <c r="A728" s="3">
        <v>41249</v>
      </c>
      <c r="B728" s="9">
        <v>10.467105</v>
      </c>
      <c r="C728" s="9">
        <v>9.8626430000000003</v>
      </c>
      <c r="E728" s="14">
        <f t="shared" si="81"/>
        <v>1.0612880340492907</v>
      </c>
      <c r="F728" s="18">
        <f t="shared" ca="1" si="80"/>
        <v>1.0652313037247065</v>
      </c>
      <c r="G728" s="15">
        <f t="shared" ca="1" si="78"/>
        <v>1.0519704432112456</v>
      </c>
      <c r="H728" s="15">
        <f t="shared" ca="1" si="79"/>
        <v>8.7470118512900652E-3</v>
      </c>
      <c r="J728" s="17">
        <f t="shared" ca="1" si="82"/>
        <v>1</v>
      </c>
      <c r="K728" s="24">
        <f t="shared" ca="1" si="83"/>
        <v>0</v>
      </c>
      <c r="L728" s="17">
        <f t="shared" ca="1" si="84"/>
        <v>1</v>
      </c>
      <c r="N728" s="24">
        <f ca="1">IF(AND(L728=1,L727&lt;&gt;1),MAX($N$8:N727)+1,"")</f>
        <v>20</v>
      </c>
      <c r="O728" s="24" t="str">
        <f ca="1">IF(AND(L728&lt;&gt;1,L727=1),MAX($O$8:O727)+1,"")</f>
        <v/>
      </c>
      <c r="P728" s="17" t="str">
        <f ca="1">IF(AND(L728=-1,L727&lt;&gt;-1),MAX($P$8:P727)+1,"")</f>
        <v/>
      </c>
      <c r="Q728" s="24">
        <f ca="1">IF(AND(L728&lt;&gt;-1,L727=-1),MAX($Q$8:Q727)+1,"")</f>
        <v>29</v>
      </c>
    </row>
    <row r="729" spans="1:17" x14ac:dyDescent="0.3">
      <c r="A729" s="3">
        <v>41250</v>
      </c>
      <c r="B729" s="9">
        <v>10.486295</v>
      </c>
      <c r="C729" s="9">
        <v>9.8682459999999992</v>
      </c>
      <c r="E729" s="14">
        <f t="shared" si="81"/>
        <v>1.0626300763073804</v>
      </c>
      <c r="F729" s="18">
        <f t="shared" ca="1" si="80"/>
        <v>1.264687842329201</v>
      </c>
      <c r="G729" s="15">
        <f t="shared" ca="1" si="78"/>
        <v>1.0518267205561089</v>
      </c>
      <c r="H729" s="15">
        <f t="shared" ca="1" si="79"/>
        <v>8.5423101177083283E-3</v>
      </c>
      <c r="J729" s="17">
        <f t="shared" ca="1" si="82"/>
        <v>1</v>
      </c>
      <c r="K729" s="24">
        <f t="shared" ca="1" si="83"/>
        <v>0</v>
      </c>
      <c r="L729" s="17">
        <f t="shared" ca="1" si="84"/>
        <v>1</v>
      </c>
      <c r="N729" s="24" t="str">
        <f ca="1">IF(AND(L729=1,L728&lt;&gt;1),MAX($N$8:N728)+1,"")</f>
        <v/>
      </c>
      <c r="O729" s="24" t="str">
        <f ca="1">IF(AND(L729&lt;&gt;1,L728=1),MAX($O$8:O728)+1,"")</f>
        <v/>
      </c>
      <c r="P729" s="17" t="str">
        <f ca="1">IF(AND(L729=-1,L728&lt;&gt;-1),MAX($P$8:P728)+1,"")</f>
        <v/>
      </c>
      <c r="Q729" s="24" t="str">
        <f ca="1">IF(AND(L729&lt;&gt;-1,L728=-1),MAX($Q$8:Q728)+1,"")</f>
        <v/>
      </c>
    </row>
    <row r="730" spans="1:17" x14ac:dyDescent="0.3">
      <c r="A730" s="3">
        <v>41253</v>
      </c>
      <c r="B730" s="9">
        <v>10.492687999999999</v>
      </c>
      <c r="C730" s="9">
        <v>9.9974270000000001</v>
      </c>
      <c r="E730" s="14">
        <f t="shared" si="81"/>
        <v>1.0495388463451645</v>
      </c>
      <c r="F730" s="18">
        <f t="shared" ca="1" si="80"/>
        <v>-0.21108056624168581</v>
      </c>
      <c r="G730" s="15">
        <f t="shared" ca="1" si="78"/>
        <v>1.0512895802751165</v>
      </c>
      <c r="H730" s="15">
        <f t="shared" ca="1" si="79"/>
        <v>8.2941502437864686E-3</v>
      </c>
      <c r="J730" s="17">
        <f t="shared" ca="1" si="82"/>
        <v>0</v>
      </c>
      <c r="K730" s="24">
        <f t="shared" ca="1" si="83"/>
        <v>0</v>
      </c>
      <c r="L730" s="17">
        <f t="shared" ca="1" si="84"/>
        <v>0</v>
      </c>
      <c r="N730" s="24" t="str">
        <f ca="1">IF(AND(L730=1,L729&lt;&gt;1),MAX($N$8:N729)+1,"")</f>
        <v/>
      </c>
      <c r="O730" s="24">
        <f ca="1">IF(AND(L730&lt;&gt;1,L729=1),MAX($O$8:O729)+1,"")</f>
        <v>20</v>
      </c>
      <c r="P730" s="17" t="str">
        <f ca="1">IF(AND(L730=-1,L729&lt;&gt;-1),MAX($P$8:P729)+1,"")</f>
        <v/>
      </c>
      <c r="Q730" s="24" t="str">
        <f ca="1">IF(AND(L730&lt;&gt;-1,L729=-1),MAX($Q$8:Q729)+1,"")</f>
        <v/>
      </c>
    </row>
    <row r="731" spans="1:17" x14ac:dyDescent="0.3">
      <c r="A731" s="3">
        <v>41254</v>
      </c>
      <c r="B731" s="9">
        <v>10.559896</v>
      </c>
      <c r="C731" s="9">
        <v>10.056452999999999</v>
      </c>
      <c r="E731" s="14">
        <f t="shared" si="81"/>
        <v>1.0500616867597354</v>
      </c>
      <c r="F731" s="18">
        <f t="shared" ca="1" si="80"/>
        <v>-9.5538983079254264E-2</v>
      </c>
      <c r="G731" s="15">
        <f t="shared" ca="1" si="78"/>
        <v>1.0508326116360076</v>
      </c>
      <c r="H731" s="15">
        <f t="shared" ca="1" si="79"/>
        <v>8.0692179404155077E-3</v>
      </c>
      <c r="J731" s="17">
        <f t="shared" ca="1" si="82"/>
        <v>0</v>
      </c>
      <c r="K731" s="24">
        <f t="shared" ca="1" si="83"/>
        <v>0</v>
      </c>
      <c r="L731" s="17">
        <f t="shared" ca="1" si="84"/>
        <v>0</v>
      </c>
      <c r="N731" s="24" t="str">
        <f ca="1">IF(AND(L731=1,L730&lt;&gt;1),MAX($N$8:N730)+1,"")</f>
        <v/>
      </c>
      <c r="O731" s="24" t="str">
        <f ca="1">IF(AND(L731&lt;&gt;1,L730=1),MAX($O$8:O730)+1,"")</f>
        <v/>
      </c>
      <c r="P731" s="17" t="str">
        <f ca="1">IF(AND(L731=-1,L730&lt;&gt;-1),MAX($P$8:P730)+1,"")</f>
        <v/>
      </c>
      <c r="Q731" s="24" t="str">
        <f ca="1">IF(AND(L731&lt;&gt;-1,L730=-1),MAX($Q$8:Q730)+1,"")</f>
        <v/>
      </c>
    </row>
    <row r="732" spans="1:17" x14ac:dyDescent="0.3">
      <c r="A732" s="3">
        <v>41255</v>
      </c>
      <c r="B732" s="9">
        <v>10.518276999999999</v>
      </c>
      <c r="C732" s="9">
        <v>10.067657000000001</v>
      </c>
      <c r="E732" s="14">
        <f t="shared" si="81"/>
        <v>1.044759172864153</v>
      </c>
      <c r="F732" s="18">
        <f t="shared" ca="1" si="80"/>
        <v>-0.69579852342681914</v>
      </c>
      <c r="G732" s="15">
        <f t="shared" ca="1" si="78"/>
        <v>1.0504211126687961</v>
      </c>
      <c r="H732" s="15">
        <f t="shared" ca="1" si="79"/>
        <v>8.1373265593579994E-3</v>
      </c>
      <c r="J732" s="17">
        <f t="shared" ca="1" si="82"/>
        <v>0</v>
      </c>
      <c r="K732" s="24">
        <f t="shared" ca="1" si="83"/>
        <v>0</v>
      </c>
      <c r="L732" s="17">
        <f t="shared" ca="1" si="84"/>
        <v>0</v>
      </c>
      <c r="N732" s="24" t="str">
        <f ca="1">IF(AND(L732=1,L731&lt;&gt;1),MAX($N$8:N731)+1,"")</f>
        <v/>
      </c>
      <c r="O732" s="24" t="str">
        <f ca="1">IF(AND(L732&lt;&gt;1,L731=1),MAX($O$8:O731)+1,"")</f>
        <v/>
      </c>
      <c r="P732" s="17" t="str">
        <f ca="1">IF(AND(L732=-1,L731&lt;&gt;-1),MAX($P$8:P731)+1,"")</f>
        <v/>
      </c>
      <c r="Q732" s="24" t="str">
        <f ca="1">IF(AND(L732&lt;&gt;-1,L731=-1),MAX($Q$8:Q731)+1,"")</f>
        <v/>
      </c>
    </row>
    <row r="733" spans="1:17" x14ac:dyDescent="0.3">
      <c r="A733" s="3">
        <v>41256</v>
      </c>
      <c r="B733" s="9">
        <v>10.524748000000001</v>
      </c>
      <c r="C733" s="9">
        <v>10.140688000000001</v>
      </c>
      <c r="E733" s="14">
        <f t="shared" si="81"/>
        <v>1.0378731699466546</v>
      </c>
      <c r="F733" s="18">
        <f t="shared" ca="1" si="80"/>
        <v>-1.3889057074439344</v>
      </c>
      <c r="G733" s="15">
        <f t="shared" ca="1" si="78"/>
        <v>1.0495750478236177</v>
      </c>
      <c r="H733" s="15">
        <f t="shared" ca="1" si="79"/>
        <v>8.4252500470306056E-3</v>
      </c>
      <c r="J733" s="17">
        <f t="shared" ca="1" si="82"/>
        <v>0</v>
      </c>
      <c r="K733" s="24">
        <f t="shared" ca="1" si="83"/>
        <v>-1</v>
      </c>
      <c r="L733" s="17">
        <f t="shared" ca="1" si="84"/>
        <v>-1</v>
      </c>
      <c r="N733" s="24" t="str">
        <f ca="1">IF(AND(L733=1,L732&lt;&gt;1),MAX($N$8:N732)+1,"")</f>
        <v/>
      </c>
      <c r="O733" s="24" t="str">
        <f ca="1">IF(AND(L733&lt;&gt;1,L732=1),MAX($O$8:O732)+1,"")</f>
        <v/>
      </c>
      <c r="P733" s="17">
        <f ca="1">IF(AND(L733=-1,L732&lt;&gt;-1),MAX($P$8:P732)+1,"")</f>
        <v>30</v>
      </c>
      <c r="Q733" s="24" t="str">
        <f ca="1">IF(AND(L733&lt;&gt;-1,L732=-1),MAX($Q$8:Q732)+1,"")</f>
        <v/>
      </c>
    </row>
    <row r="734" spans="1:17" x14ac:dyDescent="0.3">
      <c r="A734" s="3">
        <v>41257</v>
      </c>
      <c r="B734" s="9">
        <v>10.43512</v>
      </c>
      <c r="C734" s="9">
        <v>10.095801</v>
      </c>
      <c r="E734" s="14">
        <f t="shared" si="81"/>
        <v>1.0336099136660875</v>
      </c>
      <c r="F734" s="18">
        <f t="shared" ca="1" si="80"/>
        <v>-1.7140411041043175</v>
      </c>
      <c r="G734" s="15">
        <f t="shared" ca="1" si="78"/>
        <v>1.048252188784885</v>
      </c>
      <c r="H734" s="15">
        <f t="shared" ca="1" si="79"/>
        <v>8.542546082317538E-3</v>
      </c>
      <c r="J734" s="17">
        <f t="shared" ca="1" si="82"/>
        <v>0</v>
      </c>
      <c r="K734" s="24">
        <f t="shared" ca="1" si="83"/>
        <v>-1</v>
      </c>
      <c r="L734" s="17">
        <f t="shared" ca="1" si="84"/>
        <v>-1</v>
      </c>
      <c r="N734" s="24" t="str">
        <f ca="1">IF(AND(L734=1,L733&lt;&gt;1),MAX($N$8:N733)+1,"")</f>
        <v/>
      </c>
      <c r="O734" s="24" t="str">
        <f ca="1">IF(AND(L734&lt;&gt;1,L733=1),MAX($O$8:O733)+1,"")</f>
        <v/>
      </c>
      <c r="P734" s="17" t="str">
        <f ca="1">IF(AND(L734=-1,L733&lt;&gt;-1),MAX($P$8:P733)+1,"")</f>
        <v/>
      </c>
      <c r="Q734" s="24" t="str">
        <f ca="1">IF(AND(L734&lt;&gt;-1,L733=-1),MAX($Q$8:Q733)+1,"")</f>
        <v/>
      </c>
    </row>
    <row r="735" spans="1:17" x14ac:dyDescent="0.3">
      <c r="A735" s="3">
        <v>41260</v>
      </c>
      <c r="B735" s="9">
        <v>10.467105</v>
      </c>
      <c r="C735" s="9">
        <v>10.095801</v>
      </c>
      <c r="E735" s="14">
        <f t="shared" si="81"/>
        <v>1.0367780624836009</v>
      </c>
      <c r="F735" s="18">
        <f t="shared" ca="1" si="80"/>
        <v>-1.2320710438915967</v>
      </c>
      <c r="G735" s="15">
        <f t="shared" ref="G735:G798" ca="1" si="85">IF(ISNUMBER(E735),IF(ROW(E735)&gt;$J$1,AVERAGE(OFFSET(E735,0,0,-$J$1)),""),"")</f>
        <v>1.0471911935567366</v>
      </c>
      <c r="H735" s="15">
        <f t="shared" ref="H735:H798" ca="1" si="86">IF(ISNUMBER(E735),IF(ROW(E735)&gt;$J$1,_xlfn.STDEV.P(OFFSET(E735,0,0,-$J$1)),""),"")</f>
        <v>8.4517294069706896E-3</v>
      </c>
      <c r="J735" s="17">
        <f t="shared" ca="1" si="82"/>
        <v>0</v>
      </c>
      <c r="K735" s="24">
        <f t="shared" ca="1" si="83"/>
        <v>-1</v>
      </c>
      <c r="L735" s="17">
        <f t="shared" ca="1" si="84"/>
        <v>-1</v>
      </c>
      <c r="N735" s="24" t="str">
        <f ca="1">IF(AND(L735=1,L734&lt;&gt;1),MAX($N$8:N734)+1,"")</f>
        <v/>
      </c>
      <c r="O735" s="24" t="str">
        <f ca="1">IF(AND(L735&lt;&gt;1,L734=1),MAX($O$8:O734)+1,"")</f>
        <v/>
      </c>
      <c r="P735" s="17" t="str">
        <f ca="1">IF(AND(L735=-1,L734&lt;&gt;-1),MAX($P$8:P734)+1,"")</f>
        <v/>
      </c>
      <c r="Q735" s="24" t="str">
        <f ca="1">IF(AND(L735&lt;&gt;-1,L734=-1),MAX($Q$8:Q734)+1,"")</f>
        <v/>
      </c>
    </row>
    <row r="736" spans="1:17" x14ac:dyDescent="0.3">
      <c r="A736" s="3">
        <v>41261</v>
      </c>
      <c r="B736" s="9">
        <v>10.527908</v>
      </c>
      <c r="C736" s="9">
        <v>10.104203</v>
      </c>
      <c r="E736" s="14">
        <f t="shared" si="81"/>
        <v>1.0419335399338276</v>
      </c>
      <c r="F736" s="18">
        <f t="shared" ca="1" si="80"/>
        <v>-0.56217198158156867</v>
      </c>
      <c r="G736" s="15">
        <f t="shared" ca="1" si="85"/>
        <v>1.0466499241432807</v>
      </c>
      <c r="H736" s="15">
        <f t="shared" ca="1" si="86"/>
        <v>8.3895753683497255E-3</v>
      </c>
      <c r="J736" s="17">
        <f t="shared" ca="1" si="82"/>
        <v>0</v>
      </c>
      <c r="K736" s="24">
        <f t="shared" ca="1" si="83"/>
        <v>-1</v>
      </c>
      <c r="L736" s="17">
        <f t="shared" ca="1" si="84"/>
        <v>-1</v>
      </c>
      <c r="N736" s="24" t="str">
        <f ca="1">IF(AND(L736=1,L735&lt;&gt;1),MAX($N$8:N735)+1,"")</f>
        <v/>
      </c>
      <c r="O736" s="24" t="str">
        <f ca="1">IF(AND(L736&lt;&gt;1,L735=1),MAX($O$8:O735)+1,"")</f>
        <v/>
      </c>
      <c r="P736" s="17" t="str">
        <f ca="1">IF(AND(L736=-1,L735&lt;&gt;-1),MAX($P$8:P735)+1,"")</f>
        <v/>
      </c>
      <c r="Q736" s="24" t="str">
        <f ca="1">IF(AND(L736&lt;&gt;-1,L735=-1),MAX($Q$8:Q735)+1,"")</f>
        <v/>
      </c>
    </row>
    <row r="737" spans="1:17" x14ac:dyDescent="0.3">
      <c r="A737" s="3">
        <v>41262</v>
      </c>
      <c r="B737" s="9">
        <v>10.899222</v>
      </c>
      <c r="C737" s="9">
        <v>10.354238</v>
      </c>
      <c r="E737" s="14">
        <f t="shared" si="81"/>
        <v>1.052633907005035</v>
      </c>
      <c r="F737" s="18">
        <f t="shared" ca="1" si="80"/>
        <v>0.66900438956926411</v>
      </c>
      <c r="G737" s="15">
        <f t="shared" ca="1" si="85"/>
        <v>1.0469619486866912</v>
      </c>
      <c r="H737" s="15">
        <f t="shared" ca="1" si="86"/>
        <v>8.4782079262523836E-3</v>
      </c>
      <c r="J737" s="17">
        <f t="shared" ca="1" si="82"/>
        <v>0</v>
      </c>
      <c r="K737" s="24">
        <f t="shared" ca="1" si="83"/>
        <v>0</v>
      </c>
      <c r="L737" s="17">
        <f t="shared" ca="1" si="84"/>
        <v>0</v>
      </c>
      <c r="N737" s="24" t="str">
        <f ca="1">IF(AND(L737=1,L736&lt;&gt;1),MAX($N$8:N736)+1,"")</f>
        <v/>
      </c>
      <c r="O737" s="24" t="str">
        <f ca="1">IF(AND(L737&lt;&gt;1,L736=1),MAX($O$8:O736)+1,"")</f>
        <v/>
      </c>
      <c r="P737" s="17" t="str">
        <f ca="1">IF(AND(L737=-1,L736&lt;&gt;-1),MAX($P$8:P736)+1,"")</f>
        <v/>
      </c>
      <c r="Q737" s="24">
        <f ca="1">IF(AND(L737&lt;&gt;-1,L736=-1),MAX($Q$8:Q736)+1,"")</f>
        <v>30</v>
      </c>
    </row>
    <row r="738" spans="1:17" x14ac:dyDescent="0.3">
      <c r="A738" s="3">
        <v>41263</v>
      </c>
      <c r="B738" s="9">
        <v>10.851212</v>
      </c>
      <c r="C738" s="9">
        <v>10.253064999999999</v>
      </c>
      <c r="E738" s="14">
        <f t="shared" si="81"/>
        <v>1.0583383602854366</v>
      </c>
      <c r="F738" s="18">
        <f t="shared" ca="1" si="80"/>
        <v>1.2939521177329689</v>
      </c>
      <c r="G738" s="15">
        <f t="shared" ca="1" si="85"/>
        <v>1.0471292300119948</v>
      </c>
      <c r="H738" s="15">
        <f t="shared" ca="1" si="86"/>
        <v>8.6627087044615428E-3</v>
      </c>
      <c r="J738" s="17">
        <f t="shared" ca="1" si="82"/>
        <v>1</v>
      </c>
      <c r="K738" s="24">
        <f t="shared" ca="1" si="83"/>
        <v>0</v>
      </c>
      <c r="L738" s="17">
        <f t="shared" ca="1" si="84"/>
        <v>1</v>
      </c>
      <c r="N738" s="24">
        <f ca="1">IF(AND(L738=1,L737&lt;&gt;1),MAX($N$8:N737)+1,"")</f>
        <v>21</v>
      </c>
      <c r="O738" s="24" t="str">
        <f ca="1">IF(AND(L738&lt;&gt;1,L737=1),MAX($O$8:O737)+1,"")</f>
        <v/>
      </c>
      <c r="P738" s="17" t="str">
        <f ca="1">IF(AND(L738=-1,L737&lt;&gt;-1),MAX($P$8:P737)+1,"")</f>
        <v/>
      </c>
      <c r="Q738" s="24" t="str">
        <f ca="1">IF(AND(L738&lt;&gt;-1,L737=-1),MAX($Q$8:Q737)+1,"")</f>
        <v/>
      </c>
    </row>
    <row r="739" spans="1:17" x14ac:dyDescent="0.3">
      <c r="A739" s="3">
        <v>41264</v>
      </c>
      <c r="B739" s="9">
        <v>10.912018</v>
      </c>
      <c r="C739" s="9">
        <v>10.213778</v>
      </c>
      <c r="E739" s="14">
        <f t="shared" si="81"/>
        <v>1.0683625588885914</v>
      </c>
      <c r="F739" s="18">
        <f t="shared" ca="1" si="80"/>
        <v>2.0812465149035404</v>
      </c>
      <c r="G739" s="15">
        <f t="shared" ca="1" si="85"/>
        <v>1.0481297420490618</v>
      </c>
      <c r="H739" s="15">
        <f t="shared" ca="1" si="86"/>
        <v>9.7214898353678823E-3</v>
      </c>
      <c r="J739" s="17">
        <f t="shared" ca="1" si="82"/>
        <v>1</v>
      </c>
      <c r="K739" s="24">
        <f t="shared" ca="1" si="83"/>
        <v>0</v>
      </c>
      <c r="L739" s="17">
        <f t="shared" ca="1" si="84"/>
        <v>1</v>
      </c>
      <c r="N739" s="24" t="str">
        <f ca="1">IF(AND(L739=1,L738&lt;&gt;1),MAX($N$8:N738)+1,"")</f>
        <v/>
      </c>
      <c r="O739" s="24" t="str">
        <f ca="1">IF(AND(L739&lt;&gt;1,L738=1),MAX($O$8:O738)+1,"")</f>
        <v/>
      </c>
      <c r="P739" s="17" t="str">
        <f ca="1">IF(AND(L739=-1,L738&lt;&gt;-1),MAX($P$8:P738)+1,"")</f>
        <v/>
      </c>
      <c r="Q739" s="24" t="str">
        <f ca="1">IF(AND(L739&lt;&gt;-1,L738=-1),MAX($Q$8:Q738)+1,"")</f>
        <v/>
      </c>
    </row>
    <row r="740" spans="1:17" x14ac:dyDescent="0.3">
      <c r="A740" s="3">
        <v>41269</v>
      </c>
      <c r="B740" s="9">
        <v>10.799963</v>
      </c>
      <c r="C740" s="9">
        <v>10.000234000000001</v>
      </c>
      <c r="E740" s="14">
        <f t="shared" si="81"/>
        <v>1.0799710286779289</v>
      </c>
      <c r="F740" s="18">
        <f t="shared" ca="1" si="80"/>
        <v>2.5809013772012066</v>
      </c>
      <c r="G740" s="15">
        <f t="shared" ca="1" si="85"/>
        <v>1.0496117405282908</v>
      </c>
      <c r="H740" s="15">
        <f t="shared" ca="1" si="86"/>
        <v>1.1763056278640348E-2</v>
      </c>
      <c r="J740" s="17">
        <f t="shared" ca="1" si="82"/>
        <v>1</v>
      </c>
      <c r="K740" s="24">
        <f t="shared" ca="1" si="83"/>
        <v>0</v>
      </c>
      <c r="L740" s="17">
        <f t="shared" ca="1" si="84"/>
        <v>1</v>
      </c>
      <c r="N740" s="24" t="str">
        <f ca="1">IF(AND(L740=1,L739&lt;&gt;1),MAX($N$8:N739)+1,"")</f>
        <v/>
      </c>
      <c r="O740" s="24" t="str">
        <f ca="1">IF(AND(L740&lt;&gt;1,L739=1),MAX($O$8:O739)+1,"")</f>
        <v/>
      </c>
      <c r="P740" s="17" t="str">
        <f ca="1">IF(AND(L740=-1,L739&lt;&gt;-1),MAX($P$8:P739)+1,"")</f>
        <v/>
      </c>
      <c r="Q740" s="24" t="str">
        <f ca="1">IF(AND(L740&lt;&gt;-1,L739=-1),MAX($Q$8:Q739)+1,"")</f>
        <v/>
      </c>
    </row>
    <row r="741" spans="1:17" x14ac:dyDescent="0.3">
      <c r="A741" s="3">
        <v>41270</v>
      </c>
      <c r="B741" s="9">
        <v>10.620771</v>
      </c>
      <c r="C741" s="9">
        <v>9.8176950000000005</v>
      </c>
      <c r="E741" s="14">
        <f t="shared" si="81"/>
        <v>1.0817988336366122</v>
      </c>
      <c r="F741" s="18">
        <f t="shared" ca="1" si="80"/>
        <v>2.2650954213784575</v>
      </c>
      <c r="G741" s="15">
        <f t="shared" ca="1" si="85"/>
        <v>1.0511730288426506</v>
      </c>
      <c r="H741" s="15">
        <f t="shared" ca="1" si="86"/>
        <v>1.3520757008693174E-2</v>
      </c>
      <c r="J741" s="17">
        <f t="shared" ca="1" si="82"/>
        <v>1</v>
      </c>
      <c r="K741" s="24">
        <f t="shared" ca="1" si="83"/>
        <v>0</v>
      </c>
      <c r="L741" s="17">
        <f t="shared" ca="1" si="84"/>
        <v>1</v>
      </c>
      <c r="N741" s="24" t="str">
        <f ca="1">IF(AND(L741=1,L740&lt;&gt;1),MAX($N$8:N740)+1,"")</f>
        <v/>
      </c>
      <c r="O741" s="24" t="str">
        <f ca="1">IF(AND(L741&lt;&gt;1,L740=1),MAX($O$8:O740)+1,"")</f>
        <v/>
      </c>
      <c r="P741" s="17" t="str">
        <f ca="1">IF(AND(L741=-1,L740&lt;&gt;-1),MAX($P$8:P740)+1,"")</f>
        <v/>
      </c>
      <c r="Q741" s="24" t="str">
        <f ca="1">IF(AND(L741&lt;&gt;-1,L740=-1),MAX($Q$8:Q740)+1,"")</f>
        <v/>
      </c>
    </row>
    <row r="742" spans="1:17" x14ac:dyDescent="0.3">
      <c r="A742" s="3">
        <v>41271</v>
      </c>
      <c r="B742" s="9">
        <v>10.681578999999999</v>
      </c>
      <c r="C742" s="9">
        <v>9.8794509999999995</v>
      </c>
      <c r="E742" s="14">
        <f t="shared" si="81"/>
        <v>1.0811915560895033</v>
      </c>
      <c r="F742" s="18">
        <f t="shared" ca="1" si="80"/>
        <v>1.9267254665593776</v>
      </c>
      <c r="G742" s="15">
        <f t="shared" ca="1" si="85"/>
        <v>1.053136436568137</v>
      </c>
      <c r="H742" s="15">
        <f t="shared" ca="1" si="86"/>
        <v>1.4561036332521897E-2</v>
      </c>
      <c r="J742" s="17">
        <f t="shared" ca="1" si="82"/>
        <v>1</v>
      </c>
      <c r="K742" s="24">
        <f t="shared" ca="1" si="83"/>
        <v>0</v>
      </c>
      <c r="L742" s="17">
        <f t="shared" ca="1" si="84"/>
        <v>1</v>
      </c>
      <c r="N742" s="24" t="str">
        <f ca="1">IF(AND(L742=1,L741&lt;&gt;1),MAX($N$8:N741)+1,"")</f>
        <v/>
      </c>
      <c r="O742" s="24" t="str">
        <f ca="1">IF(AND(L742&lt;&gt;1,L741=1),MAX($O$8:O741)+1,"")</f>
        <v/>
      </c>
      <c r="P742" s="17" t="str">
        <f ca="1">IF(AND(L742=-1,L741&lt;&gt;-1),MAX($P$8:P741)+1,"")</f>
        <v/>
      </c>
      <c r="Q742" s="24" t="str">
        <f ca="1">IF(AND(L742&lt;&gt;-1,L741=-1),MAX($Q$8:Q741)+1,"")</f>
        <v/>
      </c>
    </row>
    <row r="743" spans="1:17" x14ac:dyDescent="0.3">
      <c r="A743" s="3">
        <v>41276</v>
      </c>
      <c r="B743" s="9">
        <v>11.047770999999999</v>
      </c>
      <c r="C743" s="9">
        <v>10.109807999999999</v>
      </c>
      <c r="E743" s="14">
        <f t="shared" si="81"/>
        <v>1.0927775285148837</v>
      </c>
      <c r="F743" s="18">
        <f t="shared" ca="1" si="80"/>
        <v>2.2753609295624289</v>
      </c>
      <c r="G743" s="15">
        <f t="shared" ca="1" si="85"/>
        <v>1.0556380025662884</v>
      </c>
      <c r="H743" s="15">
        <f t="shared" ca="1" si="86"/>
        <v>1.6322476784260166E-2</v>
      </c>
      <c r="J743" s="17">
        <f t="shared" ca="1" si="82"/>
        <v>1</v>
      </c>
      <c r="K743" s="24">
        <f t="shared" ca="1" si="83"/>
        <v>0</v>
      </c>
      <c r="L743" s="17">
        <f t="shared" ca="1" si="84"/>
        <v>1</v>
      </c>
      <c r="N743" s="24" t="str">
        <f ca="1">IF(AND(L743=1,L742&lt;&gt;1),MAX($N$8:N742)+1,"")</f>
        <v/>
      </c>
      <c r="O743" s="24" t="str">
        <f ca="1">IF(AND(L743&lt;&gt;1,L742=1),MAX($O$8:O742)+1,"")</f>
        <v/>
      </c>
      <c r="P743" s="17" t="str">
        <f ca="1">IF(AND(L743=-1,L742&lt;&gt;-1),MAX($P$8:P742)+1,"")</f>
        <v/>
      </c>
      <c r="Q743" s="24" t="str">
        <f ca="1">IF(AND(L743&lt;&gt;-1,L742=-1),MAX($Q$8:Q742)+1,"")</f>
        <v/>
      </c>
    </row>
    <row r="744" spans="1:17" x14ac:dyDescent="0.3">
      <c r="A744" s="3">
        <v>41277</v>
      </c>
      <c r="B744" s="9">
        <v>11.377791</v>
      </c>
      <c r="C744" s="9">
        <v>10.720328</v>
      </c>
      <c r="E744" s="14">
        <f t="shared" si="81"/>
        <v>1.0613286272584197</v>
      </c>
      <c r="F744" s="18">
        <f t="shared" ca="1" si="80"/>
        <v>0.31601179634473414</v>
      </c>
      <c r="G744" s="15">
        <f t="shared" ca="1" si="85"/>
        <v>1.056175660604824</v>
      </c>
      <c r="H744" s="15">
        <f t="shared" ca="1" si="86"/>
        <v>1.630624778315028E-2</v>
      </c>
      <c r="J744" s="17">
        <f t="shared" ca="1" si="82"/>
        <v>1</v>
      </c>
      <c r="K744" s="24">
        <f t="shared" ca="1" si="83"/>
        <v>0</v>
      </c>
      <c r="L744" s="17">
        <f t="shared" ca="1" si="84"/>
        <v>1</v>
      </c>
      <c r="N744" s="24" t="str">
        <f ca="1">IF(AND(L744=1,L743&lt;&gt;1),MAX($N$8:N743)+1,"")</f>
        <v/>
      </c>
      <c r="O744" s="24" t="str">
        <f ca="1">IF(AND(L744&lt;&gt;1,L743=1),MAX($O$8:O743)+1,"")</f>
        <v/>
      </c>
      <c r="P744" s="17" t="str">
        <f ca="1">IF(AND(L744=-1,L743&lt;&gt;-1),MAX($P$8:P743)+1,"")</f>
        <v/>
      </c>
      <c r="Q744" s="24" t="str">
        <f ca="1">IF(AND(L744&lt;&gt;-1,L743=-1),MAX($Q$8:Q743)+1,"")</f>
        <v/>
      </c>
    </row>
    <row r="745" spans="1:17" x14ac:dyDescent="0.3">
      <c r="A745" s="3">
        <v>41278</v>
      </c>
      <c r="B745" s="9">
        <v>11.310523</v>
      </c>
      <c r="C745" s="9">
        <v>10.540317999999999</v>
      </c>
      <c r="E745" s="14">
        <f t="shared" si="81"/>
        <v>1.0730722735310263</v>
      </c>
      <c r="F745" s="18">
        <f t="shared" ca="1" si="80"/>
        <v>0.9755542835968849</v>
      </c>
      <c r="G745" s="15">
        <f t="shared" ca="1" si="85"/>
        <v>1.0568050217051448</v>
      </c>
      <c r="H745" s="15">
        <f t="shared" ca="1" si="86"/>
        <v>1.6674881243823648E-2</v>
      </c>
      <c r="J745" s="17">
        <f t="shared" ca="1" si="82"/>
        <v>1</v>
      </c>
      <c r="K745" s="24">
        <f t="shared" ca="1" si="83"/>
        <v>0</v>
      </c>
      <c r="L745" s="17">
        <f t="shared" ca="1" si="84"/>
        <v>1</v>
      </c>
      <c r="N745" s="24" t="str">
        <f ca="1">IF(AND(L745=1,L744&lt;&gt;1),MAX($N$8:N744)+1,"")</f>
        <v/>
      </c>
      <c r="O745" s="24" t="str">
        <f ca="1">IF(AND(L745&lt;&gt;1,L744=1),MAX($O$8:O744)+1,"")</f>
        <v/>
      </c>
      <c r="P745" s="17" t="str">
        <f ca="1">IF(AND(L745=-1,L744&lt;&gt;-1),MAX($P$8:P744)+1,"")</f>
        <v/>
      </c>
      <c r="Q745" s="24" t="str">
        <f ca="1">IF(AND(L745&lt;&gt;-1,L744=-1),MAX($Q$8:Q744)+1,"")</f>
        <v/>
      </c>
    </row>
    <row r="746" spans="1:17" x14ac:dyDescent="0.3">
      <c r="A746" s="3">
        <v>41281</v>
      </c>
      <c r="B746" s="9">
        <v>11.118277000000001</v>
      </c>
      <c r="C746" s="9">
        <v>10.486908</v>
      </c>
      <c r="E746" s="14">
        <f t="shared" si="81"/>
        <v>1.0602054485459396</v>
      </c>
      <c r="F746" s="18">
        <f t="shared" ca="1" si="80"/>
        <v>0.13533990194818077</v>
      </c>
      <c r="G746" s="15">
        <f t="shared" ca="1" si="85"/>
        <v>1.0580651007508253</v>
      </c>
      <c r="H746" s="15">
        <f t="shared" ca="1" si="86"/>
        <v>1.5814610209587677E-2</v>
      </c>
      <c r="J746" s="17">
        <f t="shared" ca="1" si="82"/>
        <v>1</v>
      </c>
      <c r="K746" s="24">
        <f t="shared" ca="1" si="83"/>
        <v>0</v>
      </c>
      <c r="L746" s="17">
        <f t="shared" ca="1" si="84"/>
        <v>1</v>
      </c>
      <c r="N746" s="24" t="str">
        <f ca="1">IF(AND(L746=1,L745&lt;&gt;1),MAX($N$8:N745)+1,"")</f>
        <v/>
      </c>
      <c r="O746" s="24" t="str">
        <f ca="1">IF(AND(L746&lt;&gt;1,L745=1),MAX($O$8:O745)+1,"")</f>
        <v/>
      </c>
      <c r="P746" s="17" t="str">
        <f ca="1">IF(AND(L746=-1,L745&lt;&gt;-1),MAX($P$8:P745)+1,"")</f>
        <v/>
      </c>
      <c r="Q746" s="24" t="str">
        <f ca="1">IF(AND(L746&lt;&gt;-1,L745=-1),MAX($Q$8:Q745)+1,"")</f>
        <v/>
      </c>
    </row>
    <row r="747" spans="1:17" x14ac:dyDescent="0.3">
      <c r="A747" s="3">
        <v>41282</v>
      </c>
      <c r="B747" s="9">
        <v>11.163100999999999</v>
      </c>
      <c r="C747" s="9">
        <v>10.523427</v>
      </c>
      <c r="E747" s="14">
        <f t="shared" si="81"/>
        <v>1.0607857117267976</v>
      </c>
      <c r="F747" s="18">
        <f t="shared" ca="1" si="80"/>
        <v>0.14847587537692222</v>
      </c>
      <c r="G747" s="15">
        <f t="shared" ca="1" si="85"/>
        <v>1.0584434205659912</v>
      </c>
      <c r="H747" s="15">
        <f t="shared" ca="1" si="86"/>
        <v>1.5775567275560815E-2</v>
      </c>
      <c r="J747" s="17">
        <f t="shared" ca="1" si="82"/>
        <v>1</v>
      </c>
      <c r="K747" s="24">
        <f t="shared" ca="1" si="83"/>
        <v>0</v>
      </c>
      <c r="L747" s="17">
        <f t="shared" ca="1" si="84"/>
        <v>1</v>
      </c>
      <c r="N747" s="24" t="str">
        <f ca="1">IF(AND(L747=1,L746&lt;&gt;1),MAX($N$8:N746)+1,"")</f>
        <v/>
      </c>
      <c r="O747" s="24" t="str">
        <f ca="1">IF(AND(L747&lt;&gt;1,L746=1),MAX($O$8:O746)+1,"")</f>
        <v/>
      </c>
      <c r="P747" s="17" t="str">
        <f ca="1">IF(AND(L747=-1,L746&lt;&gt;-1),MAX($P$8:P746)+1,"")</f>
        <v/>
      </c>
      <c r="Q747" s="24" t="str">
        <f ca="1">IF(AND(L747&lt;&gt;-1,L746=-1),MAX($Q$8:Q746)+1,"")</f>
        <v/>
      </c>
    </row>
    <row r="748" spans="1:17" x14ac:dyDescent="0.3">
      <c r="A748" s="3">
        <v>41283</v>
      </c>
      <c r="B748" s="9">
        <v>11.342536000000001</v>
      </c>
      <c r="C748" s="9">
        <v>10.658434</v>
      </c>
      <c r="E748" s="14">
        <f t="shared" si="81"/>
        <v>1.0641841005911377</v>
      </c>
      <c r="F748" s="18">
        <f t="shared" ca="1" si="80"/>
        <v>0.33413844189836045</v>
      </c>
      <c r="G748" s="15">
        <f t="shared" ca="1" si="85"/>
        <v>1.0589090747997432</v>
      </c>
      <c r="H748" s="15">
        <f t="shared" ca="1" si="86"/>
        <v>1.5786946756036747E-2</v>
      </c>
      <c r="J748" s="17">
        <f t="shared" ca="1" si="82"/>
        <v>1</v>
      </c>
      <c r="K748" s="24">
        <f t="shared" ca="1" si="83"/>
        <v>0</v>
      </c>
      <c r="L748" s="17">
        <f t="shared" ca="1" si="84"/>
        <v>1</v>
      </c>
      <c r="N748" s="24" t="str">
        <f ca="1">IF(AND(L748=1,L747&lt;&gt;1),MAX($N$8:N747)+1,"")</f>
        <v/>
      </c>
      <c r="O748" s="24" t="str">
        <f ca="1">IF(AND(L748&lt;&gt;1,L747=1),MAX($O$8:O747)+1,"")</f>
        <v/>
      </c>
      <c r="P748" s="17" t="str">
        <f ca="1">IF(AND(L748=-1,L747&lt;&gt;-1),MAX($P$8:P747)+1,"")</f>
        <v/>
      </c>
      <c r="Q748" s="24" t="str">
        <f ca="1">IF(AND(L748&lt;&gt;-1,L747=-1),MAX($Q$8:Q747)+1,"")</f>
        <v/>
      </c>
    </row>
    <row r="749" spans="1:17" x14ac:dyDescent="0.3">
      <c r="A749" s="3">
        <v>41284</v>
      </c>
      <c r="B749" s="9">
        <v>11.198352999999999</v>
      </c>
      <c r="C749" s="9">
        <v>10.517821</v>
      </c>
      <c r="E749" s="14">
        <f t="shared" si="81"/>
        <v>1.0647027554471595</v>
      </c>
      <c r="F749" s="18">
        <f t="shared" ca="1" si="80"/>
        <v>0.3111856354895593</v>
      </c>
      <c r="G749" s="15">
        <f t="shared" ca="1" si="85"/>
        <v>1.0599011451161076</v>
      </c>
      <c r="H749" s="15">
        <f t="shared" ca="1" si="86"/>
        <v>1.5430051337357042E-2</v>
      </c>
      <c r="J749" s="17">
        <f t="shared" ca="1" si="82"/>
        <v>1</v>
      </c>
      <c r="K749" s="24">
        <f t="shared" ca="1" si="83"/>
        <v>0</v>
      </c>
      <c r="L749" s="17">
        <f t="shared" ca="1" si="84"/>
        <v>1</v>
      </c>
      <c r="N749" s="24" t="str">
        <f ca="1">IF(AND(L749=1,L748&lt;&gt;1),MAX($N$8:N748)+1,"")</f>
        <v/>
      </c>
      <c r="O749" s="24" t="str">
        <f ca="1">IF(AND(L749&lt;&gt;1,L748=1),MAX($O$8:O748)+1,"")</f>
        <v/>
      </c>
      <c r="P749" s="17" t="str">
        <f ca="1">IF(AND(L749=-1,L748&lt;&gt;-1),MAX($P$8:P748)+1,"")</f>
        <v/>
      </c>
      <c r="Q749" s="24" t="str">
        <f ca="1">IF(AND(L749&lt;&gt;-1,L748=-1),MAX($Q$8:Q748)+1,"")</f>
        <v/>
      </c>
    </row>
    <row r="750" spans="1:17" x14ac:dyDescent="0.3">
      <c r="A750" s="3">
        <v>41285</v>
      </c>
      <c r="B750" s="9">
        <v>11.227206000000001</v>
      </c>
      <c r="C750" s="9">
        <v>10.481294</v>
      </c>
      <c r="E750" s="14">
        <f t="shared" si="81"/>
        <v>1.0711660220579635</v>
      </c>
      <c r="F750" s="18">
        <f t="shared" ca="1" si="80"/>
        <v>0.69303290537573492</v>
      </c>
      <c r="G750" s="15">
        <f t="shared" ca="1" si="85"/>
        <v>1.0603501445710473</v>
      </c>
      <c r="H750" s="15">
        <f t="shared" ca="1" si="86"/>
        <v>1.5606585781164778E-2</v>
      </c>
      <c r="J750" s="17">
        <f t="shared" ca="1" si="82"/>
        <v>1</v>
      </c>
      <c r="K750" s="24">
        <f t="shared" ca="1" si="83"/>
        <v>0</v>
      </c>
      <c r="L750" s="17">
        <f t="shared" ca="1" si="84"/>
        <v>1</v>
      </c>
      <c r="N750" s="24" t="str">
        <f ca="1">IF(AND(L750=1,L749&lt;&gt;1),MAX($N$8:N749)+1,"")</f>
        <v/>
      </c>
      <c r="O750" s="24" t="str">
        <f ca="1">IF(AND(L750&lt;&gt;1,L749=1),MAX($O$8:O749)+1,"")</f>
        <v/>
      </c>
      <c r="P750" s="17" t="str">
        <f ca="1">IF(AND(L750=-1,L749&lt;&gt;-1),MAX($P$8:P749)+1,"")</f>
        <v/>
      </c>
      <c r="Q750" s="24" t="str">
        <f ca="1">IF(AND(L750&lt;&gt;-1,L749=-1),MAX($Q$8:Q749)+1,"")</f>
        <v/>
      </c>
    </row>
    <row r="751" spans="1:17" x14ac:dyDescent="0.3">
      <c r="A751" s="3">
        <v>41288</v>
      </c>
      <c r="B751" s="9">
        <v>11.374623</v>
      </c>
      <c r="C751" s="9">
        <v>10.658434</v>
      </c>
      <c r="E751" s="14">
        <f t="shared" si="81"/>
        <v>1.0671945803670595</v>
      </c>
      <c r="F751" s="18">
        <f t="shared" ca="1" si="80"/>
        <v>0.42366055644598344</v>
      </c>
      <c r="G751" s="15">
        <f t="shared" ca="1" si="85"/>
        <v>1.0605576220283051</v>
      </c>
      <c r="H751" s="15">
        <f t="shared" ca="1" si="86"/>
        <v>1.5665745224032083E-2</v>
      </c>
      <c r="J751" s="17">
        <f t="shared" ca="1" si="82"/>
        <v>1</v>
      </c>
      <c r="K751" s="24">
        <f t="shared" ca="1" si="83"/>
        <v>0</v>
      </c>
      <c r="L751" s="17">
        <f t="shared" ca="1" si="84"/>
        <v>1</v>
      </c>
      <c r="N751" s="24" t="str">
        <f ca="1">IF(AND(L751=1,L750&lt;&gt;1),MAX($N$8:N750)+1,"")</f>
        <v/>
      </c>
      <c r="O751" s="24" t="str">
        <f ca="1">IF(AND(L751&lt;&gt;1,L750=1),MAX($O$8:O750)+1,"")</f>
        <v/>
      </c>
      <c r="P751" s="17" t="str">
        <f ca="1">IF(AND(L751=-1,L750&lt;&gt;-1),MAX($P$8:P750)+1,"")</f>
        <v/>
      </c>
      <c r="Q751" s="24" t="str">
        <f ca="1">IF(AND(L751&lt;&gt;-1,L750=-1),MAX($Q$8:Q750)+1,"")</f>
        <v/>
      </c>
    </row>
    <row r="752" spans="1:17" x14ac:dyDescent="0.3">
      <c r="A752" s="3">
        <v>41289</v>
      </c>
      <c r="B752" s="9">
        <v>11.223967999999999</v>
      </c>
      <c r="C752" s="9">
        <v>10.489715</v>
      </c>
      <c r="E752" s="14">
        <f t="shared" si="81"/>
        <v>1.0699974212836096</v>
      </c>
      <c r="F752" s="18">
        <f t="shared" ca="1" si="80"/>
        <v>0.54581544438756968</v>
      </c>
      <c r="G752" s="15">
        <f t="shared" ca="1" si="85"/>
        <v>1.0614875572527798</v>
      </c>
      <c r="H752" s="15">
        <f t="shared" ca="1" si="86"/>
        <v>1.5591101568000398E-2</v>
      </c>
      <c r="J752" s="17">
        <f t="shared" ca="1" si="82"/>
        <v>1</v>
      </c>
      <c r="K752" s="24">
        <f t="shared" ca="1" si="83"/>
        <v>0</v>
      </c>
      <c r="L752" s="17">
        <f t="shared" ca="1" si="84"/>
        <v>1</v>
      </c>
      <c r="N752" s="24" t="str">
        <f ca="1">IF(AND(L752=1,L751&lt;&gt;1),MAX($N$8:N751)+1,"")</f>
        <v/>
      </c>
      <c r="O752" s="24" t="str">
        <f ca="1">IF(AND(L752&lt;&gt;1,L751=1),MAX($O$8:O751)+1,"")</f>
        <v/>
      </c>
      <c r="P752" s="17" t="str">
        <f ca="1">IF(AND(L752=-1,L751&lt;&gt;-1),MAX($P$8:P751)+1,"")</f>
        <v/>
      </c>
      <c r="Q752" s="24" t="str">
        <f ca="1">IF(AND(L752&lt;&gt;-1,L751=-1),MAX($Q$8:Q751)+1,"")</f>
        <v/>
      </c>
    </row>
    <row r="753" spans="1:17" x14ac:dyDescent="0.3">
      <c r="A753" s="3">
        <v>41290</v>
      </c>
      <c r="B753" s="9">
        <v>11.323326</v>
      </c>
      <c r="C753" s="9">
        <v>10.543127</v>
      </c>
      <c r="E753" s="14">
        <f t="shared" si="81"/>
        <v>1.0740007210384548</v>
      </c>
      <c r="F753" s="18">
        <f t="shared" ca="1" si="80"/>
        <v>0.73279283138820495</v>
      </c>
      <c r="G753" s="15">
        <f t="shared" ca="1" si="85"/>
        <v>1.0625756951745402</v>
      </c>
      <c r="H753" s="15">
        <f t="shared" ca="1" si="86"/>
        <v>1.5591072093692539E-2</v>
      </c>
      <c r="J753" s="17">
        <f t="shared" ca="1" si="82"/>
        <v>1</v>
      </c>
      <c r="K753" s="24">
        <f t="shared" ca="1" si="83"/>
        <v>0</v>
      </c>
      <c r="L753" s="17">
        <f t="shared" ca="1" si="84"/>
        <v>1</v>
      </c>
      <c r="N753" s="24" t="str">
        <f ca="1">IF(AND(L753=1,L752&lt;&gt;1),MAX($N$8:N752)+1,"")</f>
        <v/>
      </c>
      <c r="O753" s="24" t="str">
        <f ca="1">IF(AND(L753&lt;&gt;1,L752=1),MAX($O$8:O752)+1,"")</f>
        <v/>
      </c>
      <c r="P753" s="17" t="str">
        <f ca="1">IF(AND(L753=-1,L752&lt;&gt;-1),MAX($P$8:P752)+1,"")</f>
        <v/>
      </c>
      <c r="Q753" s="24" t="str">
        <f ca="1">IF(AND(L753&lt;&gt;-1,L752=-1),MAX($Q$8:Q752)+1,"")</f>
        <v/>
      </c>
    </row>
    <row r="754" spans="1:17" x14ac:dyDescent="0.3">
      <c r="A754" s="3">
        <v>41291</v>
      </c>
      <c r="B754" s="9">
        <v>11.515574000000001</v>
      </c>
      <c r="C754" s="9">
        <v>10.717525</v>
      </c>
      <c r="E754" s="14">
        <f t="shared" si="81"/>
        <v>1.0744620609702333</v>
      </c>
      <c r="F754" s="18">
        <f t="shared" ca="1" si="80"/>
        <v>0.68987843351012323</v>
      </c>
      <c r="G754" s="15">
        <f t="shared" ca="1" si="85"/>
        <v>1.063925826452089</v>
      </c>
      <c r="H754" s="15">
        <f t="shared" ca="1" si="86"/>
        <v>1.5272595875385819E-2</v>
      </c>
      <c r="J754" s="17">
        <f t="shared" ca="1" si="82"/>
        <v>1</v>
      </c>
      <c r="K754" s="24">
        <f t="shared" ca="1" si="83"/>
        <v>0</v>
      </c>
      <c r="L754" s="17">
        <f t="shared" ca="1" si="84"/>
        <v>1</v>
      </c>
      <c r="N754" s="24" t="str">
        <f ca="1">IF(AND(L754=1,L753&lt;&gt;1),MAX($N$8:N753)+1,"")</f>
        <v/>
      </c>
      <c r="O754" s="24" t="str">
        <f ca="1">IF(AND(L754&lt;&gt;1,L753=1),MAX($O$8:O753)+1,"")</f>
        <v/>
      </c>
      <c r="P754" s="17" t="str">
        <f ca="1">IF(AND(L754=-1,L753&lt;&gt;-1),MAX($P$8:P753)+1,"")</f>
        <v/>
      </c>
      <c r="Q754" s="24" t="str">
        <f ca="1">IF(AND(L754&lt;&gt;-1,L753=-1),MAX($Q$8:Q753)+1,"")</f>
        <v/>
      </c>
    </row>
    <row r="755" spans="1:17" x14ac:dyDescent="0.3">
      <c r="A755" s="3">
        <v>41292</v>
      </c>
      <c r="B755" s="9">
        <v>11.553991999999999</v>
      </c>
      <c r="C755" s="9">
        <v>10.756850999999999</v>
      </c>
      <c r="E755" s="14">
        <f t="shared" si="81"/>
        <v>1.0741054236039898</v>
      </c>
      <c r="F755" s="18">
        <f t="shared" ca="1" si="80"/>
        <v>0.5968246913407188</v>
      </c>
      <c r="G755" s="15">
        <f t="shared" ca="1" si="85"/>
        <v>1.0655727470728771</v>
      </c>
      <c r="H755" s="15">
        <f t="shared" ca="1" si="86"/>
        <v>1.4296788747035076E-2</v>
      </c>
      <c r="J755" s="17">
        <f t="shared" ca="1" si="82"/>
        <v>1</v>
      </c>
      <c r="K755" s="24">
        <f t="shared" ca="1" si="83"/>
        <v>0</v>
      </c>
      <c r="L755" s="17">
        <f t="shared" ca="1" si="84"/>
        <v>1</v>
      </c>
      <c r="N755" s="24" t="str">
        <f ca="1">IF(AND(L755=1,L754&lt;&gt;1),MAX($N$8:N754)+1,"")</f>
        <v/>
      </c>
      <c r="O755" s="24" t="str">
        <f ca="1">IF(AND(L755&lt;&gt;1,L754=1),MAX($O$8:O754)+1,"")</f>
        <v/>
      </c>
      <c r="P755" s="17" t="str">
        <f ca="1">IF(AND(L755=-1,L754&lt;&gt;-1),MAX($P$8:P754)+1,"")</f>
        <v/>
      </c>
      <c r="Q755" s="24" t="str">
        <f ca="1">IF(AND(L755&lt;&gt;-1,L754=-1),MAX($Q$8:Q754)+1,"")</f>
        <v/>
      </c>
    </row>
    <row r="756" spans="1:17" x14ac:dyDescent="0.3">
      <c r="A756" s="3">
        <v>41295</v>
      </c>
      <c r="B756" s="9">
        <v>11.470746</v>
      </c>
      <c r="C756" s="9">
        <v>10.711849000000001</v>
      </c>
      <c r="E756" s="14">
        <f t="shared" si="81"/>
        <v>1.0708464990497906</v>
      </c>
      <c r="F756" s="18">
        <f t="shared" ca="1" si="80"/>
        <v>0.28639344033917075</v>
      </c>
      <c r="G756" s="15">
        <f t="shared" ca="1" si="85"/>
        <v>1.0672653191357726</v>
      </c>
      <c r="H756" s="15">
        <f t="shared" ca="1" si="86"/>
        <v>1.2504406210480356E-2</v>
      </c>
      <c r="J756" s="17">
        <f t="shared" ca="1" si="82"/>
        <v>1</v>
      </c>
      <c r="K756" s="24">
        <f t="shared" ca="1" si="83"/>
        <v>0</v>
      </c>
      <c r="L756" s="17">
        <f t="shared" ca="1" si="84"/>
        <v>1</v>
      </c>
      <c r="N756" s="24" t="str">
        <f ca="1">IF(AND(L756=1,L755&lt;&gt;1),MAX($N$8:N755)+1,"")</f>
        <v/>
      </c>
      <c r="O756" s="24" t="str">
        <f ca="1">IF(AND(L756&lt;&gt;1,L755=1),MAX($O$8:O755)+1,"")</f>
        <v/>
      </c>
      <c r="P756" s="17" t="str">
        <f ca="1">IF(AND(L756=-1,L755&lt;&gt;-1),MAX($P$8:P755)+1,"")</f>
        <v/>
      </c>
      <c r="Q756" s="24" t="str">
        <f ca="1">IF(AND(L756&lt;&gt;-1,L755=-1),MAX($Q$8:Q755)+1,"")</f>
        <v/>
      </c>
    </row>
    <row r="757" spans="1:17" x14ac:dyDescent="0.3">
      <c r="A757" s="3">
        <v>41296</v>
      </c>
      <c r="B757" s="9">
        <v>11.470746</v>
      </c>
      <c r="C757" s="9">
        <v>10.711849000000001</v>
      </c>
      <c r="E757" s="14">
        <f t="shared" si="81"/>
        <v>1.0708464990497906</v>
      </c>
      <c r="F757" s="18">
        <f t="shared" ca="1" si="80"/>
        <v>0.1918104719174826</v>
      </c>
      <c r="G757" s="15">
        <f t="shared" ca="1" si="85"/>
        <v>1.0688138844342356</v>
      </c>
      <c r="H757" s="15">
        <f t="shared" ca="1" si="86"/>
        <v>1.0596995019278015E-2</v>
      </c>
      <c r="J757" s="17">
        <f t="shared" ca="1" si="82"/>
        <v>1</v>
      </c>
      <c r="K757" s="24">
        <f t="shared" ca="1" si="83"/>
        <v>0</v>
      </c>
      <c r="L757" s="17">
        <f t="shared" ca="1" si="84"/>
        <v>1</v>
      </c>
      <c r="N757" s="24" t="str">
        <f ca="1">IF(AND(L757=1,L756&lt;&gt;1),MAX($N$8:N756)+1,"")</f>
        <v/>
      </c>
      <c r="O757" s="24" t="str">
        <f ca="1">IF(AND(L757&lt;&gt;1,L756=1),MAX($O$8:O756)+1,"")</f>
        <v/>
      </c>
      <c r="P757" s="17" t="str">
        <f ca="1">IF(AND(L757=-1,L756&lt;&gt;-1),MAX($P$8:P756)+1,"")</f>
        <v/>
      </c>
      <c r="Q757" s="24" t="str">
        <f ca="1">IF(AND(L757&lt;&gt;-1,L756=-1),MAX($Q$8:Q756)+1,"")</f>
        <v/>
      </c>
    </row>
    <row r="758" spans="1:17" x14ac:dyDescent="0.3">
      <c r="A758" s="3">
        <v>41297</v>
      </c>
      <c r="B758" s="9">
        <v>11.438662000000001</v>
      </c>
      <c r="C758" s="9">
        <v>10.641541999999999</v>
      </c>
      <c r="E758" s="14">
        <f t="shared" si="81"/>
        <v>1.0749064374317181</v>
      </c>
      <c r="F758" s="18">
        <f t="shared" ca="1" si="80"/>
        <v>0.51718853874352777</v>
      </c>
      <c r="G758" s="15">
        <f t="shared" ca="1" si="85"/>
        <v>1.0703126525023217</v>
      </c>
      <c r="H758" s="15">
        <f t="shared" ca="1" si="86"/>
        <v>8.8822249243123361E-3</v>
      </c>
      <c r="J758" s="17">
        <f t="shared" ca="1" si="82"/>
        <v>1</v>
      </c>
      <c r="K758" s="24">
        <f t="shared" ca="1" si="83"/>
        <v>0</v>
      </c>
      <c r="L758" s="17">
        <f t="shared" ca="1" si="84"/>
        <v>1</v>
      </c>
      <c r="N758" s="24" t="str">
        <f ca="1">IF(AND(L758=1,L757&lt;&gt;1),MAX($N$8:N757)+1,"")</f>
        <v/>
      </c>
      <c r="O758" s="24" t="str">
        <f ca="1">IF(AND(L758&lt;&gt;1,L757=1),MAX($O$8:O757)+1,"")</f>
        <v/>
      </c>
      <c r="P758" s="17" t="str">
        <f ca="1">IF(AND(L758=-1,L757&lt;&gt;-1),MAX($P$8:P757)+1,"")</f>
        <v/>
      </c>
      <c r="Q758" s="24" t="str">
        <f ca="1">IF(AND(L758&lt;&gt;-1,L757=-1),MAX($Q$8:Q757)+1,"")</f>
        <v/>
      </c>
    </row>
    <row r="759" spans="1:17" x14ac:dyDescent="0.3">
      <c r="A759" s="3">
        <v>41298</v>
      </c>
      <c r="B759" s="9">
        <v>11.451466999999999</v>
      </c>
      <c r="C759" s="9">
        <v>10.616236000000001</v>
      </c>
      <c r="E759" s="14">
        <f t="shared" si="81"/>
        <v>1.0786748712067062</v>
      </c>
      <c r="F759" s="18">
        <f t="shared" ca="1" si="80"/>
        <v>0.88052040303669588</v>
      </c>
      <c r="G759" s="15">
        <f t="shared" ca="1" si="85"/>
        <v>1.0714963326933071</v>
      </c>
      <c r="H759" s="15">
        <f t="shared" ca="1" si="86"/>
        <v>8.1526089442585537E-3</v>
      </c>
      <c r="J759" s="17">
        <f t="shared" ca="1" si="82"/>
        <v>1</v>
      </c>
      <c r="K759" s="24">
        <f t="shared" ca="1" si="83"/>
        <v>0</v>
      </c>
      <c r="L759" s="17">
        <f t="shared" ca="1" si="84"/>
        <v>1</v>
      </c>
      <c r="N759" s="24" t="str">
        <f ca="1">IF(AND(L759=1,L758&lt;&gt;1),MAX($N$8:N758)+1,"")</f>
        <v/>
      </c>
      <c r="O759" s="24" t="str">
        <f ca="1">IF(AND(L759&lt;&gt;1,L758=1),MAX($O$8:O758)+1,"")</f>
        <v/>
      </c>
      <c r="P759" s="17" t="str">
        <f ca="1">IF(AND(L759=-1,L758&lt;&gt;-1),MAX($P$8:P758)+1,"")</f>
        <v/>
      </c>
      <c r="Q759" s="24" t="str">
        <f ca="1">IF(AND(L759&lt;&gt;-1,L758=-1),MAX($Q$8:Q758)+1,"")</f>
        <v/>
      </c>
    </row>
    <row r="760" spans="1:17" x14ac:dyDescent="0.3">
      <c r="A760" s="3">
        <v>41302</v>
      </c>
      <c r="B760" s="9">
        <v>11.150294000000001</v>
      </c>
      <c r="C760" s="9">
        <v>10.290008</v>
      </c>
      <c r="E760" s="14">
        <f t="shared" si="81"/>
        <v>1.0836040166343894</v>
      </c>
      <c r="F760" s="18">
        <f t="shared" ca="1" si="80"/>
        <v>1.3705489886952</v>
      </c>
      <c r="G760" s="15">
        <f t="shared" ca="1" si="85"/>
        <v>1.0726447716182592</v>
      </c>
      <c r="H760" s="15">
        <f t="shared" ca="1" si="86"/>
        <v>7.9962446483315529E-3</v>
      </c>
      <c r="J760" s="17">
        <f t="shared" ca="1" si="82"/>
        <v>1</v>
      </c>
      <c r="K760" s="24">
        <f t="shared" ca="1" si="83"/>
        <v>0</v>
      </c>
      <c r="L760" s="17">
        <f t="shared" ca="1" si="84"/>
        <v>1</v>
      </c>
      <c r="N760" s="24" t="str">
        <f ca="1">IF(AND(L760=1,L759&lt;&gt;1),MAX($N$8:N759)+1,"")</f>
        <v/>
      </c>
      <c r="O760" s="24" t="str">
        <f ca="1">IF(AND(L760&lt;&gt;1,L759=1),MAX($O$8:O759)+1,"")</f>
        <v/>
      </c>
      <c r="P760" s="17" t="str">
        <f ca="1">IF(AND(L760=-1,L759&lt;&gt;-1),MAX($P$8:P759)+1,"")</f>
        <v/>
      </c>
      <c r="Q760" s="24" t="str">
        <f ca="1">IF(AND(L760&lt;&gt;-1,L759=-1),MAX($Q$8:Q759)+1,"")</f>
        <v/>
      </c>
    </row>
    <row r="761" spans="1:17" x14ac:dyDescent="0.3">
      <c r="A761" s="3">
        <v>41303</v>
      </c>
      <c r="B761" s="9">
        <v>11.13425</v>
      </c>
      <c r="C761" s="9">
        <v>10.171897</v>
      </c>
      <c r="E761" s="14">
        <f t="shared" si="81"/>
        <v>1.0946089996782311</v>
      </c>
      <c r="F761" s="18">
        <f t="shared" ca="1" si="80"/>
        <v>2.2715819524843717</v>
      </c>
      <c r="G761" s="15">
        <f t="shared" ca="1" si="85"/>
        <v>1.0738377916541519</v>
      </c>
      <c r="H761" s="15">
        <f t="shared" ca="1" si="86"/>
        <v>9.1439395357769179E-3</v>
      </c>
      <c r="J761" s="17">
        <f t="shared" ca="1" si="82"/>
        <v>1</v>
      </c>
      <c r="K761" s="24">
        <f t="shared" ca="1" si="83"/>
        <v>0</v>
      </c>
      <c r="L761" s="17">
        <f t="shared" ca="1" si="84"/>
        <v>1</v>
      </c>
      <c r="N761" s="24" t="str">
        <f ca="1">IF(AND(L761=1,L760&lt;&gt;1),MAX($N$8:N760)+1,"")</f>
        <v/>
      </c>
      <c r="O761" s="24" t="str">
        <f ca="1">IF(AND(L761&lt;&gt;1,L760=1),MAX($O$8:O760)+1,"")</f>
        <v/>
      </c>
      <c r="P761" s="17" t="str">
        <f ca="1">IF(AND(L761=-1,L760&lt;&gt;-1),MAX($P$8:P760)+1,"")</f>
        <v/>
      </c>
      <c r="Q761" s="24" t="str">
        <f ca="1">IF(AND(L761&lt;&gt;-1,L760=-1),MAX($Q$8:Q760)+1,"")</f>
        <v/>
      </c>
    </row>
    <row r="762" spans="1:17" x14ac:dyDescent="0.3">
      <c r="A762" s="3">
        <v>41304</v>
      </c>
      <c r="B762" s="9">
        <v>10.922802000000001</v>
      </c>
      <c r="C762" s="9">
        <v>10.067867</v>
      </c>
      <c r="E762" s="14">
        <f t="shared" si="81"/>
        <v>1.0849171924897301</v>
      </c>
      <c r="F762" s="18">
        <f t="shared" ca="1" si="80"/>
        <v>1.160861193944716</v>
      </c>
      <c r="G762" s="15">
        <f t="shared" ca="1" si="85"/>
        <v>1.0740626172819612</v>
      </c>
      <c r="H762" s="15">
        <f t="shared" ca="1" si="86"/>
        <v>9.3504505658286493E-3</v>
      </c>
      <c r="J762" s="17">
        <f t="shared" ca="1" si="82"/>
        <v>1</v>
      </c>
      <c r="K762" s="24">
        <f t="shared" ca="1" si="83"/>
        <v>0</v>
      </c>
      <c r="L762" s="17">
        <f t="shared" ca="1" si="84"/>
        <v>1</v>
      </c>
      <c r="N762" s="24" t="str">
        <f ca="1">IF(AND(L762=1,L761&lt;&gt;1),MAX($N$8:N761)+1,"")</f>
        <v/>
      </c>
      <c r="O762" s="24" t="str">
        <f ca="1">IF(AND(L762&lt;&gt;1,L761=1),MAX($O$8:O761)+1,"")</f>
        <v/>
      </c>
      <c r="P762" s="17" t="str">
        <f ca="1">IF(AND(L762=-1,L761&lt;&gt;-1),MAX($P$8:P761)+1,"")</f>
        <v/>
      </c>
      <c r="Q762" s="24" t="str">
        <f ca="1">IF(AND(L762&lt;&gt;-1,L761=-1),MAX($Q$8:Q761)+1,"")</f>
        <v/>
      </c>
    </row>
    <row r="763" spans="1:17" x14ac:dyDescent="0.3">
      <c r="A763" s="3">
        <v>41305</v>
      </c>
      <c r="B763" s="9">
        <v>10.999711</v>
      </c>
      <c r="C763" s="9">
        <v>10.292813000000001</v>
      </c>
      <c r="E763" s="14">
        <f t="shared" si="81"/>
        <v>1.0686787955828985</v>
      </c>
      <c r="F763" s="18">
        <f t="shared" ca="1" si="80"/>
        <v>-0.51723081507822211</v>
      </c>
      <c r="G763" s="15">
        <f t="shared" ca="1" si="85"/>
        <v>1.0734662519158833</v>
      </c>
      <c r="H763" s="15">
        <f t="shared" ca="1" si="86"/>
        <v>9.2559379553996818E-3</v>
      </c>
      <c r="J763" s="17">
        <f t="shared" ca="1" si="82"/>
        <v>0</v>
      </c>
      <c r="K763" s="24">
        <f t="shared" ca="1" si="83"/>
        <v>0</v>
      </c>
      <c r="L763" s="17">
        <f t="shared" ca="1" si="84"/>
        <v>0</v>
      </c>
      <c r="N763" s="24" t="str">
        <f ca="1">IF(AND(L763=1,L762&lt;&gt;1),MAX($N$8:N762)+1,"")</f>
        <v/>
      </c>
      <c r="O763" s="24">
        <f ca="1">IF(AND(L763&lt;&gt;1,L762=1),MAX($O$8:O762)+1,"")</f>
        <v>21</v>
      </c>
      <c r="P763" s="17" t="str">
        <f ca="1">IF(AND(L763=-1,L762&lt;&gt;-1),MAX($P$8:P762)+1,"")</f>
        <v/>
      </c>
      <c r="Q763" s="24" t="str">
        <f ca="1">IF(AND(L763&lt;&gt;-1,L762=-1),MAX($Q$8:Q762)+1,"")</f>
        <v/>
      </c>
    </row>
    <row r="764" spans="1:17" x14ac:dyDescent="0.3">
      <c r="A764" s="3">
        <v>41306</v>
      </c>
      <c r="B764" s="9">
        <v>10.952518</v>
      </c>
      <c r="C764" s="9">
        <v>10.233787</v>
      </c>
      <c r="E764" s="14">
        <f t="shared" si="81"/>
        <v>1.0702311861679357</v>
      </c>
      <c r="F764" s="18">
        <f t="shared" ca="1" si="80"/>
        <v>-0.30007207105926326</v>
      </c>
      <c r="G764" s="15">
        <f t="shared" ca="1" si="85"/>
        <v>1.072968053283085</v>
      </c>
      <c r="H764" s="15">
        <f t="shared" ca="1" si="86"/>
        <v>9.1206992556424494E-3</v>
      </c>
      <c r="J764" s="17">
        <f t="shared" ca="1" si="82"/>
        <v>0</v>
      </c>
      <c r="K764" s="24">
        <f t="shared" ca="1" si="83"/>
        <v>0</v>
      </c>
      <c r="L764" s="17">
        <f t="shared" ca="1" si="84"/>
        <v>0</v>
      </c>
      <c r="N764" s="24" t="str">
        <f ca="1">IF(AND(L764=1,L763&lt;&gt;1),MAX($N$8:N763)+1,"")</f>
        <v/>
      </c>
      <c r="O764" s="24" t="str">
        <f ca="1">IF(AND(L764&lt;&gt;1,L763=1),MAX($O$8:O763)+1,"")</f>
        <v/>
      </c>
      <c r="P764" s="17" t="str">
        <f ca="1">IF(AND(L764=-1,L763&lt;&gt;-1),MAX($P$8:P763)+1,"")</f>
        <v/>
      </c>
      <c r="Q764" s="24" t="str">
        <f ca="1">IF(AND(L764&lt;&gt;-1,L763=-1),MAX($Q$8:Q763)+1,"")</f>
        <v/>
      </c>
    </row>
    <row r="765" spans="1:17" x14ac:dyDescent="0.3">
      <c r="A765" s="3">
        <v>41309</v>
      </c>
      <c r="B765" s="9">
        <v>10.695997999999999</v>
      </c>
      <c r="C765" s="9">
        <v>10.109311</v>
      </c>
      <c r="E765" s="14">
        <f t="shared" si="81"/>
        <v>1.0580343210333523</v>
      </c>
      <c r="F765" s="18">
        <f t="shared" ca="1" si="80"/>
        <v>-1.5630981318116728</v>
      </c>
      <c r="G765" s="15">
        <f t="shared" ca="1" si="85"/>
        <v>1.0713888165793788</v>
      </c>
      <c r="H765" s="15">
        <f t="shared" ca="1" si="86"/>
        <v>8.5436066195973912E-3</v>
      </c>
      <c r="J765" s="17">
        <f t="shared" ca="1" si="82"/>
        <v>0</v>
      </c>
      <c r="K765" s="24">
        <f t="shared" ca="1" si="83"/>
        <v>-1</v>
      </c>
      <c r="L765" s="17">
        <f t="shared" ca="1" si="84"/>
        <v>-1</v>
      </c>
      <c r="N765" s="24" t="str">
        <f ca="1">IF(AND(L765=1,L764&lt;&gt;1),MAX($N$8:N764)+1,"")</f>
        <v/>
      </c>
      <c r="O765" s="24" t="str">
        <f ca="1">IF(AND(L765&lt;&gt;1,L764=1),MAX($O$8:O764)+1,"")</f>
        <v/>
      </c>
      <c r="P765" s="17">
        <f ca="1">IF(AND(L765=-1,L764&lt;&gt;-1),MAX($P$8:P764)+1,"")</f>
        <v>31</v>
      </c>
      <c r="Q765" s="24" t="str">
        <f ca="1">IF(AND(L765&lt;&gt;-1,L764=-1),MAX($Q$8:Q764)+1,"")</f>
        <v/>
      </c>
    </row>
    <row r="766" spans="1:17" x14ac:dyDescent="0.3">
      <c r="A766" s="3">
        <v>41310</v>
      </c>
      <c r="B766" s="9">
        <v>10.965408</v>
      </c>
      <c r="C766" s="9">
        <v>10.078363</v>
      </c>
      <c r="E766" s="14">
        <f t="shared" si="81"/>
        <v>1.0880147897034469</v>
      </c>
      <c r="F766" s="18">
        <f t="shared" ca="1" si="80"/>
        <v>1.7287827627111698</v>
      </c>
      <c r="G766" s="15">
        <f t="shared" ca="1" si="85"/>
        <v>1.0726018239632438</v>
      </c>
      <c r="H766" s="15">
        <f t="shared" ca="1" si="86"/>
        <v>8.9155017464610086E-3</v>
      </c>
      <c r="J766" s="17">
        <f t="shared" ca="1" si="82"/>
        <v>1</v>
      </c>
      <c r="K766" s="24">
        <f t="shared" ca="1" si="83"/>
        <v>0</v>
      </c>
      <c r="L766" s="17">
        <f t="shared" ca="1" si="84"/>
        <v>1</v>
      </c>
      <c r="N766" s="24">
        <f ca="1">IF(AND(L766=1,L765&lt;&gt;1),MAX($N$8:N765)+1,"")</f>
        <v>22</v>
      </c>
      <c r="O766" s="24" t="str">
        <f ca="1">IF(AND(L766&lt;&gt;1,L765=1),MAX($O$8:O765)+1,"")</f>
        <v/>
      </c>
      <c r="P766" s="17" t="str">
        <f ca="1">IF(AND(L766=-1,L765&lt;&gt;-1),MAX($P$8:P765)+1,"")</f>
        <v/>
      </c>
      <c r="Q766" s="24">
        <f ca="1">IF(AND(L766&lt;&gt;-1,L765=-1),MAX($Q$8:Q765)+1,"")</f>
        <v>31</v>
      </c>
    </row>
    <row r="767" spans="1:17" x14ac:dyDescent="0.3">
      <c r="A767" s="3">
        <v>41311</v>
      </c>
      <c r="B767" s="9">
        <v>10.737693999999999</v>
      </c>
      <c r="C767" s="9">
        <v>9.9122210000000006</v>
      </c>
      <c r="E767" s="14">
        <f t="shared" si="81"/>
        <v>1.0832783086656359</v>
      </c>
      <c r="F767" s="18">
        <f t="shared" ca="1" si="80"/>
        <v>1.1113621479594451</v>
      </c>
      <c r="G767" s="15">
        <f t="shared" ca="1" si="85"/>
        <v>1.0730657346511807</v>
      </c>
      <c r="H767" s="15">
        <f t="shared" ca="1" si="86"/>
        <v>9.1892404588426353E-3</v>
      </c>
      <c r="J767" s="17">
        <f t="shared" ca="1" si="82"/>
        <v>1</v>
      </c>
      <c r="K767" s="24">
        <f t="shared" ca="1" si="83"/>
        <v>0</v>
      </c>
      <c r="L767" s="17">
        <f t="shared" ca="1" si="84"/>
        <v>1</v>
      </c>
      <c r="N767" s="24" t="str">
        <f ca="1">IF(AND(L767=1,L766&lt;&gt;1),MAX($N$8:N766)+1,"")</f>
        <v/>
      </c>
      <c r="O767" s="24" t="str">
        <f ca="1">IF(AND(L767&lt;&gt;1,L766=1),MAX($O$8:O766)+1,"")</f>
        <v/>
      </c>
      <c r="P767" s="17" t="str">
        <f ca="1">IF(AND(L767=-1,L766&lt;&gt;-1),MAX($P$8:P766)+1,"")</f>
        <v/>
      </c>
      <c r="Q767" s="24" t="str">
        <f ca="1">IF(AND(L767&lt;&gt;-1,L766=-1),MAX($Q$8:Q766)+1,"")</f>
        <v/>
      </c>
    </row>
    <row r="768" spans="1:17" x14ac:dyDescent="0.3">
      <c r="A768" s="3">
        <v>41312</v>
      </c>
      <c r="B768" s="9">
        <v>10.670291000000001</v>
      </c>
      <c r="C768" s="9">
        <v>9.8277140000000003</v>
      </c>
      <c r="E768" s="14">
        <f t="shared" si="81"/>
        <v>1.0857347904100587</v>
      </c>
      <c r="F768" s="18">
        <f t="shared" ca="1" si="80"/>
        <v>1.264199010834369</v>
      </c>
      <c r="G768" s="15">
        <f t="shared" ca="1" si="85"/>
        <v>1.0742261592813678</v>
      </c>
      <c r="H768" s="15">
        <f t="shared" ca="1" si="86"/>
        <v>9.103496387879044E-3</v>
      </c>
      <c r="J768" s="17">
        <f t="shared" ca="1" si="82"/>
        <v>1</v>
      </c>
      <c r="K768" s="24">
        <f t="shared" ca="1" si="83"/>
        <v>0</v>
      </c>
      <c r="L768" s="17">
        <f t="shared" ca="1" si="84"/>
        <v>1</v>
      </c>
      <c r="N768" s="24" t="str">
        <f ca="1">IF(AND(L768=1,L767&lt;&gt;1),MAX($N$8:N767)+1,"")</f>
        <v/>
      </c>
      <c r="O768" s="24" t="str">
        <f ca="1">IF(AND(L768&lt;&gt;1,L767=1),MAX($O$8:O767)+1,"")</f>
        <v/>
      </c>
      <c r="P768" s="17" t="str">
        <f ca="1">IF(AND(L768=-1,L767&lt;&gt;-1),MAX($P$8:P767)+1,"")</f>
        <v/>
      </c>
      <c r="Q768" s="24" t="str">
        <f ca="1">IF(AND(L768&lt;&gt;-1,L767=-1),MAX($Q$8:Q767)+1,"")</f>
        <v/>
      </c>
    </row>
    <row r="769" spans="1:17" x14ac:dyDescent="0.3">
      <c r="A769" s="3">
        <v>41313</v>
      </c>
      <c r="B769" s="9">
        <v>10.862716000000001</v>
      </c>
      <c r="C769" s="9">
        <v>10.024806999999999</v>
      </c>
      <c r="E769" s="14">
        <f t="shared" si="81"/>
        <v>1.0835835542769054</v>
      </c>
      <c r="F769" s="18">
        <f t="shared" ca="1" si="80"/>
        <v>0.94479828233303098</v>
      </c>
      <c r="G769" s="15">
        <f t="shared" ca="1" si="85"/>
        <v>1.0752624248518272</v>
      </c>
      <c r="H769" s="15">
        <f t="shared" ca="1" si="86"/>
        <v>8.807307952053544E-3</v>
      </c>
      <c r="J769" s="17">
        <f t="shared" ca="1" si="82"/>
        <v>1</v>
      </c>
      <c r="K769" s="24">
        <f t="shared" ca="1" si="83"/>
        <v>0</v>
      </c>
      <c r="L769" s="17">
        <f t="shared" ca="1" si="84"/>
        <v>1</v>
      </c>
      <c r="N769" s="24" t="str">
        <f ca="1">IF(AND(L769=1,L768&lt;&gt;1),MAX($N$8:N768)+1,"")</f>
        <v/>
      </c>
      <c r="O769" s="24" t="str">
        <f ca="1">IF(AND(L769&lt;&gt;1,L768=1),MAX($O$8:O768)+1,"")</f>
        <v/>
      </c>
      <c r="P769" s="17" t="str">
        <f ca="1">IF(AND(L769=-1,L768&lt;&gt;-1),MAX($P$8:P768)+1,"")</f>
        <v/>
      </c>
      <c r="Q769" s="24" t="str">
        <f ca="1">IF(AND(L769&lt;&gt;-1,L768=-1),MAX($Q$8:Q768)+1,"")</f>
        <v/>
      </c>
    </row>
    <row r="770" spans="1:17" x14ac:dyDescent="0.3">
      <c r="A770" s="3">
        <v>41318</v>
      </c>
      <c r="B770" s="9">
        <v>10.833906000000001</v>
      </c>
      <c r="C770" s="9">
        <v>9.9375599999999995</v>
      </c>
      <c r="E770" s="14">
        <f t="shared" si="81"/>
        <v>1.0901977950321811</v>
      </c>
      <c r="F770" s="18">
        <f t="shared" ref="F770:F833" ca="1" si="87">IF(ISNUMBER(G770),(E770-G770)/H770,"")</f>
        <v>1.5306447928239557</v>
      </c>
      <c r="G770" s="15">
        <f t="shared" ca="1" si="85"/>
        <v>1.0764448655082381</v>
      </c>
      <c r="H770" s="15">
        <f t="shared" ca="1" si="86"/>
        <v>8.9850562249452481E-3</v>
      </c>
      <c r="J770" s="17">
        <f t="shared" ca="1" si="82"/>
        <v>1</v>
      </c>
      <c r="K770" s="24">
        <f t="shared" ca="1" si="83"/>
        <v>0</v>
      </c>
      <c r="L770" s="17">
        <f t="shared" ca="1" si="84"/>
        <v>1</v>
      </c>
      <c r="N770" s="24" t="str">
        <f ca="1">IF(AND(L770=1,L769&lt;&gt;1),MAX($N$8:N769)+1,"")</f>
        <v/>
      </c>
      <c r="O770" s="24" t="str">
        <f ca="1">IF(AND(L770&lt;&gt;1,L769=1),MAX($O$8:O769)+1,"")</f>
        <v/>
      </c>
      <c r="P770" s="17" t="str">
        <f ca="1">IF(AND(L770=-1,L769&lt;&gt;-1),MAX($P$8:P769)+1,"")</f>
        <v/>
      </c>
      <c r="Q770" s="24" t="str">
        <f ca="1">IF(AND(L770&lt;&gt;-1,L769=-1),MAX($Q$8:Q769)+1,"")</f>
        <v/>
      </c>
    </row>
    <row r="771" spans="1:17" x14ac:dyDescent="0.3">
      <c r="A771" s="3">
        <v>41319</v>
      </c>
      <c r="B771" s="9">
        <v>10.782565</v>
      </c>
      <c r="C771" s="9">
        <v>9.8051849999999998</v>
      </c>
      <c r="E771" s="14">
        <f t="shared" ref="E771:E834" si="88">IF(ISNUMBER(B771),B771/C771,"")</f>
        <v>1.0996799142494507</v>
      </c>
      <c r="F771" s="18">
        <f t="shared" ca="1" si="87"/>
        <v>2.2036970379731522</v>
      </c>
      <c r="G771" s="15">
        <f t="shared" ca="1" si="85"/>
        <v>1.0780347363628879</v>
      </c>
      <c r="H771" s="15">
        <f t="shared" ca="1" si="86"/>
        <v>9.8222112720498349E-3</v>
      </c>
      <c r="J771" s="17">
        <f t="shared" ca="1" si="82"/>
        <v>1</v>
      </c>
      <c r="K771" s="24">
        <f t="shared" ca="1" si="83"/>
        <v>0</v>
      </c>
      <c r="L771" s="17">
        <f t="shared" ca="1" si="84"/>
        <v>1</v>
      </c>
      <c r="N771" s="24" t="str">
        <f ca="1">IF(AND(L771=1,L770&lt;&gt;1),MAX($N$8:N770)+1,"")</f>
        <v/>
      </c>
      <c r="O771" s="24" t="str">
        <f ca="1">IF(AND(L771&lt;&gt;1,L770=1),MAX($O$8:O770)+1,"")</f>
        <v/>
      </c>
      <c r="P771" s="17" t="str">
        <f ca="1">IF(AND(L771=-1,L770&lt;&gt;-1),MAX($P$8:P770)+1,"")</f>
        <v/>
      </c>
      <c r="Q771" s="24" t="str">
        <f ca="1">IF(AND(L771&lt;&gt;-1,L770=-1),MAX($Q$8:Q770)+1,"")</f>
        <v/>
      </c>
    </row>
    <row r="772" spans="1:17" x14ac:dyDescent="0.3">
      <c r="A772" s="3">
        <v>41320</v>
      </c>
      <c r="B772" s="9">
        <v>11.282857999999999</v>
      </c>
      <c r="C772" s="9">
        <v>10.238880999999999</v>
      </c>
      <c r="E772" s="14">
        <f t="shared" si="88"/>
        <v>1.1019620210450731</v>
      </c>
      <c r="F772" s="18">
        <f t="shared" ca="1" si="87"/>
        <v>2.0703569709592453</v>
      </c>
      <c r="G772" s="15">
        <f t="shared" ca="1" si="85"/>
        <v>1.0794345544986654</v>
      </c>
      <c r="H772" s="15">
        <f t="shared" ca="1" si="86"/>
        <v>1.0880957662083841E-2</v>
      </c>
      <c r="J772" s="17">
        <f t="shared" ca="1" si="82"/>
        <v>1</v>
      </c>
      <c r="K772" s="24">
        <f t="shared" ca="1" si="83"/>
        <v>0</v>
      </c>
      <c r="L772" s="17">
        <f t="shared" ca="1" si="84"/>
        <v>1</v>
      </c>
      <c r="N772" s="24" t="str">
        <f ca="1">IF(AND(L772=1,L771&lt;&gt;1),MAX($N$8:N771)+1,"")</f>
        <v/>
      </c>
      <c r="O772" s="24" t="str">
        <f ca="1">IF(AND(L772&lt;&gt;1,L771=1),MAX($O$8:O771)+1,"")</f>
        <v/>
      </c>
      <c r="P772" s="17" t="str">
        <f ca="1">IF(AND(L772=-1,L771&lt;&gt;-1),MAX($P$8:P771)+1,"")</f>
        <v/>
      </c>
      <c r="Q772" s="24" t="str">
        <f ca="1">IF(AND(L772&lt;&gt;-1,L771=-1),MAX($Q$8:Q771)+1,"")</f>
        <v/>
      </c>
    </row>
    <row r="773" spans="1:17" x14ac:dyDescent="0.3">
      <c r="A773" s="3">
        <v>41323</v>
      </c>
      <c r="B773" s="9">
        <v>11.401546</v>
      </c>
      <c r="C773" s="9">
        <v>10.405025</v>
      </c>
      <c r="E773" s="14">
        <f t="shared" si="88"/>
        <v>1.0957730519628737</v>
      </c>
      <c r="F773" s="18">
        <f t="shared" ca="1" si="87"/>
        <v>1.3614324677032981</v>
      </c>
      <c r="G773" s="15">
        <f t="shared" ca="1" si="85"/>
        <v>1.0807335759348389</v>
      </c>
      <c r="H773" s="15">
        <f t="shared" ca="1" si="86"/>
        <v>1.1046802823357082E-2</v>
      </c>
      <c r="J773" s="17">
        <f t="shared" ca="1" si="82"/>
        <v>1</v>
      </c>
      <c r="K773" s="24">
        <f t="shared" ca="1" si="83"/>
        <v>0</v>
      </c>
      <c r="L773" s="17">
        <f t="shared" ca="1" si="84"/>
        <v>1</v>
      </c>
      <c r="N773" s="24" t="str">
        <f ca="1">IF(AND(L773=1,L772&lt;&gt;1),MAX($N$8:N772)+1,"")</f>
        <v/>
      </c>
      <c r="O773" s="24" t="str">
        <f ca="1">IF(AND(L773&lt;&gt;1,L772=1),MAX($O$8:O772)+1,"")</f>
        <v/>
      </c>
      <c r="P773" s="17" t="str">
        <f ca="1">IF(AND(L773=-1,L772&lt;&gt;-1),MAX($P$8:P772)+1,"")</f>
        <v/>
      </c>
      <c r="Q773" s="24" t="str">
        <f ca="1">IF(AND(L773&lt;&gt;-1,L772=-1),MAX($Q$8:Q772)+1,"")</f>
        <v/>
      </c>
    </row>
    <row r="774" spans="1:17" x14ac:dyDescent="0.3">
      <c r="A774" s="3">
        <v>41324</v>
      </c>
      <c r="B774" s="9">
        <v>11.180234</v>
      </c>
      <c r="C774" s="9">
        <v>10.182524000000001</v>
      </c>
      <c r="E774" s="14">
        <f t="shared" si="88"/>
        <v>1.0979825827073915</v>
      </c>
      <c r="F774" s="18">
        <f t="shared" ca="1" si="87"/>
        <v>1.408339520341982</v>
      </c>
      <c r="G774" s="15">
        <f t="shared" ca="1" si="85"/>
        <v>1.0820056287268289</v>
      </c>
      <c r="H774" s="15">
        <f t="shared" ca="1" si="86"/>
        <v>1.1344532869945247E-2</v>
      </c>
      <c r="J774" s="17">
        <f t="shared" ca="1" si="82"/>
        <v>1</v>
      </c>
      <c r="K774" s="24">
        <f t="shared" ca="1" si="83"/>
        <v>0</v>
      </c>
      <c r="L774" s="17">
        <f t="shared" ca="1" si="84"/>
        <v>1</v>
      </c>
      <c r="N774" s="24" t="str">
        <f ca="1">IF(AND(L774=1,L773&lt;&gt;1),MAX($N$8:N773)+1,"")</f>
        <v/>
      </c>
      <c r="O774" s="24" t="str">
        <f ca="1">IF(AND(L774&lt;&gt;1,L773=1),MAX($O$8:O773)+1,"")</f>
        <v/>
      </c>
      <c r="P774" s="17" t="str">
        <f ca="1">IF(AND(L774=-1,L773&lt;&gt;-1),MAX($P$8:P773)+1,"")</f>
        <v/>
      </c>
      <c r="Q774" s="24" t="str">
        <f ca="1">IF(AND(L774&lt;&gt;-1,L773=-1),MAX($Q$8:Q773)+1,"")</f>
        <v/>
      </c>
    </row>
    <row r="775" spans="1:17" x14ac:dyDescent="0.3">
      <c r="A775" s="3">
        <v>41325</v>
      </c>
      <c r="B775" s="9">
        <v>10.984632</v>
      </c>
      <c r="C775" s="9">
        <v>9.9515999999999991</v>
      </c>
      <c r="E775" s="14">
        <f t="shared" si="88"/>
        <v>1.103805619196913</v>
      </c>
      <c r="F775" s="18">
        <f t="shared" ca="1" si="87"/>
        <v>1.6946596927104476</v>
      </c>
      <c r="G775" s="15">
        <f t="shared" ca="1" si="85"/>
        <v>1.0833603968249406</v>
      </c>
      <c r="H775" s="15">
        <f t="shared" ca="1" si="86"/>
        <v>1.2064500300512985E-2</v>
      </c>
      <c r="J775" s="17">
        <f t="shared" ca="1" si="82"/>
        <v>1</v>
      </c>
      <c r="K775" s="24">
        <f t="shared" ca="1" si="83"/>
        <v>0</v>
      </c>
      <c r="L775" s="17">
        <f t="shared" ca="1" si="84"/>
        <v>1</v>
      </c>
      <c r="N775" s="24" t="str">
        <f ca="1">IF(AND(L775=1,L774&lt;&gt;1),MAX($N$8:N774)+1,"")</f>
        <v/>
      </c>
      <c r="O775" s="24" t="str">
        <f ca="1">IF(AND(L775&lt;&gt;1,L774=1),MAX($O$8:O774)+1,"")</f>
        <v/>
      </c>
      <c r="P775" s="17" t="str">
        <f ca="1">IF(AND(L775=-1,L774&lt;&gt;-1),MAX($P$8:P774)+1,"")</f>
        <v/>
      </c>
      <c r="Q775" s="24" t="str">
        <f ca="1">IF(AND(L775&lt;&gt;-1,L774=-1),MAX($Q$8:Q774)+1,"")</f>
        <v/>
      </c>
    </row>
    <row r="776" spans="1:17" x14ac:dyDescent="0.3">
      <c r="A776" s="3">
        <v>41326</v>
      </c>
      <c r="B776" s="9">
        <v>10.904413999999999</v>
      </c>
      <c r="C776" s="9">
        <v>9.8418240000000008</v>
      </c>
      <c r="E776" s="14">
        <f t="shared" si="88"/>
        <v>1.1079667752644224</v>
      </c>
      <c r="F776" s="18">
        <f t="shared" ca="1" si="87"/>
        <v>1.7854202816435734</v>
      </c>
      <c r="G776" s="15">
        <f t="shared" ca="1" si="85"/>
        <v>1.0848833383837673</v>
      </c>
      <c r="H776" s="15">
        <f t="shared" ca="1" si="86"/>
        <v>1.2928853289045006E-2</v>
      </c>
      <c r="J776" s="17">
        <f t="shared" ref="J776:J839" ca="1" si="89">IF(ISNUMBER(F776),IF(AND(J775&lt;&gt;1,F776&gt;$L$1),1,IF(AND(J775=1,F776&gt;$N$1),1,0)),"")</f>
        <v>1</v>
      </c>
      <c r="K776" s="24">
        <f t="shared" ca="1" si="83"/>
        <v>0</v>
      </c>
      <c r="L776" s="17">
        <f t="shared" ca="1" si="84"/>
        <v>1</v>
      </c>
      <c r="N776" s="24" t="str">
        <f ca="1">IF(AND(L776=1,L775&lt;&gt;1),MAX($N$8:N775)+1,"")</f>
        <v/>
      </c>
      <c r="O776" s="24" t="str">
        <f ca="1">IF(AND(L776&lt;&gt;1,L775=1),MAX($O$8:O775)+1,"")</f>
        <v/>
      </c>
      <c r="P776" s="17" t="str">
        <f ca="1">IF(AND(L776=-1,L775&lt;&gt;-1),MAX($P$8:P775)+1,"")</f>
        <v/>
      </c>
      <c r="Q776" s="24" t="str">
        <f ca="1">IF(AND(L776&lt;&gt;-1,L775=-1),MAX($Q$8:Q775)+1,"")</f>
        <v/>
      </c>
    </row>
    <row r="777" spans="1:17" x14ac:dyDescent="0.3">
      <c r="A777" s="3">
        <v>41327</v>
      </c>
      <c r="B777" s="9">
        <v>11.257218</v>
      </c>
      <c r="C777" s="9">
        <v>10.044528</v>
      </c>
      <c r="E777" s="14">
        <f t="shared" si="88"/>
        <v>1.120731407190064</v>
      </c>
      <c r="F777" s="18">
        <f t="shared" ca="1" si="87"/>
        <v>2.2960306397607977</v>
      </c>
      <c r="G777" s="15">
        <f t="shared" ca="1" si="85"/>
        <v>1.0870027012740435</v>
      </c>
      <c r="H777" s="15">
        <f t="shared" ca="1" si="86"/>
        <v>1.4690006889252311E-2</v>
      </c>
      <c r="J777" s="17">
        <f t="shared" ca="1" si="89"/>
        <v>1</v>
      </c>
      <c r="K777" s="24">
        <f t="shared" ref="K777:K840" ca="1" si="90">IF(ISNUMBER(F777),IF(AND(K776&lt;&gt;-1,F777&lt;$P$1),-1,IF(AND(K776=-1,F777&lt;R770),-1,0)),"")</f>
        <v>0</v>
      </c>
      <c r="L777" s="17">
        <f t="shared" ref="L777:L840" ca="1" si="91">IF(ISNUMBER(F777),IF(J777=1,1,IF(K777=-1,-1,0)),"")</f>
        <v>1</v>
      </c>
      <c r="N777" s="24" t="str">
        <f ca="1">IF(AND(L777=1,L776&lt;&gt;1),MAX($N$8:N776)+1,"")</f>
        <v/>
      </c>
      <c r="O777" s="24" t="str">
        <f ca="1">IF(AND(L777&lt;&gt;1,L776=1),MAX($O$8:O776)+1,"")</f>
        <v/>
      </c>
      <c r="P777" s="17" t="str">
        <f ca="1">IF(AND(L777=-1,L776&lt;&gt;-1),MAX($P$8:P776)+1,"")</f>
        <v/>
      </c>
      <c r="Q777" s="24" t="str">
        <f ca="1">IF(AND(L777&lt;&gt;-1,L776=-1),MAX($Q$8:Q776)+1,"")</f>
        <v/>
      </c>
    </row>
    <row r="778" spans="1:17" x14ac:dyDescent="0.3">
      <c r="A778" s="3">
        <v>41330</v>
      </c>
      <c r="B778" s="9">
        <v>11.279686999999999</v>
      </c>
      <c r="C778" s="9">
        <v>10.019195</v>
      </c>
      <c r="E778" s="14">
        <f t="shared" si="88"/>
        <v>1.1258077120966306</v>
      </c>
      <c r="F778" s="18">
        <f t="shared" ca="1" si="87"/>
        <v>2.2255372326870222</v>
      </c>
      <c r="G778" s="15">
        <f t="shared" ca="1" si="85"/>
        <v>1.0895009382307179</v>
      </c>
      <c r="H778" s="15">
        <f t="shared" ca="1" si="86"/>
        <v>1.6313712182688279E-2</v>
      </c>
      <c r="J778" s="17">
        <f t="shared" ca="1" si="89"/>
        <v>1</v>
      </c>
      <c r="K778" s="24">
        <f t="shared" ca="1" si="90"/>
        <v>0</v>
      </c>
      <c r="L778" s="17">
        <f t="shared" ca="1" si="91"/>
        <v>1</v>
      </c>
      <c r="N778" s="24" t="str">
        <f ca="1">IF(AND(L778=1,L777&lt;&gt;1),MAX($N$8:N777)+1,"")</f>
        <v/>
      </c>
      <c r="O778" s="24" t="str">
        <f ca="1">IF(AND(L778&lt;&gt;1,L777=1),MAX($O$8:O777)+1,"")</f>
        <v/>
      </c>
      <c r="P778" s="17" t="str">
        <f ca="1">IF(AND(L778=-1,L777&lt;&gt;-1),MAX($P$8:P777)+1,"")</f>
        <v/>
      </c>
      <c r="Q778" s="24" t="str">
        <f ca="1">IF(AND(L778&lt;&gt;-1,L777=-1),MAX($Q$8:Q777)+1,"")</f>
        <v/>
      </c>
    </row>
    <row r="779" spans="1:17" x14ac:dyDescent="0.3">
      <c r="A779" s="3">
        <v>41331</v>
      </c>
      <c r="B779" s="9">
        <v>11.074439999999999</v>
      </c>
      <c r="C779" s="9">
        <v>9.7995719999999995</v>
      </c>
      <c r="E779" s="14">
        <f t="shared" si="88"/>
        <v>1.1300942530959515</v>
      </c>
      <c r="F779" s="18">
        <f t="shared" ca="1" si="87"/>
        <v>2.1254477023224956</v>
      </c>
      <c r="G779" s="15">
        <f t="shared" ca="1" si="85"/>
        <v>1.0921940179600889</v>
      </c>
      <c r="H779" s="15">
        <f t="shared" ca="1" si="86"/>
        <v>1.7831647936784649E-2</v>
      </c>
      <c r="J779" s="17">
        <f t="shared" ca="1" si="89"/>
        <v>1</v>
      </c>
      <c r="K779" s="24">
        <f t="shared" ca="1" si="90"/>
        <v>0</v>
      </c>
      <c r="L779" s="17">
        <f t="shared" ca="1" si="91"/>
        <v>1</v>
      </c>
      <c r="N779" s="24" t="str">
        <f ca="1">IF(AND(L779=1,L778&lt;&gt;1),MAX($N$8:N778)+1,"")</f>
        <v/>
      </c>
      <c r="O779" s="24" t="str">
        <f ca="1">IF(AND(L779&lt;&gt;1,L778=1),MAX($O$8:O778)+1,"")</f>
        <v/>
      </c>
      <c r="P779" s="17" t="str">
        <f ca="1">IF(AND(L779=-1,L778&lt;&gt;-1),MAX($P$8:P778)+1,"")</f>
        <v/>
      </c>
      <c r="Q779" s="24" t="str">
        <f ca="1">IF(AND(L779&lt;&gt;-1,L778=-1),MAX($Q$8:Q778)+1,"")</f>
        <v/>
      </c>
    </row>
    <row r="780" spans="1:17" x14ac:dyDescent="0.3">
      <c r="A780" s="3">
        <v>41332</v>
      </c>
      <c r="B780" s="9">
        <v>11.116137</v>
      </c>
      <c r="C780" s="9">
        <v>9.8558640000000004</v>
      </c>
      <c r="E780" s="14">
        <f t="shared" si="88"/>
        <v>1.1278703723996191</v>
      </c>
      <c r="F780" s="18">
        <f t="shared" ca="1" si="87"/>
        <v>1.7621549200497</v>
      </c>
      <c r="G780" s="15">
        <f t="shared" ca="1" si="85"/>
        <v>1.0946014695495392</v>
      </c>
      <c r="H780" s="15">
        <f t="shared" ca="1" si="86"/>
        <v>1.8879669699609365E-2</v>
      </c>
      <c r="J780" s="17">
        <f t="shared" ca="1" si="89"/>
        <v>1</v>
      </c>
      <c r="K780" s="24">
        <f t="shared" ca="1" si="90"/>
        <v>0</v>
      </c>
      <c r="L780" s="17">
        <f t="shared" ca="1" si="91"/>
        <v>1</v>
      </c>
      <c r="N780" s="24" t="str">
        <f ca="1">IF(AND(L780=1,L779&lt;&gt;1),MAX($N$8:N779)+1,"")</f>
        <v/>
      </c>
      <c r="O780" s="24" t="str">
        <f ca="1">IF(AND(L780&lt;&gt;1,L779=1),MAX($O$8:O779)+1,"")</f>
        <v/>
      </c>
      <c r="P780" s="17" t="str">
        <f ca="1">IF(AND(L780=-1,L779&lt;&gt;-1),MAX($P$8:P779)+1,"")</f>
        <v/>
      </c>
      <c r="Q780" s="24" t="str">
        <f ca="1">IF(AND(L780&lt;&gt;-1,L779=-1),MAX($Q$8:Q779)+1,"")</f>
        <v/>
      </c>
    </row>
    <row r="781" spans="1:17" x14ac:dyDescent="0.3">
      <c r="A781" s="3">
        <v>41333</v>
      </c>
      <c r="B781" s="9">
        <v>11.241158</v>
      </c>
      <c r="C781" s="9">
        <v>9.9459839999999993</v>
      </c>
      <c r="E781" s="14">
        <f t="shared" si="88"/>
        <v>1.1302208006769368</v>
      </c>
      <c r="F781" s="18">
        <f t="shared" ca="1" si="87"/>
        <v>1.6698972293438421</v>
      </c>
      <c r="G781" s="15">
        <f t="shared" ca="1" si="85"/>
        <v>1.0969444663436407</v>
      </c>
      <c r="H781" s="15">
        <f t="shared" ca="1" si="86"/>
        <v>1.9927175007273586E-2</v>
      </c>
      <c r="J781" s="17">
        <f t="shared" ca="1" si="89"/>
        <v>1</v>
      </c>
      <c r="K781" s="24">
        <f t="shared" ca="1" si="90"/>
        <v>0</v>
      </c>
      <c r="L781" s="17">
        <f t="shared" ca="1" si="91"/>
        <v>1</v>
      </c>
      <c r="N781" s="24" t="str">
        <f ca="1">IF(AND(L781=1,L780&lt;&gt;1),MAX($N$8:N780)+1,"")</f>
        <v/>
      </c>
      <c r="O781" s="24" t="str">
        <f ca="1">IF(AND(L781&lt;&gt;1,L780=1),MAX($O$8:O780)+1,"")</f>
        <v/>
      </c>
      <c r="P781" s="17" t="str">
        <f ca="1">IF(AND(L781=-1,L780&lt;&gt;-1),MAX($P$8:P780)+1,"")</f>
        <v/>
      </c>
      <c r="Q781" s="24" t="str">
        <f ca="1">IF(AND(L781&lt;&gt;-1,L780=-1),MAX($Q$8:Q780)+1,"")</f>
        <v/>
      </c>
    </row>
    <row r="782" spans="1:17" x14ac:dyDescent="0.3">
      <c r="A782" s="3">
        <v>41334</v>
      </c>
      <c r="B782" s="9">
        <v>11.299887</v>
      </c>
      <c r="C782" s="9">
        <v>10.058638999999999</v>
      </c>
      <c r="E782" s="14">
        <f t="shared" si="88"/>
        <v>1.1234011877750063</v>
      </c>
      <c r="F782" s="18">
        <f t="shared" ca="1" si="87"/>
        <v>1.2062153772326569</v>
      </c>
      <c r="G782" s="15">
        <f t="shared" ca="1" si="85"/>
        <v>1.0987534286682141</v>
      </c>
      <c r="H782" s="15">
        <f t="shared" ca="1" si="86"/>
        <v>2.0433961937494083E-2</v>
      </c>
      <c r="J782" s="17">
        <f t="shared" ca="1" si="89"/>
        <v>1</v>
      </c>
      <c r="K782" s="24">
        <f t="shared" ca="1" si="90"/>
        <v>0</v>
      </c>
      <c r="L782" s="17">
        <f t="shared" ca="1" si="91"/>
        <v>1</v>
      </c>
      <c r="N782" s="24" t="str">
        <f ca="1">IF(AND(L782=1,L781&lt;&gt;1),MAX($N$8:N781)+1,"")</f>
        <v/>
      </c>
      <c r="O782" s="24" t="str">
        <f ca="1">IF(AND(L782&lt;&gt;1,L781=1),MAX($O$8:O781)+1,"")</f>
        <v/>
      </c>
      <c r="P782" s="17" t="str">
        <f ca="1">IF(AND(L782=-1,L781&lt;&gt;-1),MAX($P$8:P781)+1,"")</f>
        <v/>
      </c>
      <c r="Q782" s="24" t="str">
        <f ca="1">IF(AND(L782&lt;&gt;-1,L781=-1),MAX($Q$8:Q781)+1,"")</f>
        <v/>
      </c>
    </row>
    <row r="783" spans="1:17" x14ac:dyDescent="0.3">
      <c r="A783" s="3">
        <v>41337</v>
      </c>
      <c r="B783" s="9">
        <v>11.251733</v>
      </c>
      <c r="C783" s="9">
        <v>10.185732</v>
      </c>
      <c r="E783" s="14">
        <f t="shared" si="88"/>
        <v>1.1046562976524417</v>
      </c>
      <c r="F783" s="18">
        <f t="shared" ca="1" si="87"/>
        <v>0.2663360467394284</v>
      </c>
      <c r="G783" s="15">
        <f t="shared" ca="1" si="85"/>
        <v>1.0992101240306782</v>
      </c>
      <c r="H783" s="15">
        <f t="shared" ca="1" si="86"/>
        <v>2.0448503642061532E-2</v>
      </c>
      <c r="J783" s="17">
        <f t="shared" ca="1" si="89"/>
        <v>1</v>
      </c>
      <c r="K783" s="24">
        <f t="shared" ca="1" si="90"/>
        <v>0</v>
      </c>
      <c r="L783" s="17">
        <f t="shared" ca="1" si="91"/>
        <v>1</v>
      </c>
      <c r="N783" s="24" t="str">
        <f ca="1">IF(AND(L783=1,L782&lt;&gt;1),MAX($N$8:N782)+1,"")</f>
        <v/>
      </c>
      <c r="O783" s="24" t="str">
        <f ca="1">IF(AND(L783&lt;&gt;1,L782=1),MAX($O$8:O782)+1,"")</f>
        <v/>
      </c>
      <c r="P783" s="17" t="str">
        <f ca="1">IF(AND(L783=-1,L782&lt;&gt;-1),MAX($P$8:P782)+1,"")</f>
        <v/>
      </c>
      <c r="Q783" s="24" t="str">
        <f ca="1">IF(AND(L783&lt;&gt;-1,L782=-1),MAX($Q$8:Q782)+1,"")</f>
        <v/>
      </c>
    </row>
    <row r="784" spans="1:17" x14ac:dyDescent="0.3">
      <c r="A784" s="3">
        <v>41338</v>
      </c>
      <c r="B784" s="9">
        <v>11.242148</v>
      </c>
      <c r="C784" s="9">
        <v>10.211103</v>
      </c>
      <c r="E784" s="14">
        <f t="shared" si="88"/>
        <v>1.1009729311319258</v>
      </c>
      <c r="F784" s="18">
        <f t="shared" ca="1" si="87"/>
        <v>5.1112097160912542E-2</v>
      </c>
      <c r="G784" s="15">
        <f t="shared" ca="1" si="85"/>
        <v>1.0999399303325961</v>
      </c>
      <c r="H784" s="15">
        <f t="shared" ca="1" si="86"/>
        <v>2.0210495297769783E-2</v>
      </c>
      <c r="J784" s="17">
        <f t="shared" ca="1" si="89"/>
        <v>1</v>
      </c>
      <c r="K784" s="24">
        <f t="shared" ca="1" si="90"/>
        <v>0</v>
      </c>
      <c r="L784" s="17">
        <f t="shared" ca="1" si="91"/>
        <v>1</v>
      </c>
      <c r="N784" s="24" t="str">
        <f ca="1">IF(AND(L784=1,L783&lt;&gt;1),MAX($N$8:N783)+1,"")</f>
        <v/>
      </c>
      <c r="O784" s="24" t="str">
        <f ca="1">IF(AND(L784&lt;&gt;1,L783=1),MAX($O$8:O783)+1,"")</f>
        <v/>
      </c>
      <c r="P784" s="17" t="str">
        <f ca="1">IF(AND(L784=-1,L783&lt;&gt;-1),MAX($P$8:P783)+1,"")</f>
        <v/>
      </c>
      <c r="Q784" s="24" t="str">
        <f ca="1">IF(AND(L784&lt;&gt;-1,L783=-1),MAX($Q$8:Q783)+1,"")</f>
        <v/>
      </c>
    </row>
    <row r="785" spans="1:17" x14ac:dyDescent="0.3">
      <c r="A785" s="3">
        <v>41339</v>
      </c>
      <c r="B785" s="9">
        <v>11.431511</v>
      </c>
      <c r="C785" s="9">
        <v>10.196979000000001</v>
      </c>
      <c r="E785" s="14">
        <f t="shared" si="88"/>
        <v>1.1210684066329841</v>
      </c>
      <c r="F785" s="18">
        <f t="shared" ca="1" si="87"/>
        <v>0.9634026144532728</v>
      </c>
      <c r="G785" s="15">
        <f t="shared" ca="1" si="85"/>
        <v>1.1023212762894181</v>
      </c>
      <c r="H785" s="15">
        <f t="shared" ca="1" si="86"/>
        <v>1.9459289462490127E-2</v>
      </c>
      <c r="J785" s="17">
        <f t="shared" ca="1" si="89"/>
        <v>1</v>
      </c>
      <c r="K785" s="24">
        <f t="shared" ca="1" si="90"/>
        <v>0</v>
      </c>
      <c r="L785" s="17">
        <f t="shared" ca="1" si="91"/>
        <v>1</v>
      </c>
      <c r="N785" s="24" t="str">
        <f ca="1">IF(AND(L785=1,L784&lt;&gt;1),MAX($N$8:N784)+1,"")</f>
        <v/>
      </c>
      <c r="O785" s="24" t="str">
        <f ca="1">IF(AND(L785&lt;&gt;1,L784=1),MAX($O$8:O784)+1,"")</f>
        <v/>
      </c>
      <c r="P785" s="17" t="str">
        <f ca="1">IF(AND(L785=-1,L784&lt;&gt;-1),MAX($P$8:P784)+1,"")</f>
        <v/>
      </c>
      <c r="Q785" s="24" t="str">
        <f ca="1">IF(AND(L785&lt;&gt;-1,L784=-1),MAX($Q$8:Q784)+1,"")</f>
        <v/>
      </c>
    </row>
    <row r="786" spans="1:17" x14ac:dyDescent="0.3">
      <c r="A786" s="3">
        <v>41340</v>
      </c>
      <c r="B786" s="9">
        <v>11.505397</v>
      </c>
      <c r="C786" s="9">
        <v>10.301325</v>
      </c>
      <c r="E786" s="14">
        <f t="shared" si="88"/>
        <v>1.1168851579772505</v>
      </c>
      <c r="F786" s="18">
        <f t="shared" ca="1" si="87"/>
        <v>0.67782667230741167</v>
      </c>
      <c r="G786" s="15">
        <f t="shared" ca="1" si="85"/>
        <v>1.1044419113716601</v>
      </c>
      <c r="H786" s="15">
        <f t="shared" ca="1" si="86"/>
        <v>1.8357564129531694E-2</v>
      </c>
      <c r="J786" s="17">
        <f t="shared" ca="1" si="89"/>
        <v>1</v>
      </c>
      <c r="K786" s="24">
        <f t="shared" ca="1" si="90"/>
        <v>0</v>
      </c>
      <c r="L786" s="17">
        <f t="shared" ca="1" si="91"/>
        <v>1</v>
      </c>
      <c r="N786" s="24" t="str">
        <f ca="1">IF(AND(L786=1,L785&lt;&gt;1),MAX($N$8:N785)+1,"")</f>
        <v/>
      </c>
      <c r="O786" s="24" t="str">
        <f ca="1">IF(AND(L786&lt;&gt;1,L785=1),MAX($O$8:O785)+1,"")</f>
        <v/>
      </c>
      <c r="P786" s="17" t="str">
        <f ca="1">IF(AND(L786=-1,L785&lt;&gt;-1),MAX($P$8:P785)+1,"")</f>
        <v/>
      </c>
      <c r="Q786" s="24" t="str">
        <f ca="1">IF(AND(L786&lt;&gt;-1,L785=-1),MAX($Q$8:Q785)+1,"")</f>
        <v/>
      </c>
    </row>
    <row r="787" spans="1:17" x14ac:dyDescent="0.3">
      <c r="A787" s="3">
        <v>41341</v>
      </c>
      <c r="B787" s="9">
        <v>11.845636000000001</v>
      </c>
      <c r="C787" s="9">
        <v>10.453531999999999</v>
      </c>
      <c r="E787" s="14">
        <f t="shared" si="88"/>
        <v>1.1331706833632882</v>
      </c>
      <c r="F787" s="18">
        <f t="shared" ca="1" si="87"/>
        <v>1.5551190575659493</v>
      </c>
      <c r="G787" s="15">
        <f t="shared" ca="1" si="85"/>
        <v>1.1078572005684753</v>
      </c>
      <c r="H787" s="15">
        <f t="shared" ca="1" si="86"/>
        <v>1.6277520792802352E-2</v>
      </c>
      <c r="J787" s="17">
        <f t="shared" ca="1" si="89"/>
        <v>1</v>
      </c>
      <c r="K787" s="24">
        <f t="shared" ca="1" si="90"/>
        <v>0</v>
      </c>
      <c r="L787" s="17">
        <f t="shared" ca="1" si="91"/>
        <v>1</v>
      </c>
      <c r="N787" s="24" t="str">
        <f ca="1">IF(AND(L787=1,L786&lt;&gt;1),MAX($N$8:N786)+1,"")</f>
        <v/>
      </c>
      <c r="O787" s="24" t="str">
        <f ca="1">IF(AND(L787&lt;&gt;1,L786=1),MAX($O$8:O786)+1,"")</f>
        <v/>
      </c>
      <c r="P787" s="17" t="str">
        <f ca="1">IF(AND(L787=-1,L786&lt;&gt;-1),MAX($P$8:P786)+1,"")</f>
        <v/>
      </c>
      <c r="Q787" s="24" t="str">
        <f ca="1">IF(AND(L787&lt;&gt;-1,L786=-1),MAX($Q$8:Q786)+1,"")</f>
        <v/>
      </c>
    </row>
    <row r="788" spans="1:17" x14ac:dyDescent="0.3">
      <c r="A788" s="3">
        <v>41344</v>
      </c>
      <c r="B788" s="9">
        <v>11.781478</v>
      </c>
      <c r="C788" s="9">
        <v>10.453531999999999</v>
      </c>
      <c r="E788" s="14">
        <f t="shared" si="88"/>
        <v>1.127033236230587</v>
      </c>
      <c r="F788" s="18">
        <f t="shared" ca="1" si="87"/>
        <v>1.0779495859223478</v>
      </c>
      <c r="G788" s="15">
        <f t="shared" ca="1" si="85"/>
        <v>1.1096307663197089</v>
      </c>
      <c r="H788" s="15">
        <f t="shared" ca="1" si="86"/>
        <v>1.6144048050250607E-2</v>
      </c>
      <c r="J788" s="17">
        <f t="shared" ca="1" si="89"/>
        <v>1</v>
      </c>
      <c r="K788" s="24">
        <f t="shared" ca="1" si="90"/>
        <v>0</v>
      </c>
      <c r="L788" s="17">
        <f t="shared" ca="1" si="91"/>
        <v>1</v>
      </c>
      <c r="N788" s="24" t="str">
        <f ca="1">IF(AND(L788=1,L787&lt;&gt;1),MAX($N$8:N787)+1,"")</f>
        <v/>
      </c>
      <c r="O788" s="24" t="str">
        <f ca="1">IF(AND(L788&lt;&gt;1,L787=1),MAX($O$8:O787)+1,"")</f>
        <v/>
      </c>
      <c r="P788" s="17" t="str">
        <f ca="1">IF(AND(L788=-1,L787&lt;&gt;-1),MAX($P$8:P787)+1,"")</f>
        <v/>
      </c>
      <c r="Q788" s="24" t="str">
        <f ca="1">IF(AND(L788&lt;&gt;-1,L787=-1),MAX($Q$8:Q787)+1,"")</f>
        <v/>
      </c>
    </row>
    <row r="789" spans="1:17" x14ac:dyDescent="0.3">
      <c r="A789" s="3">
        <v>41345</v>
      </c>
      <c r="B789" s="9">
        <v>11.604872</v>
      </c>
      <c r="C789" s="9">
        <v>10.371808</v>
      </c>
      <c r="E789" s="14">
        <f t="shared" si="88"/>
        <v>1.1188861189871622</v>
      </c>
      <c r="F789" s="18">
        <f t="shared" ca="1" si="87"/>
        <v>0.50318676418264863</v>
      </c>
      <c r="G789" s="15">
        <f t="shared" ca="1" si="85"/>
        <v>1.1112493031525053</v>
      </c>
      <c r="H789" s="15">
        <f t="shared" ca="1" si="86"/>
        <v>1.5176901258644548E-2</v>
      </c>
      <c r="J789" s="17">
        <f t="shared" ca="1" si="89"/>
        <v>1</v>
      </c>
      <c r="K789" s="24">
        <f t="shared" ca="1" si="90"/>
        <v>0</v>
      </c>
      <c r="L789" s="17">
        <f t="shared" ca="1" si="91"/>
        <v>1</v>
      </c>
      <c r="N789" s="24" t="str">
        <f ca="1">IF(AND(L789=1,L788&lt;&gt;1),MAX($N$8:N788)+1,"")</f>
        <v/>
      </c>
      <c r="O789" s="24" t="str">
        <f ca="1">IF(AND(L789&lt;&gt;1,L788=1),MAX($O$8:O788)+1,"")</f>
        <v/>
      </c>
      <c r="P789" s="17" t="str">
        <f ca="1">IF(AND(L789=-1,L788&lt;&gt;-1),MAX($P$8:P788)+1,"")</f>
        <v/>
      </c>
      <c r="Q789" s="24" t="str">
        <f ca="1">IF(AND(L789&lt;&gt;-1,L788=-1),MAX($Q$8:Q788)+1,"")</f>
        <v/>
      </c>
    </row>
    <row r="790" spans="1:17" x14ac:dyDescent="0.3">
      <c r="A790" s="3">
        <v>41346</v>
      </c>
      <c r="B790" s="9">
        <v>11.588870999999999</v>
      </c>
      <c r="C790" s="9">
        <v>10.405608000000001</v>
      </c>
      <c r="E790" s="14">
        <f t="shared" si="88"/>
        <v>1.1137139703898127</v>
      </c>
      <c r="F790" s="18">
        <f t="shared" ca="1" si="87"/>
        <v>8.4475223557786611E-2</v>
      </c>
      <c r="G790" s="15">
        <f t="shared" ca="1" si="85"/>
        <v>1.1125210840606761</v>
      </c>
      <c r="H790" s="15">
        <f t="shared" ca="1" si="86"/>
        <v>1.4121138469915953E-2</v>
      </c>
      <c r="J790" s="17">
        <f t="shared" ca="1" si="89"/>
        <v>1</v>
      </c>
      <c r="K790" s="24">
        <f t="shared" ca="1" si="90"/>
        <v>0</v>
      </c>
      <c r="L790" s="17">
        <f t="shared" ca="1" si="91"/>
        <v>1</v>
      </c>
      <c r="N790" s="24" t="str">
        <f ca="1">IF(AND(L790=1,L789&lt;&gt;1),MAX($N$8:N789)+1,"")</f>
        <v/>
      </c>
      <c r="O790" s="24" t="str">
        <f ca="1">IF(AND(L790&lt;&gt;1,L789=1),MAX($O$8:O789)+1,"")</f>
        <v/>
      </c>
      <c r="P790" s="17" t="str">
        <f ca="1">IF(AND(L790=-1,L789&lt;&gt;-1),MAX($P$8:P789)+1,"")</f>
        <v/>
      </c>
      <c r="Q790" s="24" t="str">
        <f ca="1">IF(AND(L790&lt;&gt;-1,L789=-1),MAX($Q$8:Q789)+1,"")</f>
        <v/>
      </c>
    </row>
    <row r="791" spans="1:17" x14ac:dyDescent="0.3">
      <c r="A791" s="3">
        <v>41347</v>
      </c>
      <c r="B791" s="9">
        <v>11.412271</v>
      </c>
      <c r="C791" s="9">
        <v>10.371808</v>
      </c>
      <c r="E791" s="14">
        <f t="shared" si="88"/>
        <v>1.1003164539875787</v>
      </c>
      <c r="F791" s="18">
        <f t="shared" ca="1" si="87"/>
        <v>-1.0016726961306366</v>
      </c>
      <c r="G791" s="15">
        <f t="shared" ca="1" si="85"/>
        <v>1.113281670411161</v>
      </c>
      <c r="H791" s="15">
        <f t="shared" ca="1" si="86"/>
        <v>1.2943565771200156E-2</v>
      </c>
      <c r="J791" s="17">
        <f t="shared" ca="1" si="89"/>
        <v>0</v>
      </c>
      <c r="K791" s="24">
        <f t="shared" ca="1" si="90"/>
        <v>-1</v>
      </c>
      <c r="L791" s="17">
        <f t="shared" ca="1" si="91"/>
        <v>-1</v>
      </c>
      <c r="N791" s="24" t="str">
        <f ca="1">IF(AND(L791=1,L790&lt;&gt;1),MAX($N$8:N790)+1,"")</f>
        <v/>
      </c>
      <c r="O791" s="24">
        <f ca="1">IF(AND(L791&lt;&gt;1,L790=1),MAX($O$8:O790)+1,"")</f>
        <v>22</v>
      </c>
      <c r="P791" s="17">
        <f ca="1">IF(AND(L791=-1,L790&lt;&gt;-1),MAX($P$8:P790)+1,"")</f>
        <v>32</v>
      </c>
      <c r="Q791" s="24" t="str">
        <f ca="1">IF(AND(L791&lt;&gt;-1,L790=-1),MAX($Q$8:Q790)+1,"")</f>
        <v/>
      </c>
    </row>
    <row r="792" spans="1:17" x14ac:dyDescent="0.3">
      <c r="A792" s="3">
        <v>41348</v>
      </c>
      <c r="B792" s="9">
        <v>11.421925</v>
      </c>
      <c r="C792" s="9">
        <v>10.442285999999999</v>
      </c>
      <c r="E792" s="14">
        <f t="shared" si="88"/>
        <v>1.0938146110918625</v>
      </c>
      <c r="F792" s="18">
        <f t="shared" ca="1" si="87"/>
        <v>-1.5495188680918164</v>
      </c>
      <c r="G792" s="15">
        <f t="shared" ca="1" si="85"/>
        <v>1.1134460711411465</v>
      </c>
      <c r="H792" s="15">
        <f t="shared" ca="1" si="86"/>
        <v>1.2669390772543143E-2</v>
      </c>
      <c r="J792" s="17">
        <f t="shared" ca="1" si="89"/>
        <v>0</v>
      </c>
      <c r="K792" s="24">
        <f t="shared" ca="1" si="90"/>
        <v>-1</v>
      </c>
      <c r="L792" s="17">
        <f t="shared" ca="1" si="91"/>
        <v>-1</v>
      </c>
      <c r="N792" s="24" t="str">
        <f ca="1">IF(AND(L792=1,L791&lt;&gt;1),MAX($N$8:N791)+1,"")</f>
        <v/>
      </c>
      <c r="O792" s="24" t="str">
        <f ca="1">IF(AND(L792&lt;&gt;1,L791=1),MAX($O$8:O791)+1,"")</f>
        <v/>
      </c>
      <c r="P792" s="17" t="str">
        <f ca="1">IF(AND(L792=-1,L791&lt;&gt;-1),MAX($P$8:P791)+1,"")</f>
        <v/>
      </c>
      <c r="Q792" s="24" t="str">
        <f ca="1">IF(AND(L792&lt;&gt;-1,L791=-1),MAX($Q$8:Q791)+1,"")</f>
        <v/>
      </c>
    </row>
    <row r="793" spans="1:17" x14ac:dyDescent="0.3">
      <c r="A793" s="3">
        <v>41351</v>
      </c>
      <c r="B793" s="9">
        <v>11.637025</v>
      </c>
      <c r="C793" s="9">
        <v>10.250589</v>
      </c>
      <c r="E793" s="14">
        <f t="shared" si="88"/>
        <v>1.1352542766079101</v>
      </c>
      <c r="F793" s="18">
        <f t="shared" ca="1" si="87"/>
        <v>1.5444976340504895</v>
      </c>
      <c r="G793" s="15">
        <f t="shared" ca="1" si="85"/>
        <v>1.1150630876119856</v>
      </c>
      <c r="H793" s="15">
        <f t="shared" ca="1" si="86"/>
        <v>1.3072981499474726E-2</v>
      </c>
      <c r="J793" s="17">
        <f t="shared" ca="1" si="89"/>
        <v>1</v>
      </c>
      <c r="K793" s="24">
        <f t="shared" ca="1" si="90"/>
        <v>0</v>
      </c>
      <c r="L793" s="17">
        <f t="shared" ca="1" si="91"/>
        <v>1</v>
      </c>
      <c r="N793" s="24">
        <f ca="1">IF(AND(L793=1,L792&lt;&gt;1),MAX($N$8:N792)+1,"")</f>
        <v>23</v>
      </c>
      <c r="O793" s="24" t="str">
        <f ca="1">IF(AND(L793&lt;&gt;1,L792=1),MAX($O$8:O792)+1,"")</f>
        <v/>
      </c>
      <c r="P793" s="17" t="str">
        <f ca="1">IF(AND(L793=-1,L792&lt;&gt;-1),MAX($P$8:P792)+1,"")</f>
        <v/>
      </c>
      <c r="Q793" s="24">
        <f ca="1">IF(AND(L793&lt;&gt;-1,L792=-1),MAX($Q$8:Q792)+1,"")</f>
        <v>32</v>
      </c>
    </row>
    <row r="794" spans="1:17" x14ac:dyDescent="0.3">
      <c r="A794" s="3">
        <v>41352</v>
      </c>
      <c r="B794" s="9">
        <v>11.498982</v>
      </c>
      <c r="C794" s="9">
        <v>10.120877999999999</v>
      </c>
      <c r="E794" s="14">
        <f t="shared" si="88"/>
        <v>1.1361644711061629</v>
      </c>
      <c r="F794" s="18">
        <f t="shared" ca="1" si="87"/>
        <v>1.4532033425142366</v>
      </c>
      <c r="G794" s="15">
        <f t="shared" ca="1" si="85"/>
        <v>1.1166177444329444</v>
      </c>
      <c r="H794" s="15">
        <f t="shared" ca="1" si="86"/>
        <v>1.3450785654951834E-2</v>
      </c>
      <c r="J794" s="17">
        <f t="shared" ca="1" si="89"/>
        <v>1</v>
      </c>
      <c r="K794" s="24">
        <f t="shared" ca="1" si="90"/>
        <v>0</v>
      </c>
      <c r="L794" s="17">
        <f t="shared" ca="1" si="91"/>
        <v>1</v>
      </c>
      <c r="N794" s="24" t="str">
        <f ca="1">IF(AND(L794=1,L793&lt;&gt;1),MAX($N$8:N793)+1,"")</f>
        <v/>
      </c>
      <c r="O794" s="24" t="str">
        <f ca="1">IF(AND(L794&lt;&gt;1,L793=1),MAX($O$8:O793)+1,"")</f>
        <v/>
      </c>
      <c r="P794" s="17" t="str">
        <f ca="1">IF(AND(L794=-1,L793&lt;&gt;-1),MAX($P$8:P793)+1,"")</f>
        <v/>
      </c>
      <c r="Q794" s="24" t="str">
        <f ca="1">IF(AND(L794&lt;&gt;-1,L793=-1),MAX($Q$8:Q793)+1,"")</f>
        <v/>
      </c>
    </row>
    <row r="795" spans="1:17" x14ac:dyDescent="0.3">
      <c r="A795" s="3">
        <v>41353</v>
      </c>
      <c r="B795" s="9">
        <v>11.598464</v>
      </c>
      <c r="C795" s="9">
        <v>10.211103</v>
      </c>
      <c r="E795" s="14">
        <f t="shared" si="88"/>
        <v>1.1358678881213911</v>
      </c>
      <c r="F795" s="18">
        <f t="shared" ca="1" si="87"/>
        <v>1.3185519639056591</v>
      </c>
      <c r="G795" s="15">
        <f t="shared" ca="1" si="85"/>
        <v>1.1184402369856044</v>
      </c>
      <c r="H795" s="15">
        <f t="shared" ca="1" si="86"/>
        <v>1.3217265312900199E-2</v>
      </c>
      <c r="J795" s="17">
        <f t="shared" ca="1" si="89"/>
        <v>1</v>
      </c>
      <c r="K795" s="24">
        <f t="shared" ca="1" si="90"/>
        <v>0</v>
      </c>
      <c r="L795" s="17">
        <f t="shared" ca="1" si="91"/>
        <v>1</v>
      </c>
      <c r="N795" s="24" t="str">
        <f ca="1">IF(AND(L795=1,L794&lt;&gt;1),MAX($N$8:N794)+1,"")</f>
        <v/>
      </c>
      <c r="O795" s="24" t="str">
        <f ca="1">IF(AND(L795&lt;&gt;1,L794=1),MAX($O$8:O794)+1,"")</f>
        <v/>
      </c>
      <c r="P795" s="17" t="str">
        <f ca="1">IF(AND(L795=-1,L794&lt;&gt;-1),MAX($P$8:P794)+1,"")</f>
        <v/>
      </c>
      <c r="Q795" s="24" t="str">
        <f ca="1">IF(AND(L795&lt;&gt;-1,L794=-1),MAX($Q$8:Q794)+1,"")</f>
        <v/>
      </c>
    </row>
    <row r="796" spans="1:17" x14ac:dyDescent="0.3">
      <c r="A796" s="3">
        <v>41354</v>
      </c>
      <c r="B796" s="9">
        <v>11.470078000000001</v>
      </c>
      <c r="C796" s="9">
        <v>10.118065</v>
      </c>
      <c r="E796" s="14">
        <f t="shared" si="88"/>
        <v>1.1336236721151725</v>
      </c>
      <c r="F796" s="18">
        <f t="shared" ca="1" si="87"/>
        <v>1.0606529730056298</v>
      </c>
      <c r="G796" s="15">
        <f t="shared" ca="1" si="85"/>
        <v>1.1200602865041398</v>
      </c>
      <c r="H796" s="15">
        <f t="shared" ca="1" si="86"/>
        <v>1.2787769380023847E-2</v>
      </c>
      <c r="J796" s="17">
        <f t="shared" ca="1" si="89"/>
        <v>1</v>
      </c>
      <c r="K796" s="24">
        <f t="shared" ca="1" si="90"/>
        <v>0</v>
      </c>
      <c r="L796" s="17">
        <f t="shared" ca="1" si="91"/>
        <v>1</v>
      </c>
      <c r="N796" s="24" t="str">
        <f ca="1">IF(AND(L796=1,L795&lt;&gt;1),MAX($N$8:N795)+1,"")</f>
        <v/>
      </c>
      <c r="O796" s="24" t="str">
        <f ca="1">IF(AND(L796&lt;&gt;1,L795=1),MAX($O$8:O795)+1,"")</f>
        <v/>
      </c>
      <c r="P796" s="17" t="str">
        <f ca="1">IF(AND(L796=-1,L795&lt;&gt;-1),MAX($P$8:P795)+1,"")</f>
        <v/>
      </c>
      <c r="Q796" s="24" t="str">
        <f ca="1">IF(AND(L796&lt;&gt;-1,L795=-1),MAX($Q$8:Q795)+1,"")</f>
        <v/>
      </c>
    </row>
    <row r="797" spans="1:17" x14ac:dyDescent="0.3">
      <c r="A797" s="3">
        <v>41355</v>
      </c>
      <c r="B797" s="9">
        <v>11.328792999999999</v>
      </c>
      <c r="C797" s="9">
        <v>10.101129</v>
      </c>
      <c r="E797" s="14">
        <f t="shared" si="88"/>
        <v>1.1215373053843782</v>
      </c>
      <c r="F797" s="18">
        <f t="shared" ca="1" si="87"/>
        <v>5.4613896434860684E-2</v>
      </c>
      <c r="G797" s="15">
        <f t="shared" ca="1" si="85"/>
        <v>1.1208662722399334</v>
      </c>
      <c r="H797" s="15">
        <f t="shared" ca="1" si="86"/>
        <v>1.2286857159975574E-2</v>
      </c>
      <c r="J797" s="17">
        <f t="shared" ca="1" si="89"/>
        <v>1</v>
      </c>
      <c r="K797" s="24">
        <f t="shared" ca="1" si="90"/>
        <v>0</v>
      </c>
      <c r="L797" s="17">
        <f t="shared" ca="1" si="91"/>
        <v>1</v>
      </c>
      <c r="N797" s="24" t="str">
        <f ca="1">IF(AND(L797=1,L796&lt;&gt;1),MAX($N$8:N796)+1,"")</f>
        <v/>
      </c>
      <c r="O797" s="24" t="str">
        <f ca="1">IF(AND(L797&lt;&gt;1,L796=1),MAX($O$8:O796)+1,"")</f>
        <v/>
      </c>
      <c r="P797" s="17" t="str">
        <f ca="1">IF(AND(L797=-1,L796&lt;&gt;-1),MAX($P$8:P796)+1,"")</f>
        <v/>
      </c>
      <c r="Q797" s="24" t="str">
        <f ca="1">IF(AND(L797&lt;&gt;-1,L796=-1),MAX($Q$8:Q796)+1,"")</f>
        <v/>
      </c>
    </row>
    <row r="798" spans="1:17" x14ac:dyDescent="0.3">
      <c r="A798" s="3">
        <v>41358</v>
      </c>
      <c r="B798" s="9">
        <v>11.235732</v>
      </c>
      <c r="C798" s="9">
        <v>9.9573619999999998</v>
      </c>
      <c r="E798" s="14">
        <f t="shared" si="88"/>
        <v>1.1283844054278633</v>
      </c>
      <c r="F798" s="18">
        <f t="shared" ca="1" si="87"/>
        <v>0.54706482628347197</v>
      </c>
      <c r="G798" s="15">
        <f t="shared" ca="1" si="85"/>
        <v>1.121794346338272</v>
      </c>
      <c r="H798" s="15">
        <f t="shared" ca="1" si="86"/>
        <v>1.2046212391978117E-2</v>
      </c>
      <c r="J798" s="17">
        <f t="shared" ca="1" si="89"/>
        <v>1</v>
      </c>
      <c r="K798" s="24">
        <f t="shared" ca="1" si="90"/>
        <v>0</v>
      </c>
      <c r="L798" s="17">
        <f t="shared" ca="1" si="91"/>
        <v>1</v>
      </c>
      <c r="N798" s="24" t="str">
        <f ca="1">IF(AND(L798=1,L797&lt;&gt;1),MAX($N$8:N797)+1,"")</f>
        <v/>
      </c>
      <c r="O798" s="24" t="str">
        <f ca="1">IF(AND(L798&lt;&gt;1,L797=1),MAX($O$8:O797)+1,"")</f>
        <v/>
      </c>
      <c r="P798" s="17" t="str">
        <f ca="1">IF(AND(L798=-1,L797&lt;&gt;-1),MAX($P$8:P797)+1,"")</f>
        <v/>
      </c>
      <c r="Q798" s="24" t="str">
        <f ca="1">IF(AND(L798&lt;&gt;-1,L797=-1),MAX($Q$8:Q797)+1,"")</f>
        <v/>
      </c>
    </row>
    <row r="799" spans="1:17" x14ac:dyDescent="0.3">
      <c r="A799" s="3">
        <v>41359</v>
      </c>
      <c r="B799" s="9">
        <v>11.354524</v>
      </c>
      <c r="C799" s="9">
        <v>10.115776</v>
      </c>
      <c r="E799" s="14">
        <f t="shared" si="88"/>
        <v>1.1224570413579738</v>
      </c>
      <c r="F799" s="18">
        <f t="shared" ca="1" si="87"/>
        <v>4.8507587735568396E-2</v>
      </c>
      <c r="G799" s="15">
        <f t="shared" ref="G799:G862" ca="1" si="92">IF(ISNUMBER(E799),IF(ROW(E799)&gt;$J$1,AVERAGE(OFFSET(E799,0,0,-$J$1)),""),"")</f>
        <v>1.1218727842549951</v>
      </c>
      <c r="H799" s="15">
        <f t="shared" ref="H799:H862" ca="1" si="93">IF(ISNUMBER(E799),IF(ROW(E799)&gt;$J$1,_xlfn.STDEV.P(OFFSET(E799,0,0,-$J$1)),""),"")</f>
        <v>1.204465384186057E-2</v>
      </c>
      <c r="J799" s="17">
        <f t="shared" ca="1" si="89"/>
        <v>1</v>
      </c>
      <c r="K799" s="24">
        <f t="shared" ca="1" si="90"/>
        <v>0</v>
      </c>
      <c r="L799" s="17">
        <f t="shared" ca="1" si="91"/>
        <v>1</v>
      </c>
      <c r="N799" s="24" t="str">
        <f ca="1">IF(AND(L799=1,L798&lt;&gt;1),MAX($N$8:N798)+1,"")</f>
        <v/>
      </c>
      <c r="O799" s="24" t="str">
        <f ca="1">IF(AND(L799&lt;&gt;1,L798=1),MAX($O$8:O798)+1,"")</f>
        <v/>
      </c>
      <c r="P799" s="17" t="str">
        <f ca="1">IF(AND(L799=-1,L798&lt;&gt;-1),MAX($P$8:P798)+1,"")</f>
        <v/>
      </c>
      <c r="Q799" s="24" t="str">
        <f ca="1">IF(AND(L799&lt;&gt;-1,L798=-1),MAX($Q$8:Q798)+1,"")</f>
        <v/>
      </c>
    </row>
    <row r="800" spans="1:17" x14ac:dyDescent="0.3">
      <c r="A800" s="3">
        <v>41360</v>
      </c>
      <c r="B800" s="9">
        <v>11.380186</v>
      </c>
      <c r="C800" s="9">
        <v>10.335978000000001</v>
      </c>
      <c r="E800" s="14">
        <f t="shared" si="88"/>
        <v>1.1010265308227243</v>
      </c>
      <c r="F800" s="18">
        <f t="shared" ca="1" si="87"/>
        <v>-1.5452685964527693</v>
      </c>
      <c r="G800" s="15">
        <f t="shared" ca="1" si="92"/>
        <v>1.1207463669243631</v>
      </c>
      <c r="H800" s="15">
        <f t="shared" ca="1" si="93"/>
        <v>1.2761429402568971E-2</v>
      </c>
      <c r="J800" s="17">
        <f t="shared" ca="1" si="89"/>
        <v>0</v>
      </c>
      <c r="K800" s="24">
        <f t="shared" ca="1" si="90"/>
        <v>-1</v>
      </c>
      <c r="L800" s="17">
        <f t="shared" ca="1" si="91"/>
        <v>-1</v>
      </c>
      <c r="N800" s="24" t="str">
        <f ca="1">IF(AND(L800=1,L799&lt;&gt;1),MAX($N$8:N799)+1,"")</f>
        <v/>
      </c>
      <c r="O800" s="24">
        <f ca="1">IF(AND(L800&lt;&gt;1,L799=1),MAX($O$8:O799)+1,"")</f>
        <v>23</v>
      </c>
      <c r="P800" s="17">
        <f ca="1">IF(AND(L800=-1,L799&lt;&gt;-1),MAX($P$8:P799)+1,"")</f>
        <v>33</v>
      </c>
      <c r="Q800" s="24" t="str">
        <f ca="1">IF(AND(L800&lt;&gt;-1,L799=-1),MAX($Q$8:Q799)+1,"")</f>
        <v/>
      </c>
    </row>
    <row r="801" spans="1:17" x14ac:dyDescent="0.3">
      <c r="A801" s="3">
        <v>41361</v>
      </c>
      <c r="B801" s="9">
        <v>11.380186</v>
      </c>
      <c r="C801" s="9">
        <v>11.369581999999999</v>
      </c>
      <c r="E801" s="14">
        <f t="shared" si="88"/>
        <v>1.0009326640152647</v>
      </c>
      <c r="F801" s="18">
        <f t="shared" ca="1" si="87"/>
        <v>-4.0878607040412742</v>
      </c>
      <c r="G801" s="15">
        <f t="shared" ca="1" si="92"/>
        <v>1.1148753856025138</v>
      </c>
      <c r="H801" s="15">
        <f t="shared" ca="1" si="93"/>
        <v>2.7873435480471449E-2</v>
      </c>
      <c r="J801" s="17">
        <f t="shared" ca="1" si="89"/>
        <v>0</v>
      </c>
      <c r="K801" s="24">
        <f t="shared" ca="1" si="90"/>
        <v>-1</v>
      </c>
      <c r="L801" s="17">
        <f t="shared" ca="1" si="91"/>
        <v>-1</v>
      </c>
      <c r="N801" s="24" t="str">
        <f ca="1">IF(AND(L801=1,L800&lt;&gt;1),MAX($N$8:N800)+1,"")</f>
        <v/>
      </c>
      <c r="O801" s="24" t="str">
        <f ca="1">IF(AND(L801&lt;&gt;1,L800=1),MAX($O$8:O800)+1,"")</f>
        <v/>
      </c>
      <c r="P801" s="17" t="str">
        <f ca="1">IF(AND(L801=-1,L800&lt;&gt;-1),MAX($P$8:P800)+1,"")</f>
        <v/>
      </c>
      <c r="Q801" s="24" t="str">
        <f ca="1">IF(AND(L801&lt;&gt;-1,L800=-1),MAX($Q$8:Q800)+1,"")</f>
        <v/>
      </c>
    </row>
    <row r="802" spans="1:17" x14ac:dyDescent="0.3">
      <c r="A802" s="3">
        <v>41365</v>
      </c>
      <c r="B802" s="9">
        <v>11.371506</v>
      </c>
      <c r="C802" s="9">
        <v>10.475567</v>
      </c>
      <c r="E802" s="14">
        <f t="shared" si="88"/>
        <v>1.0855265399954008</v>
      </c>
      <c r="F802" s="18">
        <f t="shared" ca="1" si="87"/>
        <v>-0.96675331933843833</v>
      </c>
      <c r="G802" s="15">
        <f t="shared" ca="1" si="92"/>
        <v>1.1129506659477764</v>
      </c>
      <c r="H802" s="15">
        <f t="shared" ca="1" si="93"/>
        <v>2.8367242608633828E-2</v>
      </c>
      <c r="J802" s="17">
        <f t="shared" ca="1" si="89"/>
        <v>0</v>
      </c>
      <c r="K802" s="24">
        <f t="shared" ca="1" si="90"/>
        <v>-1</v>
      </c>
      <c r="L802" s="17">
        <f t="shared" ca="1" si="91"/>
        <v>-1</v>
      </c>
      <c r="N802" s="24" t="str">
        <f ca="1">IF(AND(L802=1,L801&lt;&gt;1),MAX($N$8:N801)+1,"")</f>
        <v/>
      </c>
      <c r="O802" s="24" t="str">
        <f ca="1">IF(AND(L802&lt;&gt;1,L801=1),MAX($O$8:O801)+1,"")</f>
        <v/>
      </c>
      <c r="P802" s="17" t="str">
        <f ca="1">IF(AND(L802=-1,L801&lt;&gt;-1),MAX($P$8:P801)+1,"")</f>
        <v/>
      </c>
      <c r="Q802" s="24" t="str">
        <f ca="1">IF(AND(L802&lt;&gt;-1,L801=-1),MAX($Q$8:Q801)+1,"")</f>
        <v/>
      </c>
    </row>
    <row r="803" spans="1:17" x14ac:dyDescent="0.3">
      <c r="A803" s="3">
        <v>41366</v>
      </c>
      <c r="B803" s="9">
        <v>11.169053</v>
      </c>
      <c r="C803" s="9">
        <v>10.369070000000001</v>
      </c>
      <c r="E803" s="14">
        <f t="shared" si="88"/>
        <v>1.0771508920279254</v>
      </c>
      <c r="F803" s="18">
        <f t="shared" ca="1" si="87"/>
        <v>-1.1495314671942862</v>
      </c>
      <c r="G803" s="15">
        <f t="shared" ca="1" si="92"/>
        <v>1.1105383973728213</v>
      </c>
      <c r="H803" s="15">
        <f t="shared" ca="1" si="93"/>
        <v>2.9044446626925655E-2</v>
      </c>
      <c r="J803" s="17">
        <f t="shared" ca="1" si="89"/>
        <v>0</v>
      </c>
      <c r="K803" s="24">
        <f t="shared" ca="1" si="90"/>
        <v>-1</v>
      </c>
      <c r="L803" s="17">
        <f t="shared" ca="1" si="91"/>
        <v>-1</v>
      </c>
      <c r="N803" s="24" t="str">
        <f ca="1">IF(AND(L803=1,L802&lt;&gt;1),MAX($N$8:N802)+1,"")</f>
        <v/>
      </c>
      <c r="O803" s="24" t="str">
        <f ca="1">IF(AND(L803&lt;&gt;1,L802=1),MAX($O$8:O802)+1,"")</f>
        <v/>
      </c>
      <c r="P803" s="17" t="str">
        <f ca="1">IF(AND(L803=-1,L802&lt;&gt;-1),MAX($P$8:P802)+1,"")</f>
        <v/>
      </c>
      <c r="Q803" s="24" t="str">
        <f ca="1">IF(AND(L803&lt;&gt;-1,L802=-1),MAX($Q$8:Q802)+1,"")</f>
        <v/>
      </c>
    </row>
    <row r="804" spans="1:17" x14ac:dyDescent="0.3">
      <c r="A804" s="3">
        <v>41367</v>
      </c>
      <c r="B804" s="9">
        <v>11.188313000000001</v>
      </c>
      <c r="C804" s="9">
        <v>10.493237000000001</v>
      </c>
      <c r="E804" s="14">
        <f t="shared" si="88"/>
        <v>1.0662403793986546</v>
      </c>
      <c r="F804" s="18">
        <f t="shared" ca="1" si="87"/>
        <v>-1.3759202641696209</v>
      </c>
      <c r="G804" s="15">
        <f t="shared" ca="1" si="92"/>
        <v>1.1079401788102599</v>
      </c>
      <c r="H804" s="15">
        <f t="shared" ca="1" si="93"/>
        <v>3.0306842989024117E-2</v>
      </c>
      <c r="J804" s="17">
        <f t="shared" ca="1" si="89"/>
        <v>0</v>
      </c>
      <c r="K804" s="24">
        <f t="shared" ca="1" si="90"/>
        <v>-1</v>
      </c>
      <c r="L804" s="17">
        <f t="shared" ca="1" si="91"/>
        <v>-1</v>
      </c>
      <c r="N804" s="24" t="str">
        <f ca="1">IF(AND(L804=1,L803&lt;&gt;1),MAX($N$8:N803)+1,"")</f>
        <v/>
      </c>
      <c r="O804" s="24" t="str">
        <f ca="1">IF(AND(L804&lt;&gt;1,L803=1),MAX($O$8:O803)+1,"")</f>
        <v/>
      </c>
      <c r="P804" s="17" t="str">
        <f ca="1">IF(AND(L804=-1,L803&lt;&gt;-1),MAX($P$8:P803)+1,"")</f>
        <v/>
      </c>
      <c r="Q804" s="24" t="str">
        <f ca="1">IF(AND(L804&lt;&gt;-1,L803=-1),MAX($Q$8:Q803)+1,"")</f>
        <v/>
      </c>
    </row>
    <row r="805" spans="1:17" x14ac:dyDescent="0.3">
      <c r="A805" s="3">
        <v>41368</v>
      </c>
      <c r="B805" s="9">
        <v>10.870203</v>
      </c>
      <c r="C805" s="9">
        <v>10.288366999999999</v>
      </c>
      <c r="E805" s="14">
        <f t="shared" si="88"/>
        <v>1.0565528037637073</v>
      </c>
      <c r="F805" s="18">
        <f t="shared" ca="1" si="87"/>
        <v>-1.5306187376513303</v>
      </c>
      <c r="G805" s="15">
        <f t="shared" ca="1" si="92"/>
        <v>1.1057536563607719</v>
      </c>
      <c r="H805" s="15">
        <f t="shared" ca="1" si="93"/>
        <v>3.2144420675629039E-2</v>
      </c>
      <c r="J805" s="17">
        <f t="shared" ca="1" si="89"/>
        <v>0</v>
      </c>
      <c r="K805" s="24">
        <f t="shared" ca="1" si="90"/>
        <v>-1</v>
      </c>
      <c r="L805" s="17">
        <f t="shared" ca="1" si="91"/>
        <v>-1</v>
      </c>
      <c r="N805" s="24" t="str">
        <f ca="1">IF(AND(L805=1,L804&lt;&gt;1),MAX($N$8:N804)+1,"")</f>
        <v/>
      </c>
      <c r="O805" s="24" t="str">
        <f ca="1">IF(AND(L805&lt;&gt;1,L804=1),MAX($O$8:O804)+1,"")</f>
        <v/>
      </c>
      <c r="P805" s="17" t="str">
        <f ca="1">IF(AND(L805=-1,L804&lt;&gt;-1),MAX($P$8:P804)+1,"")</f>
        <v/>
      </c>
      <c r="Q805" s="24" t="str">
        <f ca="1">IF(AND(L805&lt;&gt;-1,L804=-1),MAX($Q$8:Q804)+1,"")</f>
        <v/>
      </c>
    </row>
    <row r="806" spans="1:17" x14ac:dyDescent="0.3">
      <c r="A806" s="3">
        <v>41369</v>
      </c>
      <c r="B806" s="9">
        <v>10.867027</v>
      </c>
      <c r="C806" s="9">
        <v>10.341120999999999</v>
      </c>
      <c r="E806" s="14">
        <f t="shared" si="88"/>
        <v>1.0508558018033056</v>
      </c>
      <c r="F806" s="18">
        <f t="shared" ca="1" si="87"/>
        <v>-1.5422970976913377</v>
      </c>
      <c r="G806" s="15">
        <f t="shared" ca="1" si="92"/>
        <v>1.1034756050276526</v>
      </c>
      <c r="H806" s="15">
        <f t="shared" ca="1" si="93"/>
        <v>3.4117812516870787E-2</v>
      </c>
      <c r="J806" s="17">
        <f t="shared" ca="1" si="89"/>
        <v>0</v>
      </c>
      <c r="K806" s="24">
        <f t="shared" ca="1" si="90"/>
        <v>-1</v>
      </c>
      <c r="L806" s="17">
        <f t="shared" ca="1" si="91"/>
        <v>-1</v>
      </c>
      <c r="N806" s="24" t="str">
        <f ca="1">IF(AND(L806=1,L805&lt;&gt;1),MAX($N$8:N805)+1,"")</f>
        <v/>
      </c>
      <c r="O806" s="24" t="str">
        <f ca="1">IF(AND(L806&lt;&gt;1,L805=1),MAX($O$8:O805)+1,"")</f>
        <v/>
      </c>
      <c r="P806" s="17" t="str">
        <f ca="1">IF(AND(L806=-1,L805&lt;&gt;-1),MAX($P$8:P805)+1,"")</f>
        <v/>
      </c>
      <c r="Q806" s="24" t="str">
        <f ca="1">IF(AND(L806&lt;&gt;-1,L805=-1),MAX($Q$8:Q805)+1,"")</f>
        <v/>
      </c>
    </row>
    <row r="807" spans="1:17" x14ac:dyDescent="0.3">
      <c r="A807" s="3">
        <v>41372</v>
      </c>
      <c r="B807" s="9">
        <v>10.860609</v>
      </c>
      <c r="C807" s="9">
        <v>10.139334</v>
      </c>
      <c r="E807" s="14">
        <f t="shared" si="88"/>
        <v>1.0711363290725013</v>
      </c>
      <c r="F807" s="18">
        <f t="shared" ca="1" si="87"/>
        <v>-0.87081832430335615</v>
      </c>
      <c r="G807" s="15">
        <f t="shared" ca="1" si="92"/>
        <v>1.1012059651385397</v>
      </c>
      <c r="H807" s="15">
        <f t="shared" ca="1" si="93"/>
        <v>3.4530320764774608E-2</v>
      </c>
      <c r="J807" s="17">
        <f t="shared" ca="1" si="89"/>
        <v>0</v>
      </c>
      <c r="K807" s="24">
        <f t="shared" ca="1" si="90"/>
        <v>-1</v>
      </c>
      <c r="L807" s="17">
        <f t="shared" ca="1" si="91"/>
        <v>-1</v>
      </c>
      <c r="N807" s="24" t="str">
        <f ca="1">IF(AND(L807=1,L806&lt;&gt;1),MAX($N$8:N806)+1,"")</f>
        <v/>
      </c>
      <c r="O807" s="24" t="str">
        <f ca="1">IF(AND(L807&lt;&gt;1,L806=1),MAX($O$8:O806)+1,"")</f>
        <v/>
      </c>
      <c r="P807" s="17" t="str">
        <f ca="1">IF(AND(L807=-1,L806&lt;&gt;-1),MAX($P$8:P806)+1,"")</f>
        <v/>
      </c>
      <c r="Q807" s="24" t="str">
        <f ca="1">IF(AND(L807&lt;&gt;-1,L806=-1),MAX($Q$8:Q806)+1,"")</f>
        <v/>
      </c>
    </row>
    <row r="808" spans="1:17" x14ac:dyDescent="0.3">
      <c r="A808" s="3">
        <v>41373</v>
      </c>
      <c r="B808" s="9">
        <v>11.117608000000001</v>
      </c>
      <c r="C808" s="9">
        <v>10.465351999999999</v>
      </c>
      <c r="E808" s="14">
        <f t="shared" si="88"/>
        <v>1.0623252806021242</v>
      </c>
      <c r="F808" s="18">
        <f t="shared" ca="1" si="87"/>
        <v>-1.0321579679748054</v>
      </c>
      <c r="G808" s="15">
        <f t="shared" ca="1" si="92"/>
        <v>1.0987259707123977</v>
      </c>
      <c r="H808" s="15">
        <f t="shared" ca="1" si="93"/>
        <v>3.5266588293355217E-2</v>
      </c>
      <c r="J808" s="17">
        <f t="shared" ca="1" si="89"/>
        <v>0</v>
      </c>
      <c r="K808" s="24">
        <f t="shared" ca="1" si="90"/>
        <v>-1</v>
      </c>
      <c r="L808" s="17">
        <f t="shared" ca="1" si="91"/>
        <v>-1</v>
      </c>
      <c r="N808" s="24" t="str">
        <f ca="1">IF(AND(L808=1,L807&lt;&gt;1),MAX($N$8:N807)+1,"")</f>
        <v/>
      </c>
      <c r="O808" s="24" t="str">
        <f ca="1">IF(AND(L808&lt;&gt;1,L807=1),MAX($O$8:O807)+1,"")</f>
        <v/>
      </c>
      <c r="P808" s="17" t="str">
        <f ca="1">IF(AND(L808=-1,L807&lt;&gt;-1),MAX($P$8:P807)+1,"")</f>
        <v/>
      </c>
      <c r="Q808" s="24" t="str">
        <f ca="1">IF(AND(L808&lt;&gt;-1,L807=-1),MAX($Q$8:Q807)+1,"")</f>
        <v/>
      </c>
    </row>
    <row r="809" spans="1:17" x14ac:dyDescent="0.3">
      <c r="A809" s="3">
        <v>41374</v>
      </c>
      <c r="B809" s="9">
        <v>11.284708999999999</v>
      </c>
      <c r="C809" s="9">
        <v>10.710601</v>
      </c>
      <c r="E809" s="14">
        <f t="shared" si="88"/>
        <v>1.0536018473659881</v>
      </c>
      <c r="F809" s="18">
        <f t="shared" ca="1" si="87"/>
        <v>-1.1650566055613312</v>
      </c>
      <c r="G809" s="15">
        <f t="shared" ca="1" si="92"/>
        <v>1.0951092054397933</v>
      </c>
      <c r="H809" s="15">
        <f t="shared" ca="1" si="93"/>
        <v>3.562690248325466E-2</v>
      </c>
      <c r="J809" s="17">
        <f t="shared" ca="1" si="89"/>
        <v>0</v>
      </c>
      <c r="K809" s="24">
        <f t="shared" ca="1" si="90"/>
        <v>-1</v>
      </c>
      <c r="L809" s="17">
        <f t="shared" ca="1" si="91"/>
        <v>-1</v>
      </c>
      <c r="N809" s="24" t="str">
        <f ca="1">IF(AND(L809=1,L808&lt;&gt;1),MAX($N$8:N808)+1,"")</f>
        <v/>
      </c>
      <c r="O809" s="24" t="str">
        <f ca="1">IF(AND(L809&lt;&gt;1,L808=1),MAX($O$8:O808)+1,"")</f>
        <v/>
      </c>
      <c r="P809" s="17" t="str">
        <f ca="1">IF(AND(L809=-1,L808&lt;&gt;-1),MAX($P$8:P808)+1,"")</f>
        <v/>
      </c>
      <c r="Q809" s="24" t="str">
        <f ca="1">IF(AND(L809&lt;&gt;-1,L808=-1),MAX($Q$8:Q808)+1,"")</f>
        <v/>
      </c>
    </row>
    <row r="810" spans="1:17" x14ac:dyDescent="0.3">
      <c r="A810" s="3">
        <v>41375</v>
      </c>
      <c r="B810" s="9">
        <v>11.326485999999999</v>
      </c>
      <c r="C810" s="9">
        <v>10.698169999999999</v>
      </c>
      <c r="E810" s="14">
        <f t="shared" si="88"/>
        <v>1.0587311661714107</v>
      </c>
      <c r="F810" s="18">
        <f t="shared" ca="1" si="87"/>
        <v>-0.9324028407668925</v>
      </c>
      <c r="G810" s="15">
        <f t="shared" ca="1" si="92"/>
        <v>1.0920045658916491</v>
      </c>
      <c r="H810" s="15">
        <f t="shared" ca="1" si="93"/>
        <v>3.5685648161336889E-2</v>
      </c>
      <c r="J810" s="17">
        <f t="shared" ca="1" si="89"/>
        <v>0</v>
      </c>
      <c r="K810" s="24">
        <f t="shared" ca="1" si="90"/>
        <v>-1</v>
      </c>
      <c r="L810" s="17">
        <f t="shared" ca="1" si="91"/>
        <v>-1</v>
      </c>
      <c r="N810" s="24" t="str">
        <f ca="1">IF(AND(L810=1,L809&lt;&gt;1),MAX($N$8:N809)+1,"")</f>
        <v/>
      </c>
      <c r="O810" s="24" t="str">
        <f ca="1">IF(AND(L810&lt;&gt;1,L809=1),MAX($O$8:O809)+1,"")</f>
        <v/>
      </c>
      <c r="P810" s="17" t="str">
        <f ca="1">IF(AND(L810=-1,L809&lt;&gt;-1),MAX($P$8:P809)+1,"")</f>
        <v/>
      </c>
      <c r="Q810" s="24" t="str">
        <f ca="1">IF(AND(L810&lt;&gt;-1,L809=-1),MAX($Q$8:Q809)+1,"")</f>
        <v/>
      </c>
    </row>
    <row r="811" spans="1:17" x14ac:dyDescent="0.3">
      <c r="A811" s="3">
        <v>41376</v>
      </c>
      <c r="B811" s="9">
        <v>11.117608000000001</v>
      </c>
      <c r="C811" s="9">
        <v>10.617464</v>
      </c>
      <c r="E811" s="14">
        <f t="shared" si="88"/>
        <v>1.0471057872199991</v>
      </c>
      <c r="F811" s="18">
        <f t="shared" ca="1" si="87"/>
        <v>-1.1452978615798455</v>
      </c>
      <c r="G811" s="15">
        <f t="shared" ca="1" si="92"/>
        <v>1.0887418235385959</v>
      </c>
      <c r="H811" s="15">
        <f t="shared" ca="1" si="93"/>
        <v>3.6353893354138696E-2</v>
      </c>
      <c r="J811" s="17">
        <f t="shared" ca="1" si="89"/>
        <v>0</v>
      </c>
      <c r="K811" s="24">
        <f t="shared" ca="1" si="90"/>
        <v>-1</v>
      </c>
      <c r="L811" s="17">
        <f t="shared" ca="1" si="91"/>
        <v>-1</v>
      </c>
      <c r="N811" s="24" t="str">
        <f ca="1">IF(AND(L811=1,L810&lt;&gt;1),MAX($N$8:N810)+1,"")</f>
        <v/>
      </c>
      <c r="O811" s="24" t="str">
        <f ca="1">IF(AND(L811&lt;&gt;1,L810=1),MAX($O$8:O810)+1,"")</f>
        <v/>
      </c>
      <c r="P811" s="17" t="str">
        <f ca="1">IF(AND(L811=-1,L810&lt;&gt;-1),MAX($P$8:P810)+1,"")</f>
        <v/>
      </c>
      <c r="Q811" s="24" t="str">
        <f ca="1">IF(AND(L811&lt;&gt;-1,L810=-1),MAX($Q$8:Q810)+1,"")</f>
        <v/>
      </c>
    </row>
    <row r="812" spans="1:17" x14ac:dyDescent="0.3">
      <c r="A812" s="3">
        <v>41379</v>
      </c>
      <c r="B812" s="9">
        <v>10.876623</v>
      </c>
      <c r="C812" s="9">
        <v>10.300799</v>
      </c>
      <c r="E812" s="14">
        <f t="shared" si="88"/>
        <v>1.055900906327752</v>
      </c>
      <c r="F812" s="18">
        <f t="shared" ca="1" si="87"/>
        <v>-0.82678478763028262</v>
      </c>
      <c r="G812" s="15">
        <f t="shared" ca="1" si="92"/>
        <v>1.0861139569903204</v>
      </c>
      <c r="H812" s="15">
        <f t="shared" ca="1" si="93"/>
        <v>3.6542823615761694E-2</v>
      </c>
      <c r="J812" s="17">
        <f t="shared" ca="1" si="89"/>
        <v>0</v>
      </c>
      <c r="K812" s="24">
        <f t="shared" ca="1" si="90"/>
        <v>-1</v>
      </c>
      <c r="L812" s="17">
        <f t="shared" ca="1" si="91"/>
        <v>-1</v>
      </c>
      <c r="N812" s="24" t="str">
        <f ca="1">IF(AND(L812=1,L811&lt;&gt;1),MAX($N$8:N811)+1,"")</f>
        <v/>
      </c>
      <c r="O812" s="24" t="str">
        <f ca="1">IF(AND(L812&lt;&gt;1,L811=1),MAX($O$8:O811)+1,"")</f>
        <v/>
      </c>
      <c r="P812" s="17" t="str">
        <f ca="1">IF(AND(L812=-1,L811&lt;&gt;-1),MAX($P$8:P811)+1,"")</f>
        <v/>
      </c>
      <c r="Q812" s="24" t="str">
        <f ca="1">IF(AND(L812&lt;&gt;-1,L811=-1),MAX($Q$8:Q811)+1,"")</f>
        <v/>
      </c>
    </row>
    <row r="813" spans="1:17" x14ac:dyDescent="0.3">
      <c r="A813" s="3">
        <v>41380</v>
      </c>
      <c r="B813" s="9">
        <v>11.149787</v>
      </c>
      <c r="C813" s="9">
        <v>10.490161000000001</v>
      </c>
      <c r="E813" s="14">
        <f t="shared" si="88"/>
        <v>1.062880445781528</v>
      </c>
      <c r="F813" s="18">
        <f t="shared" ca="1" si="87"/>
        <v>-0.58649062530997054</v>
      </c>
      <c r="G813" s="15">
        <f t="shared" ca="1" si="92"/>
        <v>1.0844123202536819</v>
      </c>
      <c r="H813" s="15">
        <f t="shared" ca="1" si="93"/>
        <v>3.6713075269999444E-2</v>
      </c>
      <c r="J813" s="17">
        <f t="shared" ca="1" si="89"/>
        <v>0</v>
      </c>
      <c r="K813" s="24">
        <f t="shared" ca="1" si="90"/>
        <v>-1</v>
      </c>
      <c r="L813" s="17">
        <f t="shared" ca="1" si="91"/>
        <v>-1</v>
      </c>
      <c r="N813" s="24" t="str">
        <f ca="1">IF(AND(L813=1,L812&lt;&gt;1),MAX($N$8:N812)+1,"")</f>
        <v/>
      </c>
      <c r="O813" s="24" t="str">
        <f ca="1">IF(AND(L813&lt;&gt;1,L812=1),MAX($O$8:O812)+1,"")</f>
        <v/>
      </c>
      <c r="P813" s="17" t="str">
        <f ca="1">IF(AND(L813=-1,L812&lt;&gt;-1),MAX($P$8:P812)+1,"")</f>
        <v/>
      </c>
      <c r="Q813" s="24" t="str">
        <f ca="1">IF(AND(L813&lt;&gt;-1,L812=-1),MAX($Q$8:Q812)+1,"")</f>
        <v/>
      </c>
    </row>
    <row r="814" spans="1:17" x14ac:dyDescent="0.3">
      <c r="A814" s="3">
        <v>41381</v>
      </c>
      <c r="B814" s="9">
        <v>10.876623</v>
      </c>
      <c r="C814" s="9">
        <v>10.105168000000001</v>
      </c>
      <c r="E814" s="14">
        <f t="shared" si="88"/>
        <v>1.0763426199346711</v>
      </c>
      <c r="F814" s="18">
        <f t="shared" ca="1" si="87"/>
        <v>-0.19829670369419494</v>
      </c>
      <c r="G814" s="15">
        <f t="shared" ca="1" si="92"/>
        <v>1.0836181388374457</v>
      </c>
      <c r="H814" s="15">
        <f t="shared" ca="1" si="93"/>
        <v>3.669006477280972E-2</v>
      </c>
      <c r="J814" s="17">
        <f t="shared" ca="1" si="89"/>
        <v>0</v>
      </c>
      <c r="K814" s="24">
        <f t="shared" ca="1" si="90"/>
        <v>-1</v>
      </c>
      <c r="L814" s="17">
        <f t="shared" ca="1" si="91"/>
        <v>-1</v>
      </c>
      <c r="N814" s="24" t="str">
        <f ca="1">IF(AND(L814=1,L813&lt;&gt;1),MAX($N$8:N813)+1,"")</f>
        <v/>
      </c>
      <c r="O814" s="24" t="str">
        <f ca="1">IF(AND(L814&lt;&gt;1,L813=1),MAX($O$8:O813)+1,"")</f>
        <v/>
      </c>
      <c r="P814" s="17" t="str">
        <f ca="1">IF(AND(L814=-1,L813&lt;&gt;-1),MAX($P$8:P813)+1,"")</f>
        <v/>
      </c>
      <c r="Q814" s="24" t="str">
        <f ca="1">IF(AND(L814&lt;&gt;-1,L813=-1),MAX($Q$8:Q813)+1,"")</f>
        <v/>
      </c>
    </row>
    <row r="815" spans="1:17" x14ac:dyDescent="0.3">
      <c r="A815" s="3">
        <v>41382</v>
      </c>
      <c r="B815" s="9">
        <v>10.503895999999999</v>
      </c>
      <c r="C815" s="9">
        <v>9.9127430000000007</v>
      </c>
      <c r="E815" s="14">
        <f t="shared" si="88"/>
        <v>1.0596356629037995</v>
      </c>
      <c r="F815" s="18">
        <f t="shared" ca="1" si="87"/>
        <v>-0.58361228213926042</v>
      </c>
      <c r="G815" s="15">
        <f t="shared" ca="1" si="92"/>
        <v>1.0801809291236231</v>
      </c>
      <c r="H815" s="15">
        <f t="shared" ca="1" si="93"/>
        <v>3.5203622076824426E-2</v>
      </c>
      <c r="J815" s="17">
        <f t="shared" ca="1" si="89"/>
        <v>0</v>
      </c>
      <c r="K815" s="24">
        <f t="shared" ca="1" si="90"/>
        <v>-1</v>
      </c>
      <c r="L815" s="17">
        <f t="shared" ca="1" si="91"/>
        <v>-1</v>
      </c>
      <c r="N815" s="24" t="str">
        <f ca="1">IF(AND(L815=1,L814&lt;&gt;1),MAX($N$8:N814)+1,"")</f>
        <v/>
      </c>
      <c r="O815" s="24" t="str">
        <f ca="1">IF(AND(L815&lt;&gt;1,L814=1),MAX($O$8:O814)+1,"")</f>
        <v/>
      </c>
      <c r="P815" s="17" t="str">
        <f ca="1">IF(AND(L815=-1,L814&lt;&gt;-1),MAX($P$8:P814)+1,"")</f>
        <v/>
      </c>
      <c r="Q815" s="24" t="str">
        <f ca="1">IF(AND(L815&lt;&gt;-1,L814=-1),MAX($Q$8:Q814)+1,"")</f>
        <v/>
      </c>
    </row>
    <row r="816" spans="1:17" x14ac:dyDescent="0.3">
      <c r="A816" s="3">
        <v>41383</v>
      </c>
      <c r="B816" s="9">
        <v>10.735279</v>
      </c>
      <c r="C816" s="9">
        <v>10.027607</v>
      </c>
      <c r="E816" s="14">
        <f t="shared" si="88"/>
        <v>1.0705723708557786</v>
      </c>
      <c r="F816" s="18">
        <f t="shared" ca="1" si="87"/>
        <v>-0.20053221693643103</v>
      </c>
      <c r="G816" s="15">
        <f t="shared" ca="1" si="92"/>
        <v>1.0771994700213325</v>
      </c>
      <c r="H816" s="15">
        <f t="shared" ca="1" si="93"/>
        <v>3.3047553489396309E-2</v>
      </c>
      <c r="J816" s="17">
        <f t="shared" ca="1" si="89"/>
        <v>0</v>
      </c>
      <c r="K816" s="24">
        <f t="shared" ca="1" si="90"/>
        <v>-1</v>
      </c>
      <c r="L816" s="17">
        <f t="shared" ca="1" si="91"/>
        <v>-1</v>
      </c>
      <c r="N816" s="24" t="str">
        <f ca="1">IF(AND(L816=1,L815&lt;&gt;1),MAX($N$8:N815)+1,"")</f>
        <v/>
      </c>
      <c r="O816" s="24" t="str">
        <f ca="1">IF(AND(L816&lt;&gt;1,L815=1),MAX($O$8:O815)+1,"")</f>
        <v/>
      </c>
      <c r="P816" s="17" t="str">
        <f ca="1">IF(AND(L816=-1,L815&lt;&gt;-1),MAX($P$8:P815)+1,"")</f>
        <v/>
      </c>
      <c r="Q816" s="24" t="str">
        <f ca="1">IF(AND(L816&lt;&gt;-1,L815=-1),MAX($Q$8:Q815)+1,"")</f>
        <v/>
      </c>
    </row>
    <row r="817" spans="1:17" x14ac:dyDescent="0.3">
      <c r="A817" s="3">
        <v>41386</v>
      </c>
      <c r="B817" s="9">
        <v>10.680662</v>
      </c>
      <c r="C817" s="9">
        <v>9.990297</v>
      </c>
      <c r="E817" s="14">
        <f t="shared" si="88"/>
        <v>1.0691035511757059</v>
      </c>
      <c r="F817" s="18">
        <f t="shared" ca="1" si="87"/>
        <v>-0.16601101368922894</v>
      </c>
      <c r="G817" s="15">
        <f t="shared" ca="1" si="92"/>
        <v>1.0741647274328923</v>
      </c>
      <c r="H817" s="15">
        <f t="shared" ca="1" si="93"/>
        <v>3.0486990861105505E-2</v>
      </c>
      <c r="J817" s="17">
        <f t="shared" ca="1" si="89"/>
        <v>0</v>
      </c>
      <c r="K817" s="24">
        <f t="shared" ca="1" si="90"/>
        <v>-1</v>
      </c>
      <c r="L817" s="17">
        <f t="shared" ca="1" si="91"/>
        <v>-1</v>
      </c>
      <c r="N817" s="24" t="str">
        <f ca="1">IF(AND(L817=1,L816&lt;&gt;1),MAX($N$8:N816)+1,"")</f>
        <v/>
      </c>
      <c r="O817" s="24" t="str">
        <f ca="1">IF(AND(L817&lt;&gt;1,L816=1),MAX($O$8:O816)+1,"")</f>
        <v/>
      </c>
      <c r="P817" s="17" t="str">
        <f ca="1">IF(AND(L817=-1,L816&lt;&gt;-1),MAX($P$8:P816)+1,"")</f>
        <v/>
      </c>
      <c r="Q817" s="24" t="str">
        <f ca="1">IF(AND(L817&lt;&gt;-1,L816=-1),MAX($Q$8:Q816)+1,"")</f>
        <v/>
      </c>
    </row>
    <row r="818" spans="1:17" x14ac:dyDescent="0.3">
      <c r="A818" s="3">
        <v>41387</v>
      </c>
      <c r="B818" s="9">
        <v>10.748127</v>
      </c>
      <c r="C818" s="9">
        <v>10.105168000000001</v>
      </c>
      <c r="E818" s="14">
        <f t="shared" si="88"/>
        <v>1.0636267501935643</v>
      </c>
      <c r="F818" s="18">
        <f t="shared" ca="1" si="87"/>
        <v>-0.26619682979946985</v>
      </c>
      <c r="G818" s="15">
        <f t="shared" ca="1" si="92"/>
        <v>1.0709830491637282</v>
      </c>
      <c r="H818" s="15">
        <f t="shared" ca="1" si="93"/>
        <v>2.7634810586232336E-2</v>
      </c>
      <c r="J818" s="17">
        <f t="shared" ca="1" si="89"/>
        <v>0</v>
      </c>
      <c r="K818" s="24">
        <f t="shared" ca="1" si="90"/>
        <v>-1</v>
      </c>
      <c r="L818" s="17">
        <f t="shared" ca="1" si="91"/>
        <v>-1</v>
      </c>
      <c r="N818" s="24" t="str">
        <f ca="1">IF(AND(L818=1,L817&lt;&gt;1),MAX($N$8:N817)+1,"")</f>
        <v/>
      </c>
      <c r="O818" s="24" t="str">
        <f ca="1">IF(AND(L818&lt;&gt;1,L817=1),MAX($O$8:O817)+1,"")</f>
        <v/>
      </c>
      <c r="P818" s="17" t="str">
        <f ca="1">IF(AND(L818=-1,L817&lt;&gt;-1),MAX($P$8:P817)+1,"")</f>
        <v/>
      </c>
      <c r="Q818" s="24" t="str">
        <f ca="1">IF(AND(L818&lt;&gt;-1,L817=-1),MAX($Q$8:Q817)+1,"")</f>
        <v/>
      </c>
    </row>
    <row r="819" spans="1:17" x14ac:dyDescent="0.3">
      <c r="A819" s="3">
        <v>41388</v>
      </c>
      <c r="B819" s="9">
        <v>10.825252000000001</v>
      </c>
      <c r="C819" s="9">
        <v>10.086577</v>
      </c>
      <c r="E819" s="14">
        <f t="shared" si="88"/>
        <v>1.0732334666160781</v>
      </c>
      <c r="F819" s="18">
        <f t="shared" ca="1" si="87"/>
        <v>0.1753455258216996</v>
      </c>
      <c r="G819" s="15">
        <f t="shared" ca="1" si="92"/>
        <v>1.0687874201288052</v>
      </c>
      <c r="H819" s="15">
        <f t="shared" ca="1" si="93"/>
        <v>2.5355916362495842E-2</v>
      </c>
      <c r="J819" s="17">
        <f t="shared" ca="1" si="89"/>
        <v>0</v>
      </c>
      <c r="K819" s="24">
        <f t="shared" ca="1" si="90"/>
        <v>0</v>
      </c>
      <c r="L819" s="17">
        <f t="shared" ca="1" si="91"/>
        <v>0</v>
      </c>
      <c r="N819" s="24" t="str">
        <f ca="1">IF(AND(L819=1,L818&lt;&gt;1),MAX($N$8:N818)+1,"")</f>
        <v/>
      </c>
      <c r="O819" s="24" t="str">
        <f ca="1">IF(AND(L819&lt;&gt;1,L818=1),MAX($O$8:O818)+1,"")</f>
        <v/>
      </c>
      <c r="P819" s="17" t="str">
        <f ca="1">IF(AND(L819=-1,L818&lt;&gt;-1),MAX($P$8:P818)+1,"")</f>
        <v/>
      </c>
      <c r="Q819" s="24">
        <f ca="1">IF(AND(L819&lt;&gt;-1,L818=-1),MAX($Q$8:Q818)+1,"")</f>
        <v>33</v>
      </c>
    </row>
    <row r="820" spans="1:17" x14ac:dyDescent="0.3">
      <c r="A820" s="3">
        <v>41389</v>
      </c>
      <c r="B820" s="9">
        <v>10.81883</v>
      </c>
      <c r="C820" s="9">
        <v>10.008948999999999</v>
      </c>
      <c r="E820" s="14">
        <f t="shared" si="88"/>
        <v>1.0809156885503164</v>
      </c>
      <c r="F820" s="18">
        <f t="shared" ca="1" si="87"/>
        <v>0.64969135280923651</v>
      </c>
      <c r="G820" s="15">
        <f t="shared" ca="1" si="92"/>
        <v>1.0666297511798259</v>
      </c>
      <c r="H820" s="15">
        <f t="shared" ca="1" si="93"/>
        <v>2.1988806390478625E-2</v>
      </c>
      <c r="J820" s="17">
        <f t="shared" ca="1" si="89"/>
        <v>0</v>
      </c>
      <c r="K820" s="24">
        <f t="shared" ca="1" si="90"/>
        <v>0</v>
      </c>
      <c r="L820" s="17">
        <f t="shared" ca="1" si="91"/>
        <v>0</v>
      </c>
      <c r="N820" s="24" t="str">
        <f ca="1">IF(AND(L820=1,L819&lt;&gt;1),MAX($N$8:N819)+1,"")</f>
        <v/>
      </c>
      <c r="O820" s="24" t="str">
        <f ca="1">IF(AND(L820&lt;&gt;1,L819=1),MAX($O$8:O819)+1,"")</f>
        <v/>
      </c>
      <c r="P820" s="17" t="str">
        <f ca="1">IF(AND(L820=-1,L819&lt;&gt;-1),MAX($P$8:P819)+1,"")</f>
        <v/>
      </c>
      <c r="Q820" s="24" t="str">
        <f ca="1">IF(AND(L820&lt;&gt;-1,L819=-1),MAX($Q$8:Q819)+1,"")</f>
        <v/>
      </c>
    </row>
    <row r="821" spans="1:17" x14ac:dyDescent="0.3">
      <c r="A821" s="3">
        <v>41390</v>
      </c>
      <c r="B821" s="9">
        <v>10.81883</v>
      </c>
      <c r="C821" s="9">
        <v>11.009857</v>
      </c>
      <c r="E821" s="14">
        <f t="shared" si="88"/>
        <v>0.98264945675497872</v>
      </c>
      <c r="F821" s="18">
        <f t="shared" ca="1" si="87"/>
        <v>-3.1124145111378332</v>
      </c>
      <c r="G821" s="15">
        <f t="shared" ca="1" si="92"/>
        <v>1.0602748609705988</v>
      </c>
      <c r="H821" s="15">
        <f t="shared" ca="1" si="93"/>
        <v>2.4940573929929988E-2</v>
      </c>
      <c r="J821" s="17">
        <f t="shared" ca="1" si="89"/>
        <v>0</v>
      </c>
      <c r="K821" s="24">
        <f t="shared" ca="1" si="90"/>
        <v>-1</v>
      </c>
      <c r="L821" s="17">
        <f t="shared" ca="1" si="91"/>
        <v>-1</v>
      </c>
      <c r="N821" s="24" t="str">
        <f ca="1">IF(AND(L821=1,L820&lt;&gt;1),MAX($N$8:N820)+1,"")</f>
        <v/>
      </c>
      <c r="O821" s="24" t="str">
        <f ca="1">IF(AND(L821&lt;&gt;1,L820=1),MAX($O$8:O820)+1,"")</f>
        <v/>
      </c>
      <c r="P821" s="17">
        <f ca="1">IF(AND(L821=-1,L820&lt;&gt;-1),MAX($P$8:P820)+1,"")</f>
        <v>34</v>
      </c>
      <c r="Q821" s="24" t="str">
        <f ca="1">IF(AND(L821&lt;&gt;-1,L820=-1),MAX($Q$8:Q820)+1,"")</f>
        <v/>
      </c>
    </row>
    <row r="822" spans="1:17" x14ac:dyDescent="0.3">
      <c r="A822" s="3">
        <v>41393</v>
      </c>
      <c r="B822" s="9">
        <v>10.539246</v>
      </c>
      <c r="C822" s="9">
        <v>9.9002949999999998</v>
      </c>
      <c r="E822" s="14">
        <f t="shared" si="88"/>
        <v>1.0645385819311446</v>
      </c>
      <c r="F822" s="18">
        <f t="shared" ca="1" si="87"/>
        <v>0.25377005912569178</v>
      </c>
      <c r="G822" s="15">
        <f t="shared" ca="1" si="92"/>
        <v>1.0586163178391634</v>
      </c>
      <c r="H822" s="15">
        <f t="shared" ca="1" si="93"/>
        <v>2.3337126973863649E-2</v>
      </c>
      <c r="J822" s="17">
        <f t="shared" ca="1" si="89"/>
        <v>0</v>
      </c>
      <c r="K822" s="24">
        <f t="shared" ca="1" si="90"/>
        <v>0</v>
      </c>
      <c r="L822" s="17">
        <f t="shared" ca="1" si="91"/>
        <v>0</v>
      </c>
      <c r="N822" s="24" t="str">
        <f ca="1">IF(AND(L822=1,L821&lt;&gt;1),MAX($N$8:N821)+1,"")</f>
        <v/>
      </c>
      <c r="O822" s="24" t="str">
        <f ca="1">IF(AND(L822&lt;&gt;1,L821=1),MAX($O$8:O821)+1,"")</f>
        <v/>
      </c>
      <c r="P822" s="17" t="str">
        <f ca="1">IF(AND(L822=-1,L821&lt;&gt;-1),MAX($P$8:P821)+1,"")</f>
        <v/>
      </c>
      <c r="Q822" s="24">
        <f ca="1">IF(AND(L822&lt;&gt;-1,L821=-1),MAX($Q$8:Q821)+1,"")</f>
        <v>34</v>
      </c>
    </row>
    <row r="823" spans="1:17" x14ac:dyDescent="0.3">
      <c r="A823" s="3">
        <v>41394</v>
      </c>
      <c r="B823" s="9">
        <v>10.815586</v>
      </c>
      <c r="C823" s="9">
        <v>10.229395999999999</v>
      </c>
      <c r="E823" s="14">
        <f t="shared" si="88"/>
        <v>1.0573044586405689</v>
      </c>
      <c r="F823" s="18">
        <f t="shared" ca="1" si="87"/>
        <v>-0.19696573426217004</v>
      </c>
      <c r="G823" s="15">
        <f t="shared" ca="1" si="92"/>
        <v>1.0611786721403136</v>
      </c>
      <c r="H823" s="15">
        <f t="shared" ca="1" si="93"/>
        <v>1.9669479639478595E-2</v>
      </c>
      <c r="J823" s="17">
        <f t="shared" ca="1" si="89"/>
        <v>0</v>
      </c>
      <c r="K823" s="24">
        <f t="shared" ca="1" si="90"/>
        <v>0</v>
      </c>
      <c r="L823" s="17">
        <f t="shared" ca="1" si="91"/>
        <v>0</v>
      </c>
      <c r="N823" s="24" t="str">
        <f ca="1">IF(AND(L823=1,L822&lt;&gt;1),MAX($N$8:N822)+1,"")</f>
        <v/>
      </c>
      <c r="O823" s="24" t="str">
        <f ca="1">IF(AND(L823&lt;&gt;1,L822=1),MAX($O$8:O822)+1,"")</f>
        <v/>
      </c>
      <c r="P823" s="17" t="str">
        <f ca="1">IF(AND(L823=-1,L822&lt;&gt;-1),MAX($P$8:P822)+1,"")</f>
        <v/>
      </c>
      <c r="Q823" s="24" t="str">
        <f ca="1">IF(AND(L823&lt;&gt;-1,L822=-1),MAX($Q$8:Q822)+1,"")</f>
        <v/>
      </c>
    </row>
    <row r="824" spans="1:17" x14ac:dyDescent="0.3">
      <c r="A824" s="3">
        <v>41396</v>
      </c>
      <c r="B824" s="9">
        <v>10.691122</v>
      </c>
      <c r="C824" s="9">
        <v>10.210743000000001</v>
      </c>
      <c r="E824" s="14">
        <f t="shared" si="88"/>
        <v>1.0470464294322166</v>
      </c>
      <c r="F824" s="18">
        <f t="shared" ca="1" si="87"/>
        <v>-0.64731195360976679</v>
      </c>
      <c r="G824" s="15">
        <f t="shared" ca="1" si="92"/>
        <v>1.0594295762056236</v>
      </c>
      <c r="H824" s="15">
        <f t="shared" ca="1" si="93"/>
        <v>1.9130106750465201E-2</v>
      </c>
      <c r="J824" s="17">
        <f t="shared" ca="1" si="89"/>
        <v>0</v>
      </c>
      <c r="K824" s="24">
        <f t="shared" ca="1" si="90"/>
        <v>0</v>
      </c>
      <c r="L824" s="17">
        <f t="shared" ca="1" si="91"/>
        <v>0</v>
      </c>
      <c r="N824" s="24" t="str">
        <f ca="1">IF(AND(L824=1,L823&lt;&gt;1),MAX($N$8:N823)+1,"")</f>
        <v/>
      </c>
      <c r="O824" s="24" t="str">
        <f ca="1">IF(AND(L824&lt;&gt;1,L823=1),MAX($O$8:O823)+1,"")</f>
        <v/>
      </c>
      <c r="P824" s="17" t="str">
        <f ca="1">IF(AND(L824=-1,L823&lt;&gt;-1),MAX($P$8:P823)+1,"")</f>
        <v/>
      </c>
      <c r="Q824" s="24" t="str">
        <f ca="1">IF(AND(L824&lt;&gt;-1,L823=-1),MAX($Q$8:Q823)+1,"")</f>
        <v/>
      </c>
    </row>
    <row r="825" spans="1:17" x14ac:dyDescent="0.3">
      <c r="A825" s="3">
        <v>41397</v>
      </c>
      <c r="B825" s="9">
        <v>10.839032</v>
      </c>
      <c r="C825" s="9">
        <v>10.194292000000001</v>
      </c>
      <c r="E825" s="14">
        <f t="shared" si="88"/>
        <v>1.0632451964295313</v>
      </c>
      <c r="F825" s="18">
        <f t="shared" ca="1" si="87"/>
        <v>0.23708041999952909</v>
      </c>
      <c r="G825" s="15">
        <f t="shared" ca="1" si="92"/>
        <v>1.0587974991329692</v>
      </c>
      <c r="H825" s="15">
        <f t="shared" ca="1" si="93"/>
        <v>1.8760289426562392E-2</v>
      </c>
      <c r="J825" s="17">
        <f t="shared" ca="1" si="89"/>
        <v>0</v>
      </c>
      <c r="K825" s="24">
        <f t="shared" ca="1" si="90"/>
        <v>0</v>
      </c>
      <c r="L825" s="17">
        <f t="shared" ca="1" si="91"/>
        <v>0</v>
      </c>
      <c r="N825" s="24" t="str">
        <f ca="1">IF(AND(L825=1,L824&lt;&gt;1),MAX($N$8:N824)+1,"")</f>
        <v/>
      </c>
      <c r="O825" s="24" t="str">
        <f ca="1">IF(AND(L825&lt;&gt;1,L824=1),MAX($O$8:O824)+1,"")</f>
        <v/>
      </c>
      <c r="P825" s="17" t="str">
        <f ca="1">IF(AND(L825=-1,L824&lt;&gt;-1),MAX($P$8:P824)+1,"")</f>
        <v/>
      </c>
      <c r="Q825" s="24" t="str">
        <f ca="1">IF(AND(L825&lt;&gt;-1,L824=-1),MAX($Q$8:Q824)+1,"")</f>
        <v/>
      </c>
    </row>
    <row r="826" spans="1:17" x14ac:dyDescent="0.3">
      <c r="A826" s="3">
        <v>41400</v>
      </c>
      <c r="B826" s="9">
        <v>10.823003</v>
      </c>
      <c r="C826" s="9">
        <v>10.101044999999999</v>
      </c>
      <c r="E826" s="14">
        <f t="shared" si="88"/>
        <v>1.0714735950587291</v>
      </c>
      <c r="F826" s="18">
        <f t="shared" ca="1" si="87"/>
        <v>0.6585979510710025</v>
      </c>
      <c r="G826" s="15">
        <f t="shared" ca="1" si="92"/>
        <v>1.0590353725720636</v>
      </c>
      <c r="H826" s="15">
        <f t="shared" ca="1" si="93"/>
        <v>1.8885911300572111E-2</v>
      </c>
      <c r="J826" s="17">
        <f t="shared" ca="1" si="89"/>
        <v>0</v>
      </c>
      <c r="K826" s="24">
        <f t="shared" ca="1" si="90"/>
        <v>0</v>
      </c>
      <c r="L826" s="17">
        <f t="shared" ca="1" si="91"/>
        <v>0</v>
      </c>
      <c r="N826" s="24" t="str">
        <f ca="1">IF(AND(L826=1,L825&lt;&gt;1),MAX($N$8:N825)+1,"")</f>
        <v/>
      </c>
      <c r="O826" s="24" t="str">
        <f ca="1">IF(AND(L826&lt;&gt;1,L825=1),MAX($O$8:O825)+1,"")</f>
        <v/>
      </c>
      <c r="P826" s="17" t="str">
        <f ca="1">IF(AND(L826=-1,L825&lt;&gt;-1),MAX($P$8:P825)+1,"")</f>
        <v/>
      </c>
      <c r="Q826" s="24" t="str">
        <f ca="1">IF(AND(L826&lt;&gt;-1,L825=-1),MAX($Q$8:Q825)+1,"")</f>
        <v/>
      </c>
    </row>
    <row r="827" spans="1:17" x14ac:dyDescent="0.3">
      <c r="A827" s="3">
        <v>41401</v>
      </c>
      <c r="B827" s="9">
        <v>11.141429</v>
      </c>
      <c r="C827" s="9">
        <v>10.380784</v>
      </c>
      <c r="E827" s="14">
        <f t="shared" si="88"/>
        <v>1.0732743307249242</v>
      </c>
      <c r="F827" s="18">
        <f t="shared" ca="1" si="87"/>
        <v>0.70548286677739136</v>
      </c>
      <c r="G827" s="15">
        <f t="shared" ca="1" si="92"/>
        <v>1.0597954419793916</v>
      </c>
      <c r="H827" s="15">
        <f t="shared" ca="1" si="93"/>
        <v>1.9105905161245738E-2</v>
      </c>
      <c r="J827" s="17">
        <f t="shared" ca="1" si="89"/>
        <v>0</v>
      </c>
      <c r="K827" s="24">
        <f t="shared" ca="1" si="90"/>
        <v>0</v>
      </c>
      <c r="L827" s="17">
        <f t="shared" ca="1" si="91"/>
        <v>0</v>
      </c>
      <c r="N827" s="24" t="str">
        <f ca="1">IF(AND(L827=1,L826&lt;&gt;1),MAX($N$8:N826)+1,"")</f>
        <v/>
      </c>
      <c r="O827" s="24" t="str">
        <f ca="1">IF(AND(L827&lt;&gt;1,L826=1),MAX($O$8:O826)+1,"")</f>
        <v/>
      </c>
      <c r="P827" s="17" t="str">
        <f ca="1">IF(AND(L827=-1,L826&lt;&gt;-1),MAX($P$8:P826)+1,"")</f>
        <v/>
      </c>
      <c r="Q827" s="24" t="str">
        <f ca="1">IF(AND(L827&lt;&gt;-1,L826=-1),MAX($Q$8:Q826)+1,"")</f>
        <v/>
      </c>
    </row>
    <row r="828" spans="1:17" x14ac:dyDescent="0.3">
      <c r="A828" s="3">
        <v>41402</v>
      </c>
      <c r="B828" s="9">
        <v>11.257197</v>
      </c>
      <c r="C828" s="9">
        <v>10.474022</v>
      </c>
      <c r="E828" s="14">
        <f t="shared" si="88"/>
        <v>1.0747730909864424</v>
      </c>
      <c r="F828" s="18">
        <f t="shared" ca="1" si="87"/>
        <v>0.72172518284384168</v>
      </c>
      <c r="G828" s="15">
        <f t="shared" ca="1" si="92"/>
        <v>1.060882591487716</v>
      </c>
      <c r="H828" s="15">
        <f t="shared" ca="1" si="93"/>
        <v>1.924624473264611E-2</v>
      </c>
      <c r="J828" s="17">
        <f t="shared" ca="1" si="89"/>
        <v>0</v>
      </c>
      <c r="K828" s="24">
        <f t="shared" ca="1" si="90"/>
        <v>0</v>
      </c>
      <c r="L828" s="17">
        <f t="shared" ca="1" si="91"/>
        <v>0</v>
      </c>
      <c r="N828" s="24" t="str">
        <f ca="1">IF(AND(L828=1,L827&lt;&gt;1),MAX($N$8:N827)+1,"")</f>
        <v/>
      </c>
      <c r="O828" s="24" t="str">
        <f ca="1">IF(AND(L828&lt;&gt;1,L827=1),MAX($O$8:O827)+1,"")</f>
        <v/>
      </c>
      <c r="P828" s="17" t="str">
        <f ca="1">IF(AND(L828=-1,L827&lt;&gt;-1),MAX($P$8:P827)+1,"")</f>
        <v/>
      </c>
      <c r="Q828" s="24" t="str">
        <f ca="1">IF(AND(L828&lt;&gt;-1,L827=-1),MAX($Q$8:Q827)+1,"")</f>
        <v/>
      </c>
    </row>
    <row r="829" spans="1:17" x14ac:dyDescent="0.3">
      <c r="A829" s="3">
        <v>41403</v>
      </c>
      <c r="B829" s="9">
        <v>11.257197</v>
      </c>
      <c r="C829" s="9">
        <v>10.458491</v>
      </c>
      <c r="E829" s="14">
        <f t="shared" si="88"/>
        <v>1.0763691435026332</v>
      </c>
      <c r="F829" s="18">
        <f t="shared" ca="1" si="87"/>
        <v>0.78588603148484459</v>
      </c>
      <c r="G829" s="15">
        <f t="shared" ca="1" si="92"/>
        <v>1.0611204466890858</v>
      </c>
      <c r="H829" s="15">
        <f t="shared" ca="1" si="93"/>
        <v>1.9403191051426037E-2</v>
      </c>
      <c r="J829" s="17">
        <f t="shared" ca="1" si="89"/>
        <v>0</v>
      </c>
      <c r="K829" s="24">
        <f t="shared" ca="1" si="90"/>
        <v>0</v>
      </c>
      <c r="L829" s="17">
        <f t="shared" ca="1" si="91"/>
        <v>0</v>
      </c>
      <c r="N829" s="24" t="str">
        <f ca="1">IF(AND(L829=1,L828&lt;&gt;1),MAX($N$8:N828)+1,"")</f>
        <v/>
      </c>
      <c r="O829" s="24" t="str">
        <f ca="1">IF(AND(L829&lt;&gt;1,L828=1),MAX($O$8:O828)+1,"")</f>
        <v/>
      </c>
      <c r="P829" s="17" t="str">
        <f ca="1">IF(AND(L829=-1,L828&lt;&gt;-1),MAX($P$8:P828)+1,"")</f>
        <v/>
      </c>
      <c r="Q829" s="24" t="str">
        <f ca="1">IF(AND(L829&lt;&gt;-1,L828=-1),MAX($Q$8:Q828)+1,"")</f>
        <v/>
      </c>
    </row>
    <row r="830" spans="1:17" x14ac:dyDescent="0.3">
      <c r="A830" s="3">
        <v>41404</v>
      </c>
      <c r="B830" s="9">
        <v>11.151035</v>
      </c>
      <c r="C830" s="9">
        <v>10.414982</v>
      </c>
      <c r="E830" s="14">
        <f t="shared" si="88"/>
        <v>1.0706725177249465</v>
      </c>
      <c r="F830" s="18">
        <f t="shared" ca="1" si="87"/>
        <v>0.47028648180210308</v>
      </c>
      <c r="G830" s="15">
        <f t="shared" ca="1" si="92"/>
        <v>1.0614998665583051</v>
      </c>
      <c r="H830" s="15">
        <f t="shared" ca="1" si="93"/>
        <v>1.9504390454712906E-2</v>
      </c>
      <c r="J830" s="17">
        <f t="shared" ca="1" si="89"/>
        <v>0</v>
      </c>
      <c r="K830" s="24">
        <f t="shared" ca="1" si="90"/>
        <v>0</v>
      </c>
      <c r="L830" s="17">
        <f t="shared" ca="1" si="91"/>
        <v>0</v>
      </c>
      <c r="N830" s="24" t="str">
        <f ca="1">IF(AND(L830=1,L829&lt;&gt;1),MAX($N$8:N829)+1,"")</f>
        <v/>
      </c>
      <c r="O830" s="24" t="str">
        <f ca="1">IF(AND(L830&lt;&gt;1,L829=1),MAX($O$8:O829)+1,"")</f>
        <v/>
      </c>
      <c r="P830" s="17" t="str">
        <f ca="1">IF(AND(L830=-1,L829&lt;&gt;-1),MAX($P$8:P829)+1,"")</f>
        <v/>
      </c>
      <c r="Q830" s="24" t="str">
        <f ca="1">IF(AND(L830&lt;&gt;-1,L829=-1),MAX($Q$8:Q829)+1,"")</f>
        <v/>
      </c>
    </row>
    <row r="831" spans="1:17" x14ac:dyDescent="0.3">
      <c r="A831" s="3">
        <v>41407</v>
      </c>
      <c r="B831" s="9">
        <v>10.938772</v>
      </c>
      <c r="C831" s="9">
        <v>10.163231</v>
      </c>
      <c r="E831" s="14">
        <f t="shared" si="88"/>
        <v>1.07630850858354</v>
      </c>
      <c r="F831" s="18">
        <f t="shared" ca="1" si="87"/>
        <v>0.70076311104606537</v>
      </c>
      <c r="G831" s="15">
        <f t="shared" ca="1" si="92"/>
        <v>1.0625319875227393</v>
      </c>
      <c r="H831" s="15">
        <f t="shared" ca="1" si="93"/>
        <v>1.965931260313605E-2</v>
      </c>
      <c r="J831" s="17">
        <f t="shared" ca="1" si="89"/>
        <v>0</v>
      </c>
      <c r="K831" s="24">
        <f t="shared" ca="1" si="90"/>
        <v>0</v>
      </c>
      <c r="L831" s="17">
        <f t="shared" ca="1" si="91"/>
        <v>0</v>
      </c>
      <c r="N831" s="24" t="str">
        <f ca="1">IF(AND(L831=1,L830&lt;&gt;1),MAX($N$8:N830)+1,"")</f>
        <v/>
      </c>
      <c r="O831" s="24" t="str">
        <f ca="1">IF(AND(L831&lt;&gt;1,L830=1),MAX($O$8:O830)+1,"")</f>
        <v/>
      </c>
      <c r="P831" s="17" t="str">
        <f ca="1">IF(AND(L831=-1,L830&lt;&gt;-1),MAX($P$8:P830)+1,"")</f>
        <v/>
      </c>
      <c r="Q831" s="24" t="str">
        <f ca="1">IF(AND(L831&lt;&gt;-1,L830=-1),MAX($Q$8:Q830)+1,"")</f>
        <v/>
      </c>
    </row>
    <row r="832" spans="1:17" x14ac:dyDescent="0.3">
      <c r="A832" s="3">
        <v>41408</v>
      </c>
      <c r="B832" s="9">
        <v>11.102790000000001</v>
      </c>
      <c r="C832" s="9">
        <v>10.303065999999999</v>
      </c>
      <c r="E832" s="14">
        <f t="shared" si="88"/>
        <v>1.0776200016577591</v>
      </c>
      <c r="F832" s="18">
        <f t="shared" ca="1" si="87"/>
        <v>0.71555975487449797</v>
      </c>
      <c r="G832" s="15">
        <f t="shared" ca="1" si="92"/>
        <v>1.0633905709539369</v>
      </c>
      <c r="H832" s="15">
        <f t="shared" ca="1" si="93"/>
        <v>1.9885733660800851E-2</v>
      </c>
      <c r="J832" s="17">
        <f t="shared" ca="1" si="89"/>
        <v>0</v>
      </c>
      <c r="K832" s="24">
        <f t="shared" ca="1" si="90"/>
        <v>0</v>
      </c>
      <c r="L832" s="17">
        <f t="shared" ca="1" si="91"/>
        <v>0</v>
      </c>
      <c r="N832" s="24" t="str">
        <f ca="1">IF(AND(L832=1,L831&lt;&gt;1),MAX($N$8:N831)+1,"")</f>
        <v/>
      </c>
      <c r="O832" s="24" t="str">
        <f ca="1">IF(AND(L832&lt;&gt;1,L831=1),MAX($O$8:O831)+1,"")</f>
        <v/>
      </c>
      <c r="P832" s="17" t="str">
        <f ca="1">IF(AND(L832=-1,L831&lt;&gt;-1),MAX($P$8:P831)+1,"")</f>
        <v/>
      </c>
      <c r="Q832" s="24" t="str">
        <f ca="1">IF(AND(L832&lt;&gt;-1,L831=-1),MAX($Q$8:Q831)+1,"")</f>
        <v/>
      </c>
    </row>
    <row r="833" spans="1:17" x14ac:dyDescent="0.3">
      <c r="A833" s="3">
        <v>41409</v>
      </c>
      <c r="B833" s="9">
        <v>11.289337</v>
      </c>
      <c r="C833" s="9">
        <v>10.380784</v>
      </c>
      <c r="E833" s="14">
        <f t="shared" si="88"/>
        <v>1.0875225801827684</v>
      </c>
      <c r="F833" s="18">
        <f t="shared" ca="1" si="87"/>
        <v>1.1058178773330642</v>
      </c>
      <c r="G833" s="15">
        <f t="shared" ca="1" si="92"/>
        <v>1.0652276979067898</v>
      </c>
      <c r="H833" s="15">
        <f t="shared" ca="1" si="93"/>
        <v>2.0161441348504696E-2</v>
      </c>
      <c r="J833" s="17">
        <f t="shared" ca="1" si="89"/>
        <v>1</v>
      </c>
      <c r="K833" s="24">
        <f t="shared" ca="1" si="90"/>
        <v>0</v>
      </c>
      <c r="L833" s="17">
        <f t="shared" ca="1" si="91"/>
        <v>1</v>
      </c>
      <c r="N833" s="24">
        <f ca="1">IF(AND(L833=1,L832&lt;&gt;1),MAX($N$8:N832)+1,"")</f>
        <v>24</v>
      </c>
      <c r="O833" s="24" t="str">
        <f ca="1">IF(AND(L833&lt;&gt;1,L832=1),MAX($O$8:O832)+1,"")</f>
        <v/>
      </c>
      <c r="P833" s="17" t="str">
        <f ca="1">IF(AND(L833=-1,L832&lt;&gt;-1),MAX($P$8:P832)+1,"")</f>
        <v/>
      </c>
      <c r="Q833" s="24" t="str">
        <f ca="1">IF(AND(L833&lt;&gt;-1,L832=-1),MAX($Q$8:Q832)+1,"")</f>
        <v/>
      </c>
    </row>
    <row r="834" spans="1:17" x14ac:dyDescent="0.3">
      <c r="A834" s="3">
        <v>41410</v>
      </c>
      <c r="B834" s="9">
        <v>11.183242</v>
      </c>
      <c r="C834" s="9">
        <v>10.402533999999999</v>
      </c>
      <c r="E834" s="14">
        <f t="shared" si="88"/>
        <v>1.0750497907529071</v>
      </c>
      <c r="F834" s="18">
        <f t="shared" ref="F834:F897" ca="1" si="94">IF(ISNUMBER(G834),(E834-G834)/H834,"")</f>
        <v>0.44417886857461591</v>
      </c>
      <c r="G834" s="15">
        <f t="shared" ca="1" si="92"/>
        <v>1.066098101744297</v>
      </c>
      <c r="H834" s="15">
        <f t="shared" ca="1" si="93"/>
        <v>2.0153342812854542E-2</v>
      </c>
      <c r="J834" s="17">
        <f t="shared" ca="1" si="89"/>
        <v>1</v>
      </c>
      <c r="K834" s="24">
        <f t="shared" ca="1" si="90"/>
        <v>0</v>
      </c>
      <c r="L834" s="17">
        <f t="shared" ca="1" si="91"/>
        <v>1</v>
      </c>
      <c r="N834" s="24" t="str">
        <f ca="1">IF(AND(L834=1,L833&lt;&gt;1),MAX($N$8:N833)+1,"")</f>
        <v/>
      </c>
      <c r="O834" s="24" t="str">
        <f ca="1">IF(AND(L834&lt;&gt;1,L833=1),MAX($O$8:O833)+1,"")</f>
        <v/>
      </c>
      <c r="P834" s="17" t="str">
        <f ca="1">IF(AND(L834=-1,L833&lt;&gt;-1),MAX($P$8:P833)+1,"")</f>
        <v/>
      </c>
      <c r="Q834" s="24" t="str">
        <f ca="1">IF(AND(L834&lt;&gt;-1,L833=-1),MAX($Q$8:Q833)+1,"")</f>
        <v/>
      </c>
    </row>
    <row r="835" spans="1:17" x14ac:dyDescent="0.3">
      <c r="A835" s="3">
        <v>41411</v>
      </c>
      <c r="B835" s="9">
        <v>11.299010000000001</v>
      </c>
      <c r="C835" s="9">
        <v>10.595249000000001</v>
      </c>
      <c r="E835" s="14">
        <f t="shared" ref="E835:E898" si="95">IF(ISNUMBER(B835),B835/C835,"")</f>
        <v>1.0664223181541086</v>
      </c>
      <c r="F835" s="18">
        <f t="shared" ca="1" si="94"/>
        <v>8.1039215814842965E-3</v>
      </c>
      <c r="G835" s="15">
        <f t="shared" ca="1" si="92"/>
        <v>1.0662590959430505</v>
      </c>
      <c r="H835" s="15">
        <f t="shared" ca="1" si="93"/>
        <v>2.0141139004980154E-2</v>
      </c>
      <c r="J835" s="17">
        <f t="shared" ca="1" si="89"/>
        <v>1</v>
      </c>
      <c r="K835" s="24">
        <f t="shared" ca="1" si="90"/>
        <v>0</v>
      </c>
      <c r="L835" s="17">
        <f t="shared" ca="1" si="91"/>
        <v>1</v>
      </c>
      <c r="N835" s="24" t="str">
        <f ca="1">IF(AND(L835=1,L834&lt;&gt;1),MAX($N$8:N834)+1,"")</f>
        <v/>
      </c>
      <c r="O835" s="24" t="str">
        <f ca="1">IF(AND(L835&lt;&gt;1,L834=1),MAX($O$8:O834)+1,"")</f>
        <v/>
      </c>
      <c r="P835" s="17" t="str">
        <f ca="1">IF(AND(L835=-1,L834&lt;&gt;-1),MAX($P$8:P834)+1,"")</f>
        <v/>
      </c>
      <c r="Q835" s="24" t="str">
        <f ca="1">IF(AND(L835&lt;&gt;-1,L834=-1),MAX($Q$8:Q834)+1,"")</f>
        <v/>
      </c>
    </row>
    <row r="836" spans="1:17" x14ac:dyDescent="0.3">
      <c r="A836" s="3">
        <v>41414</v>
      </c>
      <c r="B836" s="9">
        <v>10.391983</v>
      </c>
      <c r="C836" s="9">
        <v>10.800344000000001</v>
      </c>
      <c r="E836" s="14">
        <f t="shared" si="95"/>
        <v>0.96219000061479509</v>
      </c>
      <c r="F836" s="18">
        <f t="shared" ca="1" si="94"/>
        <v>-3.359294756929208</v>
      </c>
      <c r="G836" s="15">
        <f t="shared" ca="1" si="92"/>
        <v>1.06107034051942</v>
      </c>
      <c r="H836" s="15">
        <f t="shared" ca="1" si="93"/>
        <v>2.9434850782493752E-2</v>
      </c>
      <c r="J836" s="17">
        <f t="shared" ca="1" si="89"/>
        <v>0</v>
      </c>
      <c r="K836" s="24">
        <f t="shared" ca="1" si="90"/>
        <v>-1</v>
      </c>
      <c r="L836" s="17">
        <f t="shared" ca="1" si="91"/>
        <v>-1</v>
      </c>
      <c r="N836" s="24" t="str">
        <f ca="1">IF(AND(L836=1,L835&lt;&gt;1),MAX($N$8:N835)+1,"")</f>
        <v/>
      </c>
      <c r="O836" s="24">
        <f ca="1">IF(AND(L836&lt;&gt;1,L835=1),MAX($O$8:O835)+1,"")</f>
        <v>24</v>
      </c>
      <c r="P836" s="17">
        <f ca="1">IF(AND(L836=-1,L835&lt;&gt;-1),MAX($P$8:P835)+1,"")</f>
        <v>35</v>
      </c>
      <c r="Q836" s="24" t="str">
        <f ca="1">IF(AND(L836&lt;&gt;-1,L835=-1),MAX($Q$8:Q835)+1,"")</f>
        <v/>
      </c>
    </row>
    <row r="837" spans="1:17" x14ac:dyDescent="0.3">
      <c r="A837" s="3">
        <v>41415</v>
      </c>
      <c r="B837" s="9">
        <v>11.615183</v>
      </c>
      <c r="C837" s="9">
        <v>10.856308</v>
      </c>
      <c r="E837" s="14">
        <f t="shared" si="95"/>
        <v>1.0699017566561302</v>
      </c>
      <c r="F837" s="18">
        <f t="shared" ca="1" si="94"/>
        <v>0.28365043982471638</v>
      </c>
      <c r="G837" s="15">
        <f t="shared" ca="1" si="92"/>
        <v>1.0615369811445257</v>
      </c>
      <c r="H837" s="15">
        <f t="shared" ca="1" si="93"/>
        <v>2.9489732209735314E-2</v>
      </c>
      <c r="J837" s="17">
        <f t="shared" ca="1" si="89"/>
        <v>0</v>
      </c>
      <c r="K837" s="24">
        <f t="shared" ca="1" si="90"/>
        <v>0</v>
      </c>
      <c r="L837" s="17">
        <f t="shared" ca="1" si="91"/>
        <v>0</v>
      </c>
      <c r="N837" s="24" t="str">
        <f ca="1">IF(AND(L837=1,L836&lt;&gt;1),MAX($N$8:N836)+1,"")</f>
        <v/>
      </c>
      <c r="O837" s="24" t="str">
        <f ca="1">IF(AND(L837&lt;&gt;1,L836=1),MAX($O$8:O836)+1,"")</f>
        <v/>
      </c>
      <c r="P837" s="17" t="str">
        <f ca="1">IF(AND(L837=-1,L836&lt;&gt;-1),MAX($P$8:P836)+1,"")</f>
        <v/>
      </c>
      <c r="Q837" s="24">
        <f ca="1">IF(AND(L837&lt;&gt;-1,L836=-1),MAX($Q$8:Q836)+1,"")</f>
        <v>35</v>
      </c>
    </row>
    <row r="838" spans="1:17" x14ac:dyDescent="0.3">
      <c r="A838" s="3">
        <v>41416</v>
      </c>
      <c r="B838" s="9">
        <v>11.767329999999999</v>
      </c>
      <c r="C838" s="9">
        <v>10.896737</v>
      </c>
      <c r="E838" s="14">
        <f t="shared" si="95"/>
        <v>1.0798948345729551</v>
      </c>
      <c r="F838" s="18">
        <f t="shared" ca="1" si="94"/>
        <v>0.60419046331240589</v>
      </c>
      <c r="G838" s="15">
        <f t="shared" ca="1" si="92"/>
        <v>1.0619607294953064</v>
      </c>
      <c r="H838" s="15">
        <f t="shared" ca="1" si="93"/>
        <v>2.9682866855141998E-2</v>
      </c>
      <c r="J838" s="17">
        <f t="shared" ca="1" si="89"/>
        <v>0</v>
      </c>
      <c r="K838" s="24">
        <f t="shared" ca="1" si="90"/>
        <v>0</v>
      </c>
      <c r="L838" s="17">
        <f t="shared" ca="1" si="91"/>
        <v>0</v>
      </c>
      <c r="N838" s="24" t="str">
        <f ca="1">IF(AND(L838=1,L837&lt;&gt;1),MAX($N$8:N837)+1,"")</f>
        <v/>
      </c>
      <c r="O838" s="24" t="str">
        <f ca="1">IF(AND(L838&lt;&gt;1,L837=1),MAX($O$8:O837)+1,"")</f>
        <v/>
      </c>
      <c r="P838" s="17" t="str">
        <f ca="1">IF(AND(L838=-1,L837&lt;&gt;-1),MAX($P$8:P837)+1,"")</f>
        <v/>
      </c>
      <c r="Q838" s="24" t="str">
        <f ca="1">IF(AND(L838&lt;&gt;-1,L837=-1),MAX($Q$8:Q837)+1,"")</f>
        <v/>
      </c>
    </row>
    <row r="839" spans="1:17" x14ac:dyDescent="0.3">
      <c r="A839" s="3">
        <v>41417</v>
      </c>
      <c r="B839" s="9">
        <v>11.668221000000001</v>
      </c>
      <c r="C839" s="9">
        <v>10.747531</v>
      </c>
      <c r="E839" s="14">
        <f t="shared" si="95"/>
        <v>1.0856652565133331</v>
      </c>
      <c r="F839" s="18">
        <f t="shared" ca="1" si="94"/>
        <v>0.7634778360196266</v>
      </c>
      <c r="G839" s="15">
        <f t="shared" ca="1" si="92"/>
        <v>1.0627135342833807</v>
      </c>
      <c r="H839" s="15">
        <f t="shared" ca="1" si="93"/>
        <v>3.0062067485299517E-2</v>
      </c>
      <c r="J839" s="17">
        <f t="shared" ca="1" si="89"/>
        <v>0</v>
      </c>
      <c r="K839" s="24">
        <f t="shared" ca="1" si="90"/>
        <v>0</v>
      </c>
      <c r="L839" s="17">
        <f t="shared" ca="1" si="91"/>
        <v>0</v>
      </c>
      <c r="N839" s="24" t="str">
        <f ca="1">IF(AND(L839=1,L838&lt;&gt;1),MAX($N$8:N838)+1,"")</f>
        <v/>
      </c>
      <c r="O839" s="24" t="str">
        <f ca="1">IF(AND(L839&lt;&gt;1,L838=1),MAX($O$8:O838)+1,"")</f>
        <v/>
      </c>
      <c r="P839" s="17" t="str">
        <f ca="1">IF(AND(L839=-1,L838&lt;&gt;-1),MAX($P$8:P838)+1,"")</f>
        <v/>
      </c>
      <c r="Q839" s="24" t="str">
        <f ca="1">IF(AND(L839&lt;&gt;-1,L838=-1),MAX($Q$8:Q838)+1,"")</f>
        <v/>
      </c>
    </row>
    <row r="840" spans="1:17" x14ac:dyDescent="0.3">
      <c r="A840" s="3">
        <v>41418</v>
      </c>
      <c r="B840" s="9">
        <v>11.63284</v>
      </c>
      <c r="C840" s="9">
        <v>10.666739</v>
      </c>
      <c r="E840" s="14">
        <f t="shared" si="95"/>
        <v>1.0905713545630018</v>
      </c>
      <c r="F840" s="18">
        <f t="shared" ca="1" si="94"/>
        <v>0.86984835738876332</v>
      </c>
      <c r="G840" s="15">
        <f t="shared" ca="1" si="92"/>
        <v>1.0639382890274456</v>
      </c>
      <c r="H840" s="15">
        <f t="shared" ca="1" si="93"/>
        <v>3.0618055790215218E-2</v>
      </c>
      <c r="J840" s="17">
        <f t="shared" ref="J840:J903" ca="1" si="96">IF(ISNUMBER(F840),IF(AND(J839&lt;&gt;1,F840&gt;$L$1),1,IF(AND(J839=1,F840&gt;$N$1),1,0)),"")</f>
        <v>0</v>
      </c>
      <c r="K840" s="24">
        <f t="shared" ca="1" si="90"/>
        <v>0</v>
      </c>
      <c r="L840" s="17">
        <f t="shared" ca="1" si="91"/>
        <v>0</v>
      </c>
      <c r="N840" s="24" t="str">
        <f ca="1">IF(AND(L840=1,L839&lt;&gt;1),MAX($N$8:N839)+1,"")</f>
        <v/>
      </c>
      <c r="O840" s="24" t="str">
        <f ca="1">IF(AND(L840&lt;&gt;1,L839=1),MAX($O$8:O839)+1,"")</f>
        <v/>
      </c>
      <c r="P840" s="17" t="str">
        <f ca="1">IF(AND(L840=-1,L839&lt;&gt;-1),MAX($P$8:P839)+1,"")</f>
        <v/>
      </c>
      <c r="Q840" s="24" t="str">
        <f ca="1">IF(AND(L840&lt;&gt;-1,L839=-1),MAX($Q$8:Q839)+1,"")</f>
        <v/>
      </c>
    </row>
    <row r="841" spans="1:17" x14ac:dyDescent="0.3">
      <c r="A841" s="3">
        <v>41421</v>
      </c>
      <c r="B841" s="9">
        <v>11.583323</v>
      </c>
      <c r="C841" s="9">
        <v>10.62945</v>
      </c>
      <c r="E841" s="14">
        <f t="shared" si="95"/>
        <v>1.0897386976748562</v>
      </c>
      <c r="F841" s="18">
        <f t="shared" ca="1" si="94"/>
        <v>0.80713303859773688</v>
      </c>
      <c r="G841" s="15">
        <f t="shared" ca="1" si="92"/>
        <v>1.064688526802845</v>
      </c>
      <c r="H841" s="15">
        <f t="shared" ca="1" si="93"/>
        <v>3.1035987469341914E-2</v>
      </c>
      <c r="J841" s="17">
        <f t="shared" ca="1" si="96"/>
        <v>0</v>
      </c>
      <c r="K841" s="24">
        <f t="shared" ref="K841:K904" ca="1" si="97">IF(ISNUMBER(F841),IF(AND(K840&lt;&gt;-1,F841&lt;$P$1),-1,IF(AND(K840=-1,F841&lt;R834),-1,0)),"")</f>
        <v>0</v>
      </c>
      <c r="L841" s="17">
        <f t="shared" ref="L841:L904" ca="1" si="98">IF(ISNUMBER(F841),IF(J841=1,1,IF(K841=-1,-1,0)),"")</f>
        <v>0</v>
      </c>
      <c r="N841" s="24" t="str">
        <f ca="1">IF(AND(L841=1,L840&lt;&gt;1),MAX($N$8:N840)+1,"")</f>
        <v/>
      </c>
      <c r="O841" s="24" t="str">
        <f ca="1">IF(AND(L841&lt;&gt;1,L840=1),MAX($O$8:O840)+1,"")</f>
        <v/>
      </c>
      <c r="P841" s="17" t="str">
        <f ca="1">IF(AND(L841=-1,L840&lt;&gt;-1),MAX($P$8:P840)+1,"")</f>
        <v/>
      </c>
      <c r="Q841" s="24" t="str">
        <f ca="1">IF(AND(L841&lt;&gt;-1,L840=-1),MAX($Q$8:Q840)+1,"")</f>
        <v/>
      </c>
    </row>
    <row r="842" spans="1:17" x14ac:dyDescent="0.3">
      <c r="A842" s="3">
        <v>41422</v>
      </c>
      <c r="B842" s="9">
        <v>11.622244</v>
      </c>
      <c r="C842" s="9">
        <v>10.691572000000001</v>
      </c>
      <c r="E842" s="14">
        <f t="shared" si="95"/>
        <v>1.0870472555392228</v>
      </c>
      <c r="F842" s="18">
        <f t="shared" ca="1" si="94"/>
        <v>0.70752255745052006</v>
      </c>
      <c r="G842" s="15">
        <f t="shared" ca="1" si="92"/>
        <v>1.0649672343932495</v>
      </c>
      <c r="H842" s="15">
        <f t="shared" ca="1" si="93"/>
        <v>3.1207515454399402E-2</v>
      </c>
      <c r="J842" s="17">
        <f t="shared" ca="1" si="96"/>
        <v>0</v>
      </c>
      <c r="K842" s="24">
        <f t="shared" ca="1" si="97"/>
        <v>0</v>
      </c>
      <c r="L842" s="17">
        <f t="shared" ca="1" si="98"/>
        <v>0</v>
      </c>
      <c r="N842" s="24" t="str">
        <f ca="1">IF(AND(L842=1,L841&lt;&gt;1),MAX($N$8:N841)+1,"")</f>
        <v/>
      </c>
      <c r="O842" s="24" t="str">
        <f ca="1">IF(AND(L842&lt;&gt;1,L841=1),MAX($O$8:O841)+1,"")</f>
        <v/>
      </c>
      <c r="P842" s="17" t="str">
        <f ca="1">IF(AND(L842=-1,L841&lt;&gt;-1),MAX($P$8:P841)+1,"")</f>
        <v/>
      </c>
      <c r="Q842" s="24" t="str">
        <f ca="1">IF(AND(L842&lt;&gt;-1,L841=-1),MAX($Q$8:Q841)+1,"")</f>
        <v/>
      </c>
    </row>
    <row r="843" spans="1:17" x14ac:dyDescent="0.3">
      <c r="A843" s="3">
        <v>41423</v>
      </c>
      <c r="B843" s="9">
        <v>11.339207</v>
      </c>
      <c r="C843" s="9">
        <v>10.461574000000001</v>
      </c>
      <c r="E843" s="14">
        <f t="shared" si="95"/>
        <v>1.0838911047228648</v>
      </c>
      <c r="F843" s="18">
        <f t="shared" ca="1" si="94"/>
        <v>0.55706051374462573</v>
      </c>
      <c r="G843" s="15">
        <f t="shared" ca="1" si="92"/>
        <v>1.0695691274826991</v>
      </c>
      <c r="H843" s="15">
        <f t="shared" ca="1" si="93"/>
        <v>2.5709912813406403E-2</v>
      </c>
      <c r="J843" s="17">
        <f t="shared" ca="1" si="96"/>
        <v>0</v>
      </c>
      <c r="K843" s="24">
        <f t="shared" ca="1" si="97"/>
        <v>0</v>
      </c>
      <c r="L843" s="17">
        <f t="shared" ca="1" si="98"/>
        <v>0</v>
      </c>
      <c r="N843" s="24" t="str">
        <f ca="1">IF(AND(L843=1,L842&lt;&gt;1),MAX($N$8:N842)+1,"")</f>
        <v/>
      </c>
      <c r="O843" s="24" t="str">
        <f ca="1">IF(AND(L843&lt;&gt;1,L842=1),MAX($O$8:O842)+1,"")</f>
        <v/>
      </c>
      <c r="P843" s="17" t="str">
        <f ca="1">IF(AND(L843=-1,L842&lt;&gt;-1),MAX($P$8:P842)+1,"")</f>
        <v/>
      </c>
      <c r="Q843" s="24" t="str">
        <f ca="1">IF(AND(L843&lt;&gt;-1,L842=-1),MAX($Q$8:Q842)+1,"")</f>
        <v/>
      </c>
    </row>
    <row r="844" spans="1:17" x14ac:dyDescent="0.3">
      <c r="A844" s="3">
        <v>41425</v>
      </c>
      <c r="B844" s="9">
        <v>11.455966</v>
      </c>
      <c r="C844" s="9">
        <v>10.66982</v>
      </c>
      <c r="E844" s="14">
        <f t="shared" si="95"/>
        <v>1.0736794060255936</v>
      </c>
      <c r="F844" s="18">
        <f t="shared" ca="1" si="94"/>
        <v>0.143770952298685</v>
      </c>
      <c r="G844" s="15">
        <f t="shared" ca="1" si="92"/>
        <v>1.0699846194869922</v>
      </c>
      <c r="H844" s="15">
        <f t="shared" ca="1" si="93"/>
        <v>2.5699117099297678E-2</v>
      </c>
      <c r="J844" s="17">
        <f t="shared" ca="1" si="96"/>
        <v>0</v>
      </c>
      <c r="K844" s="24">
        <f t="shared" ca="1" si="97"/>
        <v>0</v>
      </c>
      <c r="L844" s="17">
        <f t="shared" ca="1" si="98"/>
        <v>0</v>
      </c>
      <c r="N844" s="24" t="str">
        <f ca="1">IF(AND(L844=1,L843&lt;&gt;1),MAX($N$8:N843)+1,"")</f>
        <v/>
      </c>
      <c r="O844" s="24" t="str">
        <f ca="1">IF(AND(L844&lt;&gt;1,L843=1),MAX($O$8:O843)+1,"")</f>
        <v/>
      </c>
      <c r="P844" s="17" t="str">
        <f ca="1">IF(AND(L844=-1,L843&lt;&gt;-1),MAX($P$8:P843)+1,"")</f>
        <v/>
      </c>
      <c r="Q844" s="24" t="str">
        <f ca="1">IF(AND(L844&lt;&gt;-1,L843=-1),MAX($Q$8:Q843)+1,"")</f>
        <v/>
      </c>
    </row>
    <row r="845" spans="1:17" x14ac:dyDescent="0.3">
      <c r="A845" s="3">
        <v>41428</v>
      </c>
      <c r="B845" s="9">
        <v>11.37452</v>
      </c>
      <c r="C845" s="9">
        <v>10.362170000000001</v>
      </c>
      <c r="E845" s="14">
        <f t="shared" si="95"/>
        <v>1.0976967179654453</v>
      </c>
      <c r="F845" s="18">
        <f t="shared" ca="1" si="94"/>
        <v>0.98891088374277425</v>
      </c>
      <c r="G845" s="15">
        <f t="shared" ca="1" si="92"/>
        <v>1.0718206312744867</v>
      </c>
      <c r="H845" s="15">
        <f t="shared" ca="1" si="93"/>
        <v>2.6166247248714958E-2</v>
      </c>
      <c r="J845" s="17">
        <f t="shared" ca="1" si="96"/>
        <v>0</v>
      </c>
      <c r="K845" s="24">
        <f t="shared" ca="1" si="97"/>
        <v>0</v>
      </c>
      <c r="L845" s="17">
        <f t="shared" ca="1" si="98"/>
        <v>0</v>
      </c>
      <c r="N845" s="24" t="str">
        <f ca="1">IF(AND(L845=1,L844&lt;&gt;1),MAX($N$8:N844)+1,"")</f>
        <v/>
      </c>
      <c r="O845" s="24" t="str">
        <f ca="1">IF(AND(L845&lt;&gt;1,L844=1),MAX($O$8:O844)+1,"")</f>
        <v/>
      </c>
      <c r="P845" s="17" t="str">
        <f ca="1">IF(AND(L845=-1,L844&lt;&gt;-1),MAX($P$8:P844)+1,"")</f>
        <v/>
      </c>
      <c r="Q845" s="24" t="str">
        <f ca="1">IF(AND(L845&lt;&gt;-1,L844=-1),MAX($Q$8:Q844)+1,"")</f>
        <v/>
      </c>
    </row>
    <row r="846" spans="1:17" x14ac:dyDescent="0.3">
      <c r="A846" s="3">
        <v>41429</v>
      </c>
      <c r="B846" s="9">
        <v>11.431153</v>
      </c>
      <c r="C846" s="9">
        <v>10.235664</v>
      </c>
      <c r="E846" s="14">
        <f t="shared" si="95"/>
        <v>1.116796428644004</v>
      </c>
      <c r="F846" s="18">
        <f t="shared" ca="1" si="94"/>
        <v>1.538178960924359</v>
      </c>
      <c r="G846" s="15">
        <f t="shared" ca="1" si="92"/>
        <v>1.0749910857841134</v>
      </c>
      <c r="H846" s="15">
        <f t="shared" ca="1" si="93"/>
        <v>2.7178464874313395E-2</v>
      </c>
      <c r="J846" s="17">
        <f t="shared" ca="1" si="96"/>
        <v>1</v>
      </c>
      <c r="K846" s="24">
        <f t="shared" ca="1" si="97"/>
        <v>0</v>
      </c>
      <c r="L846" s="17">
        <f t="shared" ca="1" si="98"/>
        <v>1</v>
      </c>
      <c r="N846" s="24">
        <f ca="1">IF(AND(L846=1,L845&lt;&gt;1),MAX($N$8:N845)+1,"")</f>
        <v>25</v>
      </c>
      <c r="O846" s="24" t="str">
        <f ca="1">IF(AND(L846&lt;&gt;1,L845=1),MAX($O$8:O845)+1,"")</f>
        <v/>
      </c>
      <c r="P846" s="17" t="str">
        <f ca="1">IF(AND(L846=-1,L845&lt;&gt;-1),MAX($P$8:P845)+1,"")</f>
        <v/>
      </c>
      <c r="Q846" s="24" t="str">
        <f ca="1">IF(AND(L846&lt;&gt;-1,L845=-1),MAX($Q$8:Q845)+1,"")</f>
        <v/>
      </c>
    </row>
    <row r="847" spans="1:17" x14ac:dyDescent="0.3">
      <c r="A847" s="3">
        <v>41430</v>
      </c>
      <c r="B847" s="9">
        <v>11.034516999999999</v>
      </c>
      <c r="C847" s="9">
        <v>9.9462519999999994</v>
      </c>
      <c r="E847" s="14">
        <f t="shared" si="95"/>
        <v>1.1094145814926064</v>
      </c>
      <c r="F847" s="18">
        <f t="shared" ca="1" si="94"/>
        <v>1.1560418972474722</v>
      </c>
      <c r="G847" s="15">
        <f t="shared" ca="1" si="92"/>
        <v>1.0770896941960713</v>
      </c>
      <c r="H847" s="15">
        <f t="shared" ca="1" si="93"/>
        <v>2.7961691850010358E-2</v>
      </c>
      <c r="J847" s="17">
        <f t="shared" ca="1" si="96"/>
        <v>1</v>
      </c>
      <c r="K847" s="24">
        <f t="shared" ca="1" si="97"/>
        <v>0</v>
      </c>
      <c r="L847" s="17">
        <f t="shared" ca="1" si="98"/>
        <v>1</v>
      </c>
      <c r="N847" s="24" t="str">
        <f ca="1">IF(AND(L847=1,L846&lt;&gt;1),MAX($N$8:N846)+1,"")</f>
        <v/>
      </c>
      <c r="O847" s="24" t="str">
        <f ca="1">IF(AND(L847&lt;&gt;1,L846=1),MAX($O$8:O846)+1,"")</f>
        <v/>
      </c>
      <c r="P847" s="17" t="str">
        <f ca="1">IF(AND(L847=-1,L846&lt;&gt;-1),MAX($P$8:P846)+1,"")</f>
        <v/>
      </c>
      <c r="Q847" s="24" t="str">
        <f ca="1">IF(AND(L847&lt;&gt;-1,L846=-1),MAX($Q$8:Q846)+1,"")</f>
        <v/>
      </c>
    </row>
    <row r="848" spans="1:17" x14ac:dyDescent="0.3">
      <c r="A848" s="3">
        <v>41431</v>
      </c>
      <c r="B848" s="9">
        <v>11.137250999999999</v>
      </c>
      <c r="C848" s="9">
        <v>9.9524899999999992</v>
      </c>
      <c r="E848" s="14">
        <f t="shared" si="95"/>
        <v>1.1190416669597256</v>
      </c>
      <c r="F848" s="18">
        <f t="shared" ca="1" si="94"/>
        <v>1.3601887230610252</v>
      </c>
      <c r="G848" s="15">
        <f t="shared" ca="1" si="92"/>
        <v>1.0792518792824801</v>
      </c>
      <c r="H848" s="15">
        <f t="shared" ca="1" si="93"/>
        <v>2.9253137452647682E-2</v>
      </c>
      <c r="J848" s="17">
        <f t="shared" ca="1" si="96"/>
        <v>1</v>
      </c>
      <c r="K848" s="24">
        <f t="shared" ca="1" si="97"/>
        <v>0</v>
      </c>
      <c r="L848" s="17">
        <f t="shared" ca="1" si="98"/>
        <v>1</v>
      </c>
      <c r="N848" s="24" t="str">
        <f ca="1">IF(AND(L848=1,L847&lt;&gt;1),MAX($N$8:N847)+1,"")</f>
        <v/>
      </c>
      <c r="O848" s="24" t="str">
        <f ca="1">IF(AND(L848&lt;&gt;1,L847=1),MAX($O$8:O847)+1,"")</f>
        <v/>
      </c>
      <c r="P848" s="17" t="str">
        <f ca="1">IF(AND(L848=-1,L847&lt;&gt;-1),MAX($P$8:P847)+1,"")</f>
        <v/>
      </c>
      <c r="Q848" s="24" t="str">
        <f ca="1">IF(AND(L848&lt;&gt;-1,L847=-1),MAX($Q$8:Q847)+1,"")</f>
        <v/>
      </c>
    </row>
    <row r="849" spans="1:17" x14ac:dyDescent="0.3">
      <c r="A849" s="3">
        <v>41432</v>
      </c>
      <c r="B849" s="9">
        <v>11.066406000000001</v>
      </c>
      <c r="C849" s="9">
        <v>9.7128669999999993</v>
      </c>
      <c r="E849" s="14">
        <f t="shared" si="95"/>
        <v>1.1393552490732142</v>
      </c>
      <c r="F849" s="18">
        <f t="shared" ca="1" si="94"/>
        <v>1.7973121750977297</v>
      </c>
      <c r="G849" s="15">
        <f t="shared" ca="1" si="92"/>
        <v>1.0822555573892207</v>
      </c>
      <c r="H849" s="15">
        <f t="shared" ca="1" si="93"/>
        <v>3.176949028395059E-2</v>
      </c>
      <c r="J849" s="17">
        <f t="shared" ca="1" si="96"/>
        <v>1</v>
      </c>
      <c r="K849" s="24">
        <f t="shared" ca="1" si="97"/>
        <v>0</v>
      </c>
      <c r="L849" s="17">
        <f t="shared" ca="1" si="98"/>
        <v>1</v>
      </c>
      <c r="N849" s="24" t="str">
        <f ca="1">IF(AND(L849=1,L848&lt;&gt;1),MAX($N$8:N848)+1,"")</f>
        <v/>
      </c>
      <c r="O849" s="24" t="str">
        <f ca="1">IF(AND(L849&lt;&gt;1,L848=1),MAX($O$8:O848)+1,"")</f>
        <v/>
      </c>
      <c r="P849" s="17" t="str">
        <f ca="1">IF(AND(L849=-1,L848&lt;&gt;-1),MAX($P$8:P848)+1,"")</f>
        <v/>
      </c>
      <c r="Q849" s="24" t="str">
        <f ca="1">IF(AND(L849&lt;&gt;-1,L848=-1),MAX($Q$8:Q848)+1,"")</f>
        <v/>
      </c>
    </row>
    <row r="850" spans="1:17" x14ac:dyDescent="0.3">
      <c r="A850" s="3">
        <v>41435</v>
      </c>
      <c r="B850" s="9">
        <v>11.045123999999999</v>
      </c>
      <c r="C850" s="9">
        <v>9.918234</v>
      </c>
      <c r="E850" s="14">
        <f t="shared" si="95"/>
        <v>1.1136180090124914</v>
      </c>
      <c r="F850" s="18">
        <f t="shared" ca="1" si="94"/>
        <v>0.91409595480514616</v>
      </c>
      <c r="G850" s="15">
        <f t="shared" ca="1" si="92"/>
        <v>1.0840212354813137</v>
      </c>
      <c r="H850" s="15">
        <f t="shared" ca="1" si="93"/>
        <v>3.2378191124898641E-2</v>
      </c>
      <c r="J850" s="17">
        <f t="shared" ca="1" si="96"/>
        <v>1</v>
      </c>
      <c r="K850" s="24">
        <f t="shared" ca="1" si="97"/>
        <v>0</v>
      </c>
      <c r="L850" s="17">
        <f t="shared" ca="1" si="98"/>
        <v>1</v>
      </c>
      <c r="N850" s="24" t="str">
        <f ca="1">IF(AND(L850=1,L849&lt;&gt;1),MAX($N$8:N849)+1,"")</f>
        <v/>
      </c>
      <c r="O850" s="24" t="str">
        <f ca="1">IF(AND(L850&lt;&gt;1,L849=1),MAX($O$8:O849)+1,"")</f>
        <v/>
      </c>
      <c r="P850" s="17" t="str">
        <f ca="1">IF(AND(L850=-1,L849&lt;&gt;-1),MAX($P$8:P849)+1,"")</f>
        <v/>
      </c>
      <c r="Q850" s="24" t="str">
        <f ca="1">IF(AND(L850&lt;&gt;-1,L849=-1),MAX($Q$8:Q849)+1,"")</f>
        <v/>
      </c>
    </row>
    <row r="851" spans="1:17" x14ac:dyDescent="0.3">
      <c r="A851" s="3">
        <v>41436</v>
      </c>
      <c r="B851" s="9">
        <v>10.683909999999999</v>
      </c>
      <c r="C851" s="9">
        <v>9.5386019999999991</v>
      </c>
      <c r="E851" s="14">
        <f t="shared" si="95"/>
        <v>1.1200708447632053</v>
      </c>
      <c r="F851" s="18">
        <f t="shared" ca="1" si="94"/>
        <v>1.0266646296974564</v>
      </c>
      <c r="G851" s="15">
        <f t="shared" ca="1" si="92"/>
        <v>1.0860076764477034</v>
      </c>
      <c r="H851" s="15">
        <f t="shared" ca="1" si="93"/>
        <v>3.3178476525036096E-2</v>
      </c>
      <c r="J851" s="17">
        <f t="shared" ca="1" si="96"/>
        <v>1</v>
      </c>
      <c r="K851" s="24">
        <f t="shared" ca="1" si="97"/>
        <v>0</v>
      </c>
      <c r="L851" s="17">
        <f t="shared" ca="1" si="98"/>
        <v>1</v>
      </c>
      <c r="N851" s="24" t="str">
        <f ca="1">IF(AND(L851=1,L850&lt;&gt;1),MAX($N$8:N850)+1,"")</f>
        <v/>
      </c>
      <c r="O851" s="24" t="str">
        <f ca="1">IF(AND(L851&lt;&gt;1,L850=1),MAX($O$8:O850)+1,"")</f>
        <v/>
      </c>
      <c r="P851" s="17" t="str">
        <f ca="1">IF(AND(L851=-1,L850&lt;&gt;-1),MAX($P$8:P850)+1,"")</f>
        <v/>
      </c>
      <c r="Q851" s="24" t="str">
        <f ca="1">IF(AND(L851&lt;&gt;-1,L850=-1),MAX($Q$8:Q850)+1,"")</f>
        <v/>
      </c>
    </row>
    <row r="852" spans="1:17" x14ac:dyDescent="0.3">
      <c r="A852" s="3">
        <v>41437</v>
      </c>
      <c r="B852" s="9">
        <v>10.659162999999999</v>
      </c>
      <c r="C852" s="9">
        <v>9.5074400000000008</v>
      </c>
      <c r="E852" s="14">
        <f t="shared" si="95"/>
        <v>1.1211391289348129</v>
      </c>
      <c r="F852" s="18">
        <f t="shared" ca="1" si="94"/>
        <v>0.97215377591390528</v>
      </c>
      <c r="G852" s="15">
        <f t="shared" ca="1" si="92"/>
        <v>1.0883016133208794</v>
      </c>
      <c r="H852" s="15">
        <f t="shared" ca="1" si="93"/>
        <v>3.3778108389347729E-2</v>
      </c>
      <c r="J852" s="17">
        <f t="shared" ca="1" si="96"/>
        <v>1</v>
      </c>
      <c r="K852" s="24">
        <f t="shared" ca="1" si="97"/>
        <v>0</v>
      </c>
      <c r="L852" s="17">
        <f t="shared" ca="1" si="98"/>
        <v>1</v>
      </c>
      <c r="N852" s="24" t="str">
        <f ca="1">IF(AND(L852=1,L851&lt;&gt;1),MAX($N$8:N851)+1,"")</f>
        <v/>
      </c>
      <c r="O852" s="24" t="str">
        <f ca="1">IF(AND(L852&lt;&gt;1,L851=1),MAX($O$8:O851)+1,"")</f>
        <v/>
      </c>
      <c r="P852" s="17" t="str">
        <f ca="1">IF(AND(L852=-1,L851&lt;&gt;-1),MAX($P$8:P851)+1,"")</f>
        <v/>
      </c>
      <c r="Q852" s="24" t="str">
        <f ca="1">IF(AND(L852&lt;&gt;-1,L851=-1),MAX($Q$8:Q851)+1,"")</f>
        <v/>
      </c>
    </row>
    <row r="853" spans="1:17" x14ac:dyDescent="0.3">
      <c r="A853" s="3">
        <v>41438</v>
      </c>
      <c r="B853" s="9">
        <v>10.630818</v>
      </c>
      <c r="C853" s="9">
        <v>9.3767359999999993</v>
      </c>
      <c r="E853" s="14">
        <f t="shared" si="95"/>
        <v>1.1337439808479199</v>
      </c>
      <c r="F853" s="18">
        <f t="shared" ca="1" si="94"/>
        <v>1.2255284023736324</v>
      </c>
      <c r="G853" s="15">
        <f t="shared" ca="1" si="92"/>
        <v>1.0909123166056238</v>
      </c>
      <c r="H853" s="15">
        <f t="shared" ca="1" si="93"/>
        <v>3.4949548422818062E-2</v>
      </c>
      <c r="J853" s="17">
        <f t="shared" ca="1" si="96"/>
        <v>1</v>
      </c>
      <c r="K853" s="24">
        <f t="shared" ca="1" si="97"/>
        <v>0</v>
      </c>
      <c r="L853" s="17">
        <f t="shared" ca="1" si="98"/>
        <v>1</v>
      </c>
      <c r="N853" s="24" t="str">
        <f ca="1">IF(AND(L853=1,L852&lt;&gt;1),MAX($N$8:N852)+1,"")</f>
        <v/>
      </c>
      <c r="O853" s="24" t="str">
        <f ca="1">IF(AND(L853&lt;&gt;1,L852=1),MAX($O$8:O852)+1,"")</f>
        <v/>
      </c>
      <c r="P853" s="17" t="str">
        <f ca="1">IF(AND(L853=-1,L852&lt;&gt;-1),MAX($P$8:P852)+1,"")</f>
        <v/>
      </c>
      <c r="Q853" s="24" t="str">
        <f ca="1">IF(AND(L853&lt;&gt;-1,L852=-1),MAX($Q$8:Q852)+1,"")</f>
        <v/>
      </c>
    </row>
    <row r="854" spans="1:17" x14ac:dyDescent="0.3">
      <c r="A854" s="3">
        <v>41439</v>
      </c>
      <c r="B854" s="9">
        <v>10.404218999999999</v>
      </c>
      <c r="C854" s="9">
        <v>9.2211700000000008</v>
      </c>
      <c r="E854" s="14">
        <f t="shared" si="95"/>
        <v>1.128297059917559</v>
      </c>
      <c r="F854" s="18">
        <f t="shared" ca="1" si="94"/>
        <v>0.98375994130709121</v>
      </c>
      <c r="G854" s="15">
        <f t="shared" ca="1" si="92"/>
        <v>1.0932158192537966</v>
      </c>
      <c r="H854" s="15">
        <f t="shared" ca="1" si="93"/>
        <v>3.5660367118782087E-2</v>
      </c>
      <c r="J854" s="17">
        <f t="shared" ca="1" si="96"/>
        <v>1</v>
      </c>
      <c r="K854" s="24">
        <f t="shared" ca="1" si="97"/>
        <v>0</v>
      </c>
      <c r="L854" s="17">
        <f t="shared" ca="1" si="98"/>
        <v>1</v>
      </c>
      <c r="N854" s="24" t="str">
        <f ca="1">IF(AND(L854=1,L853&lt;&gt;1),MAX($N$8:N853)+1,"")</f>
        <v/>
      </c>
      <c r="O854" s="24" t="str">
        <f ca="1">IF(AND(L854&lt;&gt;1,L853=1),MAX($O$8:O853)+1,"")</f>
        <v/>
      </c>
      <c r="P854" s="17" t="str">
        <f ca="1">IF(AND(L854=-1,L853&lt;&gt;-1),MAX($P$8:P853)+1,"")</f>
        <v/>
      </c>
      <c r="Q854" s="24" t="str">
        <f ca="1">IF(AND(L854&lt;&gt;-1,L853=-1),MAX($Q$8:Q853)+1,"")</f>
        <v/>
      </c>
    </row>
    <row r="855" spans="1:17" x14ac:dyDescent="0.3">
      <c r="A855" s="3">
        <v>41442</v>
      </c>
      <c r="B855" s="9">
        <v>10.460849</v>
      </c>
      <c r="C855" s="9">
        <v>9.2646719999999991</v>
      </c>
      <c r="E855" s="14">
        <f t="shared" si="95"/>
        <v>1.1291116404336818</v>
      </c>
      <c r="F855" s="18">
        <f t="shared" ca="1" si="94"/>
        <v>0.93413577838061768</v>
      </c>
      <c r="G855" s="15">
        <f t="shared" ca="1" si="92"/>
        <v>1.0951062310833837</v>
      </c>
      <c r="H855" s="15">
        <f t="shared" ca="1" si="93"/>
        <v>3.6403069165436154E-2</v>
      </c>
      <c r="J855" s="17">
        <f t="shared" ca="1" si="96"/>
        <v>1</v>
      </c>
      <c r="K855" s="24">
        <f t="shared" ca="1" si="97"/>
        <v>0</v>
      </c>
      <c r="L855" s="17">
        <f t="shared" ca="1" si="98"/>
        <v>1</v>
      </c>
      <c r="N855" s="24" t="str">
        <f ca="1">IF(AND(L855=1,L854&lt;&gt;1),MAX($N$8:N854)+1,"")</f>
        <v/>
      </c>
      <c r="O855" s="24" t="str">
        <f ca="1">IF(AND(L855&lt;&gt;1,L854=1),MAX($O$8:O854)+1,"")</f>
        <v/>
      </c>
      <c r="P855" s="17" t="str">
        <f ca="1">IF(AND(L855=-1,L854&lt;&gt;-1),MAX($P$8:P854)+1,"")</f>
        <v/>
      </c>
      <c r="Q855" s="24" t="str">
        <f ca="1">IF(AND(L855&lt;&gt;-1,L854=-1),MAX($Q$8:Q854)+1,"")</f>
        <v/>
      </c>
    </row>
    <row r="856" spans="1:17" x14ac:dyDescent="0.3">
      <c r="A856" s="3">
        <v>41443</v>
      </c>
      <c r="B856" s="9">
        <v>10.397076999999999</v>
      </c>
      <c r="C856" s="9">
        <v>9.1962390000000003</v>
      </c>
      <c r="E856" s="14">
        <f t="shared" si="95"/>
        <v>1.1305792509307337</v>
      </c>
      <c r="F856" s="18">
        <f t="shared" ca="1" si="94"/>
        <v>0.89420216519635576</v>
      </c>
      <c r="G856" s="15">
        <f t="shared" ca="1" si="92"/>
        <v>1.0976302974551031</v>
      </c>
      <c r="H856" s="15">
        <f t="shared" ca="1" si="93"/>
        <v>3.6847320167688775E-2</v>
      </c>
      <c r="J856" s="17">
        <f t="shared" ca="1" si="96"/>
        <v>1</v>
      </c>
      <c r="K856" s="24">
        <f t="shared" ca="1" si="97"/>
        <v>0</v>
      </c>
      <c r="L856" s="17">
        <f t="shared" ca="1" si="98"/>
        <v>1</v>
      </c>
      <c r="N856" s="24" t="str">
        <f ca="1">IF(AND(L856=1,L855&lt;&gt;1),MAX($N$8:N855)+1,"")</f>
        <v/>
      </c>
      <c r="O856" s="24" t="str">
        <f ca="1">IF(AND(L856&lt;&gt;1,L855=1),MAX($O$8:O855)+1,"")</f>
        <v/>
      </c>
      <c r="P856" s="17" t="str">
        <f ca="1">IF(AND(L856=-1,L855&lt;&gt;-1),MAX($P$8:P855)+1,"")</f>
        <v/>
      </c>
      <c r="Q856" s="24" t="str">
        <f ca="1">IF(AND(L856&lt;&gt;-1,L855=-1),MAX($Q$8:Q855)+1,"")</f>
        <v/>
      </c>
    </row>
    <row r="857" spans="1:17" x14ac:dyDescent="0.3">
      <c r="A857" s="3">
        <v>41444</v>
      </c>
      <c r="B857" s="9">
        <v>10.269602000000001</v>
      </c>
      <c r="C857" s="9">
        <v>8.9970370000000006</v>
      </c>
      <c r="E857" s="14">
        <f t="shared" si="95"/>
        <v>1.1414426771836106</v>
      </c>
      <c r="F857" s="18">
        <f t="shared" ca="1" si="94"/>
        <v>1.0840353724681877</v>
      </c>
      <c r="G857" s="15">
        <f t="shared" ca="1" si="92"/>
        <v>1.1010403137746259</v>
      </c>
      <c r="H857" s="15">
        <f t="shared" ca="1" si="93"/>
        <v>3.727033677599887E-2</v>
      </c>
      <c r="J857" s="17">
        <f t="shared" ca="1" si="96"/>
        <v>1</v>
      </c>
      <c r="K857" s="24">
        <f t="shared" ca="1" si="97"/>
        <v>0</v>
      </c>
      <c r="L857" s="17">
        <f t="shared" ca="1" si="98"/>
        <v>1</v>
      </c>
      <c r="N857" s="24" t="str">
        <f ca="1">IF(AND(L857=1,L856&lt;&gt;1),MAX($N$8:N856)+1,"")</f>
        <v/>
      </c>
      <c r="O857" s="24" t="str">
        <f ca="1">IF(AND(L857&lt;&gt;1,L856=1),MAX($O$8:O856)+1,"")</f>
        <v/>
      </c>
      <c r="P857" s="17" t="str">
        <f ca="1">IF(AND(L857=-1,L856&lt;&gt;-1),MAX($P$8:P856)+1,"")</f>
        <v/>
      </c>
      <c r="Q857" s="24" t="str">
        <f ca="1">IF(AND(L857&lt;&gt;-1,L856=-1),MAX($Q$8:Q856)+1,"")</f>
        <v/>
      </c>
    </row>
    <row r="858" spans="1:17" x14ac:dyDescent="0.3">
      <c r="A858" s="3">
        <v>41445</v>
      </c>
      <c r="B858" s="9">
        <v>10.386473000000001</v>
      </c>
      <c r="C858" s="9">
        <v>9.0157380000000007</v>
      </c>
      <c r="E858" s="14">
        <f t="shared" si="95"/>
        <v>1.1520380250623965</v>
      </c>
      <c r="F858" s="18">
        <f t="shared" ca="1" si="94"/>
        <v>1.7960224399956324</v>
      </c>
      <c r="G858" s="15">
        <f t="shared" ca="1" si="92"/>
        <v>1.1096697694313349</v>
      </c>
      <c r="H858" s="15">
        <f t="shared" ca="1" si="93"/>
        <v>2.3590048034792175E-2</v>
      </c>
      <c r="J858" s="17">
        <f t="shared" ca="1" si="96"/>
        <v>1</v>
      </c>
      <c r="K858" s="24">
        <f t="shared" ca="1" si="97"/>
        <v>0</v>
      </c>
      <c r="L858" s="17">
        <f t="shared" ca="1" si="98"/>
        <v>1</v>
      </c>
      <c r="N858" s="24" t="str">
        <f ca="1">IF(AND(L858=1,L857&lt;&gt;1),MAX($N$8:N857)+1,"")</f>
        <v/>
      </c>
      <c r="O858" s="24" t="str">
        <f ca="1">IF(AND(L858&lt;&gt;1,L857=1),MAX($O$8:O857)+1,"")</f>
        <v/>
      </c>
      <c r="P858" s="17" t="str">
        <f ca="1">IF(AND(L858=-1,L857&lt;&gt;-1),MAX($P$8:P857)+1,"")</f>
        <v/>
      </c>
      <c r="Q858" s="24" t="str">
        <f ca="1">IF(AND(L858&lt;&gt;-1,L857=-1),MAX($Q$8:Q857)+1,"")</f>
        <v/>
      </c>
    </row>
    <row r="859" spans="1:17" x14ac:dyDescent="0.3">
      <c r="A859" s="3">
        <v>41446</v>
      </c>
      <c r="B859" s="9">
        <v>10.113780999999999</v>
      </c>
      <c r="C859" s="9">
        <v>8.8383219999999998</v>
      </c>
      <c r="E859" s="14">
        <f t="shared" si="95"/>
        <v>1.1443100851043897</v>
      </c>
      <c r="F859" s="18">
        <f t="shared" ca="1" si="94"/>
        <v>1.360711029566241</v>
      </c>
      <c r="G859" s="15">
        <f t="shared" ca="1" si="92"/>
        <v>1.1130519661789828</v>
      </c>
      <c r="H859" s="15">
        <f t="shared" ca="1" si="93"/>
        <v>2.297190090049548E-2</v>
      </c>
      <c r="J859" s="17">
        <f t="shared" ca="1" si="96"/>
        <v>1</v>
      </c>
      <c r="K859" s="24">
        <f t="shared" ca="1" si="97"/>
        <v>0</v>
      </c>
      <c r="L859" s="17">
        <f t="shared" ca="1" si="98"/>
        <v>1</v>
      </c>
      <c r="N859" s="24" t="str">
        <f ca="1">IF(AND(L859=1,L858&lt;&gt;1),MAX($N$8:N858)+1,"")</f>
        <v/>
      </c>
      <c r="O859" s="24" t="str">
        <f ca="1">IF(AND(L859&lt;&gt;1,L858=1),MAX($O$8:O858)+1,"")</f>
        <v/>
      </c>
      <c r="P859" s="17" t="str">
        <f ca="1">IF(AND(L859=-1,L858&lt;&gt;-1),MAX($P$8:P858)+1,"")</f>
        <v/>
      </c>
      <c r="Q859" s="24" t="str">
        <f ca="1">IF(AND(L859&lt;&gt;-1,L858=-1),MAX($Q$8:Q858)+1,"")</f>
        <v/>
      </c>
    </row>
    <row r="860" spans="1:17" x14ac:dyDescent="0.3">
      <c r="A860" s="3">
        <v>41449</v>
      </c>
      <c r="B860" s="9">
        <v>9.7738490000000002</v>
      </c>
      <c r="C860" s="9">
        <v>8.6672019999999996</v>
      </c>
      <c r="E860" s="14">
        <f t="shared" si="95"/>
        <v>1.1276821516332491</v>
      </c>
      <c r="F860" s="18">
        <f t="shared" ca="1" si="94"/>
        <v>0.56700892039307671</v>
      </c>
      <c r="G860" s="15">
        <f t="shared" ca="1" si="92"/>
        <v>1.1152241169544508</v>
      </c>
      <c r="H860" s="15">
        <f t="shared" ca="1" si="93"/>
        <v>2.1971496797902005E-2</v>
      </c>
      <c r="J860" s="17">
        <f t="shared" ca="1" si="96"/>
        <v>1</v>
      </c>
      <c r="K860" s="24">
        <f t="shared" ca="1" si="97"/>
        <v>0</v>
      </c>
      <c r="L860" s="17">
        <f t="shared" ca="1" si="98"/>
        <v>1</v>
      </c>
      <c r="N860" s="24" t="str">
        <f ca="1">IF(AND(L860=1,L859&lt;&gt;1),MAX($N$8:N859)+1,"")</f>
        <v/>
      </c>
      <c r="O860" s="24" t="str">
        <f ca="1">IF(AND(L860&lt;&gt;1,L859=1),MAX($O$8:O859)+1,"")</f>
        <v/>
      </c>
      <c r="P860" s="17" t="str">
        <f ca="1">IF(AND(L860=-1,L859&lt;&gt;-1),MAX($P$8:P859)+1,"")</f>
        <v/>
      </c>
      <c r="Q860" s="24" t="str">
        <f ca="1">IF(AND(L860&lt;&gt;-1,L859=-1),MAX($Q$8:Q859)+1,"")</f>
        <v/>
      </c>
    </row>
    <row r="861" spans="1:17" x14ac:dyDescent="0.3">
      <c r="A861" s="3">
        <v>41450</v>
      </c>
      <c r="B861" s="9">
        <v>9.8128080000000004</v>
      </c>
      <c r="C861" s="9">
        <v>8.7387859999999993</v>
      </c>
      <c r="E861" s="14">
        <f t="shared" si="95"/>
        <v>1.1229028837644039</v>
      </c>
      <c r="F861" s="18">
        <f t="shared" ca="1" si="94"/>
        <v>0.28445955926165784</v>
      </c>
      <c r="G861" s="15">
        <f t="shared" ca="1" si="92"/>
        <v>1.1169167363749539</v>
      </c>
      <c r="H861" s="15">
        <f t="shared" ca="1" si="93"/>
        <v>2.1043931183004173E-2</v>
      </c>
      <c r="J861" s="17">
        <f t="shared" ca="1" si="96"/>
        <v>1</v>
      </c>
      <c r="K861" s="24">
        <f t="shared" ca="1" si="97"/>
        <v>0</v>
      </c>
      <c r="L861" s="17">
        <f t="shared" ca="1" si="98"/>
        <v>1</v>
      </c>
      <c r="N861" s="24" t="str">
        <f ca="1">IF(AND(L861=1,L860&lt;&gt;1),MAX($N$8:N860)+1,"")</f>
        <v/>
      </c>
      <c r="O861" s="24" t="str">
        <f ca="1">IF(AND(L861&lt;&gt;1,L860=1),MAX($O$8:O860)+1,"")</f>
        <v/>
      </c>
      <c r="P861" s="17" t="str">
        <f ca="1">IF(AND(L861=-1,L860&lt;&gt;-1),MAX($P$8:P860)+1,"")</f>
        <v/>
      </c>
      <c r="Q861" s="24" t="str">
        <f ca="1">IF(AND(L861&lt;&gt;-1,L860=-1),MAX($Q$8:Q860)+1,"")</f>
        <v/>
      </c>
    </row>
    <row r="862" spans="1:17" x14ac:dyDescent="0.3">
      <c r="A862" s="3">
        <v>41451</v>
      </c>
      <c r="B862" s="9">
        <v>9.8623700000000003</v>
      </c>
      <c r="C862" s="9">
        <v>8.7947559999999996</v>
      </c>
      <c r="E862" s="14">
        <f t="shared" si="95"/>
        <v>1.1213921113900147</v>
      </c>
      <c r="F862" s="18">
        <f t="shared" ca="1" si="94"/>
        <v>0.15178986593001068</v>
      </c>
      <c r="G862" s="15">
        <f t="shared" ca="1" si="92"/>
        <v>1.1183176798670909</v>
      </c>
      <c r="H862" s="15">
        <f t="shared" ca="1" si="93"/>
        <v>2.025452426673504E-2</v>
      </c>
      <c r="J862" s="17">
        <f t="shared" ca="1" si="96"/>
        <v>1</v>
      </c>
      <c r="K862" s="24">
        <f t="shared" ca="1" si="97"/>
        <v>0</v>
      </c>
      <c r="L862" s="17">
        <f t="shared" ca="1" si="98"/>
        <v>1</v>
      </c>
      <c r="N862" s="24" t="str">
        <f ca="1">IF(AND(L862=1,L861&lt;&gt;1),MAX($N$8:N861)+1,"")</f>
        <v/>
      </c>
      <c r="O862" s="24" t="str">
        <f ca="1">IF(AND(L862&lt;&gt;1,L861=1),MAX($O$8:O861)+1,"")</f>
        <v/>
      </c>
      <c r="P862" s="17" t="str">
        <f ca="1">IF(AND(L862=-1,L861&lt;&gt;-1),MAX($P$8:P861)+1,"")</f>
        <v/>
      </c>
      <c r="Q862" s="24" t="str">
        <f ca="1">IF(AND(L862&lt;&gt;-1,L861=-1),MAX($Q$8:Q861)+1,"")</f>
        <v/>
      </c>
    </row>
    <row r="863" spans="1:17" x14ac:dyDescent="0.3">
      <c r="A863" s="3">
        <v>41452</v>
      </c>
      <c r="B863" s="9">
        <v>10.060682</v>
      </c>
      <c r="C863" s="9">
        <v>8.8196890000000003</v>
      </c>
      <c r="E863" s="14">
        <f t="shared" si="95"/>
        <v>1.1407071156363904</v>
      </c>
      <c r="F863" s="18">
        <f t="shared" ca="1" si="94"/>
        <v>1.0157187169847719</v>
      </c>
      <c r="G863" s="15">
        <f t="shared" ref="G863:G926" ca="1" si="99">IF(ISNUMBER(E863),IF(ROW(E863)&gt;$J$1,AVERAGE(OFFSET(E863,0,0,-$J$1)),""),"")</f>
        <v>1.1206344261380699</v>
      </c>
      <c r="H863" s="15">
        <f t="shared" ref="H863:H926" ca="1" si="100">IF(ISNUMBER(E863),IF(ROW(E863)&gt;$J$1,_xlfn.STDEV.P(OFFSET(E863,0,0,-$J$1)),""),"")</f>
        <v>1.9762055343341151E-2</v>
      </c>
      <c r="J863" s="17">
        <f t="shared" ca="1" si="96"/>
        <v>1</v>
      </c>
      <c r="K863" s="24">
        <f t="shared" ca="1" si="97"/>
        <v>0</v>
      </c>
      <c r="L863" s="17">
        <f t="shared" ca="1" si="98"/>
        <v>1</v>
      </c>
      <c r="N863" s="24" t="str">
        <f ca="1">IF(AND(L863=1,L862&lt;&gt;1),MAX($N$8:N862)+1,"")</f>
        <v/>
      </c>
      <c r="O863" s="24" t="str">
        <f ca="1">IF(AND(L863&lt;&gt;1,L862=1),MAX($O$8:O862)+1,"")</f>
        <v/>
      </c>
      <c r="P863" s="17" t="str">
        <f ca="1">IF(AND(L863=-1,L862&lt;&gt;-1),MAX($P$8:P862)+1,"")</f>
        <v/>
      </c>
      <c r="Q863" s="24" t="str">
        <f ca="1">IF(AND(L863&lt;&gt;-1,L862=-1),MAX($Q$8:Q862)+1,"")</f>
        <v/>
      </c>
    </row>
    <row r="864" spans="1:17" x14ac:dyDescent="0.3">
      <c r="A864" s="3">
        <v>41453</v>
      </c>
      <c r="B864" s="9">
        <v>10.181082999999999</v>
      </c>
      <c r="C864" s="9">
        <v>8.9472339999999999</v>
      </c>
      <c r="E864" s="14">
        <f t="shared" si="95"/>
        <v>1.1379028423756437</v>
      </c>
      <c r="F864" s="18">
        <f t="shared" ca="1" si="94"/>
        <v>0.80237687825387305</v>
      </c>
      <c r="G864" s="15">
        <f t="shared" ca="1" si="99"/>
        <v>1.1229460437215435</v>
      </c>
      <c r="H864" s="15">
        <f t="shared" ca="1" si="100"/>
        <v>1.8640615226412104E-2</v>
      </c>
      <c r="J864" s="17">
        <f t="shared" ca="1" si="96"/>
        <v>1</v>
      </c>
      <c r="K864" s="24">
        <f t="shared" ca="1" si="97"/>
        <v>0</v>
      </c>
      <c r="L864" s="17">
        <f t="shared" ca="1" si="98"/>
        <v>1</v>
      </c>
      <c r="N864" s="24" t="str">
        <f ca="1">IF(AND(L864=1,L863&lt;&gt;1),MAX($N$8:N863)+1,"")</f>
        <v/>
      </c>
      <c r="O864" s="24" t="str">
        <f ca="1">IF(AND(L864&lt;&gt;1,L863=1),MAX($O$8:O863)+1,"")</f>
        <v/>
      </c>
      <c r="P864" s="17" t="str">
        <f ca="1">IF(AND(L864=-1,L863&lt;&gt;-1),MAX($P$8:P863)+1,"")</f>
        <v/>
      </c>
      <c r="Q864" s="24" t="str">
        <f ca="1">IF(AND(L864&lt;&gt;-1,L863=-1),MAX($Q$8:Q863)+1,"")</f>
        <v/>
      </c>
    </row>
    <row r="865" spans="1:17" x14ac:dyDescent="0.3">
      <c r="A865" s="3">
        <v>41456</v>
      </c>
      <c r="B865" s="9">
        <v>10.103092</v>
      </c>
      <c r="C865" s="9">
        <v>8.9628560000000004</v>
      </c>
      <c r="E865" s="14">
        <f t="shared" si="95"/>
        <v>1.1272179314272146</v>
      </c>
      <c r="F865" s="18">
        <f t="shared" ca="1" si="94"/>
        <v>0.13882188707188881</v>
      </c>
      <c r="G865" s="15">
        <f t="shared" ca="1" si="99"/>
        <v>1.1249154449353775</v>
      </c>
      <c r="H865" s="15">
        <f t="shared" ca="1" si="100"/>
        <v>1.6585903998299078E-2</v>
      </c>
      <c r="J865" s="17">
        <f t="shared" ca="1" si="96"/>
        <v>1</v>
      </c>
      <c r="K865" s="24">
        <f t="shared" ca="1" si="97"/>
        <v>0</v>
      </c>
      <c r="L865" s="17">
        <f t="shared" ca="1" si="98"/>
        <v>1</v>
      </c>
      <c r="N865" s="24" t="str">
        <f ca="1">IF(AND(L865=1,L864&lt;&gt;1),MAX($N$8:N864)+1,"")</f>
        <v/>
      </c>
      <c r="O865" s="24" t="str">
        <f ca="1">IF(AND(L865&lt;&gt;1,L864=1),MAX($O$8:O864)+1,"")</f>
        <v/>
      </c>
      <c r="P865" s="17" t="str">
        <f ca="1">IF(AND(L865=-1,L864&lt;&gt;-1),MAX($P$8:P864)+1,"")</f>
        <v/>
      </c>
      <c r="Q865" s="24" t="str">
        <f ca="1">IF(AND(L865&lt;&gt;-1,L864=-1),MAX($Q$8:Q864)+1,"")</f>
        <v/>
      </c>
    </row>
    <row r="866" spans="1:17" x14ac:dyDescent="0.3">
      <c r="A866" s="3">
        <v>41457</v>
      </c>
      <c r="B866" s="9">
        <v>9.6670479999999994</v>
      </c>
      <c r="C866" s="9">
        <v>8.5151590000000006</v>
      </c>
      <c r="E866" s="14">
        <f t="shared" si="95"/>
        <v>1.1352751017332734</v>
      </c>
      <c r="F866" s="18">
        <f t="shared" ca="1" si="94"/>
        <v>0.61156282308440468</v>
      </c>
      <c r="G866" s="15">
        <f t="shared" ca="1" si="99"/>
        <v>1.1277152492857265</v>
      </c>
      <c r="H866" s="15">
        <f t="shared" ca="1" si="100"/>
        <v>1.2361530430216318E-2</v>
      </c>
      <c r="J866" s="17">
        <f t="shared" ca="1" si="96"/>
        <v>1</v>
      </c>
      <c r="K866" s="24">
        <f t="shared" ca="1" si="97"/>
        <v>0</v>
      </c>
      <c r="L866" s="17">
        <f t="shared" ca="1" si="98"/>
        <v>1</v>
      </c>
      <c r="N866" s="24" t="str">
        <f ca="1">IF(AND(L866=1,L865&lt;&gt;1),MAX($N$8:N865)+1,"")</f>
        <v/>
      </c>
      <c r="O866" s="24" t="str">
        <f ca="1">IF(AND(L866&lt;&gt;1,L865=1),MAX($O$8:O865)+1,"")</f>
        <v/>
      </c>
      <c r="P866" s="17" t="str">
        <f ca="1">IF(AND(L866=-1,L865&lt;&gt;-1),MAX($P$8:P865)+1,"")</f>
        <v/>
      </c>
      <c r="Q866" s="24" t="str">
        <f ca="1">IF(AND(L866&lt;&gt;-1,L865=-1),MAX($Q$8:Q865)+1,"")</f>
        <v/>
      </c>
    </row>
    <row r="867" spans="1:17" x14ac:dyDescent="0.3">
      <c r="A867" s="3">
        <v>41458</v>
      </c>
      <c r="B867" s="9">
        <v>9.5571359999999999</v>
      </c>
      <c r="C867" s="9">
        <v>8.4465559999999993</v>
      </c>
      <c r="E867" s="14">
        <f t="shared" si="95"/>
        <v>1.1314831749176826</v>
      </c>
      <c r="F867" s="18">
        <f t="shared" ca="1" si="94"/>
        <v>0.21269969224877694</v>
      </c>
      <c r="G867" s="15">
        <f t="shared" ca="1" si="99"/>
        <v>1.1292509973290104</v>
      </c>
      <c r="H867" s="15">
        <f t="shared" ca="1" si="100"/>
        <v>1.0494503142305602E-2</v>
      </c>
      <c r="J867" s="17">
        <f t="shared" ca="1" si="96"/>
        <v>1</v>
      </c>
      <c r="K867" s="24">
        <f t="shared" ca="1" si="97"/>
        <v>0</v>
      </c>
      <c r="L867" s="17">
        <f t="shared" ca="1" si="98"/>
        <v>1</v>
      </c>
      <c r="N867" s="24" t="str">
        <f ca="1">IF(AND(L867=1,L866&lt;&gt;1),MAX($N$8:N866)+1,"")</f>
        <v/>
      </c>
      <c r="O867" s="24" t="str">
        <f ca="1">IF(AND(L867&lt;&gt;1,L866=1),MAX($O$8:O866)+1,"")</f>
        <v/>
      </c>
      <c r="P867" s="17" t="str">
        <f ca="1">IF(AND(L867=-1,L866&lt;&gt;-1),MAX($P$8:P866)+1,"")</f>
        <v/>
      </c>
      <c r="Q867" s="24" t="str">
        <f ca="1">IF(AND(L867&lt;&gt;-1,L866=-1),MAX($Q$8:Q866)+1,"")</f>
        <v/>
      </c>
    </row>
    <row r="868" spans="1:17" x14ac:dyDescent="0.3">
      <c r="A868" s="3">
        <v>41459</v>
      </c>
      <c r="B868" s="9">
        <v>9.6776700000000009</v>
      </c>
      <c r="C868" s="9">
        <v>8.4341360000000005</v>
      </c>
      <c r="E868" s="14">
        <f t="shared" si="95"/>
        <v>1.1474405914251324</v>
      </c>
      <c r="F868" s="18">
        <f t="shared" ca="1" si="94"/>
        <v>1.5583050688202262</v>
      </c>
      <c r="G868" s="15">
        <f t="shared" ca="1" si="99"/>
        <v>1.1306439138190618</v>
      </c>
      <c r="H868" s="15">
        <f t="shared" ca="1" si="100"/>
        <v>1.077881214798793E-2</v>
      </c>
      <c r="J868" s="17">
        <f t="shared" ca="1" si="96"/>
        <v>1</v>
      </c>
      <c r="K868" s="24">
        <f t="shared" ca="1" si="97"/>
        <v>0</v>
      </c>
      <c r="L868" s="17">
        <f t="shared" ca="1" si="98"/>
        <v>1</v>
      </c>
      <c r="N868" s="24" t="str">
        <f ca="1">IF(AND(L868=1,L867&lt;&gt;1),MAX($N$8:N867)+1,"")</f>
        <v/>
      </c>
      <c r="O868" s="24" t="str">
        <f ca="1">IF(AND(L868&lt;&gt;1,L867=1),MAX($O$8:O867)+1,"")</f>
        <v/>
      </c>
      <c r="P868" s="17" t="str">
        <f ca="1">IF(AND(L868=-1,L867&lt;&gt;-1),MAX($P$8:P867)+1,"")</f>
        <v/>
      </c>
      <c r="Q868" s="24" t="str">
        <f ca="1">IF(AND(L868&lt;&gt;-1,L867=-1),MAX($Q$8:Q867)+1,"")</f>
        <v/>
      </c>
    </row>
    <row r="869" spans="1:17" x14ac:dyDescent="0.3">
      <c r="A869" s="3">
        <v>41460</v>
      </c>
      <c r="B869" s="9">
        <v>9.5004489999999997</v>
      </c>
      <c r="C869" s="9">
        <v>8.1411230000000003</v>
      </c>
      <c r="E869" s="14">
        <f t="shared" si="95"/>
        <v>1.1669703307516666</v>
      </c>
      <c r="F869" s="18">
        <f t="shared" ca="1" si="94"/>
        <v>2.7631814666361918</v>
      </c>
      <c r="G869" s="15">
        <f t="shared" ca="1" si="99"/>
        <v>1.1332600842399281</v>
      </c>
      <c r="H869" s="15">
        <f t="shared" ca="1" si="100"/>
        <v>1.219979466378524E-2</v>
      </c>
      <c r="J869" s="17">
        <f t="shared" ca="1" si="96"/>
        <v>1</v>
      </c>
      <c r="K869" s="24">
        <f t="shared" ca="1" si="97"/>
        <v>0</v>
      </c>
      <c r="L869" s="17">
        <f t="shared" ca="1" si="98"/>
        <v>1</v>
      </c>
      <c r="N869" s="24" t="str">
        <f ca="1">IF(AND(L869=1,L868&lt;&gt;1),MAX($N$8:N868)+1,"")</f>
        <v/>
      </c>
      <c r="O869" s="24" t="str">
        <f ca="1">IF(AND(L869&lt;&gt;1,L868=1),MAX($O$8:O868)+1,"")</f>
        <v/>
      </c>
      <c r="P869" s="17" t="str">
        <f ca="1">IF(AND(L869=-1,L868&lt;&gt;-1),MAX($P$8:P868)+1,"")</f>
        <v/>
      </c>
      <c r="Q869" s="24" t="str">
        <f ca="1">IF(AND(L869&lt;&gt;-1,L868=-1),MAX($Q$8:Q868)+1,"")</f>
        <v/>
      </c>
    </row>
    <row r="870" spans="1:17" x14ac:dyDescent="0.3">
      <c r="A870" s="3">
        <v>41463</v>
      </c>
      <c r="B870" s="9">
        <v>9.5323650000000004</v>
      </c>
      <c r="C870" s="9">
        <v>8.1473700000000004</v>
      </c>
      <c r="E870" s="14">
        <f t="shared" si="95"/>
        <v>1.1699928934122299</v>
      </c>
      <c r="F870" s="18">
        <f t="shared" ca="1" si="94"/>
        <v>2.4607713506660756</v>
      </c>
      <c r="G870" s="15">
        <f t="shared" ca="1" si="99"/>
        <v>1.1355760490786784</v>
      </c>
      <c r="H870" s="15">
        <f t="shared" ca="1" si="100"/>
        <v>1.3986201653491966E-2</v>
      </c>
      <c r="J870" s="17">
        <f t="shared" ca="1" si="96"/>
        <v>1</v>
      </c>
      <c r="K870" s="24">
        <f t="shared" ca="1" si="97"/>
        <v>0</v>
      </c>
      <c r="L870" s="17">
        <f t="shared" ca="1" si="98"/>
        <v>1</v>
      </c>
      <c r="N870" s="24" t="str">
        <f ca="1">IF(AND(L870=1,L869&lt;&gt;1),MAX($N$8:N869)+1,"")</f>
        <v/>
      </c>
      <c r="O870" s="24" t="str">
        <f ca="1">IF(AND(L870&lt;&gt;1,L869=1),MAX($O$8:O869)+1,"")</f>
        <v/>
      </c>
      <c r="P870" s="17" t="str">
        <f ca="1">IF(AND(L870=-1,L869&lt;&gt;-1),MAX($P$8:P869)+1,"")</f>
        <v/>
      </c>
      <c r="Q870" s="24" t="str">
        <f ca="1">IF(AND(L870&lt;&gt;-1,L869=-1),MAX($Q$8:Q869)+1,"")</f>
        <v/>
      </c>
    </row>
    <row r="871" spans="1:17" x14ac:dyDescent="0.3">
      <c r="A871" s="3">
        <v>41465</v>
      </c>
      <c r="B871" s="9">
        <v>9.5678280000000004</v>
      </c>
      <c r="C871" s="9">
        <v>8.1442800000000002</v>
      </c>
      <c r="E871" s="14">
        <f t="shared" si="95"/>
        <v>1.1747911417583876</v>
      </c>
      <c r="F871" s="18">
        <f t="shared" ca="1" si="94"/>
        <v>2.3220039408064359</v>
      </c>
      <c r="G871" s="15">
        <f t="shared" ca="1" si="99"/>
        <v>1.1371867714734587</v>
      </c>
      <c r="H871" s="15">
        <f t="shared" ca="1" si="100"/>
        <v>1.6194791758996262E-2</v>
      </c>
      <c r="J871" s="17">
        <f t="shared" ca="1" si="96"/>
        <v>1</v>
      </c>
      <c r="K871" s="24">
        <f t="shared" ca="1" si="97"/>
        <v>0</v>
      </c>
      <c r="L871" s="17">
        <f t="shared" ca="1" si="98"/>
        <v>1</v>
      </c>
      <c r="N871" s="24" t="str">
        <f ca="1">IF(AND(L871=1,L870&lt;&gt;1),MAX($N$8:N870)+1,"")</f>
        <v/>
      </c>
      <c r="O871" s="24" t="str">
        <f ca="1">IF(AND(L871&lt;&gt;1,L870=1),MAX($O$8:O870)+1,"")</f>
        <v/>
      </c>
      <c r="P871" s="17" t="str">
        <f ca="1">IF(AND(L871=-1,L870&lt;&gt;-1),MAX($P$8:P870)+1,"")</f>
        <v/>
      </c>
      <c r="Q871" s="24" t="str">
        <f ca="1">IF(AND(L871&lt;&gt;-1,L870=-1),MAX($Q$8:Q870)+1,"")</f>
        <v/>
      </c>
    </row>
    <row r="872" spans="1:17" x14ac:dyDescent="0.3">
      <c r="A872" s="3">
        <v>41466</v>
      </c>
      <c r="B872" s="9">
        <v>9.8088800000000003</v>
      </c>
      <c r="C872" s="9">
        <v>8.5307320000000004</v>
      </c>
      <c r="E872" s="14">
        <f t="shared" si="95"/>
        <v>1.1498286430754125</v>
      </c>
      <c r="F872" s="18">
        <f t="shared" ca="1" si="94"/>
        <v>0.70746368913931501</v>
      </c>
      <c r="G872" s="15">
        <f t="shared" ca="1" si="99"/>
        <v>1.1388327093854096</v>
      </c>
      <c r="H872" s="15">
        <f t="shared" ca="1" si="100"/>
        <v>1.5542753442767319E-2</v>
      </c>
      <c r="J872" s="17">
        <f t="shared" ca="1" si="96"/>
        <v>1</v>
      </c>
      <c r="K872" s="24">
        <f t="shared" ca="1" si="97"/>
        <v>0</v>
      </c>
      <c r="L872" s="17">
        <f t="shared" ca="1" si="98"/>
        <v>1</v>
      </c>
      <c r="N872" s="24" t="str">
        <f ca="1">IF(AND(L872=1,L871&lt;&gt;1),MAX($N$8:N871)+1,"")</f>
        <v/>
      </c>
      <c r="O872" s="24" t="str">
        <f ca="1">IF(AND(L872&lt;&gt;1,L871=1),MAX($O$8:O871)+1,"")</f>
        <v/>
      </c>
      <c r="P872" s="17" t="str">
        <f ca="1">IF(AND(L872=-1,L871&lt;&gt;-1),MAX($P$8:P871)+1,"")</f>
        <v/>
      </c>
      <c r="Q872" s="24" t="str">
        <f ca="1">IF(AND(L872&lt;&gt;-1,L871=-1),MAX($Q$8:Q871)+1,"")</f>
        <v/>
      </c>
    </row>
    <row r="873" spans="1:17" x14ac:dyDescent="0.3">
      <c r="A873" s="3">
        <v>41467</v>
      </c>
      <c r="B873" s="9">
        <v>9.7060510000000004</v>
      </c>
      <c r="C873" s="9">
        <v>8.5089140000000008</v>
      </c>
      <c r="E873" s="14">
        <f t="shared" si="95"/>
        <v>1.1406921024234113</v>
      </c>
      <c r="F873" s="18">
        <f t="shared" ca="1" si="94"/>
        <v>6.149063772486292E-2</v>
      </c>
      <c r="G873" s="15">
        <f t="shared" ca="1" si="99"/>
        <v>1.1397700392790553</v>
      </c>
      <c r="H873" s="15">
        <f t="shared" ca="1" si="100"/>
        <v>1.4995179404087261E-2</v>
      </c>
      <c r="J873" s="17">
        <f t="shared" ca="1" si="96"/>
        <v>1</v>
      </c>
      <c r="K873" s="24">
        <f t="shared" ca="1" si="97"/>
        <v>0</v>
      </c>
      <c r="L873" s="17">
        <f t="shared" ca="1" si="98"/>
        <v>1</v>
      </c>
      <c r="N873" s="24" t="str">
        <f ca="1">IF(AND(L873=1,L872&lt;&gt;1),MAX($N$8:N872)+1,"")</f>
        <v/>
      </c>
      <c r="O873" s="24" t="str">
        <f ca="1">IF(AND(L873&lt;&gt;1,L872=1),MAX($O$8:O872)+1,"")</f>
        <v/>
      </c>
      <c r="P873" s="17" t="str">
        <f ca="1">IF(AND(L873=-1,L872&lt;&gt;-1),MAX($P$8:P872)+1,"")</f>
        <v/>
      </c>
      <c r="Q873" s="24" t="str">
        <f ca="1">IF(AND(L873&lt;&gt;-1,L872=-1),MAX($Q$8:Q872)+1,"")</f>
        <v/>
      </c>
    </row>
    <row r="874" spans="1:17" x14ac:dyDescent="0.3">
      <c r="A874" s="3">
        <v>41470</v>
      </c>
      <c r="B874" s="9">
        <v>9.8832649999999997</v>
      </c>
      <c r="C874" s="9">
        <v>8.7364110000000004</v>
      </c>
      <c r="E874" s="14">
        <f t="shared" si="95"/>
        <v>1.1312728991344385</v>
      </c>
      <c r="F874" s="18">
        <f t="shared" ca="1" si="94"/>
        <v>-0.61500821217679125</v>
      </c>
      <c r="G874" s="15">
        <f t="shared" ca="1" si="99"/>
        <v>1.1402306651972201</v>
      </c>
      <c r="H874" s="15">
        <f t="shared" ca="1" si="100"/>
        <v>1.4565278780710853E-2</v>
      </c>
      <c r="J874" s="17">
        <f t="shared" ca="1" si="96"/>
        <v>0</v>
      </c>
      <c r="K874" s="24">
        <f t="shared" ca="1" si="97"/>
        <v>0</v>
      </c>
      <c r="L874" s="17">
        <f t="shared" ca="1" si="98"/>
        <v>0</v>
      </c>
      <c r="N874" s="24" t="str">
        <f ca="1">IF(AND(L874=1,L873&lt;&gt;1),MAX($N$8:N873)+1,"")</f>
        <v/>
      </c>
      <c r="O874" s="24">
        <f ca="1">IF(AND(L874&lt;&gt;1,L873=1),MAX($O$8:O873)+1,"")</f>
        <v>25</v>
      </c>
      <c r="P874" s="17" t="str">
        <f ca="1">IF(AND(L874=-1,L873&lt;&gt;-1),MAX($P$8:P873)+1,"")</f>
        <v/>
      </c>
      <c r="Q874" s="24" t="str">
        <f ca="1">IF(AND(L874&lt;&gt;-1,L873=-1),MAX($Q$8:Q873)+1,"")</f>
        <v/>
      </c>
    </row>
    <row r="875" spans="1:17" x14ac:dyDescent="0.3">
      <c r="A875" s="3">
        <v>41471</v>
      </c>
      <c r="B875" s="9">
        <v>9.9400259999999996</v>
      </c>
      <c r="C875" s="9">
        <v>8.7052610000000001</v>
      </c>
      <c r="E875" s="14">
        <f t="shared" si="95"/>
        <v>1.1418412383040555</v>
      </c>
      <c r="F875" s="18">
        <f t="shared" ca="1" si="94"/>
        <v>8.569744159943829E-2</v>
      </c>
      <c r="G875" s="15">
        <f t="shared" ca="1" si="99"/>
        <v>1.1405987223543173</v>
      </c>
      <c r="H875" s="15">
        <f t="shared" ca="1" si="100"/>
        <v>1.4498868654048317E-2</v>
      </c>
      <c r="J875" s="17">
        <f t="shared" ca="1" si="96"/>
        <v>0</v>
      </c>
      <c r="K875" s="24">
        <f t="shared" ca="1" si="97"/>
        <v>0</v>
      </c>
      <c r="L875" s="17">
        <f t="shared" ca="1" si="98"/>
        <v>0</v>
      </c>
      <c r="N875" s="24" t="str">
        <f ca="1">IF(AND(L875=1,L874&lt;&gt;1),MAX($N$8:N874)+1,"")</f>
        <v/>
      </c>
      <c r="O875" s="24" t="str">
        <f ca="1">IF(AND(L875&lt;&gt;1,L874=1),MAX($O$8:O874)+1,"")</f>
        <v/>
      </c>
      <c r="P875" s="17" t="str">
        <f ca="1">IF(AND(L875=-1,L874&lt;&gt;-1),MAX($P$8:P874)+1,"")</f>
        <v/>
      </c>
      <c r="Q875" s="24" t="str">
        <f ca="1">IF(AND(L875&lt;&gt;-1,L874=-1),MAX($Q$8:Q874)+1,"")</f>
        <v/>
      </c>
    </row>
    <row r="876" spans="1:17" x14ac:dyDescent="0.3">
      <c r="A876" s="3">
        <v>41472</v>
      </c>
      <c r="B876" s="9">
        <v>10.067636</v>
      </c>
      <c r="C876" s="9">
        <v>8.9140969999999999</v>
      </c>
      <c r="E876" s="14">
        <f t="shared" si="95"/>
        <v>1.1294061529732065</v>
      </c>
      <c r="F876" s="18">
        <f t="shared" ca="1" si="94"/>
        <v>-0.77763714084220092</v>
      </c>
      <c r="G876" s="15">
        <f t="shared" ca="1" si="99"/>
        <v>1.1406491356750283</v>
      </c>
      <c r="H876" s="15">
        <f t="shared" ca="1" si="100"/>
        <v>1.4457877731567004E-2</v>
      </c>
      <c r="J876" s="17">
        <f t="shared" ca="1" si="96"/>
        <v>0</v>
      </c>
      <c r="K876" s="24">
        <f t="shared" ca="1" si="97"/>
        <v>0</v>
      </c>
      <c r="L876" s="17">
        <f t="shared" ca="1" si="98"/>
        <v>0</v>
      </c>
      <c r="N876" s="24" t="str">
        <f ca="1">IF(AND(L876=1,L875&lt;&gt;1),MAX($N$8:N875)+1,"")</f>
        <v/>
      </c>
      <c r="O876" s="24" t="str">
        <f ca="1">IF(AND(L876&lt;&gt;1,L875=1),MAX($O$8:O875)+1,"")</f>
        <v/>
      </c>
      <c r="P876" s="17" t="str">
        <f ca="1">IF(AND(L876=-1,L875&lt;&gt;-1),MAX($P$8:P875)+1,"")</f>
        <v/>
      </c>
      <c r="Q876" s="24" t="str">
        <f ca="1">IF(AND(L876&lt;&gt;-1,L875=-1),MAX($Q$8:Q875)+1,"")</f>
        <v/>
      </c>
    </row>
    <row r="877" spans="1:17" x14ac:dyDescent="0.3">
      <c r="A877" s="3">
        <v>41473</v>
      </c>
      <c r="B877" s="9">
        <v>10.081791000000001</v>
      </c>
      <c r="C877" s="9">
        <v>8.7956810000000001</v>
      </c>
      <c r="E877" s="14">
        <f t="shared" si="95"/>
        <v>1.1462206280559744</v>
      </c>
      <c r="F877" s="18">
        <f t="shared" ca="1" si="94"/>
        <v>0.33581026574318035</v>
      </c>
      <c r="G877" s="15">
        <f t="shared" ca="1" si="99"/>
        <v>1.1414268169305872</v>
      </c>
      <c r="H877" s="15">
        <f t="shared" ca="1" si="100"/>
        <v>1.4275356099605717E-2</v>
      </c>
      <c r="J877" s="17">
        <f t="shared" ca="1" si="96"/>
        <v>0</v>
      </c>
      <c r="K877" s="24">
        <f t="shared" ca="1" si="97"/>
        <v>0</v>
      </c>
      <c r="L877" s="17">
        <f t="shared" ca="1" si="98"/>
        <v>0</v>
      </c>
      <c r="N877" s="24" t="str">
        <f ca="1">IF(AND(L877=1,L876&lt;&gt;1),MAX($N$8:N876)+1,"")</f>
        <v/>
      </c>
      <c r="O877" s="24" t="str">
        <f ca="1">IF(AND(L877&lt;&gt;1,L876=1),MAX($O$8:O876)+1,"")</f>
        <v/>
      </c>
      <c r="P877" s="17" t="str">
        <f ca="1">IF(AND(L877=-1,L876&lt;&gt;-1),MAX($P$8:P876)+1,"")</f>
        <v/>
      </c>
      <c r="Q877" s="24" t="str">
        <f ca="1">IF(AND(L877&lt;&gt;-1,L876=-1),MAX($Q$8:Q876)+1,"")</f>
        <v/>
      </c>
    </row>
    <row r="878" spans="1:17" x14ac:dyDescent="0.3">
      <c r="A878" s="3">
        <v>41474</v>
      </c>
      <c r="B878" s="9">
        <v>10.085324999999999</v>
      </c>
      <c r="C878" s="9">
        <v>8.6553900000000006</v>
      </c>
      <c r="E878" s="14">
        <f t="shared" si="95"/>
        <v>1.1652074603224116</v>
      </c>
      <c r="F878" s="18">
        <f t="shared" ca="1" si="94"/>
        <v>1.4915372310090615</v>
      </c>
      <c r="G878" s="15">
        <f t="shared" ca="1" si="99"/>
        <v>1.1430008264483908</v>
      </c>
      <c r="H878" s="15">
        <f t="shared" ca="1" si="100"/>
        <v>1.4888420759700005E-2</v>
      </c>
      <c r="J878" s="17">
        <f t="shared" ca="1" si="96"/>
        <v>1</v>
      </c>
      <c r="K878" s="24">
        <f t="shared" ca="1" si="97"/>
        <v>0</v>
      </c>
      <c r="L878" s="17">
        <f t="shared" ca="1" si="98"/>
        <v>1</v>
      </c>
      <c r="N878" s="24">
        <f ca="1">IF(AND(L878=1,L877&lt;&gt;1),MAX($N$8:N877)+1,"")</f>
        <v>26</v>
      </c>
      <c r="O878" s="24" t="str">
        <f ca="1">IF(AND(L878&lt;&gt;1,L877=1),MAX($O$8:O877)+1,"")</f>
        <v/>
      </c>
      <c r="P878" s="17" t="str">
        <f ca="1">IF(AND(L878=-1,L877&lt;&gt;-1),MAX($P$8:P877)+1,"")</f>
        <v/>
      </c>
      <c r="Q878" s="24" t="str">
        <f ca="1">IF(AND(L878&lt;&gt;-1,L877=-1),MAX($Q$8:Q877)+1,"")</f>
        <v/>
      </c>
    </row>
    <row r="879" spans="1:17" x14ac:dyDescent="0.3">
      <c r="A879" s="3">
        <v>41477</v>
      </c>
      <c r="B879" s="9">
        <v>10.251929000000001</v>
      </c>
      <c r="C879" s="9">
        <v>8.9733070000000001</v>
      </c>
      <c r="E879" s="14">
        <f t="shared" si="95"/>
        <v>1.1424917257372338</v>
      </c>
      <c r="F879" s="18">
        <f t="shared" ca="1" si="94"/>
        <v>-3.7405675572725436E-2</v>
      </c>
      <c r="G879" s="15">
        <f t="shared" ca="1" si="99"/>
        <v>1.1430485104735555</v>
      </c>
      <c r="H879" s="15">
        <f t="shared" ca="1" si="100"/>
        <v>1.4885033562331527E-2</v>
      </c>
      <c r="J879" s="17">
        <f t="shared" ca="1" si="96"/>
        <v>0</v>
      </c>
      <c r="K879" s="24">
        <f t="shared" ca="1" si="97"/>
        <v>0</v>
      </c>
      <c r="L879" s="17">
        <f t="shared" ca="1" si="98"/>
        <v>0</v>
      </c>
      <c r="N879" s="24" t="str">
        <f ca="1">IF(AND(L879=1,L878&lt;&gt;1),MAX($N$8:N878)+1,"")</f>
        <v/>
      </c>
      <c r="O879" s="24">
        <f ca="1">IF(AND(L879&lt;&gt;1,L878=1),MAX($O$8:O878)+1,"")</f>
        <v>26</v>
      </c>
      <c r="P879" s="17" t="str">
        <f ca="1">IF(AND(L879=-1,L878&lt;&gt;-1),MAX($P$8:P878)+1,"")</f>
        <v/>
      </c>
      <c r="Q879" s="24" t="str">
        <f ca="1">IF(AND(L879&lt;&gt;-1,L878=-1),MAX($Q$8:Q878)+1,"")</f>
        <v/>
      </c>
    </row>
    <row r="880" spans="1:17" x14ac:dyDescent="0.3">
      <c r="A880" s="3">
        <v>41478</v>
      </c>
      <c r="B880" s="9">
        <v>10.390229</v>
      </c>
      <c r="C880" s="9">
        <v>9.1011109999999995</v>
      </c>
      <c r="E880" s="14">
        <f t="shared" si="95"/>
        <v>1.1416440256579663</v>
      </c>
      <c r="F880" s="18">
        <f t="shared" ca="1" si="94"/>
        <v>-6.3160206262193153E-2</v>
      </c>
      <c r="G880" s="15">
        <f t="shared" ca="1" si="99"/>
        <v>1.1425760559551723</v>
      </c>
      <c r="H880" s="15">
        <f t="shared" ca="1" si="100"/>
        <v>1.4756606293160744E-2</v>
      </c>
      <c r="J880" s="17">
        <f t="shared" ca="1" si="96"/>
        <v>0</v>
      </c>
      <c r="K880" s="24">
        <f t="shared" ca="1" si="97"/>
        <v>0</v>
      </c>
      <c r="L880" s="17">
        <f t="shared" ca="1" si="98"/>
        <v>0</v>
      </c>
      <c r="N880" s="24" t="str">
        <f ca="1">IF(AND(L880=1,L879&lt;&gt;1),MAX($N$8:N879)+1,"")</f>
        <v/>
      </c>
      <c r="O880" s="24" t="str">
        <f ca="1">IF(AND(L880&lt;&gt;1,L879=1),MAX($O$8:O879)+1,"")</f>
        <v/>
      </c>
      <c r="P880" s="17" t="str">
        <f ca="1">IF(AND(L880=-1,L879&lt;&gt;-1),MAX($P$8:P879)+1,"")</f>
        <v/>
      </c>
      <c r="Q880" s="24" t="str">
        <f ca="1">IF(AND(L880&lt;&gt;-1,L879=-1),MAX($Q$8:Q879)+1,"")</f>
        <v/>
      </c>
    </row>
    <row r="881" spans="1:17" x14ac:dyDescent="0.3">
      <c r="A881" s="3">
        <v>41479</v>
      </c>
      <c r="B881" s="9">
        <v>10.266159999999999</v>
      </c>
      <c r="C881" s="9">
        <v>8.96706</v>
      </c>
      <c r="E881" s="14">
        <f t="shared" si="95"/>
        <v>1.1448746857944521</v>
      </c>
      <c r="F881" s="18">
        <f t="shared" ca="1" si="94"/>
        <v>0.15399405672352129</v>
      </c>
      <c r="G881" s="15">
        <f t="shared" ca="1" si="99"/>
        <v>1.1426017196229024</v>
      </c>
      <c r="H881" s="15">
        <f t="shared" ca="1" si="100"/>
        <v>1.476009022627774E-2</v>
      </c>
      <c r="J881" s="17">
        <f t="shared" ca="1" si="96"/>
        <v>0</v>
      </c>
      <c r="K881" s="24">
        <f t="shared" ca="1" si="97"/>
        <v>0</v>
      </c>
      <c r="L881" s="17">
        <f t="shared" ca="1" si="98"/>
        <v>0</v>
      </c>
      <c r="N881" s="24" t="str">
        <f ca="1">IF(AND(L881=1,L880&lt;&gt;1),MAX($N$8:N880)+1,"")</f>
        <v/>
      </c>
      <c r="O881" s="24" t="str">
        <f ca="1">IF(AND(L881&lt;&gt;1,L880=1),MAX($O$8:O880)+1,"")</f>
        <v/>
      </c>
      <c r="P881" s="17" t="str">
        <f ca="1">IF(AND(L881=-1,L880&lt;&gt;-1),MAX($P$8:P880)+1,"")</f>
        <v/>
      </c>
      <c r="Q881" s="24" t="str">
        <f ca="1">IF(AND(L881&lt;&gt;-1,L880=-1),MAX($Q$8:Q880)+1,"")</f>
        <v/>
      </c>
    </row>
    <row r="882" spans="1:17" x14ac:dyDescent="0.3">
      <c r="A882" s="3">
        <v>41480</v>
      </c>
      <c r="B882" s="9">
        <v>10.28031</v>
      </c>
      <c r="C882" s="9">
        <v>8.9857890000000005</v>
      </c>
      <c r="E882" s="14">
        <f t="shared" si="95"/>
        <v>1.1440631423684664</v>
      </c>
      <c r="F882" s="18">
        <f t="shared" ca="1" si="94"/>
        <v>4.9789017803271093E-2</v>
      </c>
      <c r="G882" s="15">
        <f t="shared" ca="1" si="99"/>
        <v>1.143346310110867</v>
      </c>
      <c r="H882" s="15">
        <f t="shared" ca="1" si="100"/>
        <v>1.4397397041086982E-2</v>
      </c>
      <c r="J882" s="17">
        <f t="shared" ca="1" si="96"/>
        <v>0</v>
      </c>
      <c r="K882" s="24">
        <f t="shared" ca="1" si="97"/>
        <v>0</v>
      </c>
      <c r="L882" s="17">
        <f t="shared" ca="1" si="98"/>
        <v>0</v>
      </c>
      <c r="N882" s="24" t="str">
        <f ca="1">IF(AND(L882=1,L881&lt;&gt;1),MAX($N$8:N881)+1,"")</f>
        <v/>
      </c>
      <c r="O882" s="24" t="str">
        <f ca="1">IF(AND(L882&lt;&gt;1,L881=1),MAX($O$8:O881)+1,"")</f>
        <v/>
      </c>
      <c r="P882" s="17" t="str">
        <f ca="1">IF(AND(L882=-1,L881&lt;&gt;-1),MAX($P$8:P881)+1,"")</f>
        <v/>
      </c>
      <c r="Q882" s="24" t="str">
        <f ca="1">IF(AND(L882&lt;&gt;-1,L881=-1),MAX($Q$8:Q881)+1,"")</f>
        <v/>
      </c>
    </row>
    <row r="883" spans="1:17" x14ac:dyDescent="0.3">
      <c r="A883" s="3">
        <v>41481</v>
      </c>
      <c r="B883" s="9">
        <v>10.28031</v>
      </c>
      <c r="C883" s="9">
        <v>9.8843309999999995</v>
      </c>
      <c r="E883" s="14">
        <f t="shared" si="95"/>
        <v>1.0400612848760327</v>
      </c>
      <c r="F883" s="18">
        <f t="shared" ca="1" si="94"/>
        <v>-3.8767036492986602</v>
      </c>
      <c r="G883" s="15">
        <f t="shared" ca="1" si="99"/>
        <v>1.1395807828886679</v>
      </c>
      <c r="H883" s="15">
        <f t="shared" ca="1" si="100"/>
        <v>2.5671164735700001E-2</v>
      </c>
      <c r="J883" s="17">
        <f t="shared" ca="1" si="96"/>
        <v>0</v>
      </c>
      <c r="K883" s="24">
        <f t="shared" ca="1" si="97"/>
        <v>-1</v>
      </c>
      <c r="L883" s="17">
        <f t="shared" ca="1" si="98"/>
        <v>-1</v>
      </c>
      <c r="N883" s="24" t="str">
        <f ca="1">IF(AND(L883=1,L882&lt;&gt;1),MAX($N$8:N882)+1,"")</f>
        <v/>
      </c>
      <c r="O883" s="24" t="str">
        <f ca="1">IF(AND(L883&lt;&gt;1,L882=1),MAX($O$8:O882)+1,"")</f>
        <v/>
      </c>
      <c r="P883" s="17">
        <f ca="1">IF(AND(L883=-1,L882&lt;&gt;-1),MAX($P$8:P882)+1,"")</f>
        <v>36</v>
      </c>
      <c r="Q883" s="24" t="str">
        <f ca="1">IF(AND(L883&lt;&gt;-1,L882=-1),MAX($Q$8:Q882)+1,"")</f>
        <v/>
      </c>
    </row>
    <row r="884" spans="1:17" x14ac:dyDescent="0.3">
      <c r="A884" s="3">
        <v>41484</v>
      </c>
      <c r="B884" s="9">
        <v>10.276775000000001</v>
      </c>
      <c r="C884" s="9">
        <v>8.8080999999999996</v>
      </c>
      <c r="E884" s="14">
        <f t="shared" si="95"/>
        <v>1.166741408476289</v>
      </c>
      <c r="F884" s="18">
        <f t="shared" ca="1" si="94"/>
        <v>0.96732431066985514</v>
      </c>
      <c r="G884" s="15">
        <f t="shared" ca="1" si="99"/>
        <v>1.1416421145744076</v>
      </c>
      <c r="H884" s="15">
        <f t="shared" ca="1" si="100"/>
        <v>2.594713440469687E-2</v>
      </c>
      <c r="J884" s="17">
        <f t="shared" ca="1" si="96"/>
        <v>0</v>
      </c>
      <c r="K884" s="24">
        <f t="shared" ca="1" si="97"/>
        <v>0</v>
      </c>
      <c r="L884" s="17">
        <f t="shared" ca="1" si="98"/>
        <v>0</v>
      </c>
      <c r="N884" s="24" t="str">
        <f ca="1">IF(AND(L884=1,L883&lt;&gt;1),MAX($N$8:N883)+1,"")</f>
        <v/>
      </c>
      <c r="O884" s="24" t="str">
        <f ca="1">IF(AND(L884&lt;&gt;1,L883=1),MAX($O$8:O883)+1,"")</f>
        <v/>
      </c>
      <c r="P884" s="17" t="str">
        <f ca="1">IF(AND(L884=-1,L883&lt;&gt;-1),MAX($P$8:P883)+1,"")</f>
        <v/>
      </c>
      <c r="Q884" s="24">
        <f ca="1">IF(AND(L884&lt;&gt;-1,L883=-1),MAX($Q$8:Q883)+1,"")</f>
        <v>36</v>
      </c>
    </row>
    <row r="885" spans="1:17" x14ac:dyDescent="0.3">
      <c r="A885" s="3">
        <v>41485</v>
      </c>
      <c r="B885" s="9">
        <v>10.358302</v>
      </c>
      <c r="C885" s="9">
        <v>8.7738659999999999</v>
      </c>
      <c r="E885" s="14">
        <f t="shared" si="95"/>
        <v>1.1805858443700872</v>
      </c>
      <c r="F885" s="18">
        <f t="shared" ca="1" si="94"/>
        <v>1.3660126511454613</v>
      </c>
      <c r="G885" s="15">
        <f t="shared" ca="1" si="99"/>
        <v>1.1434547840623031</v>
      </c>
      <c r="H885" s="15">
        <f t="shared" ca="1" si="100"/>
        <v>2.7182076444642083E-2</v>
      </c>
      <c r="J885" s="17">
        <f t="shared" ca="1" si="96"/>
        <v>1</v>
      </c>
      <c r="K885" s="24">
        <f t="shared" ca="1" si="97"/>
        <v>0</v>
      </c>
      <c r="L885" s="17">
        <f t="shared" ca="1" si="98"/>
        <v>1</v>
      </c>
      <c r="N885" s="24">
        <f ca="1">IF(AND(L885=1,L884&lt;&gt;1),MAX($N$8:N884)+1,"")</f>
        <v>27</v>
      </c>
      <c r="O885" s="24" t="str">
        <f ca="1">IF(AND(L885&lt;&gt;1,L884=1),MAX($O$8:O884)+1,"")</f>
        <v/>
      </c>
      <c r="P885" s="17" t="str">
        <f ca="1">IF(AND(L885=-1,L884&lt;&gt;-1),MAX($P$8:P884)+1,"")</f>
        <v/>
      </c>
      <c r="Q885" s="24" t="str">
        <f ca="1">IF(AND(L885&lt;&gt;-1,L884=-1),MAX($Q$8:Q884)+1,"")</f>
        <v/>
      </c>
    </row>
    <row r="886" spans="1:17" x14ac:dyDescent="0.3">
      <c r="A886" s="3">
        <v>41486</v>
      </c>
      <c r="B886" s="9">
        <v>10.322846999999999</v>
      </c>
      <c r="C886" s="9">
        <v>8.6335700000000006</v>
      </c>
      <c r="E886" s="14">
        <f t="shared" si="95"/>
        <v>1.1956637868228321</v>
      </c>
      <c r="F886" s="18">
        <f t="shared" ca="1" si="94"/>
        <v>1.6962458813940988</v>
      </c>
      <c r="G886" s="15">
        <f t="shared" ca="1" si="99"/>
        <v>1.1460802815371751</v>
      </c>
      <c r="H886" s="15">
        <f t="shared" ca="1" si="100"/>
        <v>2.9231319485890618E-2</v>
      </c>
      <c r="J886" s="17">
        <f t="shared" ca="1" si="96"/>
        <v>1</v>
      </c>
      <c r="K886" s="24">
        <f t="shared" ca="1" si="97"/>
        <v>0</v>
      </c>
      <c r="L886" s="17">
        <f t="shared" ca="1" si="98"/>
        <v>1</v>
      </c>
      <c r="N886" s="24" t="str">
        <f ca="1">IF(AND(L886=1,L885&lt;&gt;1),MAX($N$8:N885)+1,"")</f>
        <v/>
      </c>
      <c r="O886" s="24" t="str">
        <f ca="1">IF(AND(L886&lt;&gt;1,L885=1),MAX($O$8:O885)+1,"")</f>
        <v/>
      </c>
      <c r="P886" s="17" t="str">
        <f ca="1">IF(AND(L886=-1,L885&lt;&gt;-1),MAX($P$8:P885)+1,"")</f>
        <v/>
      </c>
      <c r="Q886" s="24" t="str">
        <f ca="1">IF(AND(L886&lt;&gt;-1,L885=-1),MAX($Q$8:Q885)+1,"")</f>
        <v/>
      </c>
    </row>
    <row r="887" spans="1:17" x14ac:dyDescent="0.3">
      <c r="A887" s="3">
        <v>41487</v>
      </c>
      <c r="B887" s="9">
        <v>10.670638</v>
      </c>
      <c r="C887" s="9">
        <v>8.8642219999999998</v>
      </c>
      <c r="E887" s="14">
        <f t="shared" si="95"/>
        <v>1.2037873148935123</v>
      </c>
      <c r="F887" s="18">
        <f t="shared" ca="1" si="94"/>
        <v>1.7343723134090545</v>
      </c>
      <c r="G887" s="15">
        <f t="shared" ca="1" si="99"/>
        <v>1.1495607080583705</v>
      </c>
      <c r="H887" s="15">
        <f t="shared" ca="1" si="100"/>
        <v>3.1265839759950301E-2</v>
      </c>
      <c r="J887" s="17">
        <f t="shared" ca="1" si="96"/>
        <v>1</v>
      </c>
      <c r="K887" s="24">
        <f t="shared" ca="1" si="97"/>
        <v>0</v>
      </c>
      <c r="L887" s="17">
        <f t="shared" ca="1" si="98"/>
        <v>1</v>
      </c>
      <c r="N887" s="24" t="str">
        <f ca="1">IF(AND(L887=1,L886&lt;&gt;1),MAX($N$8:N886)+1,"")</f>
        <v/>
      </c>
      <c r="O887" s="24" t="str">
        <f ca="1">IF(AND(L887&lt;&gt;1,L886=1),MAX($O$8:O886)+1,"")</f>
        <v/>
      </c>
      <c r="P887" s="17" t="str">
        <f ca="1">IF(AND(L887=-1,L886&lt;&gt;-1),MAX($P$8:P886)+1,"")</f>
        <v/>
      </c>
      <c r="Q887" s="24" t="str">
        <f ca="1">IF(AND(L887&lt;&gt;-1,L886=-1),MAX($Q$8:Q886)+1,"")</f>
        <v/>
      </c>
    </row>
    <row r="888" spans="1:17" x14ac:dyDescent="0.3">
      <c r="A888" s="3">
        <v>41488</v>
      </c>
      <c r="B888" s="9">
        <v>10.610272</v>
      </c>
      <c r="C888" s="9">
        <v>8.8029460000000004</v>
      </c>
      <c r="E888" s="14">
        <f t="shared" si="95"/>
        <v>1.2053092226170647</v>
      </c>
      <c r="F888" s="18">
        <f t="shared" ca="1" si="94"/>
        <v>1.5853235189424189</v>
      </c>
      <c r="G888" s="15">
        <f t="shared" ca="1" si="99"/>
        <v>1.1527440771894517</v>
      </c>
      <c r="H888" s="15">
        <f t="shared" ca="1" si="100"/>
        <v>3.3157361762146592E-2</v>
      </c>
      <c r="J888" s="17">
        <f t="shared" ca="1" si="96"/>
        <v>1</v>
      </c>
      <c r="K888" s="24">
        <f t="shared" ca="1" si="97"/>
        <v>0</v>
      </c>
      <c r="L888" s="17">
        <f t="shared" ca="1" si="98"/>
        <v>1</v>
      </c>
      <c r="N888" s="24" t="str">
        <f ca="1">IF(AND(L888=1,L887&lt;&gt;1),MAX($N$8:N887)+1,"")</f>
        <v/>
      </c>
      <c r="O888" s="24" t="str">
        <f ca="1">IF(AND(L888&lt;&gt;1,L887=1),MAX($O$8:O887)+1,"")</f>
        <v/>
      </c>
      <c r="P888" s="17" t="str">
        <f ca="1">IF(AND(L888=-1,L887&lt;&gt;-1),MAX($P$8:P887)+1,"")</f>
        <v/>
      </c>
      <c r="Q888" s="24" t="str">
        <f ca="1">IF(AND(L888&lt;&gt;-1,L887=-1),MAX($Q$8:Q887)+1,"")</f>
        <v/>
      </c>
    </row>
    <row r="889" spans="1:17" x14ac:dyDescent="0.3">
      <c r="A889" s="3">
        <v>41491</v>
      </c>
      <c r="B889" s="9">
        <v>10.443503</v>
      </c>
      <c r="C889" s="9">
        <v>8.6218979999999998</v>
      </c>
      <c r="E889" s="14">
        <f t="shared" si="95"/>
        <v>1.2112765657863269</v>
      </c>
      <c r="F889" s="18">
        <f t="shared" ca="1" si="94"/>
        <v>1.5710142979492048</v>
      </c>
      <c r="G889" s="15">
        <f t="shared" ca="1" si="99"/>
        <v>1.156371049501663</v>
      </c>
      <c r="H889" s="15">
        <f t="shared" ca="1" si="100"/>
        <v>3.494908757758431E-2</v>
      </c>
      <c r="J889" s="17">
        <f t="shared" ca="1" si="96"/>
        <v>1</v>
      </c>
      <c r="K889" s="24">
        <f t="shared" ca="1" si="97"/>
        <v>0</v>
      </c>
      <c r="L889" s="17">
        <f t="shared" ca="1" si="98"/>
        <v>1</v>
      </c>
      <c r="N889" s="24" t="str">
        <f ca="1">IF(AND(L889=1,L888&lt;&gt;1),MAX($N$8:N888)+1,"")</f>
        <v/>
      </c>
      <c r="O889" s="24" t="str">
        <f ca="1">IF(AND(L889&lt;&gt;1,L888=1),MAX($O$8:O888)+1,"")</f>
        <v/>
      </c>
      <c r="P889" s="17" t="str">
        <f ca="1">IF(AND(L889=-1,L888&lt;&gt;-1),MAX($P$8:P888)+1,"")</f>
        <v/>
      </c>
      <c r="Q889" s="24" t="str">
        <f ca="1">IF(AND(L889&lt;&gt;-1,L888=-1),MAX($Q$8:Q888)+1,"")</f>
        <v/>
      </c>
    </row>
    <row r="890" spans="1:17" x14ac:dyDescent="0.3">
      <c r="A890" s="3">
        <v>41492</v>
      </c>
      <c r="B890" s="9">
        <v>10.202192999999999</v>
      </c>
      <c r="C890" s="9">
        <v>8.447101</v>
      </c>
      <c r="E890" s="14">
        <f t="shared" si="95"/>
        <v>1.2077744778948423</v>
      </c>
      <c r="F890" s="18">
        <f t="shared" ca="1" si="94"/>
        <v>1.3341052868553827</v>
      </c>
      <c r="G890" s="15">
        <f t="shared" ca="1" si="99"/>
        <v>1.1591134988866498</v>
      </c>
      <c r="H890" s="15">
        <f t="shared" ca="1" si="100"/>
        <v>3.6474616724509919E-2</v>
      </c>
      <c r="J890" s="17">
        <f t="shared" ca="1" si="96"/>
        <v>1</v>
      </c>
      <c r="K890" s="24">
        <f t="shared" ca="1" si="97"/>
        <v>0</v>
      </c>
      <c r="L890" s="17">
        <f t="shared" ca="1" si="98"/>
        <v>1</v>
      </c>
      <c r="N890" s="24" t="str">
        <f ca="1">IF(AND(L890=1,L889&lt;&gt;1),MAX($N$8:N889)+1,"")</f>
        <v/>
      </c>
      <c r="O890" s="24" t="str">
        <f ca="1">IF(AND(L890&lt;&gt;1,L889=1),MAX($O$8:O889)+1,"")</f>
        <v/>
      </c>
      <c r="P890" s="17" t="str">
        <f ca="1">IF(AND(L890=-1,L889&lt;&gt;-1),MAX($P$8:P889)+1,"")</f>
        <v/>
      </c>
      <c r="Q890" s="24" t="str">
        <f ca="1">IF(AND(L890&lt;&gt;-1,L889=-1),MAX($Q$8:Q889)+1,"")</f>
        <v/>
      </c>
    </row>
    <row r="891" spans="1:17" x14ac:dyDescent="0.3">
      <c r="A891" s="3">
        <v>41493</v>
      </c>
      <c r="B891" s="9">
        <v>10.085082999999999</v>
      </c>
      <c r="C891" s="9">
        <v>8.4720410000000008</v>
      </c>
      <c r="E891" s="14">
        <f t="shared" si="95"/>
        <v>1.1903959152227896</v>
      </c>
      <c r="F891" s="18">
        <f t="shared" ca="1" si="94"/>
        <v>0.81611450728783541</v>
      </c>
      <c r="G891" s="15">
        <f t="shared" ca="1" si="99"/>
        <v>1.1601782981807918</v>
      </c>
      <c r="H891" s="15">
        <f t="shared" ca="1" si="100"/>
        <v>3.7026197637901354E-2</v>
      </c>
      <c r="J891" s="17">
        <f t="shared" ca="1" si="96"/>
        <v>1</v>
      </c>
      <c r="K891" s="24">
        <f t="shared" ca="1" si="97"/>
        <v>0</v>
      </c>
      <c r="L891" s="17">
        <f t="shared" ca="1" si="98"/>
        <v>1</v>
      </c>
      <c r="N891" s="24" t="str">
        <f ca="1">IF(AND(L891=1,L890&lt;&gt;1),MAX($N$8:N890)+1,"")</f>
        <v/>
      </c>
      <c r="O891" s="24" t="str">
        <f ca="1">IF(AND(L891&lt;&gt;1,L890=1),MAX($O$8:O890)+1,"")</f>
        <v/>
      </c>
      <c r="P891" s="17" t="str">
        <f ca="1">IF(AND(L891=-1,L890&lt;&gt;-1),MAX($P$8:P890)+1,"")</f>
        <v/>
      </c>
      <c r="Q891" s="24" t="str">
        <f ca="1">IF(AND(L891&lt;&gt;-1,L890=-1),MAX($Q$8:Q890)+1,"")</f>
        <v/>
      </c>
    </row>
    <row r="892" spans="1:17" x14ac:dyDescent="0.3">
      <c r="A892" s="3">
        <v>41494</v>
      </c>
      <c r="B892" s="9">
        <v>10.376054</v>
      </c>
      <c r="C892" s="9">
        <v>8.7467459999999999</v>
      </c>
      <c r="E892" s="14">
        <f t="shared" si="95"/>
        <v>1.1862759019182676</v>
      </c>
      <c r="F892" s="18">
        <f t="shared" ca="1" si="94"/>
        <v>0.67844102858335209</v>
      </c>
      <c r="G892" s="15">
        <f t="shared" ca="1" si="99"/>
        <v>1.1609184349310662</v>
      </c>
      <c r="H892" s="15">
        <f t="shared" ca="1" si="100"/>
        <v>3.7376081219837445E-2</v>
      </c>
      <c r="J892" s="17">
        <f t="shared" ca="1" si="96"/>
        <v>1</v>
      </c>
      <c r="K892" s="24">
        <f t="shared" ca="1" si="97"/>
        <v>0</v>
      </c>
      <c r="L892" s="17">
        <f t="shared" ca="1" si="98"/>
        <v>1</v>
      </c>
      <c r="N892" s="24" t="str">
        <f ca="1">IF(AND(L892=1,L891&lt;&gt;1),MAX($N$8:N891)+1,"")</f>
        <v/>
      </c>
      <c r="O892" s="24" t="str">
        <f ca="1">IF(AND(L892&lt;&gt;1,L891=1),MAX($O$8:O891)+1,"")</f>
        <v/>
      </c>
      <c r="P892" s="17" t="str">
        <f ca="1">IF(AND(L892=-1,L891&lt;&gt;-1),MAX($P$8:P891)+1,"")</f>
        <v/>
      </c>
      <c r="Q892" s="24" t="str">
        <f ca="1">IF(AND(L892&lt;&gt;-1,L891=-1),MAX($Q$8:Q891)+1,"")</f>
        <v/>
      </c>
    </row>
    <row r="893" spans="1:17" x14ac:dyDescent="0.3">
      <c r="A893" s="3">
        <v>41495</v>
      </c>
      <c r="B893" s="9">
        <v>10.425795000000001</v>
      </c>
      <c r="C893" s="9">
        <v>8.837237</v>
      </c>
      <c r="E893" s="14">
        <f t="shared" si="95"/>
        <v>1.179757315550098</v>
      </c>
      <c r="F893" s="18">
        <f t="shared" ca="1" si="94"/>
        <v>0.49669421816148923</v>
      </c>
      <c r="G893" s="15">
        <f t="shared" ca="1" si="99"/>
        <v>1.1611441701034169</v>
      </c>
      <c r="H893" s="15">
        <f t="shared" ca="1" si="100"/>
        <v>3.7474052980881446E-2</v>
      </c>
      <c r="J893" s="17">
        <f t="shared" ca="1" si="96"/>
        <v>1</v>
      </c>
      <c r="K893" s="24">
        <f t="shared" ca="1" si="97"/>
        <v>0</v>
      </c>
      <c r="L893" s="17">
        <f t="shared" ca="1" si="98"/>
        <v>1</v>
      </c>
      <c r="N893" s="24" t="str">
        <f ca="1">IF(AND(L893=1,L892&lt;&gt;1),MAX($N$8:N892)+1,"")</f>
        <v/>
      </c>
      <c r="O893" s="24" t="str">
        <f ca="1">IF(AND(L893&lt;&gt;1,L892=1),MAX($O$8:O892)+1,"")</f>
        <v/>
      </c>
      <c r="P893" s="17" t="str">
        <f ca="1">IF(AND(L893=-1,L892&lt;&gt;-1),MAX($P$8:P892)+1,"")</f>
        <v/>
      </c>
      <c r="Q893" s="24" t="str">
        <f ca="1">IF(AND(L893&lt;&gt;-1,L892=-1),MAX($Q$8:Q892)+1,"")</f>
        <v/>
      </c>
    </row>
    <row r="894" spans="1:17" x14ac:dyDescent="0.3">
      <c r="A894" s="3">
        <v>41498</v>
      </c>
      <c r="B894" s="9">
        <v>10.698979</v>
      </c>
      <c r="C894" s="9">
        <v>8.9902529999999992</v>
      </c>
      <c r="E894" s="14">
        <f t="shared" si="95"/>
        <v>1.1900642840640858</v>
      </c>
      <c r="F894" s="18">
        <f t="shared" ca="1" si="94"/>
        <v>0.71561880263151456</v>
      </c>
      <c r="G894" s="15">
        <f t="shared" ca="1" si="99"/>
        <v>1.1629730628756292</v>
      </c>
      <c r="H894" s="15">
        <f t="shared" ca="1" si="100"/>
        <v>3.7857056143347889E-2</v>
      </c>
      <c r="J894" s="17">
        <f t="shared" ca="1" si="96"/>
        <v>1</v>
      </c>
      <c r="K894" s="24">
        <f t="shared" ca="1" si="97"/>
        <v>0</v>
      </c>
      <c r="L894" s="17">
        <f t="shared" ca="1" si="98"/>
        <v>1</v>
      </c>
      <c r="N894" s="24" t="str">
        <f ca="1">IF(AND(L894=1,L893&lt;&gt;1),MAX($N$8:N893)+1,"")</f>
        <v/>
      </c>
      <c r="O894" s="24" t="str">
        <f ca="1">IF(AND(L894&lt;&gt;1,L893=1),MAX($O$8:O893)+1,"")</f>
        <v/>
      </c>
      <c r="P894" s="17" t="str">
        <f ca="1">IF(AND(L894=-1,L893&lt;&gt;-1),MAX($P$8:P893)+1,"")</f>
        <v/>
      </c>
      <c r="Q894" s="24" t="str">
        <f ca="1">IF(AND(L894&lt;&gt;-1,L893=-1),MAX($Q$8:Q893)+1,"")</f>
        <v/>
      </c>
    </row>
    <row r="895" spans="1:17" x14ac:dyDescent="0.3">
      <c r="A895" s="3">
        <v>41499</v>
      </c>
      <c r="B895" s="9">
        <v>10.773512999999999</v>
      </c>
      <c r="C895" s="9">
        <v>9.1931519999999995</v>
      </c>
      <c r="E895" s="14">
        <f t="shared" si="95"/>
        <v>1.1719063276665065</v>
      </c>
      <c r="F895" s="18">
        <f t="shared" ca="1" si="94"/>
        <v>0.19996199295733985</v>
      </c>
      <c r="G895" s="15">
        <f t="shared" ca="1" si="99"/>
        <v>1.16439189129577</v>
      </c>
      <c r="H895" s="15">
        <f t="shared" ca="1" si="100"/>
        <v>3.7579323248391479E-2</v>
      </c>
      <c r="J895" s="17">
        <f t="shared" ca="1" si="96"/>
        <v>1</v>
      </c>
      <c r="K895" s="24">
        <f t="shared" ca="1" si="97"/>
        <v>0</v>
      </c>
      <c r="L895" s="17">
        <f t="shared" ca="1" si="98"/>
        <v>1</v>
      </c>
      <c r="N895" s="24" t="str">
        <f ca="1">IF(AND(L895=1,L894&lt;&gt;1),MAX($N$8:N894)+1,"")</f>
        <v/>
      </c>
      <c r="O895" s="24" t="str">
        <f ca="1">IF(AND(L895&lt;&gt;1,L894=1),MAX($O$8:O894)+1,"")</f>
        <v/>
      </c>
      <c r="P895" s="17" t="str">
        <f ca="1">IF(AND(L895=-1,L894&lt;&gt;-1),MAX($P$8:P894)+1,"")</f>
        <v/>
      </c>
      <c r="Q895" s="24" t="str">
        <f ca="1">IF(AND(L895&lt;&gt;-1,L894=-1),MAX($Q$8:Q894)+1,"")</f>
        <v/>
      </c>
    </row>
    <row r="896" spans="1:17" x14ac:dyDescent="0.3">
      <c r="A896" s="3">
        <v>41500</v>
      </c>
      <c r="B896" s="9">
        <v>10.667026</v>
      </c>
      <c r="C896" s="9">
        <v>9.0995000000000008</v>
      </c>
      <c r="E896" s="14">
        <f t="shared" si="95"/>
        <v>1.1722650695093135</v>
      </c>
      <c r="F896" s="18">
        <f t="shared" ca="1" si="94"/>
        <v>0.16286485244525775</v>
      </c>
      <c r="G896" s="15">
        <f t="shared" ca="1" si="99"/>
        <v>1.1662551717673553</v>
      </c>
      <c r="H896" s="15">
        <f t="shared" ca="1" si="100"/>
        <v>3.6901133987631306E-2</v>
      </c>
      <c r="J896" s="17">
        <f t="shared" ca="1" si="96"/>
        <v>1</v>
      </c>
      <c r="K896" s="24">
        <f t="shared" ca="1" si="97"/>
        <v>0</v>
      </c>
      <c r="L896" s="17">
        <f t="shared" ca="1" si="98"/>
        <v>1</v>
      </c>
      <c r="N896" s="24" t="str">
        <f ca="1">IF(AND(L896=1,L895&lt;&gt;1),MAX($N$8:N895)+1,"")</f>
        <v/>
      </c>
      <c r="O896" s="24" t="str">
        <f ca="1">IF(AND(L896&lt;&gt;1,L895=1),MAX($O$8:O895)+1,"")</f>
        <v/>
      </c>
      <c r="P896" s="17" t="str">
        <f ca="1">IF(AND(L896=-1,L895&lt;&gt;-1),MAX($P$8:P895)+1,"")</f>
        <v/>
      </c>
      <c r="Q896" s="24" t="str">
        <f ca="1">IF(AND(L896&lt;&gt;-1,L895=-1),MAX($Q$8:Q895)+1,"")</f>
        <v/>
      </c>
    </row>
    <row r="897" spans="1:17" x14ac:dyDescent="0.3">
      <c r="A897" s="3">
        <v>41501</v>
      </c>
      <c r="B897" s="9">
        <v>10.578322999999999</v>
      </c>
      <c r="C897" s="9">
        <v>8.980836</v>
      </c>
      <c r="E897" s="14">
        <f t="shared" si="95"/>
        <v>1.1778773156530193</v>
      </c>
      <c r="F897" s="18">
        <f t="shared" ca="1" si="94"/>
        <v>0.27294382132976647</v>
      </c>
      <c r="G897" s="15">
        <f t="shared" ca="1" si="99"/>
        <v>1.1678931752832173</v>
      </c>
      <c r="H897" s="15">
        <f t="shared" ca="1" si="100"/>
        <v>3.6579470167743107E-2</v>
      </c>
      <c r="J897" s="17">
        <f t="shared" ca="1" si="96"/>
        <v>1</v>
      </c>
      <c r="K897" s="24">
        <f t="shared" ca="1" si="97"/>
        <v>0</v>
      </c>
      <c r="L897" s="17">
        <f t="shared" ca="1" si="98"/>
        <v>1</v>
      </c>
      <c r="N897" s="24" t="str">
        <f ca="1">IF(AND(L897=1,L896&lt;&gt;1),MAX($N$8:N896)+1,"")</f>
        <v/>
      </c>
      <c r="O897" s="24" t="str">
        <f ca="1">IF(AND(L897&lt;&gt;1,L896=1),MAX($O$8:O896)+1,"")</f>
        <v/>
      </c>
      <c r="P897" s="17" t="str">
        <f ca="1">IF(AND(L897=-1,L896&lt;&gt;-1),MAX($P$8:P896)+1,"")</f>
        <v/>
      </c>
      <c r="Q897" s="24" t="str">
        <f ca="1">IF(AND(L897&lt;&gt;-1,L896=-1),MAX($Q$8:Q896)+1,"")</f>
        <v/>
      </c>
    </row>
    <row r="898" spans="1:17" x14ac:dyDescent="0.3">
      <c r="A898" s="3">
        <v>41502</v>
      </c>
      <c r="B898" s="9">
        <v>10.361886</v>
      </c>
      <c r="C898" s="9">
        <v>8.8965960000000006</v>
      </c>
      <c r="E898" s="14">
        <f t="shared" si="95"/>
        <v>1.1647023198535709</v>
      </c>
      <c r="F898" s="18">
        <f t="shared" ref="F898:F961" ca="1" si="101">IF(ISNUMBER(G898),(E898-G898)/H898,"")</f>
        <v>-0.13463063767503378</v>
      </c>
      <c r="G898" s="15">
        <f t="shared" ca="1" si="99"/>
        <v>1.1694975465050521</v>
      </c>
      <c r="H898" s="15">
        <f t="shared" ca="1" si="100"/>
        <v>3.5617647916485223E-2</v>
      </c>
      <c r="J898" s="17">
        <f t="shared" ca="1" si="96"/>
        <v>0</v>
      </c>
      <c r="K898" s="24">
        <f t="shared" ca="1" si="97"/>
        <v>0</v>
      </c>
      <c r="L898" s="17">
        <f t="shared" ca="1" si="98"/>
        <v>0</v>
      </c>
      <c r="N898" s="24" t="str">
        <f ca="1">IF(AND(L898=1,L897&lt;&gt;1),MAX($N$8:N897)+1,"")</f>
        <v/>
      </c>
      <c r="O898" s="24">
        <f ca="1">IF(AND(L898&lt;&gt;1,L897=1),MAX($O$8:O897)+1,"")</f>
        <v>27</v>
      </c>
      <c r="P898" s="17" t="str">
        <f ca="1">IF(AND(L898=-1,L897&lt;&gt;-1),MAX($P$8:P897)+1,"")</f>
        <v/>
      </c>
      <c r="Q898" s="24" t="str">
        <f ca="1">IF(AND(L898&lt;&gt;-1,L897=-1),MAX($Q$8:Q897)+1,"")</f>
        <v/>
      </c>
    </row>
    <row r="899" spans="1:17" x14ac:dyDescent="0.3">
      <c r="A899" s="3">
        <v>41505</v>
      </c>
      <c r="B899" s="9">
        <v>10.269641999999999</v>
      </c>
      <c r="C899" s="9">
        <v>8.8810029999999998</v>
      </c>
      <c r="E899" s="14">
        <f t="shared" ref="E899:E962" si="102">IF(ISNUMBER(B899),B899/C899,"")</f>
        <v>1.1563606047650248</v>
      </c>
      <c r="F899" s="18">
        <f t="shared" ca="1" si="101"/>
        <v>-0.3843561407492796</v>
      </c>
      <c r="G899" s="15">
        <f t="shared" ca="1" si="99"/>
        <v>1.1699584545372816</v>
      </c>
      <c r="H899" s="15">
        <f t="shared" ca="1" si="100"/>
        <v>3.5378255556809006E-2</v>
      </c>
      <c r="J899" s="17">
        <f t="shared" ca="1" si="96"/>
        <v>0</v>
      </c>
      <c r="K899" s="24">
        <f t="shared" ca="1" si="97"/>
        <v>0</v>
      </c>
      <c r="L899" s="17">
        <f t="shared" ca="1" si="98"/>
        <v>0</v>
      </c>
      <c r="N899" s="24" t="str">
        <f ca="1">IF(AND(L899=1,L898&lt;&gt;1),MAX($N$8:N898)+1,"")</f>
        <v/>
      </c>
      <c r="O899" s="24" t="str">
        <f ca="1">IF(AND(L899&lt;&gt;1,L898=1),MAX($O$8:O898)+1,"")</f>
        <v/>
      </c>
      <c r="P899" s="17" t="str">
        <f ca="1">IF(AND(L899=-1,L898&lt;&gt;-1),MAX($P$8:P898)+1,"")</f>
        <v/>
      </c>
      <c r="Q899" s="24" t="str">
        <f ca="1">IF(AND(L899&lt;&gt;-1,L898=-1),MAX($Q$8:Q898)+1,"")</f>
        <v/>
      </c>
    </row>
    <row r="900" spans="1:17" x14ac:dyDescent="0.3">
      <c r="A900" s="3">
        <v>41506</v>
      </c>
      <c r="B900" s="9">
        <v>10.159615000000001</v>
      </c>
      <c r="C900" s="9">
        <v>8.7623420000000003</v>
      </c>
      <c r="E900" s="14">
        <f t="shared" si="102"/>
        <v>1.1594634174288108</v>
      </c>
      <c r="F900" s="18">
        <f t="shared" ca="1" si="101"/>
        <v>-0.28882109286146646</v>
      </c>
      <c r="G900" s="15">
        <f t="shared" ca="1" si="99"/>
        <v>1.1696973616784816</v>
      </c>
      <c r="H900" s="15">
        <f t="shared" ca="1" si="100"/>
        <v>3.5433507117776764E-2</v>
      </c>
      <c r="J900" s="17">
        <f t="shared" ca="1" si="96"/>
        <v>0</v>
      </c>
      <c r="K900" s="24">
        <f t="shared" ca="1" si="97"/>
        <v>0</v>
      </c>
      <c r="L900" s="17">
        <f t="shared" ca="1" si="98"/>
        <v>0</v>
      </c>
      <c r="N900" s="24" t="str">
        <f ca="1">IF(AND(L900=1,L899&lt;&gt;1),MAX($N$8:N899)+1,"")</f>
        <v/>
      </c>
      <c r="O900" s="24" t="str">
        <f ca="1">IF(AND(L900&lt;&gt;1,L899=1),MAX($O$8:O899)+1,"")</f>
        <v/>
      </c>
      <c r="P900" s="17" t="str">
        <f ca="1">IF(AND(L900=-1,L899&lt;&gt;-1),MAX($P$8:P899)+1,"")</f>
        <v/>
      </c>
      <c r="Q900" s="24" t="str">
        <f ca="1">IF(AND(L900&lt;&gt;-1,L899=-1),MAX($Q$8:Q899)+1,"")</f>
        <v/>
      </c>
    </row>
    <row r="901" spans="1:17" x14ac:dyDescent="0.3">
      <c r="A901" s="3">
        <v>41507</v>
      </c>
      <c r="B901" s="9">
        <v>10.085082999999999</v>
      </c>
      <c r="C901" s="9">
        <v>8.6156400000000009</v>
      </c>
      <c r="E901" s="14">
        <f t="shared" si="102"/>
        <v>1.170555292468116</v>
      </c>
      <c r="F901" s="18">
        <f t="shared" ca="1" si="101"/>
        <v>-1.1956858321611981E-2</v>
      </c>
      <c r="G901" s="15">
        <f t="shared" ca="1" si="99"/>
        <v>1.1709729783480671</v>
      </c>
      <c r="H901" s="15">
        <f t="shared" ca="1" si="100"/>
        <v>3.4932744765922556E-2</v>
      </c>
      <c r="J901" s="17">
        <f t="shared" ca="1" si="96"/>
        <v>0</v>
      </c>
      <c r="K901" s="24">
        <f t="shared" ca="1" si="97"/>
        <v>0</v>
      </c>
      <c r="L901" s="17">
        <f t="shared" ca="1" si="98"/>
        <v>0</v>
      </c>
      <c r="N901" s="24" t="str">
        <f ca="1">IF(AND(L901=1,L900&lt;&gt;1),MAX($N$8:N900)+1,"")</f>
        <v/>
      </c>
      <c r="O901" s="24" t="str">
        <f ca="1">IF(AND(L901&lt;&gt;1,L900=1),MAX($O$8:O900)+1,"")</f>
        <v/>
      </c>
      <c r="P901" s="17" t="str">
        <f ca="1">IF(AND(L901=-1,L900&lt;&gt;-1),MAX($P$8:P900)+1,"")</f>
        <v/>
      </c>
      <c r="Q901" s="24" t="str">
        <f ca="1">IF(AND(L901&lt;&gt;-1,L900=-1),MAX($Q$8:Q900)+1,"")</f>
        <v/>
      </c>
    </row>
    <row r="902" spans="1:17" x14ac:dyDescent="0.3">
      <c r="A902" s="3">
        <v>41508</v>
      </c>
      <c r="B902" s="9">
        <v>10.092171</v>
      </c>
      <c r="C902" s="9">
        <v>8.5844470000000008</v>
      </c>
      <c r="E902" s="14">
        <f t="shared" si="102"/>
        <v>1.175634376914436</v>
      </c>
      <c r="F902" s="18">
        <f t="shared" ca="1" si="101"/>
        <v>9.0729178087554069E-2</v>
      </c>
      <c r="G902" s="15">
        <f t="shared" ca="1" si="99"/>
        <v>1.1725179943142701</v>
      </c>
      <c r="H902" s="15">
        <f t="shared" ca="1" si="100"/>
        <v>3.4348185069620785E-2</v>
      </c>
      <c r="J902" s="17">
        <f t="shared" ca="1" si="96"/>
        <v>0</v>
      </c>
      <c r="K902" s="24">
        <f t="shared" ca="1" si="97"/>
        <v>0</v>
      </c>
      <c r="L902" s="17">
        <f t="shared" ca="1" si="98"/>
        <v>0</v>
      </c>
      <c r="N902" s="24" t="str">
        <f ca="1">IF(AND(L902=1,L901&lt;&gt;1),MAX($N$8:N901)+1,"")</f>
        <v/>
      </c>
      <c r="O902" s="24" t="str">
        <f ca="1">IF(AND(L902&lt;&gt;1,L901=1),MAX($O$8:O901)+1,"")</f>
        <v/>
      </c>
      <c r="P902" s="17" t="str">
        <f ca="1">IF(AND(L902=-1,L901&lt;&gt;-1),MAX($P$8:P901)+1,"")</f>
        <v/>
      </c>
      <c r="Q902" s="24" t="str">
        <f ca="1">IF(AND(L902&lt;&gt;-1,L901=-1),MAX($Q$8:Q901)+1,"")</f>
        <v/>
      </c>
    </row>
    <row r="903" spans="1:17" x14ac:dyDescent="0.3">
      <c r="A903" s="3">
        <v>41509</v>
      </c>
      <c r="B903" s="9">
        <v>10.436413999999999</v>
      </c>
      <c r="C903" s="9">
        <v>8.7560870000000008</v>
      </c>
      <c r="E903" s="14">
        <f t="shared" si="102"/>
        <v>1.1919038721291826</v>
      </c>
      <c r="F903" s="18">
        <f t="shared" ca="1" si="101"/>
        <v>0.50695412123495687</v>
      </c>
      <c r="G903" s="15">
        <f t="shared" ca="1" si="99"/>
        <v>1.1746556846022125</v>
      </c>
      <c r="H903" s="15">
        <f t="shared" ca="1" si="100"/>
        <v>3.4023172520923496E-2</v>
      </c>
      <c r="J903" s="17">
        <f t="shared" ca="1" si="96"/>
        <v>0</v>
      </c>
      <c r="K903" s="24">
        <f t="shared" ca="1" si="97"/>
        <v>0</v>
      </c>
      <c r="L903" s="17">
        <f t="shared" ca="1" si="98"/>
        <v>0</v>
      </c>
      <c r="N903" s="24" t="str">
        <f ca="1">IF(AND(L903=1,L902&lt;&gt;1),MAX($N$8:N902)+1,"")</f>
        <v/>
      </c>
      <c r="O903" s="24" t="str">
        <f ca="1">IF(AND(L903&lt;&gt;1,L902=1),MAX($O$8:O902)+1,"")</f>
        <v/>
      </c>
      <c r="P903" s="17" t="str">
        <f ca="1">IF(AND(L903=-1,L902&lt;&gt;-1),MAX($P$8:P902)+1,"")</f>
        <v/>
      </c>
      <c r="Q903" s="24" t="str">
        <f ca="1">IF(AND(L903&lt;&gt;-1,L902=-1),MAX($Q$8:Q902)+1,"")</f>
        <v/>
      </c>
    </row>
    <row r="904" spans="1:17" x14ac:dyDescent="0.3">
      <c r="A904" s="3">
        <v>41512</v>
      </c>
      <c r="B904" s="9">
        <v>10.258940000000001</v>
      </c>
      <c r="C904" s="9">
        <v>8.6499970000000008</v>
      </c>
      <c r="E904" s="14">
        <f t="shared" si="102"/>
        <v>1.1860050356086829</v>
      </c>
      <c r="F904" s="18">
        <f t="shared" ca="1" si="101"/>
        <v>0.28250698625829446</v>
      </c>
      <c r="G904" s="15">
        <f t="shared" ca="1" si="99"/>
        <v>1.1765621342949495</v>
      </c>
      <c r="H904" s="15">
        <f t="shared" ca="1" si="100"/>
        <v>3.3425372727242178E-2</v>
      </c>
      <c r="J904" s="17">
        <f t="shared" ref="J904:J967" ca="1" si="103">IF(ISNUMBER(F904),IF(AND(J903&lt;&gt;1,F904&gt;$L$1),1,IF(AND(J903=1,F904&gt;$N$1),1,0)),"")</f>
        <v>0</v>
      </c>
      <c r="K904" s="24">
        <f t="shared" ca="1" si="97"/>
        <v>0</v>
      </c>
      <c r="L904" s="17">
        <f t="shared" ca="1" si="98"/>
        <v>0</v>
      </c>
      <c r="N904" s="24" t="str">
        <f ca="1">IF(AND(L904=1,L903&lt;&gt;1),MAX($N$8:N903)+1,"")</f>
        <v/>
      </c>
      <c r="O904" s="24" t="str">
        <f ca="1">IF(AND(L904&lt;&gt;1,L903=1),MAX($O$8:O903)+1,"")</f>
        <v/>
      </c>
      <c r="P904" s="17" t="str">
        <f ca="1">IF(AND(L904=-1,L903&lt;&gt;-1),MAX($P$8:P903)+1,"")</f>
        <v/>
      </c>
      <c r="Q904" s="24" t="str">
        <f ca="1">IF(AND(L904&lt;&gt;-1,L903=-1),MAX($Q$8:Q903)+1,"")</f>
        <v/>
      </c>
    </row>
    <row r="905" spans="1:17" x14ac:dyDescent="0.3">
      <c r="A905" s="3">
        <v>41513</v>
      </c>
      <c r="B905" s="9">
        <v>9.9715140000000009</v>
      </c>
      <c r="C905" s="9">
        <v>8.3971450000000001</v>
      </c>
      <c r="E905" s="14">
        <f t="shared" si="102"/>
        <v>1.1874886047579267</v>
      </c>
      <c r="F905" s="18">
        <f t="shared" ca="1" si="101"/>
        <v>0.27809317857511034</v>
      </c>
      <c r="G905" s="15">
        <f t="shared" ca="1" si="99"/>
        <v>1.1832633761077629</v>
      </c>
      <c r="H905" s="15">
        <f t="shared" ca="1" si="100"/>
        <v>1.5193571707918187E-2</v>
      </c>
      <c r="J905" s="17">
        <f t="shared" ca="1" si="103"/>
        <v>0</v>
      </c>
      <c r="K905" s="24">
        <f t="shared" ref="K905:K968" ca="1" si="104">IF(ISNUMBER(F905),IF(AND(K904&lt;&gt;-1,F905&lt;$P$1),-1,IF(AND(K904=-1,F905&lt;R898),-1,0)),"")</f>
        <v>0</v>
      </c>
      <c r="L905" s="17">
        <f t="shared" ref="L905:L968" ca="1" si="105">IF(ISNUMBER(F905),IF(J905=1,1,IF(K905=-1,-1,0)),"")</f>
        <v>0</v>
      </c>
      <c r="N905" s="24" t="str">
        <f ca="1">IF(AND(L905=1,L904&lt;&gt;1),MAX($N$8:N904)+1,"")</f>
        <v/>
      </c>
      <c r="O905" s="24" t="str">
        <f ca="1">IF(AND(L905&lt;&gt;1,L904=1),MAX($O$8:O904)+1,"")</f>
        <v/>
      </c>
      <c r="P905" s="17" t="str">
        <f ca="1">IF(AND(L905=-1,L904&lt;&gt;-1),MAX($P$8:P904)+1,"")</f>
        <v/>
      </c>
      <c r="Q905" s="24" t="str">
        <f ca="1">IF(AND(L905&lt;&gt;-1,L904=-1),MAX($Q$8:Q904)+1,"")</f>
        <v/>
      </c>
    </row>
    <row r="906" spans="1:17" x14ac:dyDescent="0.3">
      <c r="A906" s="3">
        <v>41514</v>
      </c>
      <c r="B906" s="9">
        <v>10.007011</v>
      </c>
      <c r="C906" s="9">
        <v>8.350282</v>
      </c>
      <c r="E906" s="14">
        <f t="shared" si="102"/>
        <v>1.1984039580938703</v>
      </c>
      <c r="F906" s="18">
        <f t="shared" ca="1" si="101"/>
        <v>0.90982276457466027</v>
      </c>
      <c r="G906" s="15">
        <f t="shared" ca="1" si="99"/>
        <v>1.184702582908562</v>
      </c>
      <c r="H906" s="15">
        <f t="shared" ca="1" si="100"/>
        <v>1.5059389277551983E-2</v>
      </c>
      <c r="J906" s="17">
        <f t="shared" ca="1" si="103"/>
        <v>0</v>
      </c>
      <c r="K906" s="24">
        <f t="shared" ca="1" si="104"/>
        <v>0</v>
      </c>
      <c r="L906" s="17">
        <f t="shared" ca="1" si="105"/>
        <v>0</v>
      </c>
      <c r="N906" s="24" t="str">
        <f ca="1">IF(AND(L906=1,L905&lt;&gt;1),MAX($N$8:N905)+1,"")</f>
        <v/>
      </c>
      <c r="O906" s="24" t="str">
        <f ca="1">IF(AND(L906&lt;&gt;1,L905=1),MAX($O$8:O905)+1,"")</f>
        <v/>
      </c>
      <c r="P906" s="17" t="str">
        <f ca="1">IF(AND(L906=-1,L905&lt;&gt;-1),MAX($P$8:P905)+1,"")</f>
        <v/>
      </c>
      <c r="Q906" s="24" t="str">
        <f ca="1">IF(AND(L906&lt;&gt;-1,L905=-1),MAX($Q$8:Q905)+1,"")</f>
        <v/>
      </c>
    </row>
    <row r="907" spans="1:17" x14ac:dyDescent="0.3">
      <c r="A907" s="3">
        <v>41515</v>
      </c>
      <c r="B907" s="9">
        <v>10.088628</v>
      </c>
      <c r="C907" s="9">
        <v>8.490793</v>
      </c>
      <c r="E907" s="14">
        <f t="shared" si="102"/>
        <v>1.1881844251767768</v>
      </c>
      <c r="F907" s="18">
        <f t="shared" ca="1" si="101"/>
        <v>0.20842785166218078</v>
      </c>
      <c r="G907" s="15">
        <f t="shared" ca="1" si="99"/>
        <v>1.1850479729452297</v>
      </c>
      <c r="H907" s="15">
        <f t="shared" ca="1" si="100"/>
        <v>1.5048143549599498E-2</v>
      </c>
      <c r="J907" s="17">
        <f t="shared" ca="1" si="103"/>
        <v>0</v>
      </c>
      <c r="K907" s="24">
        <f t="shared" ca="1" si="104"/>
        <v>0</v>
      </c>
      <c r="L907" s="17">
        <f t="shared" ca="1" si="105"/>
        <v>0</v>
      </c>
      <c r="N907" s="24" t="str">
        <f ca="1">IF(AND(L907=1,L906&lt;&gt;1),MAX($N$8:N906)+1,"")</f>
        <v/>
      </c>
      <c r="O907" s="24" t="str">
        <f ca="1">IF(AND(L907&lt;&gt;1,L906=1),MAX($O$8:O906)+1,"")</f>
        <v/>
      </c>
      <c r="P907" s="17" t="str">
        <f ca="1">IF(AND(L907=-1,L906&lt;&gt;-1),MAX($P$8:P906)+1,"")</f>
        <v/>
      </c>
      <c r="Q907" s="24" t="str">
        <f ca="1">IF(AND(L907&lt;&gt;-1,L906=-1),MAX($Q$8:Q906)+1,"")</f>
        <v/>
      </c>
    </row>
    <row r="908" spans="1:17" x14ac:dyDescent="0.3">
      <c r="A908" s="3">
        <v>41516</v>
      </c>
      <c r="B908" s="9">
        <v>10.29444</v>
      </c>
      <c r="C908" s="9">
        <v>8.6655979999999992</v>
      </c>
      <c r="E908" s="14">
        <f t="shared" si="102"/>
        <v>1.1879664854058543</v>
      </c>
      <c r="F908" s="18">
        <f t="shared" ca="1" si="101"/>
        <v>0.21956337022068143</v>
      </c>
      <c r="G908" s="15">
        <f t="shared" ca="1" si="99"/>
        <v>1.1846980956080946</v>
      </c>
      <c r="H908" s="15">
        <f t="shared" ca="1" si="100"/>
        <v>1.4885860945177883E-2</v>
      </c>
      <c r="J908" s="17">
        <f t="shared" ca="1" si="103"/>
        <v>0</v>
      </c>
      <c r="K908" s="24">
        <f t="shared" ca="1" si="104"/>
        <v>0</v>
      </c>
      <c r="L908" s="17">
        <f t="shared" ca="1" si="105"/>
        <v>0</v>
      </c>
      <c r="N908" s="24" t="str">
        <f ca="1">IF(AND(L908=1,L907&lt;&gt;1),MAX($N$8:N907)+1,"")</f>
        <v/>
      </c>
      <c r="O908" s="24" t="str">
        <f ca="1">IF(AND(L908&lt;&gt;1,L907=1),MAX($O$8:O907)+1,"")</f>
        <v/>
      </c>
      <c r="P908" s="17" t="str">
        <f ca="1">IF(AND(L908=-1,L907&lt;&gt;-1),MAX($P$8:P907)+1,"")</f>
        <v/>
      </c>
      <c r="Q908" s="24" t="str">
        <f ca="1">IF(AND(L908&lt;&gt;-1,L907=-1),MAX($Q$8:Q907)+1,"")</f>
        <v/>
      </c>
    </row>
    <row r="909" spans="1:17" x14ac:dyDescent="0.3">
      <c r="A909" s="3">
        <v>41519</v>
      </c>
      <c r="B909" s="9">
        <v>10.408124000000001</v>
      </c>
      <c r="C909" s="9">
        <v>8.7342399999999998</v>
      </c>
      <c r="E909" s="14">
        <f t="shared" si="102"/>
        <v>1.1916462107750647</v>
      </c>
      <c r="F909" s="18">
        <f t="shared" ca="1" si="101"/>
        <v>0.52139180462155965</v>
      </c>
      <c r="G909" s="15">
        <f t="shared" ca="1" si="99"/>
        <v>1.1841462272390741</v>
      </c>
      <c r="H909" s="15">
        <f t="shared" ca="1" si="100"/>
        <v>1.4384544347478314E-2</v>
      </c>
      <c r="J909" s="17">
        <f t="shared" ca="1" si="103"/>
        <v>0</v>
      </c>
      <c r="K909" s="24">
        <f t="shared" ca="1" si="104"/>
        <v>0</v>
      </c>
      <c r="L909" s="17">
        <f t="shared" ca="1" si="105"/>
        <v>0</v>
      </c>
      <c r="N909" s="24" t="str">
        <f ca="1">IF(AND(L909=1,L908&lt;&gt;1),MAX($N$8:N908)+1,"")</f>
        <v/>
      </c>
      <c r="O909" s="24" t="str">
        <f ca="1">IF(AND(L909&lt;&gt;1,L908=1),MAX($O$8:O908)+1,"")</f>
        <v/>
      </c>
      <c r="P909" s="17" t="str">
        <f ca="1">IF(AND(L909=-1,L908&lt;&gt;-1),MAX($P$8:P908)+1,"")</f>
        <v/>
      </c>
      <c r="Q909" s="24" t="str">
        <f ca="1">IF(AND(L909&lt;&gt;-1,L908=-1),MAX($Q$8:Q908)+1,"")</f>
        <v/>
      </c>
    </row>
    <row r="910" spans="1:17" x14ac:dyDescent="0.3">
      <c r="A910" s="3">
        <v>41520</v>
      </c>
      <c r="B910" s="9">
        <v>10.305073999999999</v>
      </c>
      <c r="C910" s="9">
        <v>8.6447260000000004</v>
      </c>
      <c r="E910" s="14">
        <f t="shared" si="102"/>
        <v>1.1920648497129924</v>
      </c>
      <c r="F910" s="18">
        <f t="shared" ca="1" si="101"/>
        <v>0.61971144254076349</v>
      </c>
      <c r="G910" s="15">
        <f t="shared" ca="1" si="99"/>
        <v>1.1835442102888889</v>
      </c>
      <c r="H910" s="15">
        <f t="shared" ca="1" si="100"/>
        <v>1.374936597776804E-2</v>
      </c>
      <c r="J910" s="17">
        <f t="shared" ca="1" si="103"/>
        <v>0</v>
      </c>
      <c r="K910" s="24">
        <f t="shared" ca="1" si="104"/>
        <v>0</v>
      </c>
      <c r="L910" s="17">
        <f t="shared" ca="1" si="105"/>
        <v>0</v>
      </c>
      <c r="N910" s="24" t="str">
        <f ca="1">IF(AND(L910=1,L909&lt;&gt;1),MAX($N$8:N909)+1,"")</f>
        <v/>
      </c>
      <c r="O910" s="24" t="str">
        <f ca="1">IF(AND(L910&lt;&gt;1,L909=1),MAX($O$8:O909)+1,"")</f>
        <v/>
      </c>
      <c r="P910" s="17" t="str">
        <f ca="1">IF(AND(L910=-1,L909&lt;&gt;-1),MAX($P$8:P909)+1,"")</f>
        <v/>
      </c>
      <c r="Q910" s="24" t="str">
        <f ca="1">IF(AND(L910&lt;&gt;-1,L909=-1),MAX($Q$8:Q909)+1,"")</f>
        <v/>
      </c>
    </row>
    <row r="911" spans="1:17" x14ac:dyDescent="0.3">
      <c r="A911" s="3">
        <v>41521</v>
      </c>
      <c r="B911" s="9">
        <v>10.329967999999999</v>
      </c>
      <c r="C911" s="9">
        <v>8.6884940000000004</v>
      </c>
      <c r="E911" s="14">
        <f t="shared" si="102"/>
        <v>1.1889250311964303</v>
      </c>
      <c r="F911" s="18">
        <f t="shared" ca="1" si="101"/>
        <v>0.51484975298232116</v>
      </c>
      <c r="G911" s="15">
        <f t="shared" ca="1" si="99"/>
        <v>1.1825282314438939</v>
      </c>
      <c r="H911" s="15">
        <f t="shared" ca="1" si="100"/>
        <v>1.242459516680809E-2</v>
      </c>
      <c r="J911" s="17">
        <f t="shared" ca="1" si="103"/>
        <v>0</v>
      </c>
      <c r="K911" s="24">
        <f t="shared" ca="1" si="104"/>
        <v>0</v>
      </c>
      <c r="L911" s="17">
        <f t="shared" ca="1" si="105"/>
        <v>0</v>
      </c>
      <c r="N911" s="24" t="str">
        <f ca="1">IF(AND(L911=1,L910&lt;&gt;1),MAX($N$8:N910)+1,"")</f>
        <v/>
      </c>
      <c r="O911" s="24" t="str">
        <f ca="1">IF(AND(L911&lt;&gt;1,L910=1),MAX($O$8:O910)+1,"")</f>
        <v/>
      </c>
      <c r="P911" s="17" t="str">
        <f ca="1">IF(AND(L911=-1,L910&lt;&gt;-1),MAX($P$8:P910)+1,"")</f>
        <v/>
      </c>
      <c r="Q911" s="24" t="str">
        <f ca="1">IF(AND(L911&lt;&gt;-1,L910=-1),MAX($Q$8:Q910)+1,"")</f>
        <v/>
      </c>
    </row>
    <row r="912" spans="1:17" x14ac:dyDescent="0.3">
      <c r="A912" s="3">
        <v>41522</v>
      </c>
      <c r="B912" s="9">
        <v>10.440106999999999</v>
      </c>
      <c r="C912" s="9">
        <v>8.7885530000000003</v>
      </c>
      <c r="E912" s="14">
        <f t="shared" si="102"/>
        <v>1.1879210377407976</v>
      </c>
      <c r="F912" s="18">
        <f t="shared" ca="1" si="101"/>
        <v>0.56103208859040521</v>
      </c>
      <c r="G912" s="15">
        <f t="shared" ca="1" si="99"/>
        <v>1.1816258023459825</v>
      </c>
      <c r="H912" s="15">
        <f t="shared" ca="1" si="100"/>
        <v>1.1220811648460132E-2</v>
      </c>
      <c r="J912" s="17">
        <f t="shared" ca="1" si="103"/>
        <v>0</v>
      </c>
      <c r="K912" s="24">
        <f t="shared" ca="1" si="104"/>
        <v>0</v>
      </c>
      <c r="L912" s="17">
        <f t="shared" ca="1" si="105"/>
        <v>0</v>
      </c>
      <c r="N912" s="24" t="str">
        <f ca="1">IF(AND(L912=1,L911&lt;&gt;1),MAX($N$8:N911)+1,"")</f>
        <v/>
      </c>
      <c r="O912" s="24" t="str">
        <f ca="1">IF(AND(L912&lt;&gt;1,L911=1),MAX($O$8:O911)+1,"")</f>
        <v/>
      </c>
      <c r="P912" s="17" t="str">
        <f ca="1">IF(AND(L912=-1,L911&lt;&gt;-1),MAX($P$8:P911)+1,"")</f>
        <v/>
      </c>
      <c r="Q912" s="24" t="str">
        <f ca="1">IF(AND(L912&lt;&gt;-1,L911=-1),MAX($Q$8:Q911)+1,"")</f>
        <v/>
      </c>
    </row>
    <row r="913" spans="1:17" x14ac:dyDescent="0.3">
      <c r="A913" s="3">
        <v>41523</v>
      </c>
      <c r="B913" s="9">
        <v>10.653229</v>
      </c>
      <c r="C913" s="9">
        <v>8.9573689999999999</v>
      </c>
      <c r="E913" s="14">
        <f t="shared" si="102"/>
        <v>1.1893256825748721</v>
      </c>
      <c r="F913" s="18">
        <f t="shared" ca="1" si="101"/>
        <v>0.69276388811871503</v>
      </c>
      <c r="G913" s="15">
        <f t="shared" ca="1" si="99"/>
        <v>1.1815771554074408</v>
      </c>
      <c r="H913" s="15">
        <f t="shared" ca="1" si="100"/>
        <v>1.118494670453078E-2</v>
      </c>
      <c r="J913" s="17">
        <f t="shared" ca="1" si="103"/>
        <v>0</v>
      </c>
      <c r="K913" s="24">
        <f t="shared" ca="1" si="104"/>
        <v>0</v>
      </c>
      <c r="L913" s="17">
        <f t="shared" ca="1" si="105"/>
        <v>0</v>
      </c>
      <c r="N913" s="24" t="str">
        <f ca="1">IF(AND(L913=1,L912&lt;&gt;1),MAX($N$8:N912)+1,"")</f>
        <v/>
      </c>
      <c r="O913" s="24" t="str">
        <f ca="1">IF(AND(L913&lt;&gt;1,L912=1),MAX($O$8:O912)+1,"")</f>
        <v/>
      </c>
      <c r="P913" s="17" t="str">
        <f ca="1">IF(AND(L913=-1,L912&lt;&gt;-1),MAX($P$8:P912)+1,"")</f>
        <v/>
      </c>
      <c r="Q913" s="24" t="str">
        <f ca="1">IF(AND(L913&lt;&gt;-1,L912=-1),MAX($Q$8:Q912)+1,"")</f>
        <v/>
      </c>
    </row>
    <row r="914" spans="1:17" x14ac:dyDescent="0.3">
      <c r="A914" s="3">
        <v>41526</v>
      </c>
      <c r="B914" s="9">
        <v>10.951589999999999</v>
      </c>
      <c r="C914" s="9">
        <v>9.2199740000000006</v>
      </c>
      <c r="E914" s="14">
        <f t="shared" si="102"/>
        <v>1.187811375606916</v>
      </c>
      <c r="F914" s="18">
        <f t="shared" ca="1" si="101"/>
        <v>0.54947339742681034</v>
      </c>
      <c r="G914" s="15">
        <f t="shared" ca="1" si="99"/>
        <v>1.1816469496660158</v>
      </c>
      <c r="H914" s="15">
        <f t="shared" ca="1" si="100"/>
        <v>1.1218788697993818E-2</v>
      </c>
      <c r="J914" s="17">
        <f t="shared" ca="1" si="103"/>
        <v>0</v>
      </c>
      <c r="K914" s="24">
        <f t="shared" ca="1" si="104"/>
        <v>0</v>
      </c>
      <c r="L914" s="17">
        <f t="shared" ca="1" si="105"/>
        <v>0</v>
      </c>
      <c r="N914" s="24" t="str">
        <f ca="1">IF(AND(L914=1,L913&lt;&gt;1),MAX($N$8:N913)+1,"")</f>
        <v/>
      </c>
      <c r="O914" s="24" t="str">
        <f ca="1">IF(AND(L914&lt;&gt;1,L913=1),MAX($O$8:O913)+1,"")</f>
        <v/>
      </c>
      <c r="P914" s="17" t="str">
        <f ca="1">IF(AND(L914=-1,L913&lt;&gt;-1),MAX($P$8:P913)+1,"")</f>
        <v/>
      </c>
      <c r="Q914" s="24" t="str">
        <f ca="1">IF(AND(L914&lt;&gt;-1,L913=-1),MAX($Q$8:Q913)+1,"")</f>
        <v/>
      </c>
    </row>
    <row r="915" spans="1:17" x14ac:dyDescent="0.3">
      <c r="A915" s="3">
        <v>41527</v>
      </c>
      <c r="B915" s="9">
        <v>11.029745</v>
      </c>
      <c r="C915" s="9">
        <v>9.3325610000000001</v>
      </c>
      <c r="E915" s="14">
        <f t="shared" si="102"/>
        <v>1.1818561914569858</v>
      </c>
      <c r="F915" s="18">
        <f t="shared" ca="1" si="101"/>
        <v>1.0153951367503737E-2</v>
      </c>
      <c r="G915" s="15">
        <f t="shared" ca="1" si="99"/>
        <v>1.1817423531163289</v>
      </c>
      <c r="H915" s="15">
        <f t="shared" ca="1" si="100"/>
        <v>1.1211235561088818E-2</v>
      </c>
      <c r="J915" s="17">
        <f t="shared" ca="1" si="103"/>
        <v>0</v>
      </c>
      <c r="K915" s="24">
        <f t="shared" ca="1" si="104"/>
        <v>0</v>
      </c>
      <c r="L915" s="17">
        <f t="shared" ca="1" si="105"/>
        <v>0</v>
      </c>
      <c r="N915" s="24" t="str">
        <f ca="1">IF(AND(L915=1,L914&lt;&gt;1),MAX($N$8:N914)+1,"")</f>
        <v/>
      </c>
      <c r="O915" s="24" t="str">
        <f ca="1">IF(AND(L915&lt;&gt;1,L914=1),MAX($O$8:O914)+1,"")</f>
        <v/>
      </c>
      <c r="P915" s="17" t="str">
        <f ca="1">IF(AND(L915=-1,L914&lt;&gt;-1),MAX($P$8:P914)+1,"")</f>
        <v/>
      </c>
      <c r="Q915" s="24" t="str">
        <f ca="1">IF(AND(L915&lt;&gt;-1,L914=-1),MAX($Q$8:Q914)+1,"")</f>
        <v/>
      </c>
    </row>
    <row r="916" spans="1:17" x14ac:dyDescent="0.3">
      <c r="A916" s="3">
        <v>41528</v>
      </c>
      <c r="B916" s="9">
        <v>10.976482000000001</v>
      </c>
      <c r="C916" s="9">
        <v>9.42319</v>
      </c>
      <c r="E916" s="14">
        <f t="shared" si="102"/>
        <v>1.1648371729743325</v>
      </c>
      <c r="F916" s="18">
        <f t="shared" ca="1" si="101"/>
        <v>-1.3602143418909483</v>
      </c>
      <c r="G916" s="15">
        <f t="shared" ca="1" si="99"/>
        <v>1.180595666248613</v>
      </c>
      <c r="H916" s="15">
        <f t="shared" ca="1" si="100"/>
        <v>1.1585301513857931E-2</v>
      </c>
      <c r="J916" s="17">
        <f t="shared" ca="1" si="103"/>
        <v>0</v>
      </c>
      <c r="K916" s="24">
        <f t="shared" ca="1" si="104"/>
        <v>-1</v>
      </c>
      <c r="L916" s="17">
        <f t="shared" ca="1" si="105"/>
        <v>-1</v>
      </c>
      <c r="N916" s="24" t="str">
        <f ca="1">IF(AND(L916=1,L915&lt;&gt;1),MAX($N$8:N915)+1,"")</f>
        <v/>
      </c>
      <c r="O916" s="24" t="str">
        <f ca="1">IF(AND(L916&lt;&gt;1,L915=1),MAX($O$8:O915)+1,"")</f>
        <v/>
      </c>
      <c r="P916" s="17">
        <f ca="1">IF(AND(L916=-1,L915&lt;&gt;-1),MAX($P$8:P915)+1,"")</f>
        <v>37</v>
      </c>
      <c r="Q916" s="24" t="str">
        <f ca="1">IF(AND(L916&lt;&gt;-1,L915=-1),MAX($Q$8:Q915)+1,"")</f>
        <v/>
      </c>
    </row>
    <row r="917" spans="1:17" x14ac:dyDescent="0.3">
      <c r="A917" s="3">
        <v>41529</v>
      </c>
      <c r="B917" s="9">
        <v>10.951589999999999</v>
      </c>
      <c r="C917" s="9">
        <v>9.2419229999999999</v>
      </c>
      <c r="E917" s="14">
        <f t="shared" si="102"/>
        <v>1.1849903964791744</v>
      </c>
      <c r="F917" s="18">
        <f t="shared" ca="1" si="101"/>
        <v>0.33161365576316409</v>
      </c>
      <c r="G917" s="15">
        <f t="shared" ca="1" si="99"/>
        <v>1.1811903966491888</v>
      </c>
      <c r="H917" s="15">
        <f t="shared" ca="1" si="100"/>
        <v>1.1459117451723729E-2</v>
      </c>
      <c r="J917" s="17">
        <f t="shared" ca="1" si="103"/>
        <v>0</v>
      </c>
      <c r="K917" s="24">
        <f t="shared" ca="1" si="104"/>
        <v>0</v>
      </c>
      <c r="L917" s="17">
        <f t="shared" ca="1" si="105"/>
        <v>0</v>
      </c>
      <c r="N917" s="24" t="str">
        <f ca="1">IF(AND(L917=1,L916&lt;&gt;1),MAX($N$8:N916)+1,"")</f>
        <v/>
      </c>
      <c r="O917" s="24" t="str">
        <f ca="1">IF(AND(L917&lt;&gt;1,L916=1),MAX($O$8:O916)+1,"")</f>
        <v/>
      </c>
      <c r="P917" s="17" t="str">
        <f ca="1">IF(AND(L917=-1,L916&lt;&gt;-1),MAX($P$8:P916)+1,"")</f>
        <v/>
      </c>
      <c r="Q917" s="24">
        <f ca="1">IF(AND(L917&lt;&gt;-1,L916=-1),MAX($Q$8:Q916)+1,"")</f>
        <v>37</v>
      </c>
    </row>
    <row r="918" spans="1:17" x14ac:dyDescent="0.3">
      <c r="A918" s="3">
        <v>41530</v>
      </c>
      <c r="B918" s="9">
        <v>11.111447999999999</v>
      </c>
      <c r="C918" s="9">
        <v>9.3169319999999995</v>
      </c>
      <c r="E918" s="14">
        <f t="shared" si="102"/>
        <v>1.1926080387835825</v>
      </c>
      <c r="F918" s="18">
        <f t="shared" ca="1" si="101"/>
        <v>0.91067400314146407</v>
      </c>
      <c r="G918" s="15">
        <f t="shared" ca="1" si="99"/>
        <v>1.1821150770707465</v>
      </c>
      <c r="H918" s="15">
        <f t="shared" ca="1" si="100"/>
        <v>1.1522193097243826E-2</v>
      </c>
      <c r="J918" s="17">
        <f t="shared" ca="1" si="103"/>
        <v>0</v>
      </c>
      <c r="K918" s="24">
        <f t="shared" ca="1" si="104"/>
        <v>0</v>
      </c>
      <c r="L918" s="17">
        <f t="shared" ca="1" si="105"/>
        <v>0</v>
      </c>
      <c r="N918" s="24" t="str">
        <f ca="1">IF(AND(L918=1,L917&lt;&gt;1),MAX($N$8:N917)+1,"")</f>
        <v/>
      </c>
      <c r="O918" s="24" t="str">
        <f ca="1">IF(AND(L918&lt;&gt;1,L917=1),MAX($O$8:O917)+1,"")</f>
        <v/>
      </c>
      <c r="P918" s="17" t="str">
        <f ca="1">IF(AND(L918=-1,L917&lt;&gt;-1),MAX($P$8:P917)+1,"")</f>
        <v/>
      </c>
      <c r="Q918" s="24" t="str">
        <f ca="1">IF(AND(L918&lt;&gt;-1,L917=-1),MAX($Q$8:Q917)+1,"")</f>
        <v/>
      </c>
    </row>
    <row r="919" spans="1:17" x14ac:dyDescent="0.3">
      <c r="A919" s="3">
        <v>41533</v>
      </c>
      <c r="B919" s="9">
        <v>11.044</v>
      </c>
      <c r="C919" s="9">
        <v>9.3575370000000007</v>
      </c>
      <c r="E919" s="14">
        <f t="shared" si="102"/>
        <v>1.180225095556662</v>
      </c>
      <c r="F919" s="18">
        <f t="shared" ca="1" si="101"/>
        <v>-0.17372741679418002</v>
      </c>
      <c r="G919" s="15">
        <f t="shared" ca="1" si="99"/>
        <v>1.1822217943390938</v>
      </c>
      <c r="H919" s="15">
        <f t="shared" ca="1" si="100"/>
        <v>1.1493285396612745E-2</v>
      </c>
      <c r="J919" s="17">
        <f t="shared" ca="1" si="103"/>
        <v>0</v>
      </c>
      <c r="K919" s="24">
        <f t="shared" ca="1" si="104"/>
        <v>0</v>
      </c>
      <c r="L919" s="17">
        <f t="shared" ca="1" si="105"/>
        <v>0</v>
      </c>
      <c r="N919" s="24" t="str">
        <f ca="1">IF(AND(L919=1,L918&lt;&gt;1),MAX($N$8:N918)+1,"")</f>
        <v/>
      </c>
      <c r="O919" s="24" t="str">
        <f ca="1">IF(AND(L919&lt;&gt;1,L918=1),MAX($O$8:O918)+1,"")</f>
        <v/>
      </c>
      <c r="P919" s="17" t="str">
        <f ca="1">IF(AND(L919=-1,L918&lt;&gt;-1),MAX($P$8:P918)+1,"")</f>
        <v/>
      </c>
      <c r="Q919" s="24" t="str">
        <f ca="1">IF(AND(L919&lt;&gt;-1,L918=-1),MAX($Q$8:Q918)+1,"")</f>
        <v/>
      </c>
    </row>
    <row r="920" spans="1:17" x14ac:dyDescent="0.3">
      <c r="A920" s="3">
        <v>41534</v>
      </c>
      <c r="B920" s="9">
        <v>11.221583000000001</v>
      </c>
      <c r="C920" s="9">
        <v>9.4545010000000005</v>
      </c>
      <c r="E920" s="14">
        <f t="shared" si="102"/>
        <v>1.1869037826533626</v>
      </c>
      <c r="F920" s="18">
        <f t="shared" ca="1" si="101"/>
        <v>0.33793660251606666</v>
      </c>
      <c r="G920" s="15">
        <f t="shared" ca="1" si="99"/>
        <v>1.1832309517390842</v>
      </c>
      <c r="H920" s="15">
        <f t="shared" ca="1" si="100"/>
        <v>1.0868402200095422E-2</v>
      </c>
      <c r="J920" s="17">
        <f t="shared" ca="1" si="103"/>
        <v>0</v>
      </c>
      <c r="K920" s="24">
        <f t="shared" ca="1" si="104"/>
        <v>0</v>
      </c>
      <c r="L920" s="17">
        <f t="shared" ca="1" si="105"/>
        <v>0</v>
      </c>
      <c r="N920" s="24" t="str">
        <f ca="1">IF(AND(L920=1,L919&lt;&gt;1),MAX($N$8:N919)+1,"")</f>
        <v/>
      </c>
      <c r="O920" s="24" t="str">
        <f ca="1">IF(AND(L920&lt;&gt;1,L919=1),MAX($O$8:O919)+1,"")</f>
        <v/>
      </c>
      <c r="P920" s="17" t="str">
        <f ca="1">IF(AND(L920=-1,L919&lt;&gt;-1),MAX($P$8:P919)+1,"")</f>
        <v/>
      </c>
      <c r="Q920" s="24" t="str">
        <f ca="1">IF(AND(L920&lt;&gt;-1,L919=-1),MAX($Q$8:Q919)+1,"")</f>
        <v/>
      </c>
    </row>
    <row r="921" spans="1:17" x14ac:dyDescent="0.3">
      <c r="A921" s="3">
        <v>41535</v>
      </c>
      <c r="B921" s="9">
        <v>11.544840000000001</v>
      </c>
      <c r="C921" s="9">
        <v>9.7671399999999995</v>
      </c>
      <c r="E921" s="14">
        <f t="shared" si="102"/>
        <v>1.1820082439690638</v>
      </c>
      <c r="F921" s="18">
        <f t="shared" ca="1" si="101"/>
        <v>-0.26058892873041833</v>
      </c>
      <c r="G921" s="15">
        <f t="shared" ca="1" si="99"/>
        <v>1.1843967535210862</v>
      </c>
      <c r="H921" s="15">
        <f t="shared" ca="1" si="100"/>
        <v>9.1658136194010999E-3</v>
      </c>
      <c r="J921" s="17">
        <f t="shared" ca="1" si="103"/>
        <v>0</v>
      </c>
      <c r="K921" s="24">
        <f t="shared" ca="1" si="104"/>
        <v>0</v>
      </c>
      <c r="L921" s="17">
        <f t="shared" ca="1" si="105"/>
        <v>0</v>
      </c>
      <c r="N921" s="24" t="str">
        <f ca="1">IF(AND(L921=1,L920&lt;&gt;1),MAX($N$8:N920)+1,"")</f>
        <v/>
      </c>
      <c r="O921" s="24" t="str">
        <f ca="1">IF(AND(L921&lt;&gt;1,L920=1),MAX($O$8:O920)+1,"")</f>
        <v/>
      </c>
      <c r="P921" s="17" t="str">
        <f ca="1">IF(AND(L921=-1,L920&lt;&gt;-1),MAX($P$8:P920)+1,"")</f>
        <v/>
      </c>
      <c r="Q921" s="24" t="str">
        <f ca="1">IF(AND(L921&lt;&gt;-1,L920=-1),MAX($Q$8:Q920)+1,"")</f>
        <v/>
      </c>
    </row>
    <row r="922" spans="1:17" x14ac:dyDescent="0.3">
      <c r="A922" s="3">
        <v>41536</v>
      </c>
      <c r="B922" s="9">
        <v>11.473782</v>
      </c>
      <c r="C922" s="9">
        <v>9.8078099999999999</v>
      </c>
      <c r="E922" s="14">
        <f t="shared" si="102"/>
        <v>1.1698617734234249</v>
      </c>
      <c r="F922" s="18">
        <f t="shared" ca="1" si="101"/>
        <v>-1.8595528235737775</v>
      </c>
      <c r="G922" s="15">
        <f t="shared" ca="1" si="99"/>
        <v>1.1848694060662959</v>
      </c>
      <c r="H922" s="15">
        <f t="shared" ca="1" si="100"/>
        <v>8.0705600037909043E-3</v>
      </c>
      <c r="J922" s="17">
        <f t="shared" ca="1" si="103"/>
        <v>0</v>
      </c>
      <c r="K922" s="24">
        <f t="shared" ca="1" si="104"/>
        <v>-1</v>
      </c>
      <c r="L922" s="17">
        <f t="shared" ca="1" si="105"/>
        <v>-1</v>
      </c>
      <c r="N922" s="24" t="str">
        <f ca="1">IF(AND(L922=1,L921&lt;&gt;1),MAX($N$8:N921)+1,"")</f>
        <v/>
      </c>
      <c r="O922" s="24" t="str">
        <f ca="1">IF(AND(L922&lt;&gt;1,L921=1),MAX($O$8:O921)+1,"")</f>
        <v/>
      </c>
      <c r="P922" s="17">
        <f ca="1">IF(AND(L922=-1,L921&lt;&gt;-1),MAX($P$8:P921)+1,"")</f>
        <v>38</v>
      </c>
      <c r="Q922" s="24" t="str">
        <f ca="1">IF(AND(L922&lt;&gt;-1,L921=-1),MAX($Q$8:Q921)+1,"")</f>
        <v/>
      </c>
    </row>
    <row r="923" spans="1:17" x14ac:dyDescent="0.3">
      <c r="A923" s="3">
        <v>41537</v>
      </c>
      <c r="B923" s="9">
        <v>11.125703</v>
      </c>
      <c r="C923" s="9">
        <v>9.5639249999999993</v>
      </c>
      <c r="E923" s="14">
        <f t="shared" si="102"/>
        <v>1.1632988548111785</v>
      </c>
      <c r="F923" s="18">
        <f t="shared" ca="1" si="101"/>
        <v>-2.4227873867977432</v>
      </c>
      <c r="G923" s="15">
        <f t="shared" ca="1" si="99"/>
        <v>1.1845395679909805</v>
      </c>
      <c r="H923" s="15">
        <f t="shared" ca="1" si="100"/>
        <v>8.7670561996264947E-3</v>
      </c>
      <c r="J923" s="17">
        <f t="shared" ca="1" si="103"/>
        <v>0</v>
      </c>
      <c r="K923" s="24">
        <f t="shared" ca="1" si="104"/>
        <v>-1</v>
      </c>
      <c r="L923" s="17">
        <f t="shared" ca="1" si="105"/>
        <v>-1</v>
      </c>
      <c r="N923" s="24" t="str">
        <f ca="1">IF(AND(L923=1,L922&lt;&gt;1),MAX($N$8:N922)+1,"")</f>
        <v/>
      </c>
      <c r="O923" s="24" t="str">
        <f ca="1">IF(AND(L923&lt;&gt;1,L922=1),MAX($O$8:O922)+1,"")</f>
        <v/>
      </c>
      <c r="P923" s="17" t="str">
        <f ca="1">IF(AND(L923=-1,L922&lt;&gt;-1),MAX($P$8:P922)+1,"")</f>
        <v/>
      </c>
      <c r="Q923" s="24" t="str">
        <f ca="1">IF(AND(L923&lt;&gt;-1,L922=-1),MAX($Q$8:Q922)+1,"")</f>
        <v/>
      </c>
    </row>
    <row r="924" spans="1:17" x14ac:dyDescent="0.3">
      <c r="A924" s="3">
        <v>41540</v>
      </c>
      <c r="B924" s="9">
        <v>11.225132</v>
      </c>
      <c r="C924" s="9">
        <v>9.6139500000000009</v>
      </c>
      <c r="E924" s="14">
        <f t="shared" si="102"/>
        <v>1.1675879321194722</v>
      </c>
      <c r="F924" s="18">
        <f t="shared" ca="1" si="101"/>
        <v>-1.7865861867050941</v>
      </c>
      <c r="G924" s="15">
        <f t="shared" ca="1" si="99"/>
        <v>1.1841738205003003</v>
      </c>
      <c r="H924" s="15">
        <f t="shared" ca="1" si="100"/>
        <v>9.28356465769869E-3</v>
      </c>
      <c r="J924" s="17">
        <f t="shared" ca="1" si="103"/>
        <v>0</v>
      </c>
      <c r="K924" s="24">
        <f t="shared" ca="1" si="104"/>
        <v>-1</v>
      </c>
      <c r="L924" s="17">
        <f t="shared" ca="1" si="105"/>
        <v>-1</v>
      </c>
      <c r="N924" s="24" t="str">
        <f ca="1">IF(AND(L924=1,L923&lt;&gt;1),MAX($N$8:N923)+1,"")</f>
        <v/>
      </c>
      <c r="O924" s="24" t="str">
        <f ca="1">IF(AND(L924&lt;&gt;1,L923=1),MAX($O$8:O923)+1,"")</f>
        <v/>
      </c>
      <c r="P924" s="17" t="str">
        <f ca="1">IF(AND(L924=-1,L923&lt;&gt;-1),MAX($P$8:P923)+1,"")</f>
        <v/>
      </c>
      <c r="Q924" s="24" t="str">
        <f ca="1">IF(AND(L924&lt;&gt;-1,L923=-1),MAX($Q$8:Q923)+1,"")</f>
        <v/>
      </c>
    </row>
    <row r="925" spans="1:17" x14ac:dyDescent="0.3">
      <c r="A925" s="3">
        <v>41541</v>
      </c>
      <c r="B925" s="9">
        <v>11.182508</v>
      </c>
      <c r="C925" s="9">
        <v>9.6139500000000009</v>
      </c>
      <c r="E925" s="14">
        <f t="shared" si="102"/>
        <v>1.1631543746326951</v>
      </c>
      <c r="F925" s="18">
        <f t="shared" ca="1" si="101"/>
        <v>-1.9533435216903403</v>
      </c>
      <c r="G925" s="15">
        <f t="shared" ca="1" si="99"/>
        <v>1.1828670251595506</v>
      </c>
      <c r="H925" s="15">
        <f t="shared" ca="1" si="100"/>
        <v>1.0091747973647236E-2</v>
      </c>
      <c r="J925" s="17">
        <f t="shared" ca="1" si="103"/>
        <v>0</v>
      </c>
      <c r="K925" s="24">
        <f t="shared" ca="1" si="104"/>
        <v>-1</v>
      </c>
      <c r="L925" s="17">
        <f t="shared" ca="1" si="105"/>
        <v>-1</v>
      </c>
      <c r="N925" s="24" t="str">
        <f ca="1">IF(AND(L925=1,L924&lt;&gt;1),MAX($N$8:N924)+1,"")</f>
        <v/>
      </c>
      <c r="O925" s="24" t="str">
        <f ca="1">IF(AND(L925&lt;&gt;1,L924=1),MAX($O$8:O924)+1,"")</f>
        <v/>
      </c>
      <c r="P925" s="17" t="str">
        <f ca="1">IF(AND(L925=-1,L924&lt;&gt;-1),MAX($P$8:P924)+1,"")</f>
        <v/>
      </c>
      <c r="Q925" s="24" t="str">
        <f ca="1">IF(AND(L925&lt;&gt;-1,L924=-1),MAX($Q$8:Q924)+1,"")</f>
        <v/>
      </c>
    </row>
    <row r="926" spans="1:17" x14ac:dyDescent="0.3">
      <c r="A926" s="3">
        <v>41542</v>
      </c>
      <c r="B926" s="9">
        <v>11.193147</v>
      </c>
      <c r="C926" s="9">
        <v>9.660819</v>
      </c>
      <c r="E926" s="14">
        <f t="shared" si="102"/>
        <v>1.1586126393631844</v>
      </c>
      <c r="F926" s="18">
        <f t="shared" ca="1" si="101"/>
        <v>-2.0450851113107182</v>
      </c>
      <c r="G926" s="15">
        <f t="shared" ca="1" si="99"/>
        <v>1.1816219162393009</v>
      </c>
      <c r="H926" s="15">
        <f t="shared" ca="1" si="100"/>
        <v>1.1251011876649784E-2</v>
      </c>
      <c r="J926" s="17">
        <f t="shared" ca="1" si="103"/>
        <v>0</v>
      </c>
      <c r="K926" s="24">
        <f t="shared" ca="1" si="104"/>
        <v>-1</v>
      </c>
      <c r="L926" s="17">
        <f t="shared" ca="1" si="105"/>
        <v>-1</v>
      </c>
      <c r="N926" s="24" t="str">
        <f ca="1">IF(AND(L926=1,L925&lt;&gt;1),MAX($N$8:N925)+1,"")</f>
        <v/>
      </c>
      <c r="O926" s="24" t="str">
        <f ca="1">IF(AND(L926&lt;&gt;1,L925=1),MAX($O$8:O925)+1,"")</f>
        <v/>
      </c>
      <c r="P926" s="17" t="str">
        <f ca="1">IF(AND(L926=-1,L925&lt;&gt;-1),MAX($P$8:P925)+1,"")</f>
        <v/>
      </c>
      <c r="Q926" s="24" t="str">
        <f ca="1">IF(AND(L926&lt;&gt;-1,L925=-1),MAX($Q$8:Q925)+1,"")</f>
        <v/>
      </c>
    </row>
    <row r="927" spans="1:17" x14ac:dyDescent="0.3">
      <c r="A927" s="3">
        <v>41543</v>
      </c>
      <c r="B927" s="9">
        <v>11.189601</v>
      </c>
      <c r="C927" s="9">
        <v>9.6577219999999997</v>
      </c>
      <c r="E927" s="14">
        <f t="shared" si="102"/>
        <v>1.1586170113407697</v>
      </c>
      <c r="F927" s="18">
        <f t="shared" ca="1" si="101"/>
        <v>-1.7870200867491399</v>
      </c>
      <c r="G927" s="15">
        <f t="shared" ref="G927:G990" ca="1" si="106">IF(ISNUMBER(E927),IF(ROW(E927)&gt;$J$1,AVERAGE(OFFSET(E927,0,0,-$J$1)),""),"")</f>
        <v>1.1803095710839757</v>
      </c>
      <c r="H927" s="15">
        <f t="shared" ref="H927:H990" ca="1" si="107">IF(ISNUMBER(E927),IF(ROW(E927)&gt;$J$1,_xlfn.STDEV.P(OFFSET(E927,0,0,-$J$1)),""),"")</f>
        <v>1.2138956861233778E-2</v>
      </c>
      <c r="J927" s="17">
        <f t="shared" ca="1" si="103"/>
        <v>0</v>
      </c>
      <c r="K927" s="24">
        <f t="shared" ca="1" si="104"/>
        <v>-1</v>
      </c>
      <c r="L927" s="17">
        <f t="shared" ca="1" si="105"/>
        <v>-1</v>
      </c>
      <c r="N927" s="24" t="str">
        <f ca="1">IF(AND(L927=1,L926&lt;&gt;1),MAX($N$8:N926)+1,"")</f>
        <v/>
      </c>
      <c r="O927" s="24" t="str">
        <f ca="1">IF(AND(L927&lt;&gt;1,L926=1),MAX($O$8:O926)+1,"")</f>
        <v/>
      </c>
      <c r="P927" s="17" t="str">
        <f ca="1">IF(AND(L927=-1,L926&lt;&gt;-1),MAX($P$8:P926)+1,"")</f>
        <v/>
      </c>
      <c r="Q927" s="24" t="str">
        <f ca="1">IF(AND(L927&lt;&gt;-1,L926=-1),MAX($Q$8:Q926)+1,"")</f>
        <v/>
      </c>
    </row>
    <row r="928" spans="1:17" x14ac:dyDescent="0.3">
      <c r="A928" s="3">
        <v>41544</v>
      </c>
      <c r="B928" s="9">
        <v>11.438250999999999</v>
      </c>
      <c r="C928" s="9">
        <v>9.8890849999999997</v>
      </c>
      <c r="E928" s="14">
        <f t="shared" si="102"/>
        <v>1.156654129274852</v>
      </c>
      <c r="F928" s="18">
        <f t="shared" ca="1" si="101"/>
        <v>-1.7515464624072787</v>
      </c>
      <c r="G928" s="15">
        <f t="shared" ca="1" si="106"/>
        <v>1.1784118515922017</v>
      </c>
      <c r="H928" s="15">
        <f t="shared" ca="1" si="107"/>
        <v>1.242200694319379E-2</v>
      </c>
      <c r="J928" s="17">
        <f t="shared" ca="1" si="103"/>
        <v>0</v>
      </c>
      <c r="K928" s="24">
        <f t="shared" ca="1" si="104"/>
        <v>-1</v>
      </c>
      <c r="L928" s="17">
        <f t="shared" ca="1" si="105"/>
        <v>-1</v>
      </c>
      <c r="N928" s="24" t="str">
        <f ca="1">IF(AND(L928=1,L927&lt;&gt;1),MAX($N$8:N927)+1,"")</f>
        <v/>
      </c>
      <c r="O928" s="24" t="str">
        <f ca="1">IF(AND(L928&lt;&gt;1,L927=1),MAX($O$8:O927)+1,"")</f>
        <v/>
      </c>
      <c r="P928" s="17" t="str">
        <f ca="1">IF(AND(L928=-1,L927&lt;&gt;-1),MAX($P$8:P927)+1,"")</f>
        <v/>
      </c>
      <c r="Q928" s="24" t="str">
        <f ca="1">IF(AND(L928&lt;&gt;-1,L927=-1),MAX($Q$8:Q927)+1,"")</f>
        <v/>
      </c>
    </row>
    <row r="929" spans="1:17" x14ac:dyDescent="0.3">
      <c r="A929" s="3">
        <v>41547</v>
      </c>
      <c r="B929" s="9">
        <v>11.168322</v>
      </c>
      <c r="C929" s="9">
        <v>9.4982690000000005</v>
      </c>
      <c r="E929" s="14">
        <f t="shared" si="102"/>
        <v>1.1758270901782208</v>
      </c>
      <c r="F929" s="18">
        <f t="shared" ca="1" si="101"/>
        <v>-0.16520818930610526</v>
      </c>
      <c r="G929" s="15">
        <f t="shared" ca="1" si="106"/>
        <v>1.177850154546813</v>
      </c>
      <c r="H929" s="15">
        <f t="shared" ca="1" si="107"/>
        <v>1.2245545315212518E-2</v>
      </c>
      <c r="J929" s="17">
        <f t="shared" ca="1" si="103"/>
        <v>0</v>
      </c>
      <c r="K929" s="24">
        <f t="shared" ca="1" si="104"/>
        <v>-1</v>
      </c>
      <c r="L929" s="17">
        <f t="shared" ca="1" si="105"/>
        <v>-1</v>
      </c>
      <c r="N929" s="24" t="str">
        <f ca="1">IF(AND(L929=1,L928&lt;&gt;1),MAX($N$8:N928)+1,"")</f>
        <v/>
      </c>
      <c r="O929" s="24" t="str">
        <f ca="1">IF(AND(L929&lt;&gt;1,L928=1),MAX($O$8:O928)+1,"")</f>
        <v/>
      </c>
      <c r="P929" s="17" t="str">
        <f ca="1">IF(AND(L929=-1,L928&lt;&gt;-1),MAX($P$8:P928)+1,"")</f>
        <v/>
      </c>
      <c r="Q929" s="24" t="str">
        <f ca="1">IF(AND(L929&lt;&gt;-1,L928=-1),MAX($Q$8:Q928)+1,"")</f>
        <v/>
      </c>
    </row>
    <row r="930" spans="1:17" x14ac:dyDescent="0.3">
      <c r="A930" s="3">
        <v>41548</v>
      </c>
      <c r="B930" s="9">
        <v>11.289145</v>
      </c>
      <c r="C930" s="9">
        <v>9.6264730000000007</v>
      </c>
      <c r="E930" s="14">
        <f t="shared" si="102"/>
        <v>1.172718710165187</v>
      </c>
      <c r="F930" s="18">
        <f t="shared" ca="1" si="101"/>
        <v>-0.36729883743974245</v>
      </c>
      <c r="G930" s="15">
        <f t="shared" ca="1" si="106"/>
        <v>1.1771570738540553</v>
      </c>
      <c r="H930" s="15">
        <f t="shared" ca="1" si="107"/>
        <v>1.208379454671276E-2</v>
      </c>
      <c r="J930" s="17">
        <f t="shared" ca="1" si="103"/>
        <v>0</v>
      </c>
      <c r="K930" s="24">
        <f t="shared" ca="1" si="104"/>
        <v>-1</v>
      </c>
      <c r="L930" s="17">
        <f t="shared" ca="1" si="105"/>
        <v>-1</v>
      </c>
      <c r="N930" s="24" t="str">
        <f ca="1">IF(AND(L930=1,L929&lt;&gt;1),MAX($N$8:N929)+1,"")</f>
        <v/>
      </c>
      <c r="O930" s="24" t="str">
        <f ca="1">IF(AND(L930&lt;&gt;1,L929=1),MAX($O$8:O929)+1,"")</f>
        <v/>
      </c>
      <c r="P930" s="17" t="str">
        <f ca="1">IF(AND(L930=-1,L929&lt;&gt;-1),MAX($P$8:P929)+1,"")</f>
        <v/>
      </c>
      <c r="Q930" s="24" t="str">
        <f ca="1">IF(AND(L930&lt;&gt;-1,L929=-1),MAX($Q$8:Q929)+1,"")</f>
        <v/>
      </c>
    </row>
    <row r="931" spans="1:17" x14ac:dyDescent="0.3">
      <c r="A931" s="3">
        <v>41549</v>
      </c>
      <c r="B931" s="9">
        <v>11.242934</v>
      </c>
      <c r="C931" s="9">
        <v>9.6588879999999993</v>
      </c>
      <c r="E931" s="14">
        <f t="shared" si="102"/>
        <v>1.1639987957205842</v>
      </c>
      <c r="F931" s="18">
        <f t="shared" ca="1" si="101"/>
        <v>-0.99607415251059006</v>
      </c>
      <c r="G931" s="15">
        <f t="shared" ca="1" si="106"/>
        <v>1.1759003731697608</v>
      </c>
      <c r="H931" s="15">
        <f t="shared" ca="1" si="107"/>
        <v>1.1948485380509964E-2</v>
      </c>
      <c r="J931" s="17">
        <f t="shared" ca="1" si="103"/>
        <v>0</v>
      </c>
      <c r="K931" s="24">
        <f t="shared" ca="1" si="104"/>
        <v>-1</v>
      </c>
      <c r="L931" s="17">
        <f t="shared" ca="1" si="105"/>
        <v>-1</v>
      </c>
      <c r="N931" s="24" t="str">
        <f ca="1">IF(AND(L931=1,L930&lt;&gt;1),MAX($N$8:N930)+1,"")</f>
        <v/>
      </c>
      <c r="O931" s="24" t="str">
        <f ca="1">IF(AND(L931&lt;&gt;1,L930=1),MAX($O$8:O930)+1,"")</f>
        <v/>
      </c>
      <c r="P931" s="17" t="str">
        <f ca="1">IF(AND(L931=-1,L930&lt;&gt;-1),MAX($P$8:P930)+1,"")</f>
        <v/>
      </c>
      <c r="Q931" s="24" t="str">
        <f ca="1">IF(AND(L931&lt;&gt;-1,L930=-1),MAX($Q$8:Q930)+1,"")</f>
        <v/>
      </c>
    </row>
    <row r="932" spans="1:17" x14ac:dyDescent="0.3">
      <c r="A932" s="3">
        <v>41550</v>
      </c>
      <c r="B932" s="9">
        <v>11.271398</v>
      </c>
      <c r="C932" s="9">
        <v>9.6275940000000002</v>
      </c>
      <c r="E932" s="14">
        <f t="shared" si="102"/>
        <v>1.1707388159492391</v>
      </c>
      <c r="F932" s="18">
        <f t="shared" ca="1" si="101"/>
        <v>-0.36604894759834411</v>
      </c>
      <c r="G932" s="15">
        <f t="shared" ca="1" si="106"/>
        <v>1.1749310079986812</v>
      </c>
      <c r="H932" s="15">
        <f t="shared" ca="1" si="107"/>
        <v>1.1452545013302654E-2</v>
      </c>
      <c r="J932" s="17">
        <f t="shared" ca="1" si="103"/>
        <v>0</v>
      </c>
      <c r="K932" s="24">
        <f t="shared" ca="1" si="104"/>
        <v>-1</v>
      </c>
      <c r="L932" s="17">
        <f t="shared" ca="1" si="105"/>
        <v>-1</v>
      </c>
      <c r="N932" s="24" t="str">
        <f ca="1">IF(AND(L932=1,L931&lt;&gt;1),MAX($N$8:N931)+1,"")</f>
        <v/>
      </c>
      <c r="O932" s="24" t="str">
        <f ca="1">IF(AND(L932&lt;&gt;1,L931=1),MAX($O$8:O931)+1,"")</f>
        <v/>
      </c>
      <c r="P932" s="17" t="str">
        <f ca="1">IF(AND(L932=-1,L931&lt;&gt;-1),MAX($P$8:P931)+1,"")</f>
        <v/>
      </c>
      <c r="Q932" s="24" t="str">
        <f ca="1">IF(AND(L932&lt;&gt;-1,L931=-1),MAX($Q$8:Q931)+1,"")</f>
        <v/>
      </c>
    </row>
    <row r="933" spans="1:17" x14ac:dyDescent="0.3">
      <c r="A933" s="3">
        <v>41551</v>
      </c>
      <c r="B933" s="9">
        <v>11.289145</v>
      </c>
      <c r="C933" s="9">
        <v>9.580603</v>
      </c>
      <c r="E933" s="14">
        <f t="shared" si="102"/>
        <v>1.178333451453943</v>
      </c>
      <c r="F933" s="18">
        <f t="shared" ca="1" si="101"/>
        <v>0.35083459385020405</v>
      </c>
      <c r="G933" s="15">
        <f t="shared" ca="1" si="106"/>
        <v>1.1744495725558408</v>
      </c>
      <c r="H933" s="15">
        <f t="shared" ca="1" si="107"/>
        <v>1.10703988893423E-2</v>
      </c>
      <c r="J933" s="17">
        <f t="shared" ca="1" si="103"/>
        <v>0</v>
      </c>
      <c r="K933" s="24">
        <f t="shared" ca="1" si="104"/>
        <v>0</v>
      </c>
      <c r="L933" s="17">
        <f t="shared" ca="1" si="105"/>
        <v>0</v>
      </c>
      <c r="N933" s="24" t="str">
        <f ca="1">IF(AND(L933=1,L932&lt;&gt;1),MAX($N$8:N932)+1,"")</f>
        <v/>
      </c>
      <c r="O933" s="24" t="str">
        <f ca="1">IF(AND(L933&lt;&gt;1,L932=1),MAX($O$8:O932)+1,"")</f>
        <v/>
      </c>
      <c r="P933" s="17" t="str">
        <f ca="1">IF(AND(L933=-1,L932&lt;&gt;-1),MAX($P$8:P932)+1,"")</f>
        <v/>
      </c>
      <c r="Q933" s="24">
        <f ca="1">IF(AND(L933&lt;&gt;-1,L932=-1),MAX($Q$8:Q932)+1,"")</f>
        <v>38</v>
      </c>
    </row>
    <row r="934" spans="1:17" x14ac:dyDescent="0.3">
      <c r="A934" s="3">
        <v>41554</v>
      </c>
      <c r="B934" s="9">
        <v>11.239383</v>
      </c>
      <c r="C934" s="9">
        <v>9.6275940000000002</v>
      </c>
      <c r="E934" s="14">
        <f t="shared" si="102"/>
        <v>1.1674134783830727</v>
      </c>
      <c r="F934" s="18">
        <f t="shared" ca="1" si="101"/>
        <v>-0.56750450500839089</v>
      </c>
      <c r="G934" s="15">
        <f t="shared" ca="1" si="106"/>
        <v>1.1735174107668536</v>
      </c>
      <c r="H934" s="15">
        <f t="shared" ca="1" si="107"/>
        <v>1.0755742606290973E-2</v>
      </c>
      <c r="J934" s="17">
        <f t="shared" ca="1" si="103"/>
        <v>0</v>
      </c>
      <c r="K934" s="24">
        <f t="shared" ca="1" si="104"/>
        <v>0</v>
      </c>
      <c r="L934" s="17">
        <f t="shared" ca="1" si="105"/>
        <v>0</v>
      </c>
      <c r="N934" s="24" t="str">
        <f ca="1">IF(AND(L934=1,L933&lt;&gt;1),MAX($N$8:N933)+1,"")</f>
        <v/>
      </c>
      <c r="O934" s="24" t="str">
        <f ca="1">IF(AND(L934&lt;&gt;1,L933=1),MAX($O$8:O933)+1,"")</f>
        <v/>
      </c>
      <c r="P934" s="17" t="str">
        <f ca="1">IF(AND(L934=-1,L933&lt;&gt;-1),MAX($P$8:P933)+1,"")</f>
        <v/>
      </c>
      <c r="Q934" s="24" t="str">
        <f ca="1">IF(AND(L934&lt;&gt;-1,L933=-1),MAX($Q$8:Q933)+1,"")</f>
        <v/>
      </c>
    </row>
    <row r="935" spans="1:17" x14ac:dyDescent="0.3">
      <c r="A935" s="3">
        <v>41555</v>
      </c>
      <c r="B935" s="9">
        <v>11.200269</v>
      </c>
      <c r="C935" s="9">
        <v>9.6150540000000007</v>
      </c>
      <c r="E935" s="14">
        <f t="shared" si="102"/>
        <v>1.164868028822303</v>
      </c>
      <c r="F935" s="18">
        <f t="shared" ca="1" si="101"/>
        <v>-0.73043188078250598</v>
      </c>
      <c r="G935" s="15">
        <f t="shared" ca="1" si="106"/>
        <v>1.1724056992326455</v>
      </c>
      <c r="H935" s="15">
        <f t="shared" ca="1" si="107"/>
        <v>1.0319470725000984E-2</v>
      </c>
      <c r="J935" s="17">
        <f t="shared" ca="1" si="103"/>
        <v>0</v>
      </c>
      <c r="K935" s="24">
        <f t="shared" ca="1" si="104"/>
        <v>0</v>
      </c>
      <c r="L935" s="17">
        <f t="shared" ca="1" si="105"/>
        <v>0</v>
      </c>
      <c r="N935" s="24" t="str">
        <f ca="1">IF(AND(L935=1,L934&lt;&gt;1),MAX($N$8:N934)+1,"")</f>
        <v/>
      </c>
      <c r="O935" s="24" t="str">
        <f ca="1">IF(AND(L935&lt;&gt;1,L934=1),MAX($O$8:O934)+1,"")</f>
        <v/>
      </c>
      <c r="P935" s="17" t="str">
        <f ca="1">IF(AND(L935=-1,L934&lt;&gt;-1),MAX($P$8:P934)+1,"")</f>
        <v/>
      </c>
      <c r="Q935" s="24" t="str">
        <f ca="1">IF(AND(L935&lt;&gt;-1,L934=-1),MAX($Q$8:Q934)+1,"")</f>
        <v/>
      </c>
    </row>
    <row r="936" spans="1:17" x14ac:dyDescent="0.3">
      <c r="A936" s="3">
        <v>41556</v>
      </c>
      <c r="B936" s="9">
        <v>11.321163</v>
      </c>
      <c r="C936" s="9">
        <v>9.7747340000000005</v>
      </c>
      <c r="E936" s="14">
        <f t="shared" si="102"/>
        <v>1.15820676040903</v>
      </c>
      <c r="F936" s="18">
        <f t="shared" ca="1" si="101"/>
        <v>-1.2661217115591459</v>
      </c>
      <c r="G936" s="15">
        <f t="shared" ca="1" si="106"/>
        <v>1.1710600349054692</v>
      </c>
      <c r="H936" s="15">
        <f t="shared" ca="1" si="107"/>
        <v>1.0151689509068739E-2</v>
      </c>
      <c r="J936" s="17">
        <f t="shared" ca="1" si="103"/>
        <v>0</v>
      </c>
      <c r="K936" s="24">
        <f t="shared" ca="1" si="104"/>
        <v>-1</v>
      </c>
      <c r="L936" s="17">
        <f t="shared" ca="1" si="105"/>
        <v>-1</v>
      </c>
      <c r="N936" s="24" t="str">
        <f ca="1">IF(AND(L936=1,L935&lt;&gt;1),MAX($N$8:N935)+1,"")</f>
        <v/>
      </c>
      <c r="O936" s="24" t="str">
        <f ca="1">IF(AND(L936&lt;&gt;1,L935=1),MAX($O$8:O935)+1,"")</f>
        <v/>
      </c>
      <c r="P936" s="17">
        <f ca="1">IF(AND(L936=-1,L935&lt;&gt;-1),MAX($P$8:P935)+1,"")</f>
        <v>39</v>
      </c>
      <c r="Q936" s="24" t="str">
        <f ca="1">IF(AND(L936&lt;&gt;-1,L935=-1),MAX($Q$8:Q935)+1,"")</f>
        <v/>
      </c>
    </row>
    <row r="937" spans="1:17" x14ac:dyDescent="0.3">
      <c r="A937" s="3">
        <v>41557</v>
      </c>
      <c r="B937" s="9">
        <v>11.520282999999999</v>
      </c>
      <c r="C937" s="9">
        <v>9.9093940000000007</v>
      </c>
      <c r="E937" s="14">
        <f t="shared" si="102"/>
        <v>1.1625618075131534</v>
      </c>
      <c r="F937" s="18">
        <f t="shared" ca="1" si="101"/>
        <v>-0.76108541873180002</v>
      </c>
      <c r="G937" s="15">
        <f t="shared" ca="1" si="106"/>
        <v>1.1701830174534766</v>
      </c>
      <c r="H937" s="15">
        <f t="shared" ca="1" si="107"/>
        <v>1.0013606558147549E-2</v>
      </c>
      <c r="J937" s="17">
        <f t="shared" ca="1" si="103"/>
        <v>0</v>
      </c>
      <c r="K937" s="24">
        <f t="shared" ca="1" si="104"/>
        <v>-1</v>
      </c>
      <c r="L937" s="17">
        <f t="shared" ca="1" si="105"/>
        <v>-1</v>
      </c>
      <c r="N937" s="24" t="str">
        <f ca="1">IF(AND(L937=1,L936&lt;&gt;1),MAX($N$8:N936)+1,"")</f>
        <v/>
      </c>
      <c r="O937" s="24" t="str">
        <f ca="1">IF(AND(L937&lt;&gt;1,L936=1),MAX($O$8:O936)+1,"")</f>
        <v/>
      </c>
      <c r="P937" s="17" t="str">
        <f ca="1">IF(AND(L937=-1,L936&lt;&gt;-1),MAX($P$8:P936)+1,"")</f>
        <v/>
      </c>
      <c r="Q937" s="24" t="str">
        <f ca="1">IF(AND(L937&lt;&gt;-1,L936=-1),MAX($Q$8:Q936)+1,"")</f>
        <v/>
      </c>
    </row>
    <row r="938" spans="1:17" x14ac:dyDescent="0.3">
      <c r="A938" s="3">
        <v>41558</v>
      </c>
      <c r="B938" s="9">
        <v>11.410041</v>
      </c>
      <c r="C938" s="9">
        <v>9.8780359999999998</v>
      </c>
      <c r="E938" s="14">
        <f t="shared" si="102"/>
        <v>1.1550920648598568</v>
      </c>
      <c r="F938" s="18">
        <f t="shared" ca="1" si="101"/>
        <v>-1.4021952320728421</v>
      </c>
      <c r="G938" s="15">
        <f t="shared" ca="1" si="106"/>
        <v>1.1697400579937276</v>
      </c>
      <c r="H938" s="15">
        <f t="shared" ca="1" si="107"/>
        <v>1.0446471931171016E-2</v>
      </c>
      <c r="J938" s="17">
        <f t="shared" ca="1" si="103"/>
        <v>0</v>
      </c>
      <c r="K938" s="24">
        <f t="shared" ca="1" si="104"/>
        <v>-1</v>
      </c>
      <c r="L938" s="17">
        <f t="shared" ca="1" si="105"/>
        <v>-1</v>
      </c>
      <c r="N938" s="24" t="str">
        <f ca="1">IF(AND(L938=1,L937&lt;&gt;1),MAX($N$8:N937)+1,"")</f>
        <v/>
      </c>
      <c r="O938" s="24" t="str">
        <f ca="1">IF(AND(L938&lt;&gt;1,L937=1),MAX($O$8:O937)+1,"")</f>
        <v/>
      </c>
      <c r="P938" s="17" t="str">
        <f ca="1">IF(AND(L938=-1,L937&lt;&gt;-1),MAX($P$8:P937)+1,"")</f>
        <v/>
      </c>
      <c r="Q938" s="24" t="str">
        <f ca="1">IF(AND(L938&lt;&gt;-1,L937=-1),MAX($Q$8:Q937)+1,"")</f>
        <v/>
      </c>
    </row>
    <row r="939" spans="1:17" x14ac:dyDescent="0.3">
      <c r="A939" s="3">
        <v>41561</v>
      </c>
      <c r="B939" s="9">
        <v>11.491819</v>
      </c>
      <c r="C939" s="9">
        <v>10.094087</v>
      </c>
      <c r="E939" s="14">
        <f t="shared" si="102"/>
        <v>1.1384703737940836</v>
      </c>
      <c r="F939" s="18">
        <f t="shared" ca="1" si="101"/>
        <v>-2.4770879359409466</v>
      </c>
      <c r="G939" s="15">
        <f t="shared" ca="1" si="106"/>
        <v>1.1676255115080416</v>
      </c>
      <c r="H939" s="15">
        <f t="shared" ca="1" si="107"/>
        <v>1.1769924390222824E-2</v>
      </c>
      <c r="J939" s="17">
        <f t="shared" ca="1" si="103"/>
        <v>0</v>
      </c>
      <c r="K939" s="24">
        <f t="shared" ca="1" si="104"/>
        <v>-1</v>
      </c>
      <c r="L939" s="17">
        <f t="shared" ca="1" si="105"/>
        <v>-1</v>
      </c>
      <c r="N939" s="24" t="str">
        <f ca="1">IF(AND(L939=1,L938&lt;&gt;1),MAX($N$8:N938)+1,"")</f>
        <v/>
      </c>
      <c r="O939" s="24" t="str">
        <f ca="1">IF(AND(L939&lt;&gt;1,L938=1),MAX($O$8:O938)+1,"")</f>
        <v/>
      </c>
      <c r="P939" s="17" t="str">
        <f ca="1">IF(AND(L939=-1,L938&lt;&gt;-1),MAX($P$8:P938)+1,"")</f>
        <v/>
      </c>
      <c r="Q939" s="24" t="str">
        <f ca="1">IF(AND(L939&lt;&gt;-1,L938=-1),MAX($Q$8:Q938)+1,"")</f>
        <v/>
      </c>
    </row>
    <row r="940" spans="1:17" x14ac:dyDescent="0.3">
      <c r="A940" s="3">
        <v>41562</v>
      </c>
      <c r="B940" s="9">
        <v>11.538036999999999</v>
      </c>
      <c r="C940" s="9">
        <v>10.119166</v>
      </c>
      <c r="E940" s="14">
        <f t="shared" si="102"/>
        <v>1.1402161996354245</v>
      </c>
      <c r="F940" s="18">
        <f t="shared" ca="1" si="101"/>
        <v>-2.1255971053058316</v>
      </c>
      <c r="G940" s="15">
        <f t="shared" ca="1" si="106"/>
        <v>1.1652440642740345</v>
      </c>
      <c r="H940" s="15">
        <f t="shared" ca="1" si="107"/>
        <v>1.1774510125242636E-2</v>
      </c>
      <c r="J940" s="17">
        <f t="shared" ca="1" si="103"/>
        <v>0</v>
      </c>
      <c r="K940" s="24">
        <f t="shared" ca="1" si="104"/>
        <v>-1</v>
      </c>
      <c r="L940" s="17">
        <f t="shared" ca="1" si="105"/>
        <v>-1</v>
      </c>
      <c r="N940" s="24" t="str">
        <f ca="1">IF(AND(L940=1,L939&lt;&gt;1),MAX($N$8:N939)+1,"")</f>
        <v/>
      </c>
      <c r="O940" s="24" t="str">
        <f ca="1">IF(AND(L940&lt;&gt;1,L939=1),MAX($O$8:O939)+1,"")</f>
        <v/>
      </c>
      <c r="P940" s="17" t="str">
        <f ca="1">IF(AND(L940=-1,L939&lt;&gt;-1),MAX($P$8:P939)+1,"")</f>
        <v/>
      </c>
      <c r="Q940" s="24" t="str">
        <f ca="1">IF(AND(L940&lt;&gt;-1,L939=-1),MAX($Q$8:Q939)+1,"")</f>
        <v/>
      </c>
    </row>
    <row r="941" spans="1:17" x14ac:dyDescent="0.3">
      <c r="A941" s="3">
        <v>41563</v>
      </c>
      <c r="B941" s="9">
        <v>11.669650000000001</v>
      </c>
      <c r="C941" s="9">
        <v>10.206826</v>
      </c>
      <c r="E941" s="14">
        <f t="shared" si="102"/>
        <v>1.1433182068549028</v>
      </c>
      <c r="F941" s="18">
        <f t="shared" ca="1" si="101"/>
        <v>-1.6673557021251253</v>
      </c>
      <c r="G941" s="15">
        <f t="shared" ca="1" si="106"/>
        <v>1.1635664784239548</v>
      </c>
      <c r="H941" s="15">
        <f t="shared" ca="1" si="107"/>
        <v>1.2143942377289116E-2</v>
      </c>
      <c r="J941" s="17">
        <f t="shared" ca="1" si="103"/>
        <v>0</v>
      </c>
      <c r="K941" s="24">
        <f t="shared" ca="1" si="104"/>
        <v>-1</v>
      </c>
      <c r="L941" s="17">
        <f t="shared" ca="1" si="105"/>
        <v>-1</v>
      </c>
      <c r="N941" s="24" t="str">
        <f ca="1">IF(AND(L941=1,L940&lt;&gt;1),MAX($N$8:N940)+1,"")</f>
        <v/>
      </c>
      <c r="O941" s="24" t="str">
        <f ca="1">IF(AND(L941&lt;&gt;1,L940=1),MAX($O$8:O940)+1,"")</f>
        <v/>
      </c>
      <c r="P941" s="17" t="str">
        <f ca="1">IF(AND(L941=-1,L940&lt;&gt;-1),MAX($P$8:P940)+1,"")</f>
        <v/>
      </c>
      <c r="Q941" s="24" t="str">
        <f ca="1">IF(AND(L941&lt;&gt;-1,L940=-1),MAX($Q$8:Q940)+1,"")</f>
        <v/>
      </c>
    </row>
    <row r="942" spans="1:17" x14ac:dyDescent="0.3">
      <c r="A942" s="3">
        <v>41564</v>
      </c>
      <c r="B942" s="9">
        <v>11.769168000000001</v>
      </c>
      <c r="C942" s="9">
        <v>10.260033</v>
      </c>
      <c r="E942" s="14">
        <f t="shared" si="102"/>
        <v>1.1470887081942134</v>
      </c>
      <c r="F942" s="18">
        <f t="shared" ca="1" si="101"/>
        <v>-1.2777220083909582</v>
      </c>
      <c r="G942" s="15">
        <f t="shared" ca="1" si="106"/>
        <v>1.1617567023121751</v>
      </c>
      <c r="H942" s="15">
        <f t="shared" ca="1" si="107"/>
        <v>1.1479800787366254E-2</v>
      </c>
      <c r="J942" s="17">
        <f t="shared" ca="1" si="103"/>
        <v>0</v>
      </c>
      <c r="K942" s="24">
        <f t="shared" ca="1" si="104"/>
        <v>-1</v>
      </c>
      <c r="L942" s="17">
        <f t="shared" ca="1" si="105"/>
        <v>-1</v>
      </c>
      <c r="N942" s="24" t="str">
        <f ca="1">IF(AND(L942=1,L941&lt;&gt;1),MAX($N$8:N941)+1,"")</f>
        <v/>
      </c>
      <c r="O942" s="24" t="str">
        <f ca="1">IF(AND(L942&lt;&gt;1,L941=1),MAX($O$8:O941)+1,"")</f>
        <v/>
      </c>
      <c r="P942" s="17" t="str">
        <f ca="1">IF(AND(L942=-1,L941&lt;&gt;-1),MAX($P$8:P941)+1,"")</f>
        <v/>
      </c>
      <c r="Q942" s="24" t="str">
        <f ca="1">IF(AND(L942&lt;&gt;-1,L941=-1),MAX($Q$8:Q941)+1,"")</f>
        <v/>
      </c>
    </row>
    <row r="943" spans="1:17" x14ac:dyDescent="0.3">
      <c r="A943" s="3">
        <v>41565</v>
      </c>
      <c r="B943" s="9">
        <v>12.060717</v>
      </c>
      <c r="C943" s="9">
        <v>10.332049</v>
      </c>
      <c r="E943" s="14">
        <f t="shared" si="102"/>
        <v>1.1673112467817373</v>
      </c>
      <c r="F943" s="18">
        <f t="shared" ca="1" si="101"/>
        <v>0.58254372506358298</v>
      </c>
      <c r="G943" s="15">
        <f t="shared" ca="1" si="106"/>
        <v>1.1610886569854786</v>
      </c>
      <c r="H943" s="15">
        <f t="shared" ca="1" si="107"/>
        <v>1.0681755769628268E-2</v>
      </c>
      <c r="J943" s="17">
        <f t="shared" ca="1" si="103"/>
        <v>0</v>
      </c>
      <c r="K943" s="24">
        <f t="shared" ca="1" si="104"/>
        <v>0</v>
      </c>
      <c r="L943" s="17">
        <f t="shared" ca="1" si="105"/>
        <v>0</v>
      </c>
      <c r="N943" s="24" t="str">
        <f ca="1">IF(AND(L943=1,L942&lt;&gt;1),MAX($N$8:N942)+1,"")</f>
        <v/>
      </c>
      <c r="O943" s="24" t="str">
        <f ca="1">IF(AND(L943&lt;&gt;1,L942=1),MAX($O$8:O942)+1,"")</f>
        <v/>
      </c>
      <c r="P943" s="17" t="str">
        <f ca="1">IF(AND(L943=-1,L942&lt;&gt;-1),MAX($P$8:P942)+1,"")</f>
        <v/>
      </c>
      <c r="Q943" s="24">
        <f ca="1">IF(AND(L943&lt;&gt;-1,L942=-1),MAX($Q$8:Q942)+1,"")</f>
        <v>39</v>
      </c>
    </row>
    <row r="944" spans="1:17" x14ac:dyDescent="0.3">
      <c r="A944" s="3">
        <v>41568</v>
      </c>
      <c r="B944" s="9">
        <v>11.950544000000001</v>
      </c>
      <c r="C944" s="9">
        <v>10.206826</v>
      </c>
      <c r="E944" s="14">
        <f t="shared" si="102"/>
        <v>1.1708384173493309</v>
      </c>
      <c r="F944" s="18">
        <f t="shared" ca="1" si="101"/>
        <v>0.90534427323538014</v>
      </c>
      <c r="G944" s="15">
        <f t="shared" ca="1" si="106"/>
        <v>1.1611330498912018</v>
      </c>
      <c r="H944" s="15">
        <f t="shared" ca="1" si="107"/>
        <v>1.0720084883781901E-2</v>
      </c>
      <c r="J944" s="17">
        <f t="shared" ca="1" si="103"/>
        <v>0</v>
      </c>
      <c r="K944" s="24">
        <f t="shared" ca="1" si="104"/>
        <v>0</v>
      </c>
      <c r="L944" s="17">
        <f t="shared" ca="1" si="105"/>
        <v>0</v>
      </c>
      <c r="N944" s="24" t="str">
        <f ca="1">IF(AND(L944=1,L943&lt;&gt;1),MAX($N$8:N943)+1,"")</f>
        <v/>
      </c>
      <c r="O944" s="24" t="str">
        <f ca="1">IF(AND(L944&lt;&gt;1,L943=1),MAX($O$8:O943)+1,"")</f>
        <v/>
      </c>
      <c r="P944" s="17" t="str">
        <f ca="1">IF(AND(L944=-1,L943&lt;&gt;-1),MAX($P$8:P943)+1,"")</f>
        <v/>
      </c>
      <c r="Q944" s="24" t="str">
        <f ca="1">IF(AND(L944&lt;&gt;-1,L943=-1),MAX($Q$8:Q943)+1,"")</f>
        <v/>
      </c>
    </row>
    <row r="945" spans="1:17" x14ac:dyDescent="0.3">
      <c r="A945" s="3">
        <v>41569</v>
      </c>
      <c r="B945" s="9">
        <v>12.014502999999999</v>
      </c>
      <c r="C945" s="9">
        <v>10.353964</v>
      </c>
      <c r="E945" s="14">
        <f t="shared" si="102"/>
        <v>1.1603771270597425</v>
      </c>
      <c r="F945" s="18">
        <f t="shared" ca="1" si="101"/>
        <v>-5.8178010397922794E-2</v>
      </c>
      <c r="G945" s="15">
        <f t="shared" ca="1" si="106"/>
        <v>1.1610002440843183</v>
      </c>
      <c r="H945" s="15">
        <f t="shared" ca="1" si="107"/>
        <v>1.0710524823965031E-2</v>
      </c>
      <c r="J945" s="17">
        <f t="shared" ca="1" si="103"/>
        <v>0</v>
      </c>
      <c r="K945" s="24">
        <f t="shared" ca="1" si="104"/>
        <v>0</v>
      </c>
      <c r="L945" s="17">
        <f t="shared" ca="1" si="105"/>
        <v>0</v>
      </c>
      <c r="N945" s="24" t="str">
        <f ca="1">IF(AND(L945=1,L944&lt;&gt;1),MAX($N$8:N944)+1,"")</f>
        <v/>
      </c>
      <c r="O945" s="24" t="str">
        <f ca="1">IF(AND(L945&lt;&gt;1,L944=1),MAX($O$8:O944)+1,"")</f>
        <v/>
      </c>
      <c r="P945" s="17" t="str">
        <f ca="1">IF(AND(L945=-1,L944&lt;&gt;-1),MAX($P$8:P944)+1,"")</f>
        <v/>
      </c>
      <c r="Q945" s="24" t="str">
        <f ca="1">IF(AND(L945&lt;&gt;-1,L944=-1),MAX($Q$8:Q944)+1,"")</f>
        <v/>
      </c>
    </row>
    <row r="946" spans="1:17" x14ac:dyDescent="0.3">
      <c r="A946" s="3">
        <v>41570</v>
      </c>
      <c r="B946" s="9">
        <v>11.850949999999999</v>
      </c>
      <c r="C946" s="9">
        <v>10.144183</v>
      </c>
      <c r="E946" s="14">
        <f t="shared" si="102"/>
        <v>1.16825080935547</v>
      </c>
      <c r="F946" s="18">
        <f t="shared" ca="1" si="101"/>
        <v>0.6729246773926747</v>
      </c>
      <c r="G946" s="15">
        <f t="shared" ca="1" si="106"/>
        <v>1.1610303748677726</v>
      </c>
      <c r="H946" s="15">
        <f t="shared" ca="1" si="107"/>
        <v>1.0729929708736196E-2</v>
      </c>
      <c r="J946" s="17">
        <f t="shared" ca="1" si="103"/>
        <v>0</v>
      </c>
      <c r="K946" s="24">
        <f t="shared" ca="1" si="104"/>
        <v>0</v>
      </c>
      <c r="L946" s="17">
        <f t="shared" ca="1" si="105"/>
        <v>0</v>
      </c>
      <c r="N946" s="24" t="str">
        <f ca="1">IF(AND(L946=1,L945&lt;&gt;1),MAX($N$8:N945)+1,"")</f>
        <v/>
      </c>
      <c r="O946" s="24" t="str">
        <f ca="1">IF(AND(L946&lt;&gt;1,L945=1),MAX($O$8:O945)+1,"")</f>
        <v/>
      </c>
      <c r="P946" s="17" t="str">
        <f ca="1">IF(AND(L946=-1,L945&lt;&gt;-1),MAX($P$8:P945)+1,"")</f>
        <v/>
      </c>
      <c r="Q946" s="24" t="str">
        <f ca="1">IF(AND(L946&lt;&gt;-1,L945=-1),MAX($Q$8:Q945)+1,"")</f>
        <v/>
      </c>
    </row>
    <row r="947" spans="1:17" x14ac:dyDescent="0.3">
      <c r="A947" s="3">
        <v>41571</v>
      </c>
      <c r="B947" s="9">
        <v>11.794086</v>
      </c>
      <c r="C947" s="9">
        <v>10.134816000000001</v>
      </c>
      <c r="E947" s="14">
        <f t="shared" si="102"/>
        <v>1.1637197952089116</v>
      </c>
      <c r="F947" s="18">
        <f t="shared" ca="1" si="101"/>
        <v>0.24811878248696206</v>
      </c>
      <c r="G947" s="15">
        <f t="shared" ca="1" si="106"/>
        <v>1.161056075803055</v>
      </c>
      <c r="H947" s="15">
        <f t="shared" ca="1" si="107"/>
        <v>1.0735662085543624E-2</v>
      </c>
      <c r="J947" s="17">
        <f t="shared" ca="1" si="103"/>
        <v>0</v>
      </c>
      <c r="K947" s="24">
        <f t="shared" ca="1" si="104"/>
        <v>0</v>
      </c>
      <c r="L947" s="17">
        <f t="shared" ca="1" si="105"/>
        <v>0</v>
      </c>
      <c r="N947" s="24" t="str">
        <f ca="1">IF(AND(L947=1,L946&lt;&gt;1),MAX($N$8:N946)+1,"")</f>
        <v/>
      </c>
      <c r="O947" s="24" t="str">
        <f ca="1">IF(AND(L947&lt;&gt;1,L946=1),MAX($O$8:O946)+1,"")</f>
        <v/>
      </c>
      <c r="P947" s="17" t="str">
        <f ca="1">IF(AND(L947=-1,L946&lt;&gt;-1),MAX($P$8:P946)+1,"")</f>
        <v/>
      </c>
      <c r="Q947" s="24" t="str">
        <f ca="1">IF(AND(L947&lt;&gt;-1,L946=-1),MAX($Q$8:Q946)+1,"")</f>
        <v/>
      </c>
    </row>
    <row r="948" spans="1:17" x14ac:dyDescent="0.3">
      <c r="A948" s="3">
        <v>41572</v>
      </c>
      <c r="B948" s="9">
        <v>11.733606</v>
      </c>
      <c r="C948" s="9">
        <v>10.069063999999999</v>
      </c>
      <c r="E948" s="14">
        <f t="shared" si="102"/>
        <v>1.1653124858477413</v>
      </c>
      <c r="F948" s="18">
        <f t="shared" ca="1" si="101"/>
        <v>0.36737551868728746</v>
      </c>
      <c r="G948" s="15">
        <f t="shared" ca="1" si="106"/>
        <v>1.161360614279626</v>
      </c>
      <c r="H948" s="15">
        <f t="shared" ca="1" si="107"/>
        <v>1.0757035695345646E-2</v>
      </c>
      <c r="J948" s="17">
        <f t="shared" ca="1" si="103"/>
        <v>0</v>
      </c>
      <c r="K948" s="24">
        <f t="shared" ca="1" si="104"/>
        <v>0</v>
      </c>
      <c r="L948" s="17">
        <f t="shared" ca="1" si="105"/>
        <v>0</v>
      </c>
      <c r="N948" s="24" t="str">
        <f ca="1">IF(AND(L948=1,L947&lt;&gt;1),MAX($N$8:N947)+1,"")</f>
        <v/>
      </c>
      <c r="O948" s="24" t="str">
        <f ca="1">IF(AND(L948&lt;&gt;1,L947=1),MAX($O$8:O947)+1,"")</f>
        <v/>
      </c>
      <c r="P948" s="17" t="str">
        <f ca="1">IF(AND(L948=-1,L947&lt;&gt;-1),MAX($P$8:P947)+1,"")</f>
        <v/>
      </c>
      <c r="Q948" s="24" t="str">
        <f ca="1">IF(AND(L948&lt;&gt;-1,L947=-1),MAX($Q$8:Q947)+1,"")</f>
        <v/>
      </c>
    </row>
    <row r="949" spans="1:17" x14ac:dyDescent="0.3">
      <c r="A949" s="3">
        <v>41575</v>
      </c>
      <c r="B949" s="9">
        <v>11.872318999999999</v>
      </c>
      <c r="C949" s="9">
        <v>10.062797</v>
      </c>
      <c r="E949" s="14">
        <f t="shared" si="102"/>
        <v>1.1798229657221546</v>
      </c>
      <c r="F949" s="18">
        <f t="shared" ca="1" si="101"/>
        <v>1.535092353646605</v>
      </c>
      <c r="G949" s="15">
        <f t="shared" ca="1" si="106"/>
        <v>1.1623245212969617</v>
      </c>
      <c r="H949" s="15">
        <f t="shared" ca="1" si="107"/>
        <v>1.1398952241293761E-2</v>
      </c>
      <c r="J949" s="17">
        <f t="shared" ca="1" si="103"/>
        <v>1</v>
      </c>
      <c r="K949" s="24">
        <f t="shared" ca="1" si="104"/>
        <v>0</v>
      </c>
      <c r="L949" s="17">
        <f t="shared" ca="1" si="105"/>
        <v>1</v>
      </c>
      <c r="N949" s="24">
        <f ca="1">IF(AND(L949=1,L948&lt;&gt;1),MAX($N$8:N948)+1,"")</f>
        <v>28</v>
      </c>
      <c r="O949" s="24" t="str">
        <f ca="1">IF(AND(L949&lt;&gt;1,L948=1),MAX($O$8:O948)+1,"")</f>
        <v/>
      </c>
      <c r="P949" s="17" t="str">
        <f ca="1">IF(AND(L949=-1,L948&lt;&gt;-1),MAX($P$8:P948)+1,"")</f>
        <v/>
      </c>
      <c r="Q949" s="24" t="str">
        <f ca="1">IF(AND(L949&lt;&gt;-1,L948=-1),MAX($Q$8:Q948)+1,"")</f>
        <v/>
      </c>
    </row>
    <row r="950" spans="1:17" x14ac:dyDescent="0.3">
      <c r="A950" s="3">
        <v>41576</v>
      </c>
      <c r="B950" s="9">
        <v>12.30606</v>
      </c>
      <c r="C950" s="9">
        <v>10.172375000000001</v>
      </c>
      <c r="E950" s="14">
        <f t="shared" si="102"/>
        <v>1.2097528846508312</v>
      </c>
      <c r="F950" s="18">
        <f t="shared" ca="1" si="101"/>
        <v>3.0016730963987253</v>
      </c>
      <c r="G950" s="15">
        <f t="shared" ca="1" si="106"/>
        <v>1.164738101086779</v>
      </c>
      <c r="H950" s="15">
        <f t="shared" ca="1" si="107"/>
        <v>1.4996564288782462E-2</v>
      </c>
      <c r="J950" s="17">
        <f t="shared" ca="1" si="103"/>
        <v>1</v>
      </c>
      <c r="K950" s="24">
        <f t="shared" ca="1" si="104"/>
        <v>0</v>
      </c>
      <c r="L950" s="17">
        <f t="shared" ca="1" si="105"/>
        <v>1</v>
      </c>
      <c r="N950" s="24" t="str">
        <f ca="1">IF(AND(L950=1,L949&lt;&gt;1),MAX($N$8:N949)+1,"")</f>
        <v/>
      </c>
      <c r="O950" s="24" t="str">
        <f ca="1">IF(AND(L950&lt;&gt;1,L949=1),MAX($O$8:O949)+1,"")</f>
        <v/>
      </c>
      <c r="P950" s="17" t="str">
        <f ca="1">IF(AND(L950=-1,L949&lt;&gt;-1),MAX($P$8:P949)+1,"")</f>
        <v/>
      </c>
      <c r="Q950" s="24" t="str">
        <f ca="1">IF(AND(L950&lt;&gt;-1,L949=-1),MAX($Q$8:Q949)+1,"")</f>
        <v/>
      </c>
    </row>
    <row r="951" spans="1:17" x14ac:dyDescent="0.3">
      <c r="A951" s="3">
        <v>41577</v>
      </c>
      <c r="B951" s="9">
        <v>12.263393000000001</v>
      </c>
      <c r="C951" s="9">
        <v>10.131641</v>
      </c>
      <c r="E951" s="14">
        <f t="shared" si="102"/>
        <v>1.2104054022443156</v>
      </c>
      <c r="F951" s="18">
        <f t="shared" ca="1" si="101"/>
        <v>2.4978898882882148</v>
      </c>
      <c r="G951" s="15">
        <f t="shared" ca="1" si="106"/>
        <v>1.1663098425443288</v>
      </c>
      <c r="H951" s="15">
        <f t="shared" ca="1" si="107"/>
        <v>1.7653123905395668E-2</v>
      </c>
      <c r="J951" s="17">
        <f t="shared" ca="1" si="103"/>
        <v>1</v>
      </c>
      <c r="K951" s="24">
        <f t="shared" ca="1" si="104"/>
        <v>0</v>
      </c>
      <c r="L951" s="17">
        <f t="shared" ca="1" si="105"/>
        <v>1</v>
      </c>
      <c r="N951" s="24" t="str">
        <f ca="1">IF(AND(L951=1,L950&lt;&gt;1),MAX($N$8:N950)+1,"")</f>
        <v/>
      </c>
      <c r="O951" s="24" t="str">
        <f ca="1">IF(AND(L951&lt;&gt;1,L950=1),MAX($O$8:O950)+1,"")</f>
        <v/>
      </c>
      <c r="P951" s="17" t="str">
        <f ca="1">IF(AND(L951=-1,L950&lt;&gt;-1),MAX($P$8:P950)+1,"")</f>
        <v/>
      </c>
      <c r="Q951" s="24" t="str">
        <f ca="1">IF(AND(L951&lt;&gt;-1,L950=-1),MAX($Q$8:Q950)+1,"")</f>
        <v/>
      </c>
    </row>
    <row r="952" spans="1:17" x14ac:dyDescent="0.3">
      <c r="A952" s="3">
        <v>41578</v>
      </c>
      <c r="B952" s="9">
        <v>12.295408999999999</v>
      </c>
      <c r="C952" s="9">
        <v>10.084718000000001</v>
      </c>
      <c r="E952" s="14">
        <f t="shared" si="102"/>
        <v>1.2192119799482741</v>
      </c>
      <c r="F952" s="18">
        <f t="shared" ca="1" si="101"/>
        <v>2.4421354539492945</v>
      </c>
      <c r="G952" s="15">
        <f t="shared" ca="1" si="106"/>
        <v>1.1684231729890144</v>
      </c>
      <c r="H952" s="15">
        <f t="shared" ca="1" si="107"/>
        <v>2.0796883676999438E-2</v>
      </c>
      <c r="J952" s="17">
        <f t="shared" ca="1" si="103"/>
        <v>1</v>
      </c>
      <c r="K952" s="24">
        <f t="shared" ca="1" si="104"/>
        <v>0</v>
      </c>
      <c r="L952" s="17">
        <f t="shared" ca="1" si="105"/>
        <v>1</v>
      </c>
      <c r="N952" s="24" t="str">
        <f ca="1">IF(AND(L952=1,L951&lt;&gt;1),MAX($N$8:N951)+1,"")</f>
        <v/>
      </c>
      <c r="O952" s="24" t="str">
        <f ca="1">IF(AND(L952&lt;&gt;1,L951=1),MAX($O$8:O951)+1,"")</f>
        <v/>
      </c>
      <c r="P952" s="17" t="str">
        <f ca="1">IF(AND(L952=-1,L951&lt;&gt;-1),MAX($P$8:P951)+1,"")</f>
        <v/>
      </c>
      <c r="Q952" s="24" t="str">
        <f ca="1">IF(AND(L952&lt;&gt;-1,L951=-1),MAX($Q$8:Q951)+1,"")</f>
        <v/>
      </c>
    </row>
    <row r="953" spans="1:17" x14ac:dyDescent="0.3">
      <c r="A953" s="3">
        <v>41579</v>
      </c>
      <c r="B953" s="9">
        <v>12.188620999999999</v>
      </c>
      <c r="C953" s="9">
        <v>10.094087</v>
      </c>
      <c r="E953" s="14">
        <f t="shared" si="102"/>
        <v>1.2075010845458336</v>
      </c>
      <c r="F953" s="18">
        <f t="shared" ca="1" si="101"/>
        <v>1.6639797890048296</v>
      </c>
      <c r="G953" s="15">
        <f t="shared" ca="1" si="106"/>
        <v>1.1704005497537986</v>
      </c>
      <c r="H953" s="15">
        <f t="shared" ca="1" si="107"/>
        <v>2.2296265277490897E-2</v>
      </c>
      <c r="J953" s="17">
        <f t="shared" ca="1" si="103"/>
        <v>1</v>
      </c>
      <c r="K953" s="24">
        <f t="shared" ca="1" si="104"/>
        <v>0</v>
      </c>
      <c r="L953" s="17">
        <f t="shared" ca="1" si="105"/>
        <v>1</v>
      </c>
      <c r="N953" s="24" t="str">
        <f ca="1">IF(AND(L953=1,L952&lt;&gt;1),MAX($N$8:N952)+1,"")</f>
        <v/>
      </c>
      <c r="O953" s="24" t="str">
        <f ca="1">IF(AND(L953&lt;&gt;1,L952=1),MAX($O$8:O952)+1,"")</f>
        <v/>
      </c>
      <c r="P953" s="17" t="str">
        <f ca="1">IF(AND(L953=-1,L952&lt;&gt;-1),MAX($P$8:P952)+1,"")</f>
        <v/>
      </c>
      <c r="Q953" s="24" t="str">
        <f ca="1">IF(AND(L953&lt;&gt;-1,L952=-1),MAX($Q$8:Q952)+1,"")</f>
        <v/>
      </c>
    </row>
    <row r="954" spans="1:17" x14ac:dyDescent="0.3">
      <c r="A954" s="3">
        <v>41582</v>
      </c>
      <c r="B954" s="9">
        <v>12.281124999999999</v>
      </c>
      <c r="C954" s="9">
        <v>10.346054000000001</v>
      </c>
      <c r="E954" s="14">
        <f t="shared" si="102"/>
        <v>1.1870346897474147</v>
      </c>
      <c r="F954" s="18">
        <f t="shared" ca="1" si="101"/>
        <v>0.70436195873722429</v>
      </c>
      <c r="G954" s="15">
        <f t="shared" ca="1" si="106"/>
        <v>1.1711412712900791</v>
      </c>
      <c r="H954" s="15">
        <f t="shared" ca="1" si="107"/>
        <v>2.2564277159188476E-2</v>
      </c>
      <c r="J954" s="17">
        <f t="shared" ca="1" si="103"/>
        <v>1</v>
      </c>
      <c r="K954" s="24">
        <f t="shared" ca="1" si="104"/>
        <v>0</v>
      </c>
      <c r="L954" s="17">
        <f t="shared" ca="1" si="105"/>
        <v>1</v>
      </c>
      <c r="N954" s="24" t="str">
        <f ca="1">IF(AND(L954=1,L953&lt;&gt;1),MAX($N$8:N953)+1,"")</f>
        <v/>
      </c>
      <c r="O954" s="24" t="str">
        <f ca="1">IF(AND(L954&lt;&gt;1,L953=1),MAX($O$8:O953)+1,"")</f>
        <v/>
      </c>
      <c r="P954" s="17" t="str">
        <f ca="1">IF(AND(L954=-1,L953&lt;&gt;-1),MAX($P$8:P953)+1,"")</f>
        <v/>
      </c>
      <c r="Q954" s="24" t="str">
        <f ca="1">IF(AND(L954&lt;&gt;-1,L953=-1),MAX($Q$8:Q953)+1,"")</f>
        <v/>
      </c>
    </row>
    <row r="955" spans="1:17" x14ac:dyDescent="0.3">
      <c r="A955" s="3">
        <v>41583</v>
      </c>
      <c r="B955" s="9">
        <v>12.078282</v>
      </c>
      <c r="C955" s="9">
        <v>10.208107</v>
      </c>
      <c r="E955" s="14">
        <f t="shared" si="102"/>
        <v>1.1832048782404023</v>
      </c>
      <c r="F955" s="18">
        <f t="shared" ca="1" si="101"/>
        <v>0.52266090498293727</v>
      </c>
      <c r="G955" s="15">
        <f t="shared" ca="1" si="106"/>
        <v>1.1713626997803728</v>
      </c>
      <c r="H955" s="15">
        <f t="shared" ca="1" si="107"/>
        <v>2.2657478964140526E-2</v>
      </c>
      <c r="J955" s="17">
        <f t="shared" ca="1" si="103"/>
        <v>1</v>
      </c>
      <c r="K955" s="24">
        <f t="shared" ca="1" si="104"/>
        <v>0</v>
      </c>
      <c r="L955" s="17">
        <f t="shared" ca="1" si="105"/>
        <v>1</v>
      </c>
      <c r="N955" s="24" t="str">
        <f ca="1">IF(AND(L955=1,L954&lt;&gt;1),MAX($N$8:N954)+1,"")</f>
        <v/>
      </c>
      <c r="O955" s="24" t="str">
        <f ca="1">IF(AND(L955&lt;&gt;1,L954=1),MAX($O$8:O954)+1,"")</f>
        <v/>
      </c>
      <c r="P955" s="17" t="str">
        <f ca="1">IF(AND(L955=-1,L954&lt;&gt;-1),MAX($P$8:P954)+1,"")</f>
        <v/>
      </c>
      <c r="Q955" s="24" t="str">
        <f ca="1">IF(AND(L955&lt;&gt;-1,L954=-1),MAX($Q$8:Q954)+1,"")</f>
        <v/>
      </c>
    </row>
    <row r="956" spans="1:17" x14ac:dyDescent="0.3">
      <c r="A956" s="3">
        <v>41584</v>
      </c>
      <c r="B956" s="9">
        <v>11.932411</v>
      </c>
      <c r="C956" s="9">
        <v>10.09521</v>
      </c>
      <c r="E956" s="14">
        <f t="shared" si="102"/>
        <v>1.1819873979837963</v>
      </c>
      <c r="F956" s="18">
        <f t="shared" ca="1" si="101"/>
        <v>0.43799315366860847</v>
      </c>
      <c r="G956" s="15">
        <f t="shared" ca="1" si="106"/>
        <v>1.1720251506713149</v>
      </c>
      <c r="H956" s="15">
        <f t="shared" ca="1" si="107"/>
        <v>2.2745212405806188E-2</v>
      </c>
      <c r="J956" s="17">
        <f t="shared" ca="1" si="103"/>
        <v>1</v>
      </c>
      <c r="K956" s="24">
        <f t="shared" ca="1" si="104"/>
        <v>0</v>
      </c>
      <c r="L956" s="17">
        <f t="shared" ca="1" si="105"/>
        <v>1</v>
      </c>
      <c r="N956" s="24" t="str">
        <f ca="1">IF(AND(L956=1,L955&lt;&gt;1),MAX($N$8:N955)+1,"")</f>
        <v/>
      </c>
      <c r="O956" s="24" t="str">
        <f ca="1">IF(AND(L956&lt;&gt;1,L955=1),MAX($O$8:O955)+1,"")</f>
        <v/>
      </c>
      <c r="P956" s="17" t="str">
        <f ca="1">IF(AND(L956=-1,L955&lt;&gt;-1),MAX($P$8:P955)+1,"")</f>
        <v/>
      </c>
      <c r="Q956" s="24" t="str">
        <f ca="1">IF(AND(L956&lt;&gt;-1,L955=-1),MAX($Q$8:Q955)+1,"")</f>
        <v/>
      </c>
    </row>
    <row r="957" spans="1:17" x14ac:dyDescent="0.3">
      <c r="A957" s="3">
        <v>41585</v>
      </c>
      <c r="B957" s="9">
        <v>11.754504000000001</v>
      </c>
      <c r="C957" s="9">
        <v>10.007429</v>
      </c>
      <c r="E957" s="14">
        <f t="shared" si="102"/>
        <v>1.1745778061478129</v>
      </c>
      <c r="F957" s="18">
        <f t="shared" ca="1" si="101"/>
        <v>9.3024451075512271E-2</v>
      </c>
      <c r="G957" s="15">
        <f t="shared" ca="1" si="106"/>
        <v>1.1724665041861106</v>
      </c>
      <c r="H957" s="15">
        <f t="shared" ca="1" si="107"/>
        <v>2.2696204463366749E-2</v>
      </c>
      <c r="J957" s="17">
        <f t="shared" ca="1" si="103"/>
        <v>1</v>
      </c>
      <c r="K957" s="24">
        <f t="shared" ca="1" si="104"/>
        <v>0</v>
      </c>
      <c r="L957" s="17">
        <f t="shared" ca="1" si="105"/>
        <v>1</v>
      </c>
      <c r="N957" s="24" t="str">
        <f ca="1">IF(AND(L957=1,L956&lt;&gt;1),MAX($N$8:N956)+1,"")</f>
        <v/>
      </c>
      <c r="O957" s="24" t="str">
        <f ca="1">IF(AND(L957&lt;&gt;1,L956=1),MAX($O$8:O956)+1,"")</f>
        <v/>
      </c>
      <c r="P957" s="17" t="str">
        <f ca="1">IF(AND(L957=-1,L956&lt;&gt;-1),MAX($P$8:P956)+1,"")</f>
        <v/>
      </c>
      <c r="Q957" s="24" t="str">
        <f ca="1">IF(AND(L957&lt;&gt;-1,L956=-1),MAX($Q$8:Q956)+1,"")</f>
        <v/>
      </c>
    </row>
    <row r="958" spans="1:17" x14ac:dyDescent="0.3">
      <c r="A958" s="3">
        <v>41586</v>
      </c>
      <c r="B958" s="9">
        <v>11.444872</v>
      </c>
      <c r="C958" s="9">
        <v>9.6500339999999998</v>
      </c>
      <c r="E958" s="14">
        <f t="shared" si="102"/>
        <v>1.1859929198176919</v>
      </c>
      <c r="F958" s="18">
        <f t="shared" ca="1" si="101"/>
        <v>0.54165586852615333</v>
      </c>
      <c r="G958" s="15">
        <f t="shared" ca="1" si="106"/>
        <v>1.1737295114319588</v>
      </c>
      <c r="H958" s="15">
        <f t="shared" ca="1" si="107"/>
        <v>2.2640589899084639E-2</v>
      </c>
      <c r="J958" s="17">
        <f t="shared" ca="1" si="103"/>
        <v>1</v>
      </c>
      <c r="K958" s="24">
        <f t="shared" ca="1" si="104"/>
        <v>0</v>
      </c>
      <c r="L958" s="17">
        <f t="shared" ca="1" si="105"/>
        <v>1</v>
      </c>
      <c r="N958" s="24" t="str">
        <f ca="1">IF(AND(L958=1,L957&lt;&gt;1),MAX($N$8:N957)+1,"")</f>
        <v/>
      </c>
      <c r="O958" s="24" t="str">
        <f ca="1">IF(AND(L958&lt;&gt;1,L957=1),MAX($O$8:O957)+1,"")</f>
        <v/>
      </c>
      <c r="P958" s="17" t="str">
        <f ca="1">IF(AND(L958=-1,L957&lt;&gt;-1),MAX($P$8:P957)+1,"")</f>
        <v/>
      </c>
      <c r="Q958" s="24" t="str">
        <f ca="1">IF(AND(L958&lt;&gt;-1,L957=-1),MAX($Q$8:Q957)+1,"")</f>
        <v/>
      </c>
    </row>
    <row r="959" spans="1:17" x14ac:dyDescent="0.3">
      <c r="A959" s="3">
        <v>41589</v>
      </c>
      <c r="B959" s="9">
        <v>11.494674</v>
      </c>
      <c r="C959" s="9">
        <v>9.6406460000000003</v>
      </c>
      <c r="E959" s="14">
        <f t="shared" si="102"/>
        <v>1.1923136686068547</v>
      </c>
      <c r="F959" s="18">
        <f t="shared" ca="1" si="101"/>
        <v>0.75508587846477049</v>
      </c>
      <c r="G959" s="15">
        <f t="shared" ca="1" si="106"/>
        <v>1.1750818687543996</v>
      </c>
      <c r="H959" s="15">
        <f t="shared" ca="1" si="107"/>
        <v>2.2820980161211063E-2</v>
      </c>
      <c r="J959" s="17">
        <f t="shared" ca="1" si="103"/>
        <v>1</v>
      </c>
      <c r="K959" s="24">
        <f t="shared" ca="1" si="104"/>
        <v>0</v>
      </c>
      <c r="L959" s="17">
        <f t="shared" ca="1" si="105"/>
        <v>1</v>
      </c>
      <c r="N959" s="24" t="str">
        <f ca="1">IF(AND(L959=1,L958&lt;&gt;1),MAX($N$8:N958)+1,"")</f>
        <v/>
      </c>
      <c r="O959" s="24" t="str">
        <f ca="1">IF(AND(L959&lt;&gt;1,L958=1),MAX($O$8:O958)+1,"")</f>
        <v/>
      </c>
      <c r="P959" s="17" t="str">
        <f ca="1">IF(AND(L959=-1,L958&lt;&gt;-1),MAX($P$8:P958)+1,"")</f>
        <v/>
      </c>
      <c r="Q959" s="24" t="str">
        <f ca="1">IF(AND(L959&lt;&gt;-1,L958=-1),MAX($Q$8:Q958)+1,"")</f>
        <v/>
      </c>
    </row>
    <row r="960" spans="1:17" x14ac:dyDescent="0.3">
      <c r="A960" s="3">
        <v>41590</v>
      </c>
      <c r="B960" s="9">
        <v>11.476913</v>
      </c>
      <c r="C960" s="9">
        <v>9.5622509999999998</v>
      </c>
      <c r="E960" s="14">
        <f t="shared" si="102"/>
        <v>1.2002313053694156</v>
      </c>
      <c r="F960" s="18">
        <f t="shared" ca="1" si="101"/>
        <v>1.0059837263661435</v>
      </c>
      <c r="G960" s="15">
        <f t="shared" ca="1" si="106"/>
        <v>1.1771336524139251</v>
      </c>
      <c r="H960" s="15">
        <f t="shared" ca="1" si="107"/>
        <v>2.2960265012362372E-2</v>
      </c>
      <c r="J960" s="17">
        <f t="shared" ca="1" si="103"/>
        <v>1</v>
      </c>
      <c r="K960" s="24">
        <f t="shared" ca="1" si="104"/>
        <v>0</v>
      </c>
      <c r="L960" s="17">
        <f t="shared" ca="1" si="105"/>
        <v>1</v>
      </c>
      <c r="N960" s="24" t="str">
        <f ca="1">IF(AND(L960=1,L959&lt;&gt;1),MAX($N$8:N959)+1,"")</f>
        <v/>
      </c>
      <c r="O960" s="24" t="str">
        <f ca="1">IF(AND(L960&lt;&gt;1,L959=1),MAX($O$8:O959)+1,"")</f>
        <v/>
      </c>
      <c r="P960" s="17" t="str">
        <f ca="1">IF(AND(L960=-1,L959&lt;&gt;-1),MAX($P$8:P959)+1,"")</f>
        <v/>
      </c>
      <c r="Q960" s="24" t="str">
        <f ca="1">IF(AND(L960&lt;&gt;-1,L959=-1),MAX($Q$8:Q959)+1,"")</f>
        <v/>
      </c>
    </row>
    <row r="961" spans="1:17" x14ac:dyDescent="0.3">
      <c r="A961" s="3">
        <v>41591</v>
      </c>
      <c r="B961" s="9">
        <v>11.708182000000001</v>
      </c>
      <c r="C961" s="9">
        <v>9.6908150000000006</v>
      </c>
      <c r="E961" s="14">
        <f t="shared" si="102"/>
        <v>1.2081730999921059</v>
      </c>
      <c r="F961" s="18">
        <f t="shared" ca="1" si="101"/>
        <v>1.2552773118193654</v>
      </c>
      <c r="G961" s="15">
        <f t="shared" ca="1" si="106"/>
        <v>1.1803019581501988</v>
      </c>
      <c r="H961" s="15">
        <f t="shared" ca="1" si="107"/>
        <v>2.2203175011194457E-2</v>
      </c>
      <c r="J961" s="17">
        <f t="shared" ca="1" si="103"/>
        <v>1</v>
      </c>
      <c r="K961" s="24">
        <f t="shared" ca="1" si="104"/>
        <v>0</v>
      </c>
      <c r="L961" s="17">
        <f t="shared" ca="1" si="105"/>
        <v>1</v>
      </c>
      <c r="N961" s="24" t="str">
        <f ca="1">IF(AND(L961=1,L960&lt;&gt;1),MAX($N$8:N960)+1,"")</f>
        <v/>
      </c>
      <c r="O961" s="24" t="str">
        <f ca="1">IF(AND(L961&lt;&gt;1,L960=1),MAX($O$8:O960)+1,"")</f>
        <v/>
      </c>
      <c r="P961" s="17" t="str">
        <f ca="1">IF(AND(L961=-1,L960&lt;&gt;-1),MAX($P$8:P960)+1,"")</f>
        <v/>
      </c>
      <c r="Q961" s="24" t="str">
        <f ca="1">IF(AND(L961&lt;&gt;-1,L960=-1),MAX($Q$8:Q960)+1,"")</f>
        <v/>
      </c>
    </row>
    <row r="962" spans="1:17" x14ac:dyDescent="0.3">
      <c r="A962" s="3">
        <v>41592</v>
      </c>
      <c r="B962" s="9">
        <v>11.957352999999999</v>
      </c>
      <c r="C962" s="9">
        <v>9.8726579999999995</v>
      </c>
      <c r="E962" s="14">
        <f t="shared" si="102"/>
        <v>1.2111584337267634</v>
      </c>
      <c r="F962" s="18">
        <f t="shared" ref="F962:F1025" ca="1" si="108">IF(ISNUMBER(G962),(E962-G962)/H962,"")</f>
        <v>1.2985124831832449</v>
      </c>
      <c r="G962" s="15">
        <f t="shared" ca="1" si="106"/>
        <v>1.1835266051543507</v>
      </c>
      <c r="H962" s="15">
        <f t="shared" ca="1" si="107"/>
        <v>2.1279601798416647E-2</v>
      </c>
      <c r="J962" s="17">
        <f t="shared" ca="1" si="103"/>
        <v>1</v>
      </c>
      <c r="K962" s="24">
        <f t="shared" ca="1" si="104"/>
        <v>0</v>
      </c>
      <c r="L962" s="17">
        <f t="shared" ca="1" si="105"/>
        <v>1</v>
      </c>
      <c r="N962" s="24" t="str">
        <f ca="1">IF(AND(L962=1,L961&lt;&gt;1),MAX($N$8:N961)+1,"")</f>
        <v/>
      </c>
      <c r="O962" s="24" t="str">
        <f ca="1">IF(AND(L962&lt;&gt;1,L961=1),MAX($O$8:O961)+1,"")</f>
        <v/>
      </c>
      <c r="P962" s="17" t="str">
        <f ca="1">IF(AND(L962=-1,L961&lt;&gt;-1),MAX($P$8:P961)+1,"")</f>
        <v/>
      </c>
      <c r="Q962" s="24" t="str">
        <f ca="1">IF(AND(L962&lt;&gt;-1,L961=-1),MAX($Q$8:Q961)+1,"")</f>
        <v/>
      </c>
    </row>
    <row r="963" spans="1:17" x14ac:dyDescent="0.3">
      <c r="A963" s="3">
        <v>41596</v>
      </c>
      <c r="B963" s="9">
        <v>12.121048</v>
      </c>
      <c r="C963" s="9">
        <v>9.9291</v>
      </c>
      <c r="E963" s="14">
        <f t="shared" ref="E963:E1026" si="109">IF(ISNUMBER(B963),B963/C963,"")</f>
        <v>1.2207599883171687</v>
      </c>
      <c r="F963" s="18">
        <f t="shared" ca="1" si="108"/>
        <v>1.6258788481970998</v>
      </c>
      <c r="G963" s="15">
        <f t="shared" ca="1" si="106"/>
        <v>1.1870466861299085</v>
      </c>
      <c r="H963" s="15">
        <f t="shared" ca="1" si="107"/>
        <v>2.0735433162590265E-2</v>
      </c>
      <c r="J963" s="17">
        <f t="shared" ca="1" si="103"/>
        <v>1</v>
      </c>
      <c r="K963" s="24">
        <f t="shared" ca="1" si="104"/>
        <v>0</v>
      </c>
      <c r="L963" s="17">
        <f t="shared" ca="1" si="105"/>
        <v>1</v>
      </c>
      <c r="N963" s="24" t="str">
        <f ca="1">IF(AND(L963=1,L962&lt;&gt;1),MAX($N$8:N962)+1,"")</f>
        <v/>
      </c>
      <c r="O963" s="24" t="str">
        <f ca="1">IF(AND(L963&lt;&gt;1,L962=1),MAX($O$8:O962)+1,"")</f>
        <v/>
      </c>
      <c r="P963" s="17" t="str">
        <f ca="1">IF(AND(L963=-1,L962&lt;&gt;-1),MAX($P$8:P962)+1,"")</f>
        <v/>
      </c>
      <c r="Q963" s="24" t="str">
        <f ca="1">IF(AND(L963&lt;&gt;-1,L962=-1),MAX($Q$8:Q962)+1,"")</f>
        <v/>
      </c>
    </row>
    <row r="964" spans="1:17" x14ac:dyDescent="0.3">
      <c r="A964" s="3">
        <v>41597</v>
      </c>
      <c r="B964" s="9">
        <v>11.797204000000001</v>
      </c>
      <c r="C964" s="9">
        <v>9.6030420000000003</v>
      </c>
      <c r="E964" s="14">
        <f t="shared" si="109"/>
        <v>1.2284861401210159</v>
      </c>
      <c r="F964" s="18">
        <f t="shared" ca="1" si="108"/>
        <v>1.8376772326964586</v>
      </c>
      <c r="G964" s="15">
        <f t="shared" ca="1" si="106"/>
        <v>1.1907465693993085</v>
      </c>
      <c r="H964" s="15">
        <f t="shared" ca="1" si="107"/>
        <v>2.0536561072986376E-2</v>
      </c>
      <c r="J964" s="17">
        <f t="shared" ca="1" si="103"/>
        <v>1</v>
      </c>
      <c r="K964" s="24">
        <f t="shared" ca="1" si="104"/>
        <v>0</v>
      </c>
      <c r="L964" s="17">
        <f t="shared" ca="1" si="105"/>
        <v>1</v>
      </c>
      <c r="N964" s="24" t="str">
        <f ca="1">IF(AND(L964=1,L963&lt;&gt;1),MAX($N$8:N963)+1,"")</f>
        <v/>
      </c>
      <c r="O964" s="24" t="str">
        <f ca="1">IF(AND(L964&lt;&gt;1,L963=1),MAX($O$8:O963)+1,"")</f>
        <v/>
      </c>
      <c r="P964" s="17" t="str">
        <f ca="1">IF(AND(L964=-1,L963&lt;&gt;-1),MAX($P$8:P963)+1,"")</f>
        <v/>
      </c>
      <c r="Q964" s="24" t="str">
        <f ca="1">IF(AND(L964&lt;&gt;-1,L963=-1),MAX($Q$8:Q963)+1,"")</f>
        <v/>
      </c>
    </row>
    <row r="965" spans="1:17" x14ac:dyDescent="0.3">
      <c r="A965" s="3">
        <v>41599</v>
      </c>
      <c r="B965" s="9">
        <v>11.676208000000001</v>
      </c>
      <c r="C965" s="9">
        <v>9.5622509999999998</v>
      </c>
      <c r="E965" s="14">
        <f t="shared" si="109"/>
        <v>1.221073155264383</v>
      </c>
      <c r="F965" s="18">
        <f t="shared" ca="1" si="108"/>
        <v>1.3405549419036127</v>
      </c>
      <c r="G965" s="15">
        <f t="shared" ca="1" si="106"/>
        <v>1.193190292512156</v>
      </c>
      <c r="H965" s="15">
        <f t="shared" ca="1" si="107"/>
        <v>2.079949271801779E-2</v>
      </c>
      <c r="J965" s="17">
        <f t="shared" ca="1" si="103"/>
        <v>1</v>
      </c>
      <c r="K965" s="24">
        <f t="shared" ca="1" si="104"/>
        <v>0</v>
      </c>
      <c r="L965" s="17">
        <f t="shared" ca="1" si="105"/>
        <v>1</v>
      </c>
      <c r="N965" s="24" t="str">
        <f ca="1">IF(AND(L965=1,L964&lt;&gt;1),MAX($N$8:N964)+1,"")</f>
        <v/>
      </c>
      <c r="O965" s="24" t="str">
        <f ca="1">IF(AND(L965&lt;&gt;1,L964=1),MAX($O$8:O964)+1,"")</f>
        <v/>
      </c>
      <c r="P965" s="17" t="str">
        <f ca="1">IF(AND(L965=-1,L964&lt;&gt;-1),MAX($P$8:P964)+1,"")</f>
        <v/>
      </c>
      <c r="Q965" s="24" t="str">
        <f ca="1">IF(AND(L965&lt;&gt;-1,L964=-1),MAX($Q$8:Q964)+1,"")</f>
        <v/>
      </c>
    </row>
    <row r="966" spans="1:17" x14ac:dyDescent="0.3">
      <c r="A966" s="3">
        <v>41600</v>
      </c>
      <c r="B966" s="9">
        <v>11.50178</v>
      </c>
      <c r="C966" s="9">
        <v>9.4995209999999997</v>
      </c>
      <c r="E966" s="14">
        <f t="shared" si="109"/>
        <v>1.2107747327470513</v>
      </c>
      <c r="F966" s="18">
        <f t="shared" ca="1" si="108"/>
        <v>0.76884346537937731</v>
      </c>
      <c r="G966" s="15">
        <f t="shared" ca="1" si="106"/>
        <v>1.1950055795756886</v>
      </c>
      <c r="H966" s="15">
        <f t="shared" ca="1" si="107"/>
        <v>2.0510225919110222E-2</v>
      </c>
      <c r="J966" s="17">
        <f t="shared" ca="1" si="103"/>
        <v>1</v>
      </c>
      <c r="K966" s="24">
        <f t="shared" ca="1" si="104"/>
        <v>0</v>
      </c>
      <c r="L966" s="17">
        <f t="shared" ca="1" si="105"/>
        <v>1</v>
      </c>
      <c r="N966" s="24" t="str">
        <f ca="1">IF(AND(L966=1,L965&lt;&gt;1),MAX($N$8:N965)+1,"")</f>
        <v/>
      </c>
      <c r="O966" s="24" t="str">
        <f ca="1">IF(AND(L966&lt;&gt;1,L965=1),MAX($O$8:O965)+1,"")</f>
        <v/>
      </c>
      <c r="P966" s="17" t="str">
        <f ca="1">IF(AND(L966=-1,L965&lt;&gt;-1),MAX($P$8:P965)+1,"")</f>
        <v/>
      </c>
      <c r="Q966" s="24" t="str">
        <f ca="1">IF(AND(L966&lt;&gt;-1,L965=-1),MAX($Q$8:Q965)+1,"")</f>
        <v/>
      </c>
    </row>
    <row r="967" spans="1:17" x14ac:dyDescent="0.3">
      <c r="A967" s="3">
        <v>41603</v>
      </c>
      <c r="B967" s="9">
        <v>11.330973999999999</v>
      </c>
      <c r="C967" s="9">
        <v>9.4149209999999997</v>
      </c>
      <c r="E967" s="14">
        <f t="shared" si="109"/>
        <v>1.2035123821007101</v>
      </c>
      <c r="F967" s="18">
        <f t="shared" ca="1" si="108"/>
        <v>0.34235375615736985</v>
      </c>
      <c r="G967" s="15">
        <f t="shared" ca="1" si="106"/>
        <v>1.1969662729866419</v>
      </c>
      <c r="H967" s="15">
        <f t="shared" ca="1" si="107"/>
        <v>1.91208917569437E-2</v>
      </c>
      <c r="J967" s="17">
        <f t="shared" ca="1" si="103"/>
        <v>1</v>
      </c>
      <c r="K967" s="24">
        <f t="shared" ca="1" si="104"/>
        <v>0</v>
      </c>
      <c r="L967" s="17">
        <f t="shared" ca="1" si="105"/>
        <v>1</v>
      </c>
      <c r="N967" s="24" t="str">
        <f ca="1">IF(AND(L967=1,L966&lt;&gt;1),MAX($N$8:N966)+1,"")</f>
        <v/>
      </c>
      <c r="O967" s="24" t="str">
        <f ca="1">IF(AND(L967&lt;&gt;1,L966=1),MAX($O$8:O966)+1,"")</f>
        <v/>
      </c>
      <c r="P967" s="17" t="str">
        <f ca="1">IF(AND(L967=-1,L966&lt;&gt;-1),MAX($P$8:P966)+1,"")</f>
        <v/>
      </c>
      <c r="Q967" s="24" t="str">
        <f ca="1">IF(AND(L967&lt;&gt;-1,L966=-1),MAX($Q$8:Q966)+1,"")</f>
        <v/>
      </c>
    </row>
    <row r="968" spans="1:17" x14ac:dyDescent="0.3">
      <c r="A968" s="3">
        <v>41604</v>
      </c>
      <c r="B968" s="9">
        <v>11.387886</v>
      </c>
      <c r="C968" s="9">
        <v>9.3741409999999998</v>
      </c>
      <c r="E968" s="14">
        <f t="shared" si="109"/>
        <v>1.2148191498293017</v>
      </c>
      <c r="F968" s="18">
        <f t="shared" ca="1" si="108"/>
        <v>0.85576248010113776</v>
      </c>
      <c r="G968" s="15">
        <f t="shared" ca="1" si="106"/>
        <v>1.1990830157354522</v>
      </c>
      <c r="H968" s="15">
        <f t="shared" ca="1" si="107"/>
        <v>1.8388436581129132E-2</v>
      </c>
      <c r="J968" s="17">
        <f t="shared" ref="J968:J1031" ca="1" si="110">IF(ISNUMBER(F968),IF(AND(J967&lt;&gt;1,F968&gt;$L$1),1,IF(AND(J967=1,F968&gt;$N$1),1,0)),"")</f>
        <v>1</v>
      </c>
      <c r="K968" s="24">
        <f t="shared" ca="1" si="104"/>
        <v>0</v>
      </c>
      <c r="L968" s="17">
        <f t="shared" ca="1" si="105"/>
        <v>1</v>
      </c>
      <c r="N968" s="24" t="str">
        <f ca="1">IF(AND(L968=1,L967&lt;&gt;1),MAX($N$8:N967)+1,"")</f>
        <v/>
      </c>
      <c r="O968" s="24" t="str">
        <f ca="1">IF(AND(L968&lt;&gt;1,L967=1),MAX($O$8:O967)+1,"")</f>
        <v/>
      </c>
      <c r="P968" s="17" t="str">
        <f ca="1">IF(AND(L968=-1,L967&lt;&gt;-1),MAX($P$8:P967)+1,"")</f>
        <v/>
      </c>
      <c r="Q968" s="24" t="str">
        <f ca="1">IF(AND(L968&lt;&gt;-1,L967=-1),MAX($Q$8:Q967)+1,"")</f>
        <v/>
      </c>
    </row>
    <row r="969" spans="1:17" x14ac:dyDescent="0.3">
      <c r="A969" s="3">
        <v>41605</v>
      </c>
      <c r="B969" s="9">
        <v>11.690416000000001</v>
      </c>
      <c r="C969" s="9">
        <v>9.5935880000000004</v>
      </c>
      <c r="E969" s="14">
        <f t="shared" si="109"/>
        <v>1.2185655669182376</v>
      </c>
      <c r="F969" s="18">
        <f t="shared" ca="1" si="108"/>
        <v>0.99367881013563086</v>
      </c>
      <c r="G969" s="15">
        <f t="shared" ca="1" si="106"/>
        <v>1.2015760053586035</v>
      </c>
      <c r="H969" s="15">
        <f t="shared" ca="1" si="107"/>
        <v>1.7097638981870892E-2</v>
      </c>
      <c r="J969" s="17">
        <f t="shared" ca="1" si="110"/>
        <v>1</v>
      </c>
      <c r="K969" s="24">
        <f t="shared" ref="K969:K1032" ca="1" si="111">IF(ISNUMBER(F969),IF(AND(K968&lt;&gt;-1,F969&lt;$P$1),-1,IF(AND(K968=-1,F969&lt;R962),-1,0)),"")</f>
        <v>0</v>
      </c>
      <c r="L969" s="17">
        <f t="shared" ref="L969:L1032" ca="1" si="112">IF(ISNUMBER(F969),IF(J969=1,1,IF(K969=-1,-1,0)),"")</f>
        <v>1</v>
      </c>
      <c r="N969" s="24" t="str">
        <f ca="1">IF(AND(L969=1,L968&lt;&gt;1),MAX($N$8:N968)+1,"")</f>
        <v/>
      </c>
      <c r="O969" s="24" t="str">
        <f ca="1">IF(AND(L969&lt;&gt;1,L968=1),MAX($O$8:O968)+1,"")</f>
        <v/>
      </c>
      <c r="P969" s="17" t="str">
        <f ca="1">IF(AND(L969=-1,L968&lt;&gt;-1),MAX($P$8:P968)+1,"")</f>
        <v/>
      </c>
      <c r="Q969" s="24" t="str">
        <f ca="1">IF(AND(L969&lt;&gt;-1,L968=-1),MAX($Q$8:Q968)+1,"")</f>
        <v/>
      </c>
    </row>
    <row r="970" spans="1:17" x14ac:dyDescent="0.3">
      <c r="A970" s="3">
        <v>41606</v>
      </c>
      <c r="B970" s="9">
        <v>11.583632</v>
      </c>
      <c r="C970" s="9">
        <v>9.6249819999999993</v>
      </c>
      <c r="E970" s="14">
        <f t="shared" si="109"/>
        <v>1.2034964844609579</v>
      </c>
      <c r="F970" s="18">
        <f t="shared" ca="1" si="108"/>
        <v>1.2195869902930517E-2</v>
      </c>
      <c r="G970" s="15">
        <f t="shared" ca="1" si="106"/>
        <v>1.2033116416592042</v>
      </c>
      <c r="H970" s="15">
        <f t="shared" ca="1" si="107"/>
        <v>1.5156180184348014E-2</v>
      </c>
      <c r="J970" s="17">
        <f t="shared" ca="1" si="110"/>
        <v>1</v>
      </c>
      <c r="K970" s="24">
        <f t="shared" ca="1" si="111"/>
        <v>0</v>
      </c>
      <c r="L970" s="17">
        <f t="shared" ca="1" si="112"/>
        <v>1</v>
      </c>
      <c r="N970" s="24" t="str">
        <f ca="1">IF(AND(L970=1,L969&lt;&gt;1),MAX($N$8:N969)+1,"")</f>
        <v/>
      </c>
      <c r="O970" s="24" t="str">
        <f ca="1">IF(AND(L970&lt;&gt;1,L969=1),MAX($O$8:O969)+1,"")</f>
        <v/>
      </c>
      <c r="P970" s="17" t="str">
        <f ca="1">IF(AND(L970=-1,L969&lt;&gt;-1),MAX($P$8:P969)+1,"")</f>
        <v/>
      </c>
      <c r="Q970" s="24" t="str">
        <f ca="1">IF(AND(L970&lt;&gt;-1,L969=-1),MAX($Q$8:Q969)+1,"")</f>
        <v/>
      </c>
    </row>
    <row r="971" spans="1:17" x14ac:dyDescent="0.3">
      <c r="A971" s="3">
        <v>41607</v>
      </c>
      <c r="B971" s="9">
        <v>11.72246</v>
      </c>
      <c r="C971" s="9">
        <v>9.7190449999999995</v>
      </c>
      <c r="E971" s="14">
        <f t="shared" si="109"/>
        <v>1.2061329070911804</v>
      </c>
      <c r="F971" s="18">
        <f t="shared" ca="1" si="108"/>
        <v>0.11391988634429835</v>
      </c>
      <c r="G971" s="15">
        <f t="shared" ca="1" si="106"/>
        <v>1.2045075480850691</v>
      </c>
      <c r="H971" s="15">
        <f t="shared" ca="1" si="107"/>
        <v>1.4267561689791132E-2</v>
      </c>
      <c r="J971" s="17">
        <f t="shared" ca="1" si="110"/>
        <v>1</v>
      </c>
      <c r="K971" s="24">
        <f t="shared" ca="1" si="111"/>
        <v>0</v>
      </c>
      <c r="L971" s="17">
        <f t="shared" ca="1" si="112"/>
        <v>1</v>
      </c>
      <c r="N971" s="24" t="str">
        <f ca="1">IF(AND(L971=1,L970&lt;&gt;1),MAX($N$8:N970)+1,"")</f>
        <v/>
      </c>
      <c r="O971" s="24" t="str">
        <f ca="1">IF(AND(L971&lt;&gt;1,L970=1),MAX($O$8:O970)+1,"")</f>
        <v/>
      </c>
      <c r="P971" s="17" t="str">
        <f ca="1">IF(AND(L971=-1,L970&lt;&gt;-1),MAX($P$8:P970)+1,"")</f>
        <v/>
      </c>
      <c r="Q971" s="24" t="str">
        <f ca="1">IF(AND(L971&lt;&gt;-1,L970=-1),MAX($Q$8:Q970)+1,"")</f>
        <v/>
      </c>
    </row>
    <row r="972" spans="1:17" x14ac:dyDescent="0.3">
      <c r="A972" s="3">
        <v>41610</v>
      </c>
      <c r="B972" s="9">
        <v>11.476618999999999</v>
      </c>
      <c r="C972" s="9">
        <v>9.5027010000000001</v>
      </c>
      <c r="E972" s="14">
        <f t="shared" si="109"/>
        <v>1.2077217835223901</v>
      </c>
      <c r="F972" s="18">
        <f t="shared" ca="1" si="108"/>
        <v>0.23220430800952929</v>
      </c>
      <c r="G972" s="15">
        <f t="shared" ca="1" si="106"/>
        <v>1.2044152253065035</v>
      </c>
      <c r="H972" s="15">
        <f t="shared" ca="1" si="107"/>
        <v>1.4239865936298482E-2</v>
      </c>
      <c r="J972" s="17">
        <f t="shared" ca="1" si="110"/>
        <v>1</v>
      </c>
      <c r="K972" s="24">
        <f t="shared" ca="1" si="111"/>
        <v>0</v>
      </c>
      <c r="L972" s="17">
        <f t="shared" ca="1" si="112"/>
        <v>1</v>
      </c>
      <c r="N972" s="24" t="str">
        <f ca="1">IF(AND(L972=1,L971&lt;&gt;1),MAX($N$8:N971)+1,"")</f>
        <v/>
      </c>
      <c r="O972" s="24" t="str">
        <f ca="1">IF(AND(L972&lt;&gt;1,L971=1),MAX($O$8:O971)+1,"")</f>
        <v/>
      </c>
      <c r="P972" s="17" t="str">
        <f ca="1">IF(AND(L972=-1,L971&lt;&gt;-1),MAX($P$8:P971)+1,"")</f>
        <v/>
      </c>
      <c r="Q972" s="24" t="str">
        <f ca="1">IF(AND(L972&lt;&gt;-1,L971=-1),MAX($Q$8:Q971)+1,"")</f>
        <v/>
      </c>
    </row>
    <row r="973" spans="1:17" x14ac:dyDescent="0.3">
      <c r="A973" s="3">
        <v>41611</v>
      </c>
      <c r="B973" s="9">
        <v>11.220179</v>
      </c>
      <c r="C973" s="9">
        <v>9.2966359999999995</v>
      </c>
      <c r="E973" s="14">
        <f t="shared" si="109"/>
        <v>1.2069074232873054</v>
      </c>
      <c r="F973" s="18">
        <f t="shared" ca="1" si="108"/>
        <v>0.18681531371508059</v>
      </c>
      <c r="G973" s="15">
        <f t="shared" ca="1" si="106"/>
        <v>1.2042562262630032</v>
      </c>
      <c r="H973" s="15">
        <f t="shared" ca="1" si="107"/>
        <v>1.4191540145074032E-2</v>
      </c>
      <c r="J973" s="17">
        <f t="shared" ca="1" si="110"/>
        <v>1</v>
      </c>
      <c r="K973" s="24">
        <f t="shared" ca="1" si="111"/>
        <v>0</v>
      </c>
      <c r="L973" s="17">
        <f t="shared" ca="1" si="112"/>
        <v>1</v>
      </c>
      <c r="N973" s="24" t="str">
        <f ca="1">IF(AND(L973=1,L972&lt;&gt;1),MAX($N$8:N972)+1,"")</f>
        <v/>
      </c>
      <c r="O973" s="24" t="str">
        <f ca="1">IF(AND(L973&lt;&gt;1,L972=1),MAX($O$8:O972)+1,"")</f>
        <v/>
      </c>
      <c r="P973" s="17" t="str">
        <f ca="1">IF(AND(L973=-1,L972&lt;&gt;-1),MAX($P$8:P972)+1,"")</f>
        <v/>
      </c>
      <c r="Q973" s="24" t="str">
        <f ca="1">IF(AND(L973&lt;&gt;-1,L972=-1),MAX($Q$8:Q972)+1,"")</f>
        <v/>
      </c>
    </row>
    <row r="974" spans="1:17" x14ac:dyDescent="0.3">
      <c r="A974" s="3">
        <v>41612</v>
      </c>
      <c r="B974" s="9">
        <v>11.173883999999999</v>
      </c>
      <c r="C974" s="9">
        <v>9.1741770000000002</v>
      </c>
      <c r="E974" s="14">
        <f t="shared" si="109"/>
        <v>1.2179712687034487</v>
      </c>
      <c r="F974" s="18">
        <f t="shared" ca="1" si="108"/>
        <v>0.97432447142016465</v>
      </c>
      <c r="G974" s="15">
        <f t="shared" ca="1" si="106"/>
        <v>1.2041998302973291</v>
      </c>
      <c r="H974" s="15">
        <f t="shared" ca="1" si="107"/>
        <v>1.4134345190002782E-2</v>
      </c>
      <c r="J974" s="17">
        <f t="shared" ca="1" si="110"/>
        <v>1</v>
      </c>
      <c r="K974" s="24">
        <f t="shared" ca="1" si="111"/>
        <v>0</v>
      </c>
      <c r="L974" s="17">
        <f t="shared" ca="1" si="112"/>
        <v>1</v>
      </c>
      <c r="N974" s="24" t="str">
        <f ca="1">IF(AND(L974=1,L973&lt;&gt;1),MAX($N$8:N973)+1,"")</f>
        <v/>
      </c>
      <c r="O974" s="24" t="str">
        <f ca="1">IF(AND(L974&lt;&gt;1,L973=1),MAX($O$8:O973)+1,"")</f>
        <v/>
      </c>
      <c r="P974" s="17" t="str">
        <f ca="1">IF(AND(L974=-1,L973&lt;&gt;-1),MAX($P$8:P973)+1,"")</f>
        <v/>
      </c>
      <c r="Q974" s="24" t="str">
        <f ca="1">IF(AND(L974&lt;&gt;-1,L973=-1),MAX($Q$8:Q973)+1,"")</f>
        <v/>
      </c>
    </row>
    <row r="975" spans="1:17" x14ac:dyDescent="0.3">
      <c r="A975" s="3">
        <v>41613</v>
      </c>
      <c r="B975" s="9">
        <v>11.077736</v>
      </c>
      <c r="C975" s="9">
        <v>9.1113599999999995</v>
      </c>
      <c r="E975" s="14">
        <f t="shared" si="109"/>
        <v>1.2158158606399045</v>
      </c>
      <c r="F975" s="18">
        <f t="shared" ca="1" si="108"/>
        <v>0.78437647009026734</v>
      </c>
      <c r="G975" s="15">
        <f t="shared" ca="1" si="106"/>
        <v>1.2045777746652415</v>
      </c>
      <c r="H975" s="15">
        <f t="shared" ca="1" si="107"/>
        <v>1.4327413433717266E-2</v>
      </c>
      <c r="J975" s="17">
        <f t="shared" ca="1" si="110"/>
        <v>1</v>
      </c>
      <c r="K975" s="24">
        <f t="shared" ca="1" si="111"/>
        <v>0</v>
      </c>
      <c r="L975" s="17">
        <f t="shared" ca="1" si="112"/>
        <v>1</v>
      </c>
      <c r="N975" s="24" t="str">
        <f ca="1">IF(AND(L975=1,L974&lt;&gt;1),MAX($N$8:N974)+1,"")</f>
        <v/>
      </c>
      <c r="O975" s="24" t="str">
        <f ca="1">IF(AND(L975&lt;&gt;1,L974=1),MAX($O$8:O974)+1,"")</f>
        <v/>
      </c>
      <c r="P975" s="17" t="str">
        <f ca="1">IF(AND(L975=-1,L974&lt;&gt;-1),MAX($P$8:P974)+1,"")</f>
        <v/>
      </c>
      <c r="Q975" s="24" t="str">
        <f ca="1">IF(AND(L975&lt;&gt;-1,L974=-1),MAX($Q$8:Q974)+1,"")</f>
        <v/>
      </c>
    </row>
    <row r="976" spans="1:17" x14ac:dyDescent="0.3">
      <c r="A976" s="3">
        <v>41614</v>
      </c>
      <c r="B976" s="9">
        <v>11.195216</v>
      </c>
      <c r="C976" s="9">
        <v>9.1050719999999998</v>
      </c>
      <c r="E976" s="14">
        <f t="shared" si="109"/>
        <v>1.2295582066786512</v>
      </c>
      <c r="F976" s="18">
        <f t="shared" ca="1" si="108"/>
        <v>1.5684980772270436</v>
      </c>
      <c r="G976" s="15">
        <f t="shared" ca="1" si="106"/>
        <v>1.2065106617984795</v>
      </c>
      <c r="H976" s="15">
        <f t="shared" ca="1" si="107"/>
        <v>1.4694021761835737E-2</v>
      </c>
      <c r="J976" s="17">
        <f t="shared" ca="1" si="110"/>
        <v>1</v>
      </c>
      <c r="K976" s="24">
        <f t="shared" ca="1" si="111"/>
        <v>0</v>
      </c>
      <c r="L976" s="17">
        <f t="shared" ca="1" si="112"/>
        <v>1</v>
      </c>
      <c r="N976" s="24" t="str">
        <f ca="1">IF(AND(L976=1,L975&lt;&gt;1),MAX($N$8:N975)+1,"")</f>
        <v/>
      </c>
      <c r="O976" s="24" t="str">
        <f ca="1">IF(AND(L976&lt;&gt;1,L975=1),MAX($O$8:O975)+1,"")</f>
        <v/>
      </c>
      <c r="P976" s="17" t="str">
        <f ca="1">IF(AND(L976=-1,L975&lt;&gt;-1),MAX($P$8:P975)+1,"")</f>
        <v/>
      </c>
      <c r="Q976" s="24" t="str">
        <f ca="1">IF(AND(L976&lt;&gt;-1,L975=-1),MAX($Q$8:Q975)+1,"")</f>
        <v/>
      </c>
    </row>
    <row r="977" spans="1:17" x14ac:dyDescent="0.3">
      <c r="A977" s="3">
        <v>41617</v>
      </c>
      <c r="B977" s="9">
        <v>11.302099999999999</v>
      </c>
      <c r="C977" s="9">
        <v>9.1490259999999992</v>
      </c>
      <c r="E977" s="14">
        <f t="shared" si="109"/>
        <v>1.2353336847004261</v>
      </c>
      <c r="F977" s="18">
        <f t="shared" ca="1" si="108"/>
        <v>1.7699804967865682</v>
      </c>
      <c r="G977" s="15">
        <f t="shared" ca="1" si="106"/>
        <v>1.2088801530012079</v>
      </c>
      <c r="H977" s="15">
        <f t="shared" ca="1" si="107"/>
        <v>1.4945662817892703E-2</v>
      </c>
      <c r="J977" s="17">
        <f t="shared" ca="1" si="110"/>
        <v>1</v>
      </c>
      <c r="K977" s="24">
        <f t="shared" ca="1" si="111"/>
        <v>0</v>
      </c>
      <c r="L977" s="17">
        <f t="shared" ca="1" si="112"/>
        <v>1</v>
      </c>
      <c r="N977" s="24" t="str">
        <f ca="1">IF(AND(L977=1,L976&lt;&gt;1),MAX($N$8:N976)+1,"")</f>
        <v/>
      </c>
      <c r="O977" s="24" t="str">
        <f ca="1">IF(AND(L977&lt;&gt;1,L976=1),MAX($O$8:O976)+1,"")</f>
        <v/>
      </c>
      <c r="P977" s="17" t="str">
        <f ca="1">IF(AND(L977=-1,L976&lt;&gt;-1),MAX($P$8:P976)+1,"")</f>
        <v/>
      </c>
      <c r="Q977" s="24" t="str">
        <f ca="1">IF(AND(L977&lt;&gt;-1,L976=-1),MAX($Q$8:Q976)+1,"")</f>
        <v/>
      </c>
    </row>
    <row r="978" spans="1:17" x14ac:dyDescent="0.3">
      <c r="A978" s="3">
        <v>41618</v>
      </c>
      <c r="B978" s="9">
        <v>11.230841</v>
      </c>
      <c r="C978" s="9">
        <v>9.0391460000000006</v>
      </c>
      <c r="E978" s="14">
        <f t="shared" si="109"/>
        <v>1.2424670427936444</v>
      </c>
      <c r="F978" s="18">
        <f t="shared" ca="1" si="108"/>
        <v>2.0149922052848543</v>
      </c>
      <c r="G978" s="15">
        <f t="shared" ca="1" si="106"/>
        <v>1.2116292277652918</v>
      </c>
      <c r="H978" s="15">
        <f t="shared" ca="1" si="107"/>
        <v>1.5304185766809518E-2</v>
      </c>
      <c r="J978" s="17">
        <f t="shared" ca="1" si="110"/>
        <v>1</v>
      </c>
      <c r="K978" s="24">
        <f t="shared" ca="1" si="111"/>
        <v>0</v>
      </c>
      <c r="L978" s="17">
        <f t="shared" ca="1" si="112"/>
        <v>1</v>
      </c>
      <c r="N978" s="24" t="str">
        <f ca="1">IF(AND(L978=1,L977&lt;&gt;1),MAX($N$8:N977)+1,"")</f>
        <v/>
      </c>
      <c r="O978" s="24" t="str">
        <f ca="1">IF(AND(L978&lt;&gt;1,L977=1),MAX($O$8:O977)+1,"")</f>
        <v/>
      </c>
      <c r="P978" s="17" t="str">
        <f ca="1">IF(AND(L978=-1,L977&lt;&gt;-1),MAX($P$8:P977)+1,"")</f>
        <v/>
      </c>
      <c r="Q978" s="24" t="str">
        <f ca="1">IF(AND(L978&lt;&gt;-1,L977=-1),MAX($Q$8:Q977)+1,"")</f>
        <v/>
      </c>
    </row>
    <row r="979" spans="1:17" x14ac:dyDescent="0.3">
      <c r="A979" s="3">
        <v>41619</v>
      </c>
      <c r="B979" s="9">
        <v>10.931666</v>
      </c>
      <c r="C979" s="9">
        <v>8.8413590000000006</v>
      </c>
      <c r="E979" s="14">
        <f t="shared" si="109"/>
        <v>1.2364237217378007</v>
      </c>
      <c r="F979" s="18">
        <f t="shared" ca="1" si="108"/>
        <v>1.5870921454977558</v>
      </c>
      <c r="G979" s="15">
        <f t="shared" ca="1" si="106"/>
        <v>1.2144404057466547</v>
      </c>
      <c r="H979" s="15">
        <f t="shared" ca="1" si="107"/>
        <v>1.3851316732621992E-2</v>
      </c>
      <c r="J979" s="17">
        <f t="shared" ca="1" si="110"/>
        <v>1</v>
      </c>
      <c r="K979" s="24">
        <f t="shared" ca="1" si="111"/>
        <v>0</v>
      </c>
      <c r="L979" s="17">
        <f t="shared" ca="1" si="112"/>
        <v>1</v>
      </c>
      <c r="N979" s="24" t="str">
        <f ca="1">IF(AND(L979=1,L978&lt;&gt;1),MAX($N$8:N978)+1,"")</f>
        <v/>
      </c>
      <c r="O979" s="24" t="str">
        <f ca="1">IF(AND(L979&lt;&gt;1,L978=1),MAX($O$8:O978)+1,"")</f>
        <v/>
      </c>
      <c r="P979" s="17" t="str">
        <f ca="1">IF(AND(L979=-1,L978&lt;&gt;-1),MAX($P$8:P978)+1,"")</f>
        <v/>
      </c>
      <c r="Q979" s="24" t="str">
        <f ca="1">IF(AND(L979&lt;&gt;-1,L978=-1),MAX($Q$8:Q978)+1,"")</f>
        <v/>
      </c>
    </row>
    <row r="980" spans="1:17" x14ac:dyDescent="0.3">
      <c r="A980" s="3">
        <v>41620</v>
      </c>
      <c r="B980" s="9">
        <v>11.024254000000001</v>
      </c>
      <c r="C980" s="9">
        <v>8.9166830000000008</v>
      </c>
      <c r="E980" s="14">
        <f t="shared" si="109"/>
        <v>1.2363626698403432</v>
      </c>
      <c r="F980" s="18">
        <f t="shared" ca="1" si="108"/>
        <v>1.4983879374028501</v>
      </c>
      <c r="G980" s="15">
        <f t="shared" ca="1" si="106"/>
        <v>1.2167299398385933</v>
      </c>
      <c r="H980" s="15">
        <f t="shared" ca="1" si="107"/>
        <v>1.3102568107815352E-2</v>
      </c>
      <c r="J980" s="17">
        <f t="shared" ca="1" si="110"/>
        <v>1</v>
      </c>
      <c r="K980" s="24">
        <f t="shared" ca="1" si="111"/>
        <v>0</v>
      </c>
      <c r="L980" s="17">
        <f t="shared" ca="1" si="112"/>
        <v>1</v>
      </c>
      <c r="N980" s="24" t="str">
        <f ca="1">IF(AND(L980=1,L979&lt;&gt;1),MAX($N$8:N979)+1,"")</f>
        <v/>
      </c>
      <c r="O980" s="24" t="str">
        <f ca="1">IF(AND(L980&lt;&gt;1,L979=1),MAX($O$8:O979)+1,"")</f>
        <v/>
      </c>
      <c r="P980" s="17" t="str">
        <f ca="1">IF(AND(L980=-1,L979&lt;&gt;-1),MAX($P$8:P979)+1,"")</f>
        <v/>
      </c>
      <c r="Q980" s="24" t="str">
        <f ca="1">IF(AND(L980&lt;&gt;-1,L979=-1),MAX($Q$8:Q979)+1,"")</f>
        <v/>
      </c>
    </row>
    <row r="981" spans="1:17" x14ac:dyDescent="0.3">
      <c r="A981" s="3">
        <v>41621</v>
      </c>
      <c r="B981" s="9">
        <v>11.066998999999999</v>
      </c>
      <c r="C981" s="9">
        <v>8.9575270000000007</v>
      </c>
      <c r="E981" s="14">
        <f t="shared" si="109"/>
        <v>1.2354971411194182</v>
      </c>
      <c r="F981" s="18">
        <f t="shared" ca="1" si="108"/>
        <v>1.3422598700670496</v>
      </c>
      <c r="G981" s="15">
        <f t="shared" ca="1" si="106"/>
        <v>1.2186928249528008</v>
      </c>
      <c r="H981" s="15">
        <f t="shared" ca="1" si="107"/>
        <v>1.2519420822569887E-2</v>
      </c>
      <c r="J981" s="17">
        <f t="shared" ca="1" si="110"/>
        <v>1</v>
      </c>
      <c r="K981" s="24">
        <f t="shared" ca="1" si="111"/>
        <v>0</v>
      </c>
      <c r="L981" s="17">
        <f t="shared" ca="1" si="112"/>
        <v>1</v>
      </c>
      <c r="N981" s="24" t="str">
        <f ca="1">IF(AND(L981=1,L980&lt;&gt;1),MAX($N$8:N980)+1,"")</f>
        <v/>
      </c>
      <c r="O981" s="24" t="str">
        <f ca="1">IF(AND(L981&lt;&gt;1,L980=1),MAX($O$8:O980)+1,"")</f>
        <v/>
      </c>
      <c r="P981" s="17" t="str">
        <f ca="1">IF(AND(L981=-1,L980&lt;&gt;-1),MAX($P$8:P980)+1,"")</f>
        <v/>
      </c>
      <c r="Q981" s="24" t="str">
        <f ca="1">IF(AND(L981&lt;&gt;-1,L980=-1),MAX($Q$8:Q980)+1,"")</f>
        <v/>
      </c>
    </row>
    <row r="982" spans="1:17" x14ac:dyDescent="0.3">
      <c r="A982" s="3">
        <v>41624</v>
      </c>
      <c r="B982" s="9">
        <v>11.102627</v>
      </c>
      <c r="C982" s="9">
        <v>9.0171670000000006</v>
      </c>
      <c r="E982" s="14">
        <f t="shared" si="109"/>
        <v>1.2312766304538887</v>
      </c>
      <c r="F982" s="18">
        <f t="shared" ca="1" si="108"/>
        <v>0.9232331036312682</v>
      </c>
      <c r="G982" s="15">
        <f t="shared" ca="1" si="106"/>
        <v>1.2201039760930041</v>
      </c>
      <c r="H982" s="15">
        <f t="shared" ca="1" si="107"/>
        <v>1.2101661343099777E-2</v>
      </c>
      <c r="J982" s="17">
        <f t="shared" ca="1" si="110"/>
        <v>1</v>
      </c>
      <c r="K982" s="24">
        <f t="shared" ca="1" si="111"/>
        <v>0</v>
      </c>
      <c r="L982" s="17">
        <f t="shared" ca="1" si="112"/>
        <v>1</v>
      </c>
      <c r="N982" s="24" t="str">
        <f ca="1">IF(AND(L982=1,L981&lt;&gt;1),MAX($N$8:N981)+1,"")</f>
        <v/>
      </c>
      <c r="O982" s="24" t="str">
        <f ca="1">IF(AND(L982&lt;&gt;1,L981=1),MAX($O$8:O981)+1,"")</f>
        <v/>
      </c>
      <c r="P982" s="17" t="str">
        <f ca="1">IF(AND(L982=-1,L981&lt;&gt;-1),MAX($P$8:P981)+1,"")</f>
        <v/>
      </c>
      <c r="Q982" s="24" t="str">
        <f ca="1">IF(AND(L982&lt;&gt;-1,L981=-1),MAX($Q$8:Q981)+1,"")</f>
        <v/>
      </c>
    </row>
    <row r="983" spans="1:17" x14ac:dyDescent="0.3">
      <c r="A983" s="3">
        <v>41625</v>
      </c>
      <c r="B983" s="9">
        <v>11.11692</v>
      </c>
      <c r="C983" s="9">
        <v>9.0045920000000006</v>
      </c>
      <c r="E983" s="14">
        <f t="shared" si="109"/>
        <v>1.2345834214365292</v>
      </c>
      <c r="F983" s="18">
        <f t="shared" ca="1" si="108"/>
        <v>1.0912723863833502</v>
      </c>
      <c r="G983" s="15">
        <f t="shared" ca="1" si="106"/>
        <v>1.2213044452495689</v>
      </c>
      <c r="H983" s="15">
        <f t="shared" ca="1" si="107"/>
        <v>1.2168342526258646E-2</v>
      </c>
      <c r="J983" s="17">
        <f t="shared" ca="1" si="110"/>
        <v>1</v>
      </c>
      <c r="K983" s="24">
        <f t="shared" ca="1" si="111"/>
        <v>0</v>
      </c>
      <c r="L983" s="17">
        <f t="shared" ca="1" si="112"/>
        <v>1</v>
      </c>
      <c r="N983" s="24" t="str">
        <f ca="1">IF(AND(L983=1,L982&lt;&gt;1),MAX($N$8:N982)+1,"")</f>
        <v/>
      </c>
      <c r="O983" s="24" t="str">
        <f ca="1">IF(AND(L983&lt;&gt;1,L982=1),MAX($O$8:O982)+1,"")</f>
        <v/>
      </c>
      <c r="P983" s="17" t="str">
        <f ca="1">IF(AND(L983=-1,L982&lt;&gt;-1),MAX($P$8:P982)+1,"")</f>
        <v/>
      </c>
      <c r="Q983" s="24" t="str">
        <f ca="1">IF(AND(L983&lt;&gt;-1,L982=-1),MAX($Q$8:Q982)+1,"")</f>
        <v/>
      </c>
    </row>
    <row r="984" spans="1:17" x14ac:dyDescent="0.3">
      <c r="A984" s="3">
        <v>41626</v>
      </c>
      <c r="B984" s="9">
        <v>11.184547999999999</v>
      </c>
      <c r="C984" s="9">
        <v>9.0548319999999993</v>
      </c>
      <c r="E984" s="14">
        <f t="shared" si="109"/>
        <v>1.2352021550482659</v>
      </c>
      <c r="F984" s="18">
        <f t="shared" ca="1" si="108"/>
        <v>1.0421294330611421</v>
      </c>
      <c r="G984" s="15">
        <f t="shared" ca="1" si="106"/>
        <v>1.2223973416732736</v>
      </c>
      <c r="H984" s="15">
        <f t="shared" ca="1" si="107"/>
        <v>1.2287162197673982E-2</v>
      </c>
      <c r="J984" s="17">
        <f t="shared" ca="1" si="110"/>
        <v>1</v>
      </c>
      <c r="K984" s="24">
        <f t="shared" ca="1" si="111"/>
        <v>0</v>
      </c>
      <c r="L984" s="17">
        <f t="shared" ca="1" si="112"/>
        <v>1</v>
      </c>
      <c r="N984" s="24" t="str">
        <f ca="1">IF(AND(L984=1,L983&lt;&gt;1),MAX($N$8:N983)+1,"")</f>
        <v/>
      </c>
      <c r="O984" s="24" t="str">
        <f ca="1">IF(AND(L984&lt;&gt;1,L983=1),MAX($O$8:O983)+1,"")</f>
        <v/>
      </c>
      <c r="P984" s="17" t="str">
        <f ca="1">IF(AND(L984=-1,L983&lt;&gt;-1),MAX($P$8:P983)+1,"")</f>
        <v/>
      </c>
      <c r="Q984" s="24" t="str">
        <f ca="1">IF(AND(L984&lt;&gt;-1,L983=-1),MAX($Q$8:Q983)+1,"")</f>
        <v/>
      </c>
    </row>
    <row r="985" spans="1:17" x14ac:dyDescent="0.3">
      <c r="A985" s="3">
        <v>41627</v>
      </c>
      <c r="B985" s="9">
        <v>11.433870000000001</v>
      </c>
      <c r="C985" s="9">
        <v>9.2118420000000008</v>
      </c>
      <c r="E985" s="14">
        <f t="shared" si="109"/>
        <v>1.2412142978570408</v>
      </c>
      <c r="F985" s="18">
        <f t="shared" ca="1" si="108"/>
        <v>1.3879721646045544</v>
      </c>
      <c r="G985" s="15">
        <f t="shared" ca="1" si="106"/>
        <v>1.2233270830159952</v>
      </c>
      <c r="H985" s="15">
        <f t="shared" ca="1" si="107"/>
        <v>1.2887300838732478E-2</v>
      </c>
      <c r="J985" s="17">
        <f t="shared" ca="1" si="110"/>
        <v>1</v>
      </c>
      <c r="K985" s="24">
        <f t="shared" ca="1" si="111"/>
        <v>0</v>
      </c>
      <c r="L985" s="17">
        <f t="shared" ca="1" si="112"/>
        <v>1</v>
      </c>
      <c r="N985" s="24" t="str">
        <f ca="1">IF(AND(L985=1,L984&lt;&gt;1),MAX($N$8:N984)+1,"")</f>
        <v/>
      </c>
      <c r="O985" s="24" t="str">
        <f ca="1">IF(AND(L985&lt;&gt;1,L984=1),MAX($O$8:O984)+1,"")</f>
        <v/>
      </c>
      <c r="P985" s="17" t="str">
        <f ca="1">IF(AND(L985=-1,L984&lt;&gt;-1),MAX($P$8:P984)+1,"")</f>
        <v/>
      </c>
      <c r="Q985" s="24" t="str">
        <f ca="1">IF(AND(L985&lt;&gt;-1,L984=-1),MAX($Q$8:Q984)+1,"")</f>
        <v/>
      </c>
    </row>
    <row r="986" spans="1:17" x14ac:dyDescent="0.3">
      <c r="A986" s="3">
        <v>41628</v>
      </c>
      <c r="B986" s="9">
        <v>11.163214999999999</v>
      </c>
      <c r="C986" s="9">
        <v>9.0674069999999993</v>
      </c>
      <c r="E986" s="14">
        <f t="shared" si="109"/>
        <v>1.2311364208091684</v>
      </c>
      <c r="F986" s="18">
        <f t="shared" ca="1" si="108"/>
        <v>0.59386306167880798</v>
      </c>
      <c r="G986" s="15">
        <f t="shared" ca="1" si="106"/>
        <v>1.2234475503200022</v>
      </c>
      <c r="H986" s="15">
        <f t="shared" ca="1" si="107"/>
        <v>1.2947211209652171E-2</v>
      </c>
      <c r="J986" s="17">
        <f t="shared" ca="1" si="110"/>
        <v>1</v>
      </c>
      <c r="K986" s="24">
        <f t="shared" ca="1" si="111"/>
        <v>0</v>
      </c>
      <c r="L986" s="17">
        <f t="shared" ca="1" si="112"/>
        <v>1</v>
      </c>
      <c r="N986" s="24" t="str">
        <f ca="1">IF(AND(L986=1,L985&lt;&gt;1),MAX($N$8:N985)+1,"")</f>
        <v/>
      </c>
      <c r="O986" s="24" t="str">
        <f ca="1">IF(AND(L986&lt;&gt;1,L985=1),MAX($O$8:O985)+1,"")</f>
        <v/>
      </c>
      <c r="P986" s="17" t="str">
        <f ca="1">IF(AND(L986=-1,L985&lt;&gt;-1),MAX($P$8:P985)+1,"")</f>
        <v/>
      </c>
      <c r="Q986" s="24" t="str">
        <f ca="1">IF(AND(L986&lt;&gt;-1,L985=-1),MAX($Q$8:Q985)+1,"")</f>
        <v/>
      </c>
    </row>
    <row r="987" spans="1:17" x14ac:dyDescent="0.3">
      <c r="A987" s="3">
        <v>41631</v>
      </c>
      <c r="B987" s="9">
        <v>11.209507</v>
      </c>
      <c r="C987" s="9">
        <v>9.0077680000000004</v>
      </c>
      <c r="E987" s="14">
        <f t="shared" si="109"/>
        <v>1.2444266992666773</v>
      </c>
      <c r="F987" s="18">
        <f t="shared" ca="1" si="108"/>
        <v>1.4594394158943276</v>
      </c>
      <c r="G987" s="15">
        <f t="shared" ca="1" si="106"/>
        <v>1.2245090750473793</v>
      </c>
      <c r="H987" s="15">
        <f t="shared" ca="1" si="107"/>
        <v>1.3647448467117563E-2</v>
      </c>
      <c r="J987" s="17">
        <f t="shared" ca="1" si="110"/>
        <v>1</v>
      </c>
      <c r="K987" s="24">
        <f t="shared" ca="1" si="111"/>
        <v>0</v>
      </c>
      <c r="L987" s="17">
        <f t="shared" ca="1" si="112"/>
        <v>1</v>
      </c>
      <c r="N987" s="24" t="str">
        <f ca="1">IF(AND(L987=1,L986&lt;&gt;1),MAX($N$8:N986)+1,"")</f>
        <v/>
      </c>
      <c r="O987" s="24" t="str">
        <f ca="1">IF(AND(L987&lt;&gt;1,L986=1),MAX($O$8:O986)+1,"")</f>
        <v/>
      </c>
      <c r="P987" s="17" t="str">
        <f ca="1">IF(AND(L987=-1,L986&lt;&gt;-1),MAX($P$8:P986)+1,"")</f>
        <v/>
      </c>
      <c r="Q987" s="24" t="str">
        <f ca="1">IF(AND(L987&lt;&gt;-1,L986=-1),MAX($Q$8:Q986)+1,"")</f>
        <v/>
      </c>
    </row>
    <row r="988" spans="1:17" x14ac:dyDescent="0.3">
      <c r="A988" s="3">
        <v>41634</v>
      </c>
      <c r="B988" s="9">
        <v>11.287879999999999</v>
      </c>
      <c r="C988" s="9">
        <v>9.0108770000000007</v>
      </c>
      <c r="E988" s="14">
        <f t="shared" si="109"/>
        <v>1.2526949374628018</v>
      </c>
      <c r="F988" s="18">
        <f t="shared" ca="1" si="108"/>
        <v>1.8128340403064198</v>
      </c>
      <c r="G988" s="15">
        <f t="shared" ca="1" si="106"/>
        <v>1.2264145388980952</v>
      </c>
      <c r="H988" s="15">
        <f t="shared" ca="1" si="107"/>
        <v>1.4496858499118059E-2</v>
      </c>
      <c r="J988" s="17">
        <f t="shared" ca="1" si="110"/>
        <v>1</v>
      </c>
      <c r="K988" s="24">
        <f t="shared" ca="1" si="111"/>
        <v>0</v>
      </c>
      <c r="L988" s="17">
        <f t="shared" ca="1" si="112"/>
        <v>1</v>
      </c>
      <c r="N988" s="24" t="str">
        <f ca="1">IF(AND(L988=1,L987&lt;&gt;1),MAX($N$8:N987)+1,"")</f>
        <v/>
      </c>
      <c r="O988" s="24" t="str">
        <f ca="1">IF(AND(L988&lt;&gt;1,L987=1),MAX($O$8:O987)+1,"")</f>
        <v/>
      </c>
      <c r="P988" s="17" t="str">
        <f ca="1">IF(AND(L988=-1,L987&lt;&gt;-1),MAX($P$8:P987)+1,"")</f>
        <v/>
      </c>
      <c r="Q988" s="24" t="str">
        <f ca="1">IF(AND(L988&lt;&gt;-1,L987=-1),MAX($Q$8:Q987)+1,"")</f>
        <v/>
      </c>
    </row>
    <row r="989" spans="1:17" x14ac:dyDescent="0.3">
      <c r="A989" s="3">
        <v>41635</v>
      </c>
      <c r="B989" s="9">
        <v>11.255808</v>
      </c>
      <c r="C989" s="9">
        <v>9.0674069999999993</v>
      </c>
      <c r="E989" s="14">
        <f t="shared" si="109"/>
        <v>1.2413480502198699</v>
      </c>
      <c r="F989" s="18">
        <f t="shared" ca="1" si="108"/>
        <v>0.94992201129018128</v>
      </c>
      <c r="G989" s="15">
        <f t="shared" ca="1" si="106"/>
        <v>1.2281343419944208</v>
      </c>
      <c r="H989" s="15">
        <f t="shared" ca="1" si="107"/>
        <v>1.3910308497328402E-2</v>
      </c>
      <c r="J989" s="17">
        <f t="shared" ca="1" si="110"/>
        <v>1</v>
      </c>
      <c r="K989" s="24">
        <f t="shared" ca="1" si="111"/>
        <v>0</v>
      </c>
      <c r="L989" s="17">
        <f t="shared" ca="1" si="112"/>
        <v>1</v>
      </c>
      <c r="N989" s="24" t="str">
        <f ca="1">IF(AND(L989=1,L988&lt;&gt;1),MAX($N$8:N988)+1,"")</f>
        <v/>
      </c>
      <c r="O989" s="24" t="str">
        <f ca="1">IF(AND(L989&lt;&gt;1,L988=1),MAX($O$8:O988)+1,"")</f>
        <v/>
      </c>
      <c r="P989" s="17" t="str">
        <f ca="1">IF(AND(L989=-1,L988&lt;&gt;-1),MAX($P$8:P988)+1,"")</f>
        <v/>
      </c>
      <c r="Q989" s="24" t="str">
        <f ca="1">IF(AND(L989&lt;&gt;-1,L988=-1),MAX($Q$8:Q988)+1,"")</f>
        <v/>
      </c>
    </row>
    <row r="990" spans="1:17" x14ac:dyDescent="0.3">
      <c r="A990" s="3">
        <v>41638</v>
      </c>
      <c r="B990" s="9">
        <v>11.423209</v>
      </c>
      <c r="C990" s="9">
        <v>9.1333330000000004</v>
      </c>
      <c r="E990" s="14">
        <f t="shared" si="109"/>
        <v>1.2507163595151956</v>
      </c>
      <c r="F990" s="18">
        <f t="shared" ca="1" si="108"/>
        <v>1.4598383272644833</v>
      </c>
      <c r="G990" s="15">
        <f t="shared" ca="1" si="106"/>
        <v>1.2297660333437794</v>
      </c>
      <c r="H990" s="15">
        <f t="shared" ca="1" si="107"/>
        <v>1.4351127642109433E-2</v>
      </c>
      <c r="J990" s="17">
        <f t="shared" ca="1" si="110"/>
        <v>1</v>
      </c>
      <c r="K990" s="24">
        <f t="shared" ca="1" si="111"/>
        <v>0</v>
      </c>
      <c r="L990" s="17">
        <f t="shared" ca="1" si="112"/>
        <v>1</v>
      </c>
      <c r="N990" s="24" t="str">
        <f ca="1">IF(AND(L990=1,L989&lt;&gt;1),MAX($N$8:N989)+1,"")</f>
        <v/>
      </c>
      <c r="O990" s="24" t="str">
        <f ca="1">IF(AND(L990&lt;&gt;1,L989=1),MAX($O$8:O989)+1,"")</f>
        <v/>
      </c>
      <c r="P990" s="17" t="str">
        <f ca="1">IF(AND(L990=-1,L989&lt;&gt;-1),MAX($P$8:P989)+1,"")</f>
        <v/>
      </c>
      <c r="Q990" s="24" t="str">
        <f ca="1">IF(AND(L990&lt;&gt;-1,L989=-1),MAX($Q$8:Q989)+1,"")</f>
        <v/>
      </c>
    </row>
    <row r="991" spans="1:17" x14ac:dyDescent="0.3">
      <c r="A991" s="3">
        <v>41641</v>
      </c>
      <c r="B991" s="9">
        <v>11.237785000000001</v>
      </c>
      <c r="C991" s="9">
        <v>9.0171670000000006</v>
      </c>
      <c r="E991" s="14">
        <f t="shared" si="109"/>
        <v>1.2462655953915458</v>
      </c>
      <c r="F991" s="18">
        <f t="shared" ca="1" si="108"/>
        <v>1.0490937968608238</v>
      </c>
      <c r="G991" s="15">
        <f t="shared" ref="G991:G1054" ca="1" si="113">IF(ISNUMBER(E991),IF(ROW(E991)&gt;$J$1,AVERAGE(OFFSET(E991,0,0,-$J$1)),""),"")</f>
        <v>1.2310251255471116</v>
      </c>
      <c r="H991" s="15">
        <f t="shared" ref="H991:H1054" ca="1" si="114">IF(ISNUMBER(E991),IF(ROW(E991)&gt;$J$1,_xlfn.STDEV.P(OFFSET(E991,0,0,-$J$1)),""),"")</f>
        <v>1.4527270955216618E-2</v>
      </c>
      <c r="J991" s="17">
        <f t="shared" ca="1" si="110"/>
        <v>1</v>
      </c>
      <c r="K991" s="24">
        <f t="shared" ca="1" si="111"/>
        <v>0</v>
      </c>
      <c r="L991" s="17">
        <f t="shared" ca="1" si="112"/>
        <v>1</v>
      </c>
      <c r="N991" s="24" t="str">
        <f ca="1">IF(AND(L991=1,L990&lt;&gt;1),MAX($N$8:N990)+1,"")</f>
        <v/>
      </c>
      <c r="O991" s="24" t="str">
        <f ca="1">IF(AND(L991&lt;&gt;1,L990=1),MAX($O$8:O990)+1,"")</f>
        <v/>
      </c>
      <c r="P991" s="17" t="str">
        <f ca="1">IF(AND(L991=-1,L990&lt;&gt;-1),MAX($P$8:P990)+1,"")</f>
        <v/>
      </c>
      <c r="Q991" s="24" t="str">
        <f ca="1">IF(AND(L991&lt;&gt;-1,L990=-1),MAX($Q$8:Q990)+1,"")</f>
        <v/>
      </c>
    </row>
    <row r="992" spans="1:17" x14ac:dyDescent="0.3">
      <c r="A992" s="3">
        <v>41642</v>
      </c>
      <c r="B992" s="9">
        <v>11.216426999999999</v>
      </c>
      <c r="C992" s="9">
        <v>8.9826779999999999</v>
      </c>
      <c r="E992" s="14">
        <f t="shared" si="109"/>
        <v>1.2486729458631378</v>
      </c>
      <c r="F992" s="18">
        <f t="shared" ca="1" si="108"/>
        <v>1.1417924861851008</v>
      </c>
      <c r="G992" s="15">
        <f t="shared" ca="1" si="113"/>
        <v>1.2330786010653922</v>
      </c>
      <c r="H992" s="15">
        <f t="shared" ca="1" si="114"/>
        <v>1.3657774934085098E-2</v>
      </c>
      <c r="J992" s="17">
        <f t="shared" ca="1" si="110"/>
        <v>1</v>
      </c>
      <c r="K992" s="24">
        <f t="shared" ca="1" si="111"/>
        <v>0</v>
      </c>
      <c r="L992" s="17">
        <f t="shared" ca="1" si="112"/>
        <v>1</v>
      </c>
      <c r="N992" s="24" t="str">
        <f ca="1">IF(AND(L992=1,L991&lt;&gt;1),MAX($N$8:N991)+1,"")</f>
        <v/>
      </c>
      <c r="O992" s="24" t="str">
        <f ca="1">IF(AND(L992&lt;&gt;1,L991=1),MAX($O$8:O991)+1,"")</f>
        <v/>
      </c>
      <c r="P992" s="17" t="str">
        <f ca="1">IF(AND(L992=-1,L991&lt;&gt;-1),MAX($P$8:P991)+1,"")</f>
        <v/>
      </c>
      <c r="Q992" s="24" t="str">
        <f ca="1">IF(AND(L992&lt;&gt;-1,L991=-1),MAX($Q$8:Q991)+1,"")</f>
        <v/>
      </c>
    </row>
    <row r="993" spans="1:17" x14ac:dyDescent="0.3">
      <c r="A993" s="3">
        <v>41645</v>
      </c>
      <c r="B993" s="9">
        <v>11.234222000000001</v>
      </c>
      <c r="C993" s="9">
        <v>9.0580069999999999</v>
      </c>
      <c r="E993" s="14">
        <f t="shared" si="109"/>
        <v>1.2402531815221605</v>
      </c>
      <c r="F993" s="18">
        <f t="shared" ca="1" si="108"/>
        <v>0.4539550652015531</v>
      </c>
      <c r="G993" s="15">
        <f t="shared" ca="1" si="113"/>
        <v>1.2346295226304369</v>
      </c>
      <c r="H993" s="15">
        <f t="shared" ca="1" si="114"/>
        <v>1.2388139978626941E-2</v>
      </c>
      <c r="J993" s="17">
        <f t="shared" ca="1" si="110"/>
        <v>1</v>
      </c>
      <c r="K993" s="24">
        <f t="shared" ca="1" si="111"/>
        <v>0</v>
      </c>
      <c r="L993" s="17">
        <f t="shared" ca="1" si="112"/>
        <v>1</v>
      </c>
      <c r="N993" s="24" t="str">
        <f ca="1">IF(AND(L993=1,L992&lt;&gt;1),MAX($N$8:N992)+1,"")</f>
        <v/>
      </c>
      <c r="O993" s="24" t="str">
        <f ca="1">IF(AND(L993&lt;&gt;1,L992=1),MAX($O$8:O992)+1,"")</f>
        <v/>
      </c>
      <c r="P993" s="17" t="str">
        <f ca="1">IF(AND(L993=-1,L992&lt;&gt;-1),MAX($P$8:P992)+1,"")</f>
        <v/>
      </c>
      <c r="Q993" s="24" t="str">
        <f ca="1">IF(AND(L993&lt;&gt;-1,L992=-1),MAX($Q$8:Q992)+1,"")</f>
        <v/>
      </c>
    </row>
    <row r="994" spans="1:17" x14ac:dyDescent="0.3">
      <c r="A994" s="3">
        <v>41646</v>
      </c>
      <c r="B994" s="9">
        <v>11.148666</v>
      </c>
      <c r="C994" s="9">
        <v>8.8602170000000005</v>
      </c>
      <c r="E994" s="14">
        <f t="shared" si="109"/>
        <v>1.2582836289449795</v>
      </c>
      <c r="F994" s="18">
        <f t="shared" ca="1" si="108"/>
        <v>1.800362420220524</v>
      </c>
      <c r="G994" s="15">
        <f t="shared" ca="1" si="113"/>
        <v>1.2369277883314638</v>
      </c>
      <c r="H994" s="15">
        <f t="shared" ca="1" si="114"/>
        <v>1.1861967553677247E-2</v>
      </c>
      <c r="J994" s="17">
        <f t="shared" ca="1" si="110"/>
        <v>1</v>
      </c>
      <c r="K994" s="24">
        <f t="shared" ca="1" si="111"/>
        <v>0</v>
      </c>
      <c r="L994" s="17">
        <f t="shared" ca="1" si="112"/>
        <v>1</v>
      </c>
      <c r="N994" s="24" t="str">
        <f ca="1">IF(AND(L994=1,L993&lt;&gt;1),MAX($N$8:N993)+1,"")</f>
        <v/>
      </c>
      <c r="O994" s="24" t="str">
        <f ca="1">IF(AND(L994&lt;&gt;1,L993=1),MAX($O$8:O993)+1,"")</f>
        <v/>
      </c>
      <c r="P994" s="17" t="str">
        <f ca="1">IF(AND(L994=-1,L993&lt;&gt;-1),MAX($P$8:P993)+1,"")</f>
        <v/>
      </c>
      <c r="Q994" s="24" t="str">
        <f ca="1">IF(AND(L994&lt;&gt;-1,L993=-1),MAX($Q$8:Q993)+1,"")</f>
        <v/>
      </c>
    </row>
    <row r="995" spans="1:17" x14ac:dyDescent="0.3">
      <c r="A995" s="3">
        <v>41647</v>
      </c>
      <c r="B995" s="9">
        <v>11.323344000000001</v>
      </c>
      <c r="C995" s="9">
        <v>8.8539300000000001</v>
      </c>
      <c r="E995" s="14">
        <f t="shared" si="109"/>
        <v>1.2789059773456533</v>
      </c>
      <c r="F995" s="18">
        <f t="shared" ca="1" si="108"/>
        <v>2.9762049249128122</v>
      </c>
      <c r="G995" s="15">
        <f t="shared" ca="1" si="113"/>
        <v>1.2402004498795705</v>
      </c>
      <c r="H995" s="15">
        <f t="shared" ca="1" si="114"/>
        <v>1.3004994092339484E-2</v>
      </c>
      <c r="J995" s="17">
        <f t="shared" ca="1" si="110"/>
        <v>1</v>
      </c>
      <c r="K995" s="24">
        <f t="shared" ca="1" si="111"/>
        <v>0</v>
      </c>
      <c r="L995" s="17">
        <f t="shared" ca="1" si="112"/>
        <v>1</v>
      </c>
      <c r="N995" s="24" t="str">
        <f ca="1">IF(AND(L995=1,L994&lt;&gt;1),MAX($N$8:N994)+1,"")</f>
        <v/>
      </c>
      <c r="O995" s="24" t="str">
        <f ca="1">IF(AND(L995&lt;&gt;1,L994=1),MAX($O$8:O994)+1,"")</f>
        <v/>
      </c>
      <c r="P995" s="17" t="str">
        <f ca="1">IF(AND(L995=-1,L994&lt;&gt;-1),MAX($P$8:P994)+1,"")</f>
        <v/>
      </c>
      <c r="Q995" s="24" t="str">
        <f ca="1">IF(AND(L995&lt;&gt;-1,L994=-1),MAX($Q$8:Q994)+1,"")</f>
        <v/>
      </c>
    </row>
    <row r="996" spans="1:17" x14ac:dyDescent="0.3">
      <c r="A996" s="3">
        <v>41648</v>
      </c>
      <c r="B996" s="9">
        <v>10.970427000000001</v>
      </c>
      <c r="C996" s="9">
        <v>8.5996129999999997</v>
      </c>
      <c r="E996" s="14">
        <f t="shared" si="109"/>
        <v>1.2756884524919903</v>
      </c>
      <c r="F996" s="18">
        <f t="shared" ca="1" si="108"/>
        <v>2.3413098742797849</v>
      </c>
      <c r="G996" s="15">
        <f t="shared" ca="1" si="113"/>
        <v>1.2428239582335949</v>
      </c>
      <c r="H996" s="15">
        <f t="shared" ca="1" si="114"/>
        <v>1.4036798212583817E-2</v>
      </c>
      <c r="J996" s="17">
        <f t="shared" ca="1" si="110"/>
        <v>1</v>
      </c>
      <c r="K996" s="24">
        <f t="shared" ca="1" si="111"/>
        <v>0</v>
      </c>
      <c r="L996" s="17">
        <f t="shared" ca="1" si="112"/>
        <v>1</v>
      </c>
      <c r="N996" s="24" t="str">
        <f ca="1">IF(AND(L996=1,L995&lt;&gt;1),MAX($N$8:N995)+1,"")</f>
        <v/>
      </c>
      <c r="O996" s="24" t="str">
        <f ca="1">IF(AND(L996&lt;&gt;1,L995=1),MAX($O$8:O995)+1,"")</f>
        <v/>
      </c>
      <c r="P996" s="17" t="str">
        <f ca="1">IF(AND(L996=-1,L995&lt;&gt;-1),MAX($P$8:P995)+1,"")</f>
        <v/>
      </c>
      <c r="Q996" s="24" t="str">
        <f ca="1">IF(AND(L996&lt;&gt;-1,L995=-1),MAX($Q$8:Q995)+1,"")</f>
        <v/>
      </c>
    </row>
    <row r="997" spans="1:17" x14ac:dyDescent="0.3">
      <c r="A997" s="3">
        <v>41649</v>
      </c>
      <c r="B997" s="9">
        <v>11.023883</v>
      </c>
      <c r="C997" s="9">
        <v>8.6718340000000005</v>
      </c>
      <c r="E997" s="14">
        <f t="shared" si="109"/>
        <v>1.2712285544211293</v>
      </c>
      <c r="F997" s="18">
        <f t="shared" ca="1" si="108"/>
        <v>1.8575136487154602</v>
      </c>
      <c r="G997" s="15">
        <f t="shared" ca="1" si="113"/>
        <v>1.2453427170418327</v>
      </c>
      <c r="H997" s="15">
        <f t="shared" ca="1" si="114"/>
        <v>1.3935745450482975E-2</v>
      </c>
      <c r="J997" s="17">
        <f t="shared" ca="1" si="110"/>
        <v>1</v>
      </c>
      <c r="K997" s="24">
        <f t="shared" ca="1" si="111"/>
        <v>0</v>
      </c>
      <c r="L997" s="17">
        <f t="shared" ca="1" si="112"/>
        <v>1</v>
      </c>
      <c r="N997" s="24" t="str">
        <f ca="1">IF(AND(L997=1,L996&lt;&gt;1),MAX($N$8:N996)+1,"")</f>
        <v/>
      </c>
      <c r="O997" s="24" t="str">
        <f ca="1">IF(AND(L997&lt;&gt;1,L996=1),MAX($O$8:O996)+1,"")</f>
        <v/>
      </c>
      <c r="P997" s="17" t="str">
        <f ca="1">IF(AND(L997=-1,L996&lt;&gt;-1),MAX($P$8:P996)+1,"")</f>
        <v/>
      </c>
      <c r="Q997" s="24" t="str">
        <f ca="1">IF(AND(L997&lt;&gt;-1,L996=-1),MAX($Q$8:Q996)+1,"")</f>
        <v/>
      </c>
    </row>
    <row r="998" spans="1:17" x14ac:dyDescent="0.3">
      <c r="A998" s="3">
        <v>41652</v>
      </c>
      <c r="B998" s="9">
        <v>10.973989</v>
      </c>
      <c r="C998" s="9">
        <v>8.6090110000000006</v>
      </c>
      <c r="E998" s="14">
        <f t="shared" si="109"/>
        <v>1.2747096036931536</v>
      </c>
      <c r="F998" s="18">
        <f t="shared" ca="1" si="108"/>
        <v>1.8505329182652208</v>
      </c>
      <c r="G998" s="15">
        <f t="shared" ca="1" si="113"/>
        <v>1.2473950532697644</v>
      </c>
      <c r="H998" s="15">
        <f t="shared" ca="1" si="114"/>
        <v>1.476036992035523E-2</v>
      </c>
      <c r="J998" s="17">
        <f t="shared" ca="1" si="110"/>
        <v>1</v>
      </c>
      <c r="K998" s="24">
        <f t="shared" ca="1" si="111"/>
        <v>0</v>
      </c>
      <c r="L998" s="17">
        <f t="shared" ca="1" si="112"/>
        <v>1</v>
      </c>
      <c r="N998" s="24" t="str">
        <f ca="1">IF(AND(L998=1,L997&lt;&gt;1),MAX($N$8:N997)+1,"")</f>
        <v/>
      </c>
      <c r="O998" s="24" t="str">
        <f ca="1">IF(AND(L998&lt;&gt;1,L997=1),MAX($O$8:O997)+1,"")</f>
        <v/>
      </c>
      <c r="P998" s="17" t="str">
        <f ca="1">IF(AND(L998=-1,L997&lt;&gt;-1),MAX($P$8:P997)+1,"")</f>
        <v/>
      </c>
      <c r="Q998" s="24" t="str">
        <f ca="1">IF(AND(L998&lt;&gt;-1,L997=-1),MAX($Q$8:Q997)+1,"")</f>
        <v/>
      </c>
    </row>
    <row r="999" spans="1:17" x14ac:dyDescent="0.3">
      <c r="A999" s="3">
        <v>41653</v>
      </c>
      <c r="B999" s="9">
        <v>11.137986</v>
      </c>
      <c r="C999" s="9">
        <v>8.6875230000000006</v>
      </c>
      <c r="E999" s="14">
        <f t="shared" si="109"/>
        <v>1.2820669366860955</v>
      </c>
      <c r="F999" s="18">
        <f t="shared" ca="1" si="108"/>
        <v>2.0131595140531089</v>
      </c>
      <c r="G999" s="15">
        <f t="shared" ca="1" si="113"/>
        <v>1.249519291996386</v>
      </c>
      <c r="H999" s="15">
        <f t="shared" ca="1" si="114"/>
        <v>1.6167444488380894E-2</v>
      </c>
      <c r="J999" s="17">
        <f t="shared" ca="1" si="110"/>
        <v>1</v>
      </c>
      <c r="K999" s="24">
        <f t="shared" ca="1" si="111"/>
        <v>0</v>
      </c>
      <c r="L999" s="17">
        <f t="shared" ca="1" si="112"/>
        <v>1</v>
      </c>
      <c r="N999" s="24" t="str">
        <f ca="1">IF(AND(L999=1,L998&lt;&gt;1),MAX($N$8:N998)+1,"")</f>
        <v/>
      </c>
      <c r="O999" s="24" t="str">
        <f ca="1">IF(AND(L999&lt;&gt;1,L998=1),MAX($O$8:O998)+1,"")</f>
        <v/>
      </c>
      <c r="P999" s="17" t="str">
        <f ca="1">IF(AND(L999=-1,L998&lt;&gt;-1),MAX($P$8:P998)+1,"")</f>
        <v/>
      </c>
      <c r="Q999" s="24" t="str">
        <f ca="1">IF(AND(L999&lt;&gt;-1,L998=-1),MAX($Q$8:Q998)+1,"")</f>
        <v/>
      </c>
    </row>
    <row r="1000" spans="1:17" x14ac:dyDescent="0.3">
      <c r="A1000" s="3">
        <v>41654</v>
      </c>
      <c r="B1000" s="9">
        <v>11.141545000000001</v>
      </c>
      <c r="C1000" s="9">
        <v>8.7377599999999997</v>
      </c>
      <c r="E1000" s="14">
        <f t="shared" si="109"/>
        <v>1.2751031156726669</v>
      </c>
      <c r="F1000" s="18">
        <f t="shared" ca="1" si="108"/>
        <v>1.4234022423421837</v>
      </c>
      <c r="G1000" s="15">
        <f t="shared" ca="1" si="113"/>
        <v>1.2510027498545233</v>
      </c>
      <c r="H1000" s="15">
        <f t="shared" ca="1" si="114"/>
        <v>1.693152160452328E-2</v>
      </c>
      <c r="J1000" s="17">
        <f t="shared" ca="1" si="110"/>
        <v>1</v>
      </c>
      <c r="K1000" s="24">
        <f t="shared" ca="1" si="111"/>
        <v>0</v>
      </c>
      <c r="L1000" s="17">
        <f t="shared" ca="1" si="112"/>
        <v>1</v>
      </c>
      <c r="N1000" s="24" t="str">
        <f ca="1">IF(AND(L1000=1,L999&lt;&gt;1),MAX($N$8:N999)+1,"")</f>
        <v/>
      </c>
      <c r="O1000" s="24" t="str">
        <f ca="1">IF(AND(L1000&lt;&gt;1,L999=1),MAX($O$8:O999)+1,"")</f>
        <v/>
      </c>
      <c r="P1000" s="17" t="str">
        <f ca="1">IF(AND(L1000=-1,L999&lt;&gt;-1),MAX($P$8:P999)+1,"")</f>
        <v/>
      </c>
      <c r="Q1000" s="24" t="str">
        <f ca="1">IF(AND(L1000&lt;&gt;-1,L999=-1),MAX($Q$8:Q999)+1,"")</f>
        <v/>
      </c>
    </row>
    <row r="1001" spans="1:17" x14ac:dyDescent="0.3">
      <c r="A1001" s="3">
        <v>41655</v>
      </c>
      <c r="B1001" s="9">
        <v>10.909781000000001</v>
      </c>
      <c r="C1001" s="9">
        <v>8.61219</v>
      </c>
      <c r="E1001" s="14">
        <f t="shared" si="109"/>
        <v>1.2667835939522933</v>
      </c>
      <c r="F1001" s="18">
        <f t="shared" ca="1" si="108"/>
        <v>0.8508998828531974</v>
      </c>
      <c r="G1001" s="15">
        <f t="shared" ca="1" si="113"/>
        <v>1.2523827440460911</v>
      </c>
      <c r="H1001" s="15">
        <f t="shared" ca="1" si="114"/>
        <v>1.6924258889205651E-2</v>
      </c>
      <c r="J1001" s="17">
        <f t="shared" ca="1" si="110"/>
        <v>1</v>
      </c>
      <c r="K1001" s="24">
        <f t="shared" ca="1" si="111"/>
        <v>0</v>
      </c>
      <c r="L1001" s="17">
        <f t="shared" ca="1" si="112"/>
        <v>1</v>
      </c>
      <c r="N1001" s="24" t="str">
        <f ca="1">IF(AND(L1001=1,L1000&lt;&gt;1),MAX($N$8:N1000)+1,"")</f>
        <v/>
      </c>
      <c r="O1001" s="24" t="str">
        <f ca="1">IF(AND(L1001&lt;&gt;1,L1000=1),MAX($O$8:O1000)+1,"")</f>
        <v/>
      </c>
      <c r="P1001" s="17" t="str">
        <f ca="1">IF(AND(L1001=-1,L1000&lt;&gt;-1),MAX($P$8:P1000)+1,"")</f>
        <v/>
      </c>
      <c r="Q1001" s="24" t="str">
        <f ca="1">IF(AND(L1001&lt;&gt;-1,L1000=-1),MAX($Q$8:Q1000)+1,"")</f>
        <v/>
      </c>
    </row>
    <row r="1002" spans="1:17" x14ac:dyDescent="0.3">
      <c r="A1002" s="3">
        <v>41656</v>
      </c>
      <c r="B1002" s="9">
        <v>10.695879</v>
      </c>
      <c r="C1002" s="9">
        <v>8.5273939999999993</v>
      </c>
      <c r="E1002" s="14">
        <f t="shared" si="109"/>
        <v>1.2542963301566692</v>
      </c>
      <c r="F1002" s="18">
        <f t="shared" ca="1" si="108"/>
        <v>6.6325666219808191E-2</v>
      </c>
      <c r="G1002" s="15">
        <f t="shared" ca="1" si="113"/>
        <v>1.2531979104241062</v>
      </c>
      <c r="H1002" s="15">
        <f t="shared" ca="1" si="114"/>
        <v>1.6561005643316529E-2</v>
      </c>
      <c r="J1002" s="17">
        <f t="shared" ca="1" si="110"/>
        <v>1</v>
      </c>
      <c r="K1002" s="24">
        <f t="shared" ca="1" si="111"/>
        <v>0</v>
      </c>
      <c r="L1002" s="17">
        <f t="shared" ca="1" si="112"/>
        <v>1</v>
      </c>
      <c r="N1002" s="24" t="str">
        <f ca="1">IF(AND(L1002=1,L1001&lt;&gt;1),MAX($N$8:N1001)+1,"")</f>
        <v/>
      </c>
      <c r="O1002" s="24" t="str">
        <f ca="1">IF(AND(L1002&lt;&gt;1,L1001=1),MAX($O$8:O1001)+1,"")</f>
        <v/>
      </c>
      <c r="P1002" s="17" t="str">
        <f ca="1">IF(AND(L1002=-1,L1001&lt;&gt;-1),MAX($P$8:P1001)+1,"")</f>
        <v/>
      </c>
      <c r="Q1002" s="24" t="str">
        <f ca="1">IF(AND(L1002&lt;&gt;-1,L1001=-1),MAX($Q$8:Q1001)+1,"")</f>
        <v/>
      </c>
    </row>
    <row r="1003" spans="1:17" x14ac:dyDescent="0.3">
      <c r="A1003" s="3">
        <v>41659</v>
      </c>
      <c r="B1003" s="9">
        <v>10.610322</v>
      </c>
      <c r="C1003" s="9">
        <v>8.4771560000000008</v>
      </c>
      <c r="E1003" s="14">
        <f t="shared" si="109"/>
        <v>1.2516369876878517</v>
      </c>
      <c r="F1003" s="18">
        <f t="shared" ca="1" si="108"/>
        <v>-0.14241228804545047</v>
      </c>
      <c r="G1003" s="15">
        <f t="shared" ca="1" si="113"/>
        <v>1.2539315398135802</v>
      </c>
      <c r="H1003" s="15">
        <f t="shared" ca="1" si="114"/>
        <v>1.6112037501961829E-2</v>
      </c>
      <c r="J1003" s="17">
        <f t="shared" ca="1" si="110"/>
        <v>0</v>
      </c>
      <c r="K1003" s="24">
        <f t="shared" ca="1" si="111"/>
        <v>0</v>
      </c>
      <c r="L1003" s="17">
        <f t="shared" ca="1" si="112"/>
        <v>0</v>
      </c>
      <c r="N1003" s="24" t="str">
        <f ca="1">IF(AND(L1003=1,L1002&lt;&gt;1),MAX($N$8:N1002)+1,"")</f>
        <v/>
      </c>
      <c r="O1003" s="24">
        <f ca="1">IF(AND(L1003&lt;&gt;1,L1002=1),MAX($O$8:O1002)+1,"")</f>
        <v>28</v>
      </c>
      <c r="P1003" s="17" t="str">
        <f ca="1">IF(AND(L1003=-1,L1002&lt;&gt;-1),MAX($P$8:P1002)+1,"")</f>
        <v/>
      </c>
      <c r="Q1003" s="24" t="str">
        <f ca="1">IF(AND(L1003&lt;&gt;-1,L1002=-1),MAX($Q$8:Q1002)+1,"")</f>
        <v/>
      </c>
    </row>
    <row r="1004" spans="1:17" x14ac:dyDescent="0.3">
      <c r="A1004" s="3">
        <v>41660</v>
      </c>
      <c r="B1004" s="9">
        <v>10.760085999999999</v>
      </c>
      <c r="C1004" s="9">
        <v>8.5744620000000005</v>
      </c>
      <c r="E1004" s="14">
        <f t="shared" si="109"/>
        <v>1.2548992578193243</v>
      </c>
      <c r="F1004" s="18">
        <f t="shared" ca="1" si="108"/>
        <v>-6.9148173494879136E-3</v>
      </c>
      <c r="G1004" s="15">
        <f t="shared" ca="1" si="113"/>
        <v>1.2550052956029185</v>
      </c>
      <c r="H1004" s="15">
        <f t="shared" ca="1" si="114"/>
        <v>1.5334863993485754E-2</v>
      </c>
      <c r="J1004" s="17">
        <f t="shared" ca="1" si="110"/>
        <v>0</v>
      </c>
      <c r="K1004" s="24">
        <f t="shared" ca="1" si="111"/>
        <v>0</v>
      </c>
      <c r="L1004" s="17">
        <f t="shared" ca="1" si="112"/>
        <v>0</v>
      </c>
      <c r="N1004" s="24" t="str">
        <f ca="1">IF(AND(L1004=1,L1003&lt;&gt;1),MAX($N$8:N1003)+1,"")</f>
        <v/>
      </c>
      <c r="O1004" s="24" t="str">
        <f ca="1">IF(AND(L1004&lt;&gt;1,L1003=1),MAX($O$8:O1003)+1,"")</f>
        <v/>
      </c>
      <c r="P1004" s="17" t="str">
        <f ca="1">IF(AND(L1004=-1,L1003&lt;&gt;-1),MAX($P$8:P1003)+1,"")</f>
        <v/>
      </c>
      <c r="Q1004" s="24" t="str">
        <f ca="1">IF(AND(L1004&lt;&gt;-1,L1003=-1),MAX($Q$8:Q1003)+1,"")</f>
        <v/>
      </c>
    </row>
    <row r="1005" spans="1:17" x14ac:dyDescent="0.3">
      <c r="A1005" s="3">
        <v>41661</v>
      </c>
      <c r="B1005" s="9">
        <v>10.784995</v>
      </c>
      <c r="C1005" s="9">
        <v>8.6309930000000001</v>
      </c>
      <c r="E1005" s="14">
        <f t="shared" si="109"/>
        <v>1.2495659537668493</v>
      </c>
      <c r="F1005" s="18">
        <f t="shared" ca="1" si="108"/>
        <v>-0.41539890101397198</v>
      </c>
      <c r="G1005" s="15">
        <f t="shared" ca="1" si="113"/>
        <v>1.255686319799751</v>
      </c>
      <c r="H1005" s="15">
        <f t="shared" ca="1" si="114"/>
        <v>1.4733707811845681E-2</v>
      </c>
      <c r="J1005" s="17">
        <f t="shared" ca="1" si="110"/>
        <v>0</v>
      </c>
      <c r="K1005" s="24">
        <f t="shared" ca="1" si="111"/>
        <v>0</v>
      </c>
      <c r="L1005" s="17">
        <f t="shared" ca="1" si="112"/>
        <v>0</v>
      </c>
      <c r="N1005" s="24" t="str">
        <f ca="1">IF(AND(L1005=1,L1004&lt;&gt;1),MAX($N$8:N1004)+1,"")</f>
        <v/>
      </c>
      <c r="O1005" s="24" t="str">
        <f ca="1">IF(AND(L1005&lt;&gt;1,L1004=1),MAX($O$8:O1004)+1,"")</f>
        <v/>
      </c>
      <c r="P1005" s="17" t="str">
        <f ca="1">IF(AND(L1005=-1,L1004&lt;&gt;-1),MAX($P$8:P1004)+1,"")</f>
        <v/>
      </c>
      <c r="Q1005" s="24" t="str">
        <f ca="1">IF(AND(L1005&lt;&gt;-1,L1004=-1),MAX($Q$8:Q1004)+1,"")</f>
        <v/>
      </c>
    </row>
    <row r="1006" spans="1:17" x14ac:dyDescent="0.3">
      <c r="A1006" s="3">
        <v>41662</v>
      </c>
      <c r="B1006" s="9">
        <v>10.571099999999999</v>
      </c>
      <c r="C1006" s="9">
        <v>8.4363050000000008</v>
      </c>
      <c r="E1006" s="14">
        <f t="shared" si="109"/>
        <v>1.2530485799173925</v>
      </c>
      <c r="F1006" s="18">
        <f t="shared" ca="1" si="108"/>
        <v>-0.2453115746770983</v>
      </c>
      <c r="G1006" s="15">
        <f t="shared" ca="1" si="113"/>
        <v>1.2564975209301661</v>
      </c>
      <c r="H1006" s="15">
        <f t="shared" ca="1" si="114"/>
        <v>1.4059430409320933E-2</v>
      </c>
      <c r="J1006" s="17">
        <f t="shared" ca="1" si="110"/>
        <v>0</v>
      </c>
      <c r="K1006" s="24">
        <f t="shared" ca="1" si="111"/>
        <v>0</v>
      </c>
      <c r="L1006" s="17">
        <f t="shared" ca="1" si="112"/>
        <v>0</v>
      </c>
      <c r="N1006" s="24" t="str">
        <f ca="1">IF(AND(L1006=1,L1005&lt;&gt;1),MAX($N$8:N1005)+1,"")</f>
        <v/>
      </c>
      <c r="O1006" s="24" t="str">
        <f ca="1">IF(AND(L1006&lt;&gt;1,L1005=1),MAX($O$8:O1005)+1,"")</f>
        <v/>
      </c>
      <c r="P1006" s="17" t="str">
        <f ca="1">IF(AND(L1006=-1,L1005&lt;&gt;-1),MAX($P$8:P1005)+1,"")</f>
        <v/>
      </c>
      <c r="Q1006" s="24" t="str">
        <f ca="1">IF(AND(L1006&lt;&gt;-1,L1005=-1),MAX($Q$8:Q1005)+1,"")</f>
        <v/>
      </c>
    </row>
    <row r="1007" spans="1:17" x14ac:dyDescent="0.3">
      <c r="A1007" s="3">
        <v>41663</v>
      </c>
      <c r="B1007" s="9">
        <v>10.432013</v>
      </c>
      <c r="C1007" s="9">
        <v>8.2699610000000003</v>
      </c>
      <c r="E1007" s="14">
        <f t="shared" si="109"/>
        <v>1.2614343646844284</v>
      </c>
      <c r="F1007" s="18">
        <f t="shared" ca="1" si="108"/>
        <v>0.29356095077680849</v>
      </c>
      <c r="G1007" s="15">
        <f t="shared" ca="1" si="113"/>
        <v>1.2574166148768655</v>
      </c>
      <c r="H1007" s="15">
        <f t="shared" ca="1" si="114"/>
        <v>1.3686254241006056E-2</v>
      </c>
      <c r="J1007" s="17">
        <f t="shared" ca="1" si="110"/>
        <v>0</v>
      </c>
      <c r="K1007" s="24">
        <f t="shared" ca="1" si="111"/>
        <v>0</v>
      </c>
      <c r="L1007" s="17">
        <f t="shared" ca="1" si="112"/>
        <v>0</v>
      </c>
      <c r="N1007" s="24" t="str">
        <f ca="1">IF(AND(L1007=1,L1006&lt;&gt;1),MAX($N$8:N1006)+1,"")</f>
        <v/>
      </c>
      <c r="O1007" s="24" t="str">
        <f ca="1">IF(AND(L1007&lt;&gt;1,L1006=1),MAX($O$8:O1006)+1,"")</f>
        <v/>
      </c>
      <c r="P1007" s="17" t="str">
        <f ca="1">IF(AND(L1007=-1,L1006&lt;&gt;-1),MAX($P$8:P1006)+1,"")</f>
        <v/>
      </c>
      <c r="Q1007" s="24" t="str">
        <f ca="1">IF(AND(L1007&lt;&gt;-1,L1006=-1),MAX($Q$8:Q1006)+1,"")</f>
        <v/>
      </c>
    </row>
    <row r="1008" spans="1:17" x14ac:dyDescent="0.3">
      <c r="A1008" s="3">
        <v>41666</v>
      </c>
      <c r="B1008" s="9">
        <v>10.642423000000001</v>
      </c>
      <c r="C1008" s="9">
        <v>8.3107419999999994</v>
      </c>
      <c r="E1008" s="14">
        <f t="shared" si="109"/>
        <v>1.2805623132086161</v>
      </c>
      <c r="F1008" s="18">
        <f t="shared" ca="1" si="108"/>
        <v>1.5788101874856078</v>
      </c>
      <c r="G1008" s="15">
        <f t="shared" ca="1" si="113"/>
        <v>1.2596632463495678</v>
      </c>
      <c r="H1008" s="15">
        <f t="shared" ca="1" si="114"/>
        <v>1.3237225744237106E-2</v>
      </c>
      <c r="J1008" s="17">
        <f t="shared" ca="1" si="110"/>
        <v>1</v>
      </c>
      <c r="K1008" s="24">
        <f t="shared" ca="1" si="111"/>
        <v>0</v>
      </c>
      <c r="L1008" s="17">
        <f t="shared" ca="1" si="112"/>
        <v>1</v>
      </c>
      <c r="N1008" s="24">
        <f ca="1">IF(AND(L1008=1,L1007&lt;&gt;1),MAX($N$8:N1007)+1,"")</f>
        <v>29</v>
      </c>
      <c r="O1008" s="24" t="str">
        <f ca="1">IF(AND(L1008&lt;&gt;1,L1007=1),MAX($O$8:O1007)+1,"")</f>
        <v/>
      </c>
      <c r="P1008" s="17" t="str">
        <f ca="1">IF(AND(L1008=-1,L1007&lt;&gt;-1),MAX($P$8:P1007)+1,"")</f>
        <v/>
      </c>
      <c r="Q1008" s="24" t="str">
        <f ca="1">IF(AND(L1008&lt;&gt;-1,L1007=-1),MAX($Q$8:Q1007)+1,"")</f>
        <v/>
      </c>
    </row>
    <row r="1009" spans="1:17" x14ac:dyDescent="0.3">
      <c r="A1009" s="3">
        <v>41667</v>
      </c>
      <c r="B1009" s="9">
        <v>10.717238</v>
      </c>
      <c r="C1009" s="9">
        <v>8.3170300000000008</v>
      </c>
      <c r="E1009" s="14">
        <f t="shared" si="109"/>
        <v>1.2885895566085488</v>
      </c>
      <c r="F1009" s="18">
        <f t="shared" ca="1" si="108"/>
        <v>1.909789244103214</v>
      </c>
      <c r="G1009" s="15">
        <f t="shared" ca="1" si="113"/>
        <v>1.2616706489560165</v>
      </c>
      <c r="H1009" s="15">
        <f t="shared" ca="1" si="114"/>
        <v>1.4095224243014648E-2</v>
      </c>
      <c r="J1009" s="17">
        <f t="shared" ca="1" si="110"/>
        <v>1</v>
      </c>
      <c r="K1009" s="24">
        <f t="shared" ca="1" si="111"/>
        <v>0</v>
      </c>
      <c r="L1009" s="17">
        <f t="shared" ca="1" si="112"/>
        <v>1</v>
      </c>
      <c r="N1009" s="24" t="str">
        <f ca="1">IF(AND(L1009=1,L1008&lt;&gt;1),MAX($N$8:N1008)+1,"")</f>
        <v/>
      </c>
      <c r="O1009" s="24" t="str">
        <f ca="1">IF(AND(L1009&lt;&gt;1,L1008=1),MAX($O$8:O1008)+1,"")</f>
        <v/>
      </c>
      <c r="P1009" s="17" t="str">
        <f ca="1">IF(AND(L1009=-1,L1008&lt;&gt;-1),MAX($P$8:P1008)+1,"")</f>
        <v/>
      </c>
      <c r="Q1009" s="24" t="str">
        <f ca="1">IF(AND(L1009&lt;&gt;-1,L1008=-1),MAX($Q$8:Q1008)+1,"")</f>
        <v/>
      </c>
    </row>
    <row r="1010" spans="1:17" x14ac:dyDescent="0.3">
      <c r="A1010" s="3">
        <v>41668</v>
      </c>
      <c r="B1010" s="9">
        <v>10.514014</v>
      </c>
      <c r="C1010" s="9">
        <v>8.1255330000000008</v>
      </c>
      <c r="E1010" s="14">
        <f t="shared" si="109"/>
        <v>1.293947609344519</v>
      </c>
      <c r="F1010" s="18">
        <f t="shared" ca="1" si="108"/>
        <v>1.9671409063341616</v>
      </c>
      <c r="G1010" s="15">
        <f t="shared" ca="1" si="113"/>
        <v>1.2635457704051853</v>
      </c>
      <c r="H1010" s="15">
        <f t="shared" ca="1" si="114"/>
        <v>1.545483541186107E-2</v>
      </c>
      <c r="J1010" s="17">
        <f t="shared" ca="1" si="110"/>
        <v>1</v>
      </c>
      <c r="K1010" s="24">
        <f t="shared" ca="1" si="111"/>
        <v>0</v>
      </c>
      <c r="L1010" s="17">
        <f t="shared" ca="1" si="112"/>
        <v>1</v>
      </c>
      <c r="N1010" s="24" t="str">
        <f ca="1">IF(AND(L1010=1,L1009&lt;&gt;1),MAX($N$8:N1009)+1,"")</f>
        <v/>
      </c>
      <c r="O1010" s="24" t="str">
        <f ca="1">IF(AND(L1010&lt;&gt;1,L1009=1),MAX($O$8:O1009)+1,"")</f>
        <v/>
      </c>
      <c r="P1010" s="17" t="str">
        <f ca="1">IF(AND(L1010=-1,L1009&lt;&gt;-1),MAX($P$8:P1009)+1,"")</f>
        <v/>
      </c>
      <c r="Q1010" s="24" t="str">
        <f ca="1">IF(AND(L1010&lt;&gt;-1,L1009=-1),MAX($Q$8:Q1009)+1,"")</f>
        <v/>
      </c>
    </row>
    <row r="1011" spans="1:17" x14ac:dyDescent="0.3">
      <c r="A1011" s="3">
        <v>41669</v>
      </c>
      <c r="B1011" s="9">
        <v>10.524765</v>
      </c>
      <c r="C1011" s="9">
        <v>8.0752880000000005</v>
      </c>
      <c r="E1011" s="14">
        <f t="shared" si="109"/>
        <v>1.303329986497076</v>
      </c>
      <c r="F1011" s="18">
        <f t="shared" ca="1" si="108"/>
        <v>2.2073721425286159</v>
      </c>
      <c r="G1011" s="15">
        <f t="shared" ca="1" si="113"/>
        <v>1.2663631311450585</v>
      </c>
      <c r="H1011" s="15">
        <f t="shared" ca="1" si="114"/>
        <v>1.6746997318572106E-2</v>
      </c>
      <c r="J1011" s="17">
        <f t="shared" ca="1" si="110"/>
        <v>1</v>
      </c>
      <c r="K1011" s="24">
        <f t="shared" ca="1" si="111"/>
        <v>0</v>
      </c>
      <c r="L1011" s="17">
        <f t="shared" ca="1" si="112"/>
        <v>1</v>
      </c>
      <c r="N1011" s="24" t="str">
        <f ca="1">IF(AND(L1011=1,L1010&lt;&gt;1),MAX($N$8:N1010)+1,"")</f>
        <v/>
      </c>
      <c r="O1011" s="24" t="str">
        <f ca="1">IF(AND(L1011&lt;&gt;1,L1010=1),MAX($O$8:O1010)+1,"")</f>
        <v/>
      </c>
      <c r="P1011" s="17" t="str">
        <f ca="1">IF(AND(L1011=-1,L1010&lt;&gt;-1),MAX($P$8:P1010)+1,"")</f>
        <v/>
      </c>
      <c r="Q1011" s="24" t="str">
        <f ca="1">IF(AND(L1011&lt;&gt;-1,L1010=-1),MAX($Q$8:Q1010)+1,"")</f>
        <v/>
      </c>
    </row>
    <row r="1012" spans="1:17" x14ac:dyDescent="0.3">
      <c r="A1012" s="3">
        <v>41670</v>
      </c>
      <c r="B1012" s="9">
        <v>10.788558999999999</v>
      </c>
      <c r="C1012" s="9">
        <v>8.213438</v>
      </c>
      <c r="E1012" s="14">
        <f t="shared" si="109"/>
        <v>1.3135253471201704</v>
      </c>
      <c r="F1012" s="18">
        <f t="shared" ca="1" si="108"/>
        <v>2.3278176534174073</v>
      </c>
      <c r="G1012" s="15">
        <f t="shared" ca="1" si="113"/>
        <v>1.2692180851271027</v>
      </c>
      <c r="H1012" s="15">
        <f t="shared" ca="1" si="114"/>
        <v>1.9033819907681115E-2</v>
      </c>
      <c r="J1012" s="17">
        <f t="shared" ca="1" si="110"/>
        <v>1</v>
      </c>
      <c r="K1012" s="24">
        <f t="shared" ca="1" si="111"/>
        <v>0</v>
      </c>
      <c r="L1012" s="17">
        <f t="shared" ca="1" si="112"/>
        <v>1</v>
      </c>
      <c r="N1012" s="24" t="str">
        <f ca="1">IF(AND(L1012=1,L1011&lt;&gt;1),MAX($N$8:N1011)+1,"")</f>
        <v/>
      </c>
      <c r="O1012" s="24" t="str">
        <f ca="1">IF(AND(L1012&lt;&gt;1,L1011=1),MAX($O$8:O1011)+1,"")</f>
        <v/>
      </c>
      <c r="P1012" s="17" t="str">
        <f ca="1">IF(AND(L1012=-1,L1011&lt;&gt;-1),MAX($P$8:P1011)+1,"")</f>
        <v/>
      </c>
      <c r="Q1012" s="24" t="str">
        <f ca="1">IF(AND(L1012&lt;&gt;-1,L1011=-1),MAX($Q$8:Q1011)+1,"")</f>
        <v/>
      </c>
    </row>
    <row r="1013" spans="1:17" x14ac:dyDescent="0.3">
      <c r="A1013" s="3">
        <v>41673</v>
      </c>
      <c r="B1013" s="9">
        <v>10.670779</v>
      </c>
      <c r="C1013" s="9">
        <v>7.9245640000000002</v>
      </c>
      <c r="E1013" s="14">
        <f t="shared" si="109"/>
        <v>1.3465446174704374</v>
      </c>
      <c r="F1013" s="18">
        <f t="shared" ca="1" si="108"/>
        <v>2.9974687474004367</v>
      </c>
      <c r="G1013" s="15">
        <f t="shared" ca="1" si="113"/>
        <v>1.273776222494325</v>
      </c>
      <c r="H1013" s="15">
        <f t="shared" ca="1" si="114"/>
        <v>2.4276615073708784E-2</v>
      </c>
      <c r="J1013" s="17">
        <f t="shared" ca="1" si="110"/>
        <v>1</v>
      </c>
      <c r="K1013" s="24">
        <f t="shared" ca="1" si="111"/>
        <v>0</v>
      </c>
      <c r="L1013" s="17">
        <f t="shared" ca="1" si="112"/>
        <v>1</v>
      </c>
      <c r="N1013" s="24" t="str">
        <f ca="1">IF(AND(L1013=1,L1012&lt;&gt;1),MAX($N$8:N1012)+1,"")</f>
        <v/>
      </c>
      <c r="O1013" s="24" t="str">
        <f ca="1">IF(AND(L1013&lt;&gt;1,L1012=1),MAX($O$8:O1012)+1,"")</f>
        <v/>
      </c>
      <c r="P1013" s="17" t="str">
        <f ca="1">IF(AND(L1013=-1,L1012&lt;&gt;-1),MAX($P$8:P1012)+1,"")</f>
        <v/>
      </c>
      <c r="Q1013" s="24" t="str">
        <f ca="1">IF(AND(L1013&lt;&gt;-1,L1012=-1),MAX($Q$8:Q1012)+1,"")</f>
        <v/>
      </c>
    </row>
    <row r="1014" spans="1:17" x14ac:dyDescent="0.3">
      <c r="A1014" s="3">
        <v>41674</v>
      </c>
      <c r="B1014" s="9">
        <v>11.188280000000001</v>
      </c>
      <c r="C1014" s="9">
        <v>8.1238209999999995</v>
      </c>
      <c r="E1014" s="14">
        <f t="shared" si="109"/>
        <v>1.3772189219826485</v>
      </c>
      <c r="F1014" s="18">
        <f t="shared" ca="1" si="108"/>
        <v>3.0665804285769358</v>
      </c>
      <c r="G1014" s="15">
        <f t="shared" ca="1" si="113"/>
        <v>1.279619221408848</v>
      </c>
      <c r="H1014" s="15">
        <f t="shared" ca="1" si="114"/>
        <v>3.1826884325056565E-2</v>
      </c>
      <c r="J1014" s="17">
        <f t="shared" ca="1" si="110"/>
        <v>1</v>
      </c>
      <c r="K1014" s="24">
        <f t="shared" ca="1" si="111"/>
        <v>0</v>
      </c>
      <c r="L1014" s="17">
        <f t="shared" ca="1" si="112"/>
        <v>1</v>
      </c>
      <c r="N1014" s="24" t="str">
        <f ca="1">IF(AND(L1014=1,L1013&lt;&gt;1),MAX($N$8:N1013)+1,"")</f>
        <v/>
      </c>
      <c r="O1014" s="24" t="str">
        <f ca="1">IF(AND(L1014&lt;&gt;1,L1013=1),MAX($O$8:O1013)+1,"")</f>
        <v/>
      </c>
      <c r="P1014" s="17" t="str">
        <f ca="1">IF(AND(L1014=-1,L1013&lt;&gt;-1),MAX($P$8:P1013)+1,"")</f>
        <v/>
      </c>
      <c r="Q1014" s="24" t="str">
        <f ca="1">IF(AND(L1014&lt;&gt;-1,L1013=-1),MAX($Q$8:Q1013)+1,"")</f>
        <v/>
      </c>
    </row>
    <row r="1015" spans="1:17" x14ac:dyDescent="0.3">
      <c r="A1015" s="3">
        <v>41675</v>
      </c>
      <c r="B1015" s="9">
        <v>11.134702000000001</v>
      </c>
      <c r="C1015" s="9">
        <v>8.0892759999999999</v>
      </c>
      <c r="E1015" s="14">
        <f t="shared" si="109"/>
        <v>1.3764769554160348</v>
      </c>
      <c r="F1015" s="18">
        <f t="shared" ca="1" si="108"/>
        <v>2.4855346919548134</v>
      </c>
      <c r="G1015" s="15">
        <f t="shared" ca="1" si="113"/>
        <v>1.2858112111312971</v>
      </c>
      <c r="H1015" s="15">
        <f t="shared" ca="1" si="114"/>
        <v>3.6477360214767787E-2</v>
      </c>
      <c r="J1015" s="17">
        <f t="shared" ca="1" si="110"/>
        <v>1</v>
      </c>
      <c r="K1015" s="24">
        <f t="shared" ca="1" si="111"/>
        <v>0</v>
      </c>
      <c r="L1015" s="17">
        <f t="shared" ca="1" si="112"/>
        <v>1</v>
      </c>
      <c r="N1015" s="24" t="str">
        <f ca="1">IF(AND(L1015=1,L1014&lt;&gt;1),MAX($N$8:N1014)+1,"")</f>
        <v/>
      </c>
      <c r="O1015" s="24" t="str">
        <f ca="1">IF(AND(L1015&lt;&gt;1,L1014=1),MAX($O$8:O1014)+1,"")</f>
        <v/>
      </c>
      <c r="P1015" s="17" t="str">
        <f ca="1">IF(AND(L1015=-1,L1014&lt;&gt;-1),MAX($P$8:P1014)+1,"")</f>
        <v/>
      </c>
      <c r="Q1015" s="24" t="str">
        <f ca="1">IF(AND(L1015&lt;&gt;-1,L1014=-1),MAX($Q$8:Q1014)+1,"")</f>
        <v/>
      </c>
    </row>
    <row r="1016" spans="1:17" x14ac:dyDescent="0.3">
      <c r="A1016" s="3">
        <v>41676</v>
      </c>
      <c r="B1016" s="9">
        <v>11.366695999999999</v>
      </c>
      <c r="C1016" s="9">
        <v>8.2496799999999997</v>
      </c>
      <c r="E1016" s="14">
        <f t="shared" si="109"/>
        <v>1.3778347766216386</v>
      </c>
      <c r="F1016" s="18">
        <f t="shared" ca="1" si="108"/>
        <v>2.1306847784914327</v>
      </c>
      <c r="G1016" s="15">
        <f t="shared" ca="1" si="113"/>
        <v>1.2912453542075086</v>
      </c>
      <c r="H1016" s="15">
        <f t="shared" ca="1" si="114"/>
        <v>4.063924579000229E-2</v>
      </c>
      <c r="J1016" s="17">
        <f t="shared" ca="1" si="110"/>
        <v>1</v>
      </c>
      <c r="K1016" s="24">
        <f t="shared" ca="1" si="111"/>
        <v>0</v>
      </c>
      <c r="L1016" s="17">
        <f t="shared" ca="1" si="112"/>
        <v>1</v>
      </c>
      <c r="N1016" s="24" t="str">
        <f ca="1">IF(AND(L1016=1,L1015&lt;&gt;1),MAX($N$8:N1015)+1,"")</f>
        <v/>
      </c>
      <c r="O1016" s="24" t="str">
        <f ca="1">IF(AND(L1016&lt;&gt;1,L1015=1),MAX($O$8:O1015)+1,"")</f>
        <v/>
      </c>
      <c r="P1016" s="17" t="str">
        <f ca="1">IF(AND(L1016=-1,L1015&lt;&gt;-1),MAX($P$8:P1015)+1,"")</f>
        <v/>
      </c>
      <c r="Q1016" s="24" t="str">
        <f ca="1">IF(AND(L1016&lt;&gt;-1,L1015=-1),MAX($Q$8:Q1015)+1,"")</f>
        <v/>
      </c>
    </row>
    <row r="1017" spans="1:17" x14ac:dyDescent="0.3">
      <c r="A1017" s="3">
        <v>41677</v>
      </c>
      <c r="B1017" s="9">
        <v>11.359571000000001</v>
      </c>
      <c r="C1017" s="9">
        <v>8.3660460000000008</v>
      </c>
      <c r="E1017" s="14">
        <f t="shared" si="109"/>
        <v>1.3578183768054826</v>
      </c>
      <c r="F1017" s="18">
        <f t="shared" ca="1" si="108"/>
        <v>1.471085982080534</v>
      </c>
      <c r="G1017" s="15">
        <f t="shared" ca="1" si="113"/>
        <v>1.2948322814556827</v>
      </c>
      <c r="H1017" s="15">
        <f t="shared" ca="1" si="114"/>
        <v>4.2816052981974287E-2</v>
      </c>
      <c r="J1017" s="17">
        <f t="shared" ca="1" si="110"/>
        <v>1</v>
      </c>
      <c r="K1017" s="24">
        <f t="shared" ca="1" si="111"/>
        <v>0</v>
      </c>
      <c r="L1017" s="17">
        <f t="shared" ca="1" si="112"/>
        <v>1</v>
      </c>
      <c r="N1017" s="24" t="str">
        <f ca="1">IF(AND(L1017=1,L1016&lt;&gt;1),MAX($N$8:N1016)+1,"")</f>
        <v/>
      </c>
      <c r="O1017" s="24" t="str">
        <f ca="1">IF(AND(L1017&lt;&gt;1,L1016=1),MAX($O$8:O1016)+1,"")</f>
        <v/>
      </c>
      <c r="P1017" s="17" t="str">
        <f ca="1">IF(AND(L1017=-1,L1016&lt;&gt;-1),MAX($P$8:P1016)+1,"")</f>
        <v/>
      </c>
      <c r="Q1017" s="24" t="str">
        <f ca="1">IF(AND(L1017&lt;&gt;-1,L1016=-1),MAX($Q$8:Q1016)+1,"")</f>
        <v/>
      </c>
    </row>
    <row r="1018" spans="1:17" x14ac:dyDescent="0.3">
      <c r="A1018" s="3">
        <v>41680</v>
      </c>
      <c r="B1018" s="9">
        <v>11.341763</v>
      </c>
      <c r="C1018" s="9">
        <v>8.2182460000000006</v>
      </c>
      <c r="E1018" s="14">
        <f t="shared" si="109"/>
        <v>1.3800710029853085</v>
      </c>
      <c r="F1018" s="18">
        <f t="shared" ca="1" si="108"/>
        <v>1.7464488144812869</v>
      </c>
      <c r="G1018" s="15">
        <f t="shared" ca="1" si="113"/>
        <v>1.2995769428417425</v>
      </c>
      <c r="H1018" s="15">
        <f t="shared" ca="1" si="114"/>
        <v>4.6090134148863406E-2</v>
      </c>
      <c r="J1018" s="17">
        <f t="shared" ca="1" si="110"/>
        <v>1</v>
      </c>
      <c r="K1018" s="24">
        <f t="shared" ca="1" si="111"/>
        <v>0</v>
      </c>
      <c r="L1018" s="17">
        <f t="shared" ca="1" si="112"/>
        <v>1</v>
      </c>
      <c r="N1018" s="24" t="str">
        <f ca="1">IF(AND(L1018=1,L1017&lt;&gt;1),MAX($N$8:N1017)+1,"")</f>
        <v/>
      </c>
      <c r="O1018" s="24" t="str">
        <f ca="1">IF(AND(L1018&lt;&gt;1,L1017=1),MAX($O$8:O1017)+1,"")</f>
        <v/>
      </c>
      <c r="P1018" s="17" t="str">
        <f ca="1">IF(AND(L1018=-1,L1017&lt;&gt;-1),MAX($P$8:P1017)+1,"")</f>
        <v/>
      </c>
      <c r="Q1018" s="24" t="str">
        <f ca="1">IF(AND(L1018&lt;&gt;-1,L1017=-1),MAX($Q$8:Q1017)+1,"")</f>
        <v/>
      </c>
    </row>
    <row r="1019" spans="1:17" x14ac:dyDescent="0.3">
      <c r="A1019" s="3">
        <v>41681</v>
      </c>
      <c r="B1019" s="9">
        <v>11.363132</v>
      </c>
      <c r="C1019" s="9">
        <v>8.5124860000000009</v>
      </c>
      <c r="E1019" s="14">
        <f t="shared" si="109"/>
        <v>1.3348782012681135</v>
      </c>
      <c r="F1019" s="18">
        <f t="shared" ca="1" si="108"/>
        <v>0.70121013615135497</v>
      </c>
      <c r="G1019" s="15">
        <f t="shared" ca="1" si="113"/>
        <v>1.3024701086075146</v>
      </c>
      <c r="H1019" s="15">
        <f t="shared" ca="1" si="114"/>
        <v>4.6217376204048102E-2</v>
      </c>
      <c r="J1019" s="17">
        <f t="shared" ca="1" si="110"/>
        <v>1</v>
      </c>
      <c r="K1019" s="24">
        <f t="shared" ca="1" si="111"/>
        <v>0</v>
      </c>
      <c r="L1019" s="17">
        <f t="shared" ca="1" si="112"/>
        <v>1</v>
      </c>
      <c r="N1019" s="24" t="str">
        <f ca="1">IF(AND(L1019=1,L1018&lt;&gt;1),MAX($N$8:N1018)+1,"")</f>
        <v/>
      </c>
      <c r="O1019" s="24" t="str">
        <f ca="1">IF(AND(L1019&lt;&gt;1,L1018=1),MAX($O$8:O1018)+1,"")</f>
        <v/>
      </c>
      <c r="P1019" s="17" t="str">
        <f ca="1">IF(AND(L1019=-1,L1018&lt;&gt;-1),MAX($P$8:P1018)+1,"")</f>
        <v/>
      </c>
      <c r="Q1019" s="24" t="str">
        <f ca="1">IF(AND(L1019&lt;&gt;-1,L1018=-1),MAX($Q$8:Q1018)+1,"")</f>
        <v/>
      </c>
    </row>
    <row r="1020" spans="1:17" x14ac:dyDescent="0.3">
      <c r="A1020" s="3">
        <v>41682</v>
      </c>
      <c r="B1020" s="9">
        <v>11.241795</v>
      </c>
      <c r="C1020" s="9">
        <v>8.4708600000000001</v>
      </c>
      <c r="E1020" s="14">
        <f t="shared" si="109"/>
        <v>1.327113775933022</v>
      </c>
      <c r="F1020" s="18">
        <f t="shared" ca="1" si="108"/>
        <v>0.48315658321443766</v>
      </c>
      <c r="G1020" s="15">
        <f t="shared" ca="1" si="113"/>
        <v>1.3048521164365996</v>
      </c>
      <c r="H1020" s="15">
        <f t="shared" ca="1" si="114"/>
        <v>4.6075455183319181E-2</v>
      </c>
      <c r="J1020" s="17">
        <f t="shared" ca="1" si="110"/>
        <v>1</v>
      </c>
      <c r="K1020" s="24">
        <f t="shared" ca="1" si="111"/>
        <v>0</v>
      </c>
      <c r="L1020" s="17">
        <f t="shared" ca="1" si="112"/>
        <v>1</v>
      </c>
      <c r="N1020" s="24" t="str">
        <f ca="1">IF(AND(L1020=1,L1019&lt;&gt;1),MAX($N$8:N1019)+1,"")</f>
        <v/>
      </c>
      <c r="O1020" s="24" t="str">
        <f ca="1">IF(AND(L1020&lt;&gt;1,L1019=1),MAX($O$8:O1019)+1,"")</f>
        <v/>
      </c>
      <c r="P1020" s="17" t="str">
        <f ca="1">IF(AND(L1020=-1,L1019&lt;&gt;-1),MAX($P$8:P1019)+1,"")</f>
        <v/>
      </c>
      <c r="Q1020" s="24" t="str">
        <f ca="1">IF(AND(L1020&lt;&gt;-1,L1019=-1),MAX($Q$8:Q1019)+1,"")</f>
        <v/>
      </c>
    </row>
    <row r="1021" spans="1:17" x14ac:dyDescent="0.3">
      <c r="A1021" s="3">
        <v>41683</v>
      </c>
      <c r="B1021" s="9">
        <v>11.191843</v>
      </c>
      <c r="C1021" s="9">
        <v>8.448461</v>
      </c>
      <c r="E1021" s="14">
        <f t="shared" si="109"/>
        <v>1.3247197329785863</v>
      </c>
      <c r="F1021" s="18">
        <f t="shared" ca="1" si="108"/>
        <v>0.38998514396977441</v>
      </c>
      <c r="G1021" s="15">
        <f t="shared" ca="1" si="113"/>
        <v>1.3067908799044401</v>
      </c>
      <c r="H1021" s="15">
        <f t="shared" ca="1" si="114"/>
        <v>4.5973169366512391E-2</v>
      </c>
      <c r="J1021" s="17">
        <f t="shared" ca="1" si="110"/>
        <v>1</v>
      </c>
      <c r="K1021" s="24">
        <f t="shared" ca="1" si="111"/>
        <v>0</v>
      </c>
      <c r="L1021" s="17">
        <f t="shared" ca="1" si="112"/>
        <v>1</v>
      </c>
      <c r="N1021" s="24" t="str">
        <f ca="1">IF(AND(L1021=1,L1020&lt;&gt;1),MAX($N$8:N1020)+1,"")</f>
        <v/>
      </c>
      <c r="O1021" s="24" t="str">
        <f ca="1">IF(AND(L1021&lt;&gt;1,L1020=1),MAX($O$8:O1020)+1,"")</f>
        <v/>
      </c>
      <c r="P1021" s="17" t="str">
        <f ca="1">IF(AND(L1021=-1,L1020&lt;&gt;-1),MAX($P$8:P1020)+1,"")</f>
        <v/>
      </c>
      <c r="Q1021" s="24" t="str">
        <f ca="1">IF(AND(L1021&lt;&gt;-1,L1020=-1),MAX($Q$8:Q1020)+1,"")</f>
        <v/>
      </c>
    </row>
    <row r="1022" spans="1:17" x14ac:dyDescent="0.3">
      <c r="A1022" s="3">
        <v>41684</v>
      </c>
      <c r="B1022" s="9">
        <v>11.277487000000001</v>
      </c>
      <c r="C1022" s="9">
        <v>8.5444689999999994</v>
      </c>
      <c r="E1022" s="14">
        <f t="shared" si="109"/>
        <v>1.3198581444908983</v>
      </c>
      <c r="F1022" s="18">
        <f t="shared" ca="1" si="108"/>
        <v>0.24240833102424147</v>
      </c>
      <c r="G1022" s="15">
        <f t="shared" ca="1" si="113"/>
        <v>1.3088251993961777</v>
      </c>
      <c r="H1022" s="15">
        <f t="shared" ca="1" si="114"/>
        <v>4.551388579799806E-2</v>
      </c>
      <c r="J1022" s="17">
        <f t="shared" ca="1" si="110"/>
        <v>1</v>
      </c>
      <c r="K1022" s="24">
        <f t="shared" ca="1" si="111"/>
        <v>0</v>
      </c>
      <c r="L1022" s="17">
        <f t="shared" ca="1" si="112"/>
        <v>1</v>
      </c>
      <c r="N1022" s="24" t="str">
        <f ca="1">IF(AND(L1022=1,L1021&lt;&gt;1),MAX($N$8:N1021)+1,"")</f>
        <v/>
      </c>
      <c r="O1022" s="24" t="str">
        <f ca="1">IF(AND(L1022&lt;&gt;1,L1021=1),MAX($O$8:O1021)+1,"")</f>
        <v/>
      </c>
      <c r="P1022" s="17" t="str">
        <f ca="1">IF(AND(L1022=-1,L1021&lt;&gt;-1),MAX($P$8:P1021)+1,"")</f>
        <v/>
      </c>
      <c r="Q1022" s="24" t="str">
        <f ca="1">IF(AND(L1022&lt;&gt;-1,L1021=-1),MAX($Q$8:Q1021)+1,"")</f>
        <v/>
      </c>
    </row>
    <row r="1023" spans="1:17" x14ac:dyDescent="0.3">
      <c r="A1023" s="3">
        <v>41687</v>
      </c>
      <c r="B1023" s="9">
        <v>11.134702000000001</v>
      </c>
      <c r="C1023" s="9">
        <v>8.4868520000000007</v>
      </c>
      <c r="E1023" s="14">
        <f t="shared" si="109"/>
        <v>1.311994364930601</v>
      </c>
      <c r="F1023" s="18">
        <f t="shared" ca="1" si="108"/>
        <v>2.4991522646017551E-2</v>
      </c>
      <c r="G1023" s="15">
        <f t="shared" ca="1" si="113"/>
        <v>1.3108802344406463</v>
      </c>
      <c r="H1023" s="15">
        <f t="shared" ca="1" si="114"/>
        <v>4.4580336529923992E-2</v>
      </c>
      <c r="J1023" s="17">
        <f t="shared" ca="1" si="110"/>
        <v>1</v>
      </c>
      <c r="K1023" s="24">
        <f t="shared" ca="1" si="111"/>
        <v>0</v>
      </c>
      <c r="L1023" s="17">
        <f t="shared" ca="1" si="112"/>
        <v>1</v>
      </c>
      <c r="N1023" s="24" t="str">
        <f ca="1">IF(AND(L1023=1,L1022&lt;&gt;1),MAX($N$8:N1022)+1,"")</f>
        <v/>
      </c>
      <c r="O1023" s="24" t="str">
        <f ca="1">IF(AND(L1023&lt;&gt;1,L1022=1),MAX($O$8:O1022)+1,"")</f>
        <v/>
      </c>
      <c r="P1023" s="17" t="str">
        <f ca="1">IF(AND(L1023=-1,L1022&lt;&gt;-1),MAX($P$8:P1022)+1,"")</f>
        <v/>
      </c>
      <c r="Q1023" s="24" t="str">
        <f ca="1">IF(AND(L1023&lt;&gt;-1,L1022=-1),MAX($Q$8:Q1022)+1,"")</f>
        <v/>
      </c>
    </row>
    <row r="1024" spans="1:17" x14ac:dyDescent="0.3">
      <c r="A1024" s="3">
        <v>41688</v>
      </c>
      <c r="B1024" s="9">
        <v>11.066943</v>
      </c>
      <c r="C1024" s="9">
        <v>8.448461</v>
      </c>
      <c r="E1024" s="14">
        <f t="shared" si="109"/>
        <v>1.3099359753214224</v>
      </c>
      <c r="F1024" s="18">
        <f t="shared" ca="1" si="108"/>
        <v>-8.1071332401942614E-2</v>
      </c>
      <c r="G1024" s="15">
        <f t="shared" ca="1" si="113"/>
        <v>1.3134093092208623</v>
      </c>
      <c r="H1024" s="15">
        <f t="shared" ca="1" si="114"/>
        <v>4.2842935924865926E-2</v>
      </c>
      <c r="J1024" s="17">
        <f t="shared" ca="1" si="110"/>
        <v>0</v>
      </c>
      <c r="K1024" s="24">
        <f t="shared" ca="1" si="111"/>
        <v>0</v>
      </c>
      <c r="L1024" s="17">
        <f t="shared" ca="1" si="112"/>
        <v>0</v>
      </c>
      <c r="N1024" s="24" t="str">
        <f ca="1">IF(AND(L1024=1,L1023&lt;&gt;1),MAX($N$8:N1023)+1,"")</f>
        <v/>
      </c>
      <c r="O1024" s="24">
        <f ca="1">IF(AND(L1024&lt;&gt;1,L1023=1),MAX($O$8:O1023)+1,"")</f>
        <v>29</v>
      </c>
      <c r="P1024" s="17" t="str">
        <f ca="1">IF(AND(L1024=-1,L1023&lt;&gt;-1),MAX($P$8:P1023)+1,"")</f>
        <v/>
      </c>
      <c r="Q1024" s="24" t="str">
        <f ca="1">IF(AND(L1024&lt;&gt;-1,L1023=-1),MAX($Q$8:Q1023)+1,"")</f>
        <v/>
      </c>
    </row>
    <row r="1025" spans="1:17" x14ac:dyDescent="0.3">
      <c r="A1025" s="3">
        <v>41689</v>
      </c>
      <c r="B1025" s="9">
        <v>11.099076</v>
      </c>
      <c r="C1025" s="9">
        <v>8.6244890000000005</v>
      </c>
      <c r="E1025" s="14">
        <f t="shared" si="109"/>
        <v>1.2869256369855651</v>
      </c>
      <c r="F1025" s="18">
        <f t="shared" ca="1" si="108"/>
        <v>-0.68296073229260157</v>
      </c>
      <c r="G1025" s="15">
        <f t="shared" ca="1" si="113"/>
        <v>1.3150133387343947</v>
      </c>
      <c r="H1025" s="15">
        <f t="shared" ca="1" si="114"/>
        <v>4.1126378751737726E-2</v>
      </c>
      <c r="J1025" s="17">
        <f t="shared" ca="1" si="110"/>
        <v>0</v>
      </c>
      <c r="K1025" s="24">
        <f t="shared" ca="1" si="111"/>
        <v>0</v>
      </c>
      <c r="L1025" s="17">
        <f t="shared" ca="1" si="112"/>
        <v>0</v>
      </c>
      <c r="N1025" s="24" t="str">
        <f ca="1">IF(AND(L1025=1,L1024&lt;&gt;1),MAX($N$8:N1024)+1,"")</f>
        <v/>
      </c>
      <c r="O1025" s="24" t="str">
        <f ca="1">IF(AND(L1025&lt;&gt;1,L1024=1),MAX($O$8:O1024)+1,"")</f>
        <v/>
      </c>
      <c r="P1025" s="17" t="str">
        <f ca="1">IF(AND(L1025=-1,L1024&lt;&gt;-1),MAX($P$8:P1024)+1,"")</f>
        <v/>
      </c>
      <c r="Q1025" s="24" t="str">
        <f ca="1">IF(AND(L1025&lt;&gt;-1,L1024=-1),MAX($Q$8:Q1024)+1,"")</f>
        <v/>
      </c>
    </row>
    <row r="1026" spans="1:17" x14ac:dyDescent="0.3">
      <c r="A1026" s="3">
        <v>41690</v>
      </c>
      <c r="B1026" s="9">
        <v>11.084751000000001</v>
      </c>
      <c r="C1026" s="9">
        <v>8.5477059999999998</v>
      </c>
      <c r="E1026" s="14">
        <f t="shared" si="109"/>
        <v>1.2968100447067319</v>
      </c>
      <c r="F1026" s="18">
        <f t="shared" ref="F1026:F1089" ca="1" si="115">IF(ISNUMBER(G1026),(E1026-G1026)/H1026,"")</f>
        <v>-0.51264868052728396</v>
      </c>
      <c r="G1026" s="15">
        <f t="shared" ca="1" si="113"/>
        <v>1.3169183745020041</v>
      </c>
      <c r="H1026" s="15">
        <f t="shared" ca="1" si="114"/>
        <v>3.9224386132409098E-2</v>
      </c>
      <c r="J1026" s="17">
        <f t="shared" ca="1" si="110"/>
        <v>0</v>
      </c>
      <c r="K1026" s="24">
        <f t="shared" ca="1" si="111"/>
        <v>0</v>
      </c>
      <c r="L1026" s="17">
        <f t="shared" ca="1" si="112"/>
        <v>0</v>
      </c>
      <c r="N1026" s="24" t="str">
        <f ca="1">IF(AND(L1026=1,L1025&lt;&gt;1),MAX($N$8:N1025)+1,"")</f>
        <v/>
      </c>
      <c r="O1026" s="24" t="str">
        <f ca="1">IF(AND(L1026&lt;&gt;1,L1025=1),MAX($O$8:O1025)+1,"")</f>
        <v/>
      </c>
      <c r="P1026" s="17" t="str">
        <f ca="1">IF(AND(L1026=-1,L1025&lt;&gt;-1),MAX($P$8:P1025)+1,"")</f>
        <v/>
      </c>
      <c r="Q1026" s="24" t="str">
        <f ca="1">IF(AND(L1026&lt;&gt;-1,L1025=-1),MAX($Q$8:Q1025)+1,"")</f>
        <v/>
      </c>
    </row>
    <row r="1027" spans="1:17" x14ac:dyDescent="0.3">
      <c r="A1027" s="3">
        <v>41691</v>
      </c>
      <c r="B1027" s="9">
        <v>11.099076</v>
      </c>
      <c r="C1027" s="9">
        <v>8.7269039999999993</v>
      </c>
      <c r="E1027" s="14">
        <f t="shared" ref="E1027:E1090" si="116">IF(ISNUMBER(B1027),B1027/C1027,"")</f>
        <v>1.2718228595158148</v>
      </c>
      <c r="F1027" s="18">
        <f t="shared" ca="1" si="115"/>
        <v>-1.2219377339142306</v>
      </c>
      <c r="G1027" s="15">
        <f t="shared" ca="1" si="113"/>
        <v>1.317930052036048</v>
      </c>
      <c r="H1027" s="15">
        <f t="shared" ca="1" si="114"/>
        <v>3.7732849424772355E-2</v>
      </c>
      <c r="J1027" s="17">
        <f t="shared" ca="1" si="110"/>
        <v>0</v>
      </c>
      <c r="K1027" s="24">
        <f t="shared" ca="1" si="111"/>
        <v>-1</v>
      </c>
      <c r="L1027" s="17">
        <f t="shared" ca="1" si="112"/>
        <v>-1</v>
      </c>
      <c r="N1027" s="24" t="str">
        <f ca="1">IF(AND(L1027=1,L1026&lt;&gt;1),MAX($N$8:N1026)+1,"")</f>
        <v/>
      </c>
      <c r="O1027" s="24" t="str">
        <f ca="1">IF(AND(L1027&lt;&gt;1,L1026=1),MAX($O$8:O1026)+1,"")</f>
        <v/>
      </c>
      <c r="P1027" s="17">
        <f ca="1">IF(AND(L1027=-1,L1026&lt;&gt;-1),MAX($P$8:P1026)+1,"")</f>
        <v>40</v>
      </c>
      <c r="Q1027" s="24" t="str">
        <f ca="1">IF(AND(L1027&lt;&gt;-1,L1026=-1),MAX($Q$8:Q1026)+1,"")</f>
        <v/>
      </c>
    </row>
    <row r="1028" spans="1:17" x14ac:dyDescent="0.3">
      <c r="A1028" s="3">
        <v>41694</v>
      </c>
      <c r="B1028" s="9">
        <v>11.15971</v>
      </c>
      <c r="C1028" s="9">
        <v>8.8293230000000005</v>
      </c>
      <c r="E1028" s="14">
        <f t="shared" si="116"/>
        <v>1.2639372237259867</v>
      </c>
      <c r="F1028" s="18">
        <f t="shared" ca="1" si="115"/>
        <v>-1.474967323115387</v>
      </c>
      <c r="G1028" s="15">
        <f t="shared" ca="1" si="113"/>
        <v>1.3184249903909842</v>
      </c>
      <c r="H1028" s="15">
        <f t="shared" ca="1" si="114"/>
        <v>3.6941677155199491E-2</v>
      </c>
      <c r="J1028" s="17">
        <f t="shared" ca="1" si="110"/>
        <v>0</v>
      </c>
      <c r="K1028" s="24">
        <f t="shared" ca="1" si="111"/>
        <v>-1</v>
      </c>
      <c r="L1028" s="17">
        <f t="shared" ca="1" si="112"/>
        <v>-1</v>
      </c>
      <c r="N1028" s="24" t="str">
        <f ca="1">IF(AND(L1028=1,L1027&lt;&gt;1),MAX($N$8:N1027)+1,"")</f>
        <v/>
      </c>
      <c r="O1028" s="24" t="str">
        <f ca="1">IF(AND(L1028&lt;&gt;1,L1027=1),MAX($O$8:O1027)+1,"")</f>
        <v/>
      </c>
      <c r="P1028" s="17" t="str">
        <f ca="1">IF(AND(L1028=-1,L1027&lt;&gt;-1),MAX($P$8:P1027)+1,"")</f>
        <v/>
      </c>
      <c r="Q1028" s="24" t="str">
        <f ca="1">IF(AND(L1028&lt;&gt;-1,L1027=-1),MAX($Q$8:Q1027)+1,"")</f>
        <v/>
      </c>
    </row>
    <row r="1029" spans="1:17" x14ac:dyDescent="0.3">
      <c r="A1029" s="3">
        <v>41695</v>
      </c>
      <c r="B1029" s="9">
        <v>11.084751000000001</v>
      </c>
      <c r="C1029" s="9">
        <v>8.6244890000000005</v>
      </c>
      <c r="E1029" s="14">
        <f t="shared" si="116"/>
        <v>1.2852646690140135</v>
      </c>
      <c r="F1029" s="18">
        <f t="shared" ca="1" si="115"/>
        <v>-0.96246511139436364</v>
      </c>
      <c r="G1029" s="15">
        <f t="shared" ca="1" si="113"/>
        <v>1.3195081860423288</v>
      </c>
      <c r="H1029" s="15">
        <f t="shared" ca="1" si="114"/>
        <v>3.5578969692423731E-2</v>
      </c>
      <c r="J1029" s="17">
        <f t="shared" ca="1" si="110"/>
        <v>0</v>
      </c>
      <c r="K1029" s="24">
        <f t="shared" ca="1" si="111"/>
        <v>-1</v>
      </c>
      <c r="L1029" s="17">
        <f t="shared" ca="1" si="112"/>
        <v>-1</v>
      </c>
      <c r="N1029" s="24" t="str">
        <f ca="1">IF(AND(L1029=1,L1028&lt;&gt;1),MAX($N$8:N1028)+1,"")</f>
        <v/>
      </c>
      <c r="O1029" s="24" t="str">
        <f ca="1">IF(AND(L1029&lt;&gt;1,L1028=1),MAX($O$8:O1028)+1,"")</f>
        <v/>
      </c>
      <c r="P1029" s="17" t="str">
        <f ca="1">IF(AND(L1029=-1,L1028&lt;&gt;-1),MAX($P$8:P1028)+1,"")</f>
        <v/>
      </c>
      <c r="Q1029" s="24" t="str">
        <f ca="1">IF(AND(L1029&lt;&gt;-1,L1028=-1),MAX($Q$8:Q1028)+1,"")</f>
        <v/>
      </c>
    </row>
    <row r="1030" spans="1:17" x14ac:dyDescent="0.3">
      <c r="A1030" s="3">
        <v>41696</v>
      </c>
      <c r="B1030" s="9">
        <v>11.041931999999999</v>
      </c>
      <c r="C1030" s="9">
        <v>8.5988410000000002</v>
      </c>
      <c r="E1030" s="14">
        <f t="shared" si="116"/>
        <v>1.2841186387793424</v>
      </c>
      <c r="F1030" s="18">
        <f t="shared" ca="1" si="115"/>
        <v>-1.0040065686503927</v>
      </c>
      <c r="G1030" s="15">
        <f t="shared" ca="1" si="113"/>
        <v>1.3196698372046347</v>
      </c>
      <c r="H1030" s="15">
        <f t="shared" ca="1" si="114"/>
        <v>3.5409328519713762E-2</v>
      </c>
      <c r="J1030" s="17">
        <f t="shared" ca="1" si="110"/>
        <v>0</v>
      </c>
      <c r="K1030" s="24">
        <f t="shared" ca="1" si="111"/>
        <v>-1</v>
      </c>
      <c r="L1030" s="17">
        <f t="shared" ca="1" si="112"/>
        <v>-1</v>
      </c>
      <c r="N1030" s="24" t="str">
        <f ca="1">IF(AND(L1030=1,L1029&lt;&gt;1),MAX($N$8:N1029)+1,"")</f>
        <v/>
      </c>
      <c r="O1030" s="24" t="str">
        <f ca="1">IF(AND(L1030&lt;&gt;1,L1029=1),MAX($O$8:O1029)+1,"")</f>
        <v/>
      </c>
      <c r="P1030" s="17" t="str">
        <f ca="1">IF(AND(L1030=-1,L1029&lt;&gt;-1),MAX($P$8:P1029)+1,"")</f>
        <v/>
      </c>
      <c r="Q1030" s="24" t="str">
        <f ca="1">IF(AND(L1030&lt;&gt;-1,L1029=-1),MAX($Q$8:Q1029)+1,"")</f>
        <v/>
      </c>
    </row>
    <row r="1031" spans="1:17" x14ac:dyDescent="0.3">
      <c r="A1031" s="3">
        <v>41697</v>
      </c>
      <c r="B1031" s="9">
        <v>11.216778</v>
      </c>
      <c r="C1031" s="9">
        <v>8.7781140000000004</v>
      </c>
      <c r="E1031" s="14">
        <f t="shared" si="116"/>
        <v>1.2778118397642135</v>
      </c>
      <c r="F1031" s="18">
        <f t="shared" ca="1" si="115"/>
        <v>-1.1520901174288145</v>
      </c>
      <c r="G1031" s="15">
        <f t="shared" ca="1" si="113"/>
        <v>1.3191799409844374</v>
      </c>
      <c r="H1031" s="15">
        <f t="shared" ca="1" si="114"/>
        <v>3.5907001192361052E-2</v>
      </c>
      <c r="J1031" s="17">
        <f t="shared" ca="1" si="110"/>
        <v>0</v>
      </c>
      <c r="K1031" s="24">
        <f t="shared" ca="1" si="111"/>
        <v>-1</v>
      </c>
      <c r="L1031" s="17">
        <f t="shared" ca="1" si="112"/>
        <v>-1</v>
      </c>
      <c r="N1031" s="24" t="str">
        <f ca="1">IF(AND(L1031=1,L1030&lt;&gt;1),MAX($N$8:N1030)+1,"")</f>
        <v/>
      </c>
      <c r="O1031" s="24" t="str">
        <f ca="1">IF(AND(L1031&lt;&gt;1,L1030=1),MAX($O$8:O1030)+1,"")</f>
        <v/>
      </c>
      <c r="P1031" s="17" t="str">
        <f ca="1">IF(AND(L1031=-1,L1030&lt;&gt;-1),MAX($P$8:P1030)+1,"")</f>
        <v/>
      </c>
      <c r="Q1031" s="24" t="str">
        <f ca="1">IF(AND(L1031&lt;&gt;-1,L1030=-1),MAX($Q$8:Q1030)+1,"")</f>
        <v/>
      </c>
    </row>
    <row r="1032" spans="1:17" x14ac:dyDescent="0.3">
      <c r="A1032" s="3">
        <v>41698</v>
      </c>
      <c r="B1032" s="9">
        <v>11.138332</v>
      </c>
      <c r="C1032" s="9">
        <v>8.7396589999999996</v>
      </c>
      <c r="E1032" s="14">
        <f t="shared" si="116"/>
        <v>1.2744584199452176</v>
      </c>
      <c r="F1032" s="18">
        <f t="shared" ca="1" si="115"/>
        <v>-1.1928351913711672</v>
      </c>
      <c r="G1032" s="15">
        <f t="shared" ca="1" si="113"/>
        <v>1.318294068739015</v>
      </c>
      <c r="H1032" s="15">
        <f t="shared" ca="1" si="114"/>
        <v>3.6749124364287261E-2</v>
      </c>
      <c r="J1032" s="17">
        <f t="shared" ref="J1032:J1095" ca="1" si="117">IF(ISNUMBER(F1032),IF(AND(J1031&lt;&gt;1,F1032&gt;$L$1),1,IF(AND(J1031=1,F1032&gt;$N$1),1,0)),"")</f>
        <v>0</v>
      </c>
      <c r="K1032" s="24">
        <f t="shared" ca="1" si="111"/>
        <v>-1</v>
      </c>
      <c r="L1032" s="17">
        <f t="shared" ca="1" si="112"/>
        <v>-1</v>
      </c>
      <c r="N1032" s="24" t="str">
        <f ca="1">IF(AND(L1032=1,L1031&lt;&gt;1),MAX($N$8:N1031)+1,"")</f>
        <v/>
      </c>
      <c r="O1032" s="24" t="str">
        <f ca="1">IF(AND(L1032&lt;&gt;1,L1031=1),MAX($O$8:O1031)+1,"")</f>
        <v/>
      </c>
      <c r="P1032" s="17" t="str">
        <f ca="1">IF(AND(L1032=-1,L1031&lt;&gt;-1),MAX($P$8:P1031)+1,"")</f>
        <v/>
      </c>
      <c r="Q1032" s="24" t="str">
        <f ca="1">IF(AND(L1032&lt;&gt;-1,L1031=-1),MAX($Q$8:Q1031)+1,"")</f>
        <v/>
      </c>
    </row>
    <row r="1033" spans="1:17" x14ac:dyDescent="0.3">
      <c r="A1033" s="3">
        <v>41703</v>
      </c>
      <c r="B1033" s="9">
        <v>10.977511</v>
      </c>
      <c r="C1033" s="9">
        <v>8.6308969999999992</v>
      </c>
      <c r="E1033" s="14">
        <f t="shared" si="116"/>
        <v>1.2718852976695239</v>
      </c>
      <c r="F1033" s="18">
        <f t="shared" ca="1" si="115"/>
        <v>-1.1868901297116041</v>
      </c>
      <c r="G1033" s="15">
        <f t="shared" ca="1" si="113"/>
        <v>1.3168647647013987</v>
      </c>
      <c r="H1033" s="15">
        <f t="shared" ca="1" si="114"/>
        <v>3.7896908825759752E-2</v>
      </c>
      <c r="J1033" s="17">
        <f t="shared" ca="1" si="117"/>
        <v>0</v>
      </c>
      <c r="K1033" s="24">
        <f t="shared" ref="K1033:K1096" ca="1" si="118">IF(ISNUMBER(F1033),IF(AND(K1032&lt;&gt;-1,F1033&lt;$P$1),-1,IF(AND(K1032=-1,F1033&lt;R1026),-1,0)),"")</f>
        <v>-1</v>
      </c>
      <c r="L1033" s="17">
        <f t="shared" ref="L1033:L1096" ca="1" si="119">IF(ISNUMBER(F1033),IF(J1033=1,1,IF(K1033=-1,-1,0)),"")</f>
        <v>-1</v>
      </c>
      <c r="N1033" s="24" t="str">
        <f ca="1">IF(AND(L1033=1,L1032&lt;&gt;1),MAX($N$8:N1032)+1,"")</f>
        <v/>
      </c>
      <c r="O1033" s="24" t="str">
        <f ca="1">IF(AND(L1033&lt;&gt;1,L1032=1),MAX($O$8:O1032)+1,"")</f>
        <v/>
      </c>
      <c r="P1033" s="17" t="str">
        <f ca="1">IF(AND(L1033=-1,L1032&lt;&gt;-1),MAX($P$8:P1032)+1,"")</f>
        <v/>
      </c>
      <c r="Q1033" s="24" t="str">
        <f ca="1">IF(AND(L1033&lt;&gt;-1,L1032=-1),MAX($Q$8:Q1032)+1,"")</f>
        <v/>
      </c>
    </row>
    <row r="1034" spans="1:17" x14ac:dyDescent="0.3">
      <c r="A1034" s="3">
        <v>41704</v>
      </c>
      <c r="B1034" s="9">
        <v>11.281188999999999</v>
      </c>
      <c r="C1034" s="9">
        <v>8.975009</v>
      </c>
      <c r="E1034" s="14">
        <f t="shared" si="116"/>
        <v>1.2569557311864534</v>
      </c>
      <c r="F1034" s="18">
        <f t="shared" ca="1" si="115"/>
        <v>-1.4369501357185466</v>
      </c>
      <c r="G1034" s="15">
        <f t="shared" ca="1" si="113"/>
        <v>1.3142934185225934</v>
      </c>
      <c r="H1034" s="15">
        <f t="shared" ca="1" si="114"/>
        <v>3.9902350061345918E-2</v>
      </c>
      <c r="J1034" s="17">
        <f t="shared" ca="1" si="117"/>
        <v>0</v>
      </c>
      <c r="K1034" s="24">
        <f t="shared" ca="1" si="118"/>
        <v>-1</v>
      </c>
      <c r="L1034" s="17">
        <f t="shared" ca="1" si="119"/>
        <v>-1</v>
      </c>
      <c r="N1034" s="24" t="str">
        <f ca="1">IF(AND(L1034=1,L1033&lt;&gt;1),MAX($N$8:N1033)+1,"")</f>
        <v/>
      </c>
      <c r="O1034" s="24" t="str">
        <f ca="1">IF(AND(L1034&lt;&gt;1,L1033=1),MAX($O$8:O1033)+1,"")</f>
        <v/>
      </c>
      <c r="P1034" s="17" t="str">
        <f ca="1">IF(AND(L1034=-1,L1033&lt;&gt;-1),MAX($P$8:P1033)+1,"")</f>
        <v/>
      </c>
      <c r="Q1034" s="24" t="str">
        <f ca="1">IF(AND(L1034&lt;&gt;-1,L1033=-1),MAX($Q$8:Q1033)+1,"")</f>
        <v/>
      </c>
    </row>
    <row r="1035" spans="1:17" x14ac:dyDescent="0.3">
      <c r="A1035" s="3">
        <v>41705</v>
      </c>
      <c r="B1035" s="9">
        <v>11.056103</v>
      </c>
      <c r="C1035" s="9">
        <v>8.8596529999999998</v>
      </c>
      <c r="E1035" s="14">
        <f t="shared" si="116"/>
        <v>1.2479160301199157</v>
      </c>
      <c r="F1035" s="18">
        <f t="shared" ca="1" si="115"/>
        <v>-1.4901996475089656</v>
      </c>
      <c r="G1035" s="15">
        <f t="shared" ca="1" si="113"/>
        <v>1.3098103009157518</v>
      </c>
      <c r="H1035" s="15">
        <f t="shared" ca="1" si="114"/>
        <v>4.1534213821147553E-2</v>
      </c>
      <c r="J1035" s="17">
        <f t="shared" ca="1" si="117"/>
        <v>0</v>
      </c>
      <c r="K1035" s="24">
        <f t="shared" ca="1" si="118"/>
        <v>-1</v>
      </c>
      <c r="L1035" s="17">
        <f t="shared" ca="1" si="119"/>
        <v>-1</v>
      </c>
      <c r="N1035" s="24" t="str">
        <f ca="1">IF(AND(L1035=1,L1034&lt;&gt;1),MAX($N$8:N1034)+1,"")</f>
        <v/>
      </c>
      <c r="O1035" s="24" t="str">
        <f ca="1">IF(AND(L1035&lt;&gt;1,L1034=1),MAX($O$8:O1034)+1,"")</f>
        <v/>
      </c>
      <c r="P1035" s="17" t="str">
        <f ca="1">IF(AND(L1035=-1,L1034&lt;&gt;-1),MAX($P$8:P1034)+1,"")</f>
        <v/>
      </c>
      <c r="Q1035" s="24" t="str">
        <f ca="1">IF(AND(L1035&lt;&gt;-1,L1034=-1),MAX($Q$8:Q1034)+1,"")</f>
        <v/>
      </c>
    </row>
    <row r="1036" spans="1:17" x14ac:dyDescent="0.3">
      <c r="A1036" s="3">
        <v>41708</v>
      </c>
      <c r="B1036" s="9">
        <v>10.913247999999999</v>
      </c>
      <c r="C1036" s="9">
        <v>8.6480630000000005</v>
      </c>
      <c r="E1036" s="14">
        <f t="shared" si="116"/>
        <v>1.2619297523618871</v>
      </c>
      <c r="F1036" s="18">
        <f t="shared" ca="1" si="115"/>
        <v>-1.0675745486091841</v>
      </c>
      <c r="G1036" s="15">
        <f t="shared" ca="1" si="113"/>
        <v>1.3045698841148081</v>
      </c>
      <c r="H1036" s="15">
        <f t="shared" ca="1" si="114"/>
        <v>3.9941128053747423E-2</v>
      </c>
      <c r="J1036" s="17">
        <f t="shared" ca="1" si="117"/>
        <v>0</v>
      </c>
      <c r="K1036" s="24">
        <f t="shared" ca="1" si="118"/>
        <v>-1</v>
      </c>
      <c r="L1036" s="17">
        <f t="shared" ca="1" si="119"/>
        <v>-1</v>
      </c>
      <c r="N1036" s="24" t="str">
        <f ca="1">IF(AND(L1036=1,L1035&lt;&gt;1),MAX($N$8:N1035)+1,"")</f>
        <v/>
      </c>
      <c r="O1036" s="24" t="str">
        <f ca="1">IF(AND(L1036&lt;&gt;1,L1035=1),MAX($O$8:O1035)+1,"")</f>
        <v/>
      </c>
      <c r="P1036" s="17" t="str">
        <f ca="1">IF(AND(L1036=-1,L1035&lt;&gt;-1),MAX($P$8:P1035)+1,"")</f>
        <v/>
      </c>
      <c r="Q1036" s="24" t="str">
        <f ca="1">IF(AND(L1036&lt;&gt;-1,L1035=-1),MAX($Q$8:Q1035)+1,"")</f>
        <v/>
      </c>
    </row>
    <row r="1037" spans="1:17" x14ac:dyDescent="0.3">
      <c r="A1037" s="3">
        <v>41709</v>
      </c>
      <c r="B1037" s="9">
        <v>11.031138</v>
      </c>
      <c r="C1037" s="9">
        <v>8.6897540000000006</v>
      </c>
      <c r="E1037" s="14">
        <f t="shared" si="116"/>
        <v>1.2694419197597537</v>
      </c>
      <c r="F1037" s="18">
        <f t="shared" ca="1" si="115"/>
        <v>-0.81092709772896965</v>
      </c>
      <c r="G1037" s="15">
        <f t="shared" ca="1" si="113"/>
        <v>1.2997046552213407</v>
      </c>
      <c r="H1037" s="15">
        <f t="shared" ca="1" si="114"/>
        <v>3.7318688136503082E-2</v>
      </c>
      <c r="J1037" s="17">
        <f t="shared" ca="1" si="117"/>
        <v>0</v>
      </c>
      <c r="K1037" s="24">
        <f t="shared" ca="1" si="118"/>
        <v>-1</v>
      </c>
      <c r="L1037" s="17">
        <f t="shared" ca="1" si="119"/>
        <v>-1</v>
      </c>
      <c r="N1037" s="24" t="str">
        <f ca="1">IF(AND(L1037=1,L1036&lt;&gt;1),MAX($N$8:N1036)+1,"")</f>
        <v/>
      </c>
      <c r="O1037" s="24" t="str">
        <f ca="1">IF(AND(L1037&lt;&gt;1,L1036=1),MAX($O$8:O1036)+1,"")</f>
        <v/>
      </c>
      <c r="P1037" s="17" t="str">
        <f ca="1">IF(AND(L1037=-1,L1036&lt;&gt;-1),MAX($P$8:P1036)+1,"")</f>
        <v/>
      </c>
      <c r="Q1037" s="24" t="str">
        <f ca="1">IF(AND(L1037&lt;&gt;-1,L1036=-1),MAX($Q$8:Q1036)+1,"")</f>
        <v/>
      </c>
    </row>
    <row r="1038" spans="1:17" x14ac:dyDescent="0.3">
      <c r="A1038" s="3">
        <v>41710</v>
      </c>
      <c r="B1038" s="9">
        <v>10.895351</v>
      </c>
      <c r="C1038" s="9">
        <v>8.7442279999999997</v>
      </c>
      <c r="E1038" s="14">
        <f t="shared" si="116"/>
        <v>1.2460049074658164</v>
      </c>
      <c r="F1038" s="18">
        <f t="shared" ca="1" si="115"/>
        <v>-1.3712761275151015</v>
      </c>
      <c r="G1038" s="15">
        <f t="shared" ca="1" si="113"/>
        <v>1.2937123884415309</v>
      </c>
      <c r="H1038" s="15">
        <f t="shared" ca="1" si="114"/>
        <v>3.4790572094451591E-2</v>
      </c>
      <c r="J1038" s="17">
        <f t="shared" ca="1" si="117"/>
        <v>0</v>
      </c>
      <c r="K1038" s="24">
        <f t="shared" ca="1" si="118"/>
        <v>-1</v>
      </c>
      <c r="L1038" s="17">
        <f t="shared" ca="1" si="119"/>
        <v>-1</v>
      </c>
      <c r="N1038" s="24" t="str">
        <f ca="1">IF(AND(L1038=1,L1037&lt;&gt;1),MAX($N$8:N1037)+1,"")</f>
        <v/>
      </c>
      <c r="O1038" s="24" t="str">
        <f ca="1">IF(AND(L1038&lt;&gt;1,L1037=1),MAX($O$8:O1037)+1,"")</f>
        <v/>
      </c>
      <c r="P1038" s="17" t="str">
        <f ca="1">IF(AND(L1038=-1,L1037&lt;&gt;-1),MAX($P$8:P1037)+1,"")</f>
        <v/>
      </c>
      <c r="Q1038" s="24" t="str">
        <f ca="1">IF(AND(L1038&lt;&gt;-1,L1037=-1),MAX($Q$8:Q1037)+1,"")</f>
        <v/>
      </c>
    </row>
    <row r="1039" spans="1:17" x14ac:dyDescent="0.3">
      <c r="A1039" s="3">
        <v>41711</v>
      </c>
      <c r="B1039" s="9">
        <v>10.748924000000001</v>
      </c>
      <c r="C1039" s="9">
        <v>8.5583209999999994</v>
      </c>
      <c r="E1039" s="14">
        <f t="shared" si="116"/>
        <v>1.2559617710062525</v>
      </c>
      <c r="F1039" s="18">
        <f t="shared" ca="1" si="115"/>
        <v>-1.0139885879784665</v>
      </c>
      <c r="G1039" s="15">
        <f t="shared" ca="1" si="113"/>
        <v>1.2890825427233841</v>
      </c>
      <c r="H1039" s="15">
        <f t="shared" ca="1" si="114"/>
        <v>3.2663850569721535E-2</v>
      </c>
      <c r="J1039" s="17">
        <f t="shared" ca="1" si="117"/>
        <v>0</v>
      </c>
      <c r="K1039" s="24">
        <f t="shared" ca="1" si="118"/>
        <v>-1</v>
      </c>
      <c r="L1039" s="17">
        <f t="shared" ca="1" si="119"/>
        <v>-1</v>
      </c>
      <c r="N1039" s="24" t="str">
        <f ca="1">IF(AND(L1039=1,L1038&lt;&gt;1),MAX($N$8:N1038)+1,"")</f>
        <v/>
      </c>
      <c r="O1039" s="24" t="str">
        <f ca="1">IF(AND(L1039&lt;&gt;1,L1038=1),MAX($O$8:O1038)+1,"")</f>
        <v/>
      </c>
      <c r="P1039" s="17" t="str">
        <f ca="1">IF(AND(L1039=-1,L1038&lt;&gt;-1),MAX($P$8:P1038)+1,"")</f>
        <v/>
      </c>
      <c r="Q1039" s="24" t="str">
        <f ca="1">IF(AND(L1039&lt;&gt;-1,L1038=-1),MAX($Q$8:Q1038)+1,"")</f>
        <v/>
      </c>
    </row>
    <row r="1040" spans="1:17" x14ac:dyDescent="0.3">
      <c r="A1040" s="3">
        <v>41712</v>
      </c>
      <c r="B1040" s="9">
        <v>10.463149</v>
      </c>
      <c r="C1040" s="9">
        <v>8.4525539999999992</v>
      </c>
      <c r="E1040" s="14">
        <f t="shared" si="116"/>
        <v>1.2378683413320992</v>
      </c>
      <c r="F1040" s="18">
        <f t="shared" ca="1" si="115"/>
        <v>-1.6147338801612239</v>
      </c>
      <c r="G1040" s="15">
        <f t="shared" ca="1" si="113"/>
        <v>1.2826187853755107</v>
      </c>
      <c r="H1040" s="15">
        <f t="shared" ca="1" si="114"/>
        <v>2.771381996328913E-2</v>
      </c>
      <c r="J1040" s="17">
        <f t="shared" ca="1" si="117"/>
        <v>0</v>
      </c>
      <c r="K1040" s="24">
        <f t="shared" ca="1" si="118"/>
        <v>-1</v>
      </c>
      <c r="L1040" s="17">
        <f t="shared" ca="1" si="119"/>
        <v>-1</v>
      </c>
      <c r="N1040" s="24" t="str">
        <f ca="1">IF(AND(L1040=1,L1039&lt;&gt;1),MAX($N$8:N1039)+1,"")</f>
        <v/>
      </c>
      <c r="O1040" s="24" t="str">
        <f ca="1">IF(AND(L1040&lt;&gt;1,L1039=1),MAX($O$8:O1039)+1,"")</f>
        <v/>
      </c>
      <c r="P1040" s="17" t="str">
        <f ca="1">IF(AND(L1040=-1,L1039&lt;&gt;-1),MAX($P$8:P1039)+1,"")</f>
        <v/>
      </c>
      <c r="Q1040" s="24" t="str">
        <f ca="1">IF(AND(L1040&lt;&gt;-1,L1039=-1),MAX($Q$8:Q1039)+1,"")</f>
        <v/>
      </c>
    </row>
    <row r="1041" spans="1:17" x14ac:dyDescent="0.3">
      <c r="A1041" s="3">
        <v>41715</v>
      </c>
      <c r="B1041" s="9">
        <v>10.681027</v>
      </c>
      <c r="C1041" s="9">
        <v>8.6320460000000008</v>
      </c>
      <c r="E1041" s="14">
        <f t="shared" si="116"/>
        <v>1.2373691011377834</v>
      </c>
      <c r="F1041" s="18">
        <f t="shared" ca="1" si="115"/>
        <v>-1.5239918684011369</v>
      </c>
      <c r="G1041" s="15">
        <f t="shared" ca="1" si="113"/>
        <v>1.2781865535514048</v>
      </c>
      <c r="H1041" s="15">
        <f t="shared" ca="1" si="114"/>
        <v>2.6783248165519469E-2</v>
      </c>
      <c r="J1041" s="17">
        <f t="shared" ca="1" si="117"/>
        <v>0</v>
      </c>
      <c r="K1041" s="24">
        <f t="shared" ca="1" si="118"/>
        <v>-1</v>
      </c>
      <c r="L1041" s="17">
        <f t="shared" ca="1" si="119"/>
        <v>-1</v>
      </c>
      <c r="N1041" s="24" t="str">
        <f ca="1">IF(AND(L1041=1,L1040&lt;&gt;1),MAX($N$8:N1040)+1,"")</f>
        <v/>
      </c>
      <c r="O1041" s="24" t="str">
        <f ca="1">IF(AND(L1041&lt;&gt;1,L1040=1),MAX($O$8:O1040)+1,"")</f>
        <v/>
      </c>
      <c r="P1041" s="17" t="str">
        <f ca="1">IF(AND(L1041=-1,L1040&lt;&gt;-1),MAX($P$8:P1040)+1,"")</f>
        <v/>
      </c>
      <c r="Q1041" s="24" t="str">
        <f ca="1">IF(AND(L1041&lt;&gt;-1,L1040=-1),MAX($Q$8:Q1040)+1,"")</f>
        <v/>
      </c>
    </row>
    <row r="1042" spans="1:17" x14ac:dyDescent="0.3">
      <c r="A1042" s="3">
        <v>41716</v>
      </c>
      <c r="B1042" s="9">
        <v>10.881083</v>
      </c>
      <c r="C1042" s="9">
        <v>8.7346229999999991</v>
      </c>
      <c r="E1042" s="14">
        <f t="shared" si="116"/>
        <v>1.2457415735058057</v>
      </c>
      <c r="F1042" s="18">
        <f t="shared" ca="1" si="115"/>
        <v>-1.133907268203757</v>
      </c>
      <c r="G1042" s="15">
        <f t="shared" ca="1" si="113"/>
        <v>1.2744878170774405</v>
      </c>
      <c r="H1042" s="15">
        <f t="shared" ca="1" si="114"/>
        <v>2.5351494233891141E-2</v>
      </c>
      <c r="J1042" s="17">
        <f t="shared" ca="1" si="117"/>
        <v>0</v>
      </c>
      <c r="K1042" s="24">
        <f t="shared" ca="1" si="118"/>
        <v>-1</v>
      </c>
      <c r="L1042" s="17">
        <f t="shared" ca="1" si="119"/>
        <v>-1</v>
      </c>
      <c r="N1042" s="24" t="str">
        <f ca="1">IF(AND(L1042=1,L1041&lt;&gt;1),MAX($N$8:N1041)+1,"")</f>
        <v/>
      </c>
      <c r="O1042" s="24" t="str">
        <f ca="1">IF(AND(L1042&lt;&gt;1,L1041=1),MAX($O$8:O1041)+1,"")</f>
        <v/>
      </c>
      <c r="P1042" s="17" t="str">
        <f ca="1">IF(AND(L1042=-1,L1041&lt;&gt;-1),MAX($P$8:P1041)+1,"")</f>
        <v/>
      </c>
      <c r="Q1042" s="24" t="str">
        <f ca="1">IF(AND(L1042&lt;&gt;-1,L1041=-1),MAX($Q$8:Q1041)+1,"")</f>
        <v/>
      </c>
    </row>
    <row r="1043" spans="1:17" x14ac:dyDescent="0.3">
      <c r="A1043" s="3">
        <v>41717</v>
      </c>
      <c r="B1043" s="9">
        <v>10.931079</v>
      </c>
      <c r="C1043" s="9">
        <v>8.8211969999999997</v>
      </c>
      <c r="E1043" s="14">
        <f t="shared" si="116"/>
        <v>1.2391831856833035</v>
      </c>
      <c r="F1043" s="18">
        <f t="shared" ca="1" si="115"/>
        <v>-1.3164236687250861</v>
      </c>
      <c r="G1043" s="15">
        <f t="shared" ca="1" si="113"/>
        <v>1.270599792200382</v>
      </c>
      <c r="H1043" s="15">
        <f t="shared" ca="1" si="114"/>
        <v>2.3865118246851655E-2</v>
      </c>
      <c r="J1043" s="17">
        <f t="shared" ca="1" si="117"/>
        <v>0</v>
      </c>
      <c r="K1043" s="24">
        <f t="shared" ca="1" si="118"/>
        <v>-1</v>
      </c>
      <c r="L1043" s="17">
        <f t="shared" ca="1" si="119"/>
        <v>-1</v>
      </c>
      <c r="N1043" s="24" t="str">
        <f ca="1">IF(AND(L1043=1,L1042&lt;&gt;1),MAX($N$8:N1042)+1,"")</f>
        <v/>
      </c>
      <c r="O1043" s="24" t="str">
        <f ca="1">IF(AND(L1043&lt;&gt;1,L1042=1),MAX($O$8:O1042)+1,"")</f>
        <v/>
      </c>
      <c r="P1043" s="17" t="str">
        <f ca="1">IF(AND(L1043=-1,L1042&lt;&gt;-1),MAX($P$8:P1042)+1,"")</f>
        <v/>
      </c>
      <c r="Q1043" s="24" t="str">
        <f ca="1">IF(AND(L1043&lt;&gt;-1,L1042=-1),MAX($Q$8:Q1042)+1,"")</f>
        <v/>
      </c>
    </row>
    <row r="1044" spans="1:17" x14ac:dyDescent="0.3">
      <c r="A1044" s="3">
        <v>41718</v>
      </c>
      <c r="B1044" s="9">
        <v>11.159725999999999</v>
      </c>
      <c r="C1044" s="9">
        <v>9.0711700000000004</v>
      </c>
      <c r="E1044" s="14">
        <f t="shared" si="116"/>
        <v>1.2302410824623504</v>
      </c>
      <c r="F1044" s="18">
        <f t="shared" ca="1" si="115"/>
        <v>-1.5962882962116809</v>
      </c>
      <c r="G1044" s="15">
        <f t="shared" ca="1" si="113"/>
        <v>1.2665262893809024</v>
      </c>
      <c r="H1044" s="15">
        <f t="shared" ca="1" si="114"/>
        <v>2.2730986003383098E-2</v>
      </c>
      <c r="J1044" s="17">
        <f t="shared" ca="1" si="117"/>
        <v>0</v>
      </c>
      <c r="K1044" s="24">
        <f t="shared" ca="1" si="118"/>
        <v>-1</v>
      </c>
      <c r="L1044" s="17">
        <f t="shared" ca="1" si="119"/>
        <v>-1</v>
      </c>
      <c r="N1044" s="24" t="str">
        <f ca="1">IF(AND(L1044=1,L1043&lt;&gt;1),MAX($N$8:N1043)+1,"")</f>
        <v/>
      </c>
      <c r="O1044" s="24" t="str">
        <f ca="1">IF(AND(L1044&lt;&gt;1,L1043=1),MAX($O$8:O1043)+1,"")</f>
        <v/>
      </c>
      <c r="P1044" s="17" t="str">
        <f ca="1">IF(AND(L1044=-1,L1043&lt;&gt;-1),MAX($P$8:P1043)+1,"")</f>
        <v/>
      </c>
      <c r="Q1044" s="24" t="str">
        <f ca="1">IF(AND(L1044&lt;&gt;-1,L1043=-1),MAX($Q$8:Q1043)+1,"")</f>
        <v/>
      </c>
    </row>
    <row r="1045" spans="1:17" x14ac:dyDescent="0.3">
      <c r="A1045" s="3">
        <v>41719</v>
      </c>
      <c r="B1045" s="9">
        <v>11.202591999999999</v>
      </c>
      <c r="C1045" s="9">
        <v>9.0551510000000004</v>
      </c>
      <c r="E1045" s="14">
        <f t="shared" si="116"/>
        <v>1.2371513186251668</v>
      </c>
      <c r="F1045" s="18">
        <f t="shared" ca="1" si="115"/>
        <v>-1.2238679247619715</v>
      </c>
      <c r="G1045" s="15">
        <f t="shared" ca="1" si="113"/>
        <v>1.2631243327306554</v>
      </c>
      <c r="H1045" s="15">
        <f t="shared" ca="1" si="114"/>
        <v>2.1222072725322904E-2</v>
      </c>
      <c r="J1045" s="17">
        <f t="shared" ca="1" si="117"/>
        <v>0</v>
      </c>
      <c r="K1045" s="24">
        <f t="shared" ca="1" si="118"/>
        <v>-1</v>
      </c>
      <c r="L1045" s="17">
        <f t="shared" ca="1" si="119"/>
        <v>-1</v>
      </c>
      <c r="N1045" s="24" t="str">
        <f ca="1">IF(AND(L1045=1,L1044&lt;&gt;1),MAX($N$8:N1044)+1,"")</f>
        <v/>
      </c>
      <c r="O1045" s="24" t="str">
        <f ca="1">IF(AND(L1045&lt;&gt;1,L1044=1),MAX($O$8:O1044)+1,"")</f>
        <v/>
      </c>
      <c r="P1045" s="17" t="str">
        <f ca="1">IF(AND(L1045=-1,L1044&lt;&gt;-1),MAX($P$8:P1044)+1,"")</f>
        <v/>
      </c>
      <c r="Q1045" s="24" t="str">
        <f ca="1">IF(AND(L1045&lt;&gt;-1,L1044=-1),MAX($Q$8:Q1044)+1,"")</f>
        <v/>
      </c>
    </row>
    <row r="1046" spans="1:17" x14ac:dyDescent="0.3">
      <c r="A1046" s="3">
        <v>41722</v>
      </c>
      <c r="B1046" s="9">
        <v>11.527670000000001</v>
      </c>
      <c r="C1046" s="9">
        <v>9.3276319999999995</v>
      </c>
      <c r="E1046" s="14">
        <f t="shared" si="116"/>
        <v>1.2358624353962508</v>
      </c>
      <c r="F1046" s="18">
        <f t="shared" ca="1" si="115"/>
        <v>-1.2368734943179114</v>
      </c>
      <c r="G1046" s="15">
        <f t="shared" ca="1" si="113"/>
        <v>1.2597573536431474</v>
      </c>
      <c r="H1046" s="15">
        <f t="shared" ca="1" si="114"/>
        <v>1.9318805323800505E-2</v>
      </c>
      <c r="J1046" s="17">
        <f t="shared" ca="1" si="117"/>
        <v>0</v>
      </c>
      <c r="K1046" s="24">
        <f t="shared" ca="1" si="118"/>
        <v>-1</v>
      </c>
      <c r="L1046" s="17">
        <f t="shared" ca="1" si="119"/>
        <v>-1</v>
      </c>
      <c r="N1046" s="24" t="str">
        <f ca="1">IF(AND(L1046=1,L1045&lt;&gt;1),MAX($N$8:N1045)+1,"")</f>
        <v/>
      </c>
      <c r="O1046" s="24" t="str">
        <f ca="1">IF(AND(L1046&lt;&gt;1,L1045=1),MAX($O$8:O1045)+1,"")</f>
        <v/>
      </c>
      <c r="P1046" s="17" t="str">
        <f ca="1">IF(AND(L1046=-1,L1045&lt;&gt;-1),MAX($P$8:P1045)+1,"")</f>
        <v/>
      </c>
      <c r="Q1046" s="24" t="str">
        <f ca="1">IF(AND(L1046&lt;&gt;-1,L1045=-1),MAX($Q$8:Q1045)+1,"")</f>
        <v/>
      </c>
    </row>
    <row r="1047" spans="1:17" x14ac:dyDescent="0.3">
      <c r="A1047" s="3">
        <v>41723</v>
      </c>
      <c r="B1047" s="9">
        <v>11.591934999999999</v>
      </c>
      <c r="C1047" s="9">
        <v>9.2539020000000001</v>
      </c>
      <c r="E1047" s="14">
        <f t="shared" si="116"/>
        <v>1.2526537454146369</v>
      </c>
      <c r="F1047" s="18">
        <f t="shared" ca="1" si="115"/>
        <v>-0.30096997526293878</v>
      </c>
      <c r="G1047" s="15">
        <f t="shared" ca="1" si="113"/>
        <v>1.2581995403899233</v>
      </c>
      <c r="H1047" s="15">
        <f t="shared" ca="1" si="114"/>
        <v>1.8426406057419461E-2</v>
      </c>
      <c r="J1047" s="17">
        <f t="shared" ca="1" si="117"/>
        <v>0</v>
      </c>
      <c r="K1047" s="24">
        <f t="shared" ca="1" si="118"/>
        <v>-1</v>
      </c>
      <c r="L1047" s="17">
        <f t="shared" ca="1" si="119"/>
        <v>-1</v>
      </c>
      <c r="N1047" s="24" t="str">
        <f ca="1">IF(AND(L1047=1,L1046&lt;&gt;1),MAX($N$8:N1046)+1,"")</f>
        <v/>
      </c>
      <c r="O1047" s="24" t="str">
        <f ca="1">IF(AND(L1047&lt;&gt;1,L1046=1),MAX($O$8:O1046)+1,"")</f>
        <v/>
      </c>
      <c r="P1047" s="17" t="str">
        <f ca="1">IF(AND(L1047=-1,L1046&lt;&gt;-1),MAX($P$8:P1046)+1,"")</f>
        <v/>
      </c>
      <c r="Q1047" s="24" t="str">
        <f ca="1">IF(AND(L1047&lt;&gt;-1,L1046=-1),MAX($Q$8:Q1046)+1,"")</f>
        <v/>
      </c>
    </row>
    <row r="1048" spans="1:17" x14ac:dyDescent="0.3">
      <c r="A1048" s="3">
        <v>41724</v>
      </c>
      <c r="B1048" s="9">
        <v>11.691992000000001</v>
      </c>
      <c r="C1048" s="9">
        <v>9.4590080000000007</v>
      </c>
      <c r="E1048" s="14">
        <f t="shared" si="116"/>
        <v>1.2360695751605242</v>
      </c>
      <c r="F1048" s="18">
        <f t="shared" ca="1" si="115"/>
        <v>-1.1444988096859856</v>
      </c>
      <c r="G1048" s="15">
        <f t="shared" ca="1" si="113"/>
        <v>1.2554386099560049</v>
      </c>
      <c r="H1048" s="15">
        <f t="shared" ca="1" si="114"/>
        <v>1.6923595403996045E-2</v>
      </c>
      <c r="J1048" s="17">
        <f t="shared" ca="1" si="117"/>
        <v>0</v>
      </c>
      <c r="K1048" s="24">
        <f t="shared" ca="1" si="118"/>
        <v>-1</v>
      </c>
      <c r="L1048" s="17">
        <f t="shared" ca="1" si="119"/>
        <v>-1</v>
      </c>
      <c r="N1048" s="24" t="str">
        <f ca="1">IF(AND(L1048=1,L1047&lt;&gt;1),MAX($N$8:N1047)+1,"")</f>
        <v/>
      </c>
      <c r="O1048" s="24" t="str">
        <f ca="1">IF(AND(L1048&lt;&gt;1,L1047=1),MAX($O$8:O1047)+1,"")</f>
        <v/>
      </c>
      <c r="P1048" s="17" t="str">
        <f ca="1">IF(AND(L1048=-1,L1047&lt;&gt;-1),MAX($P$8:P1047)+1,"")</f>
        <v/>
      </c>
      <c r="Q1048" s="24" t="str">
        <f ca="1">IF(AND(L1048&lt;&gt;-1,L1047=-1),MAX($Q$8:Q1047)+1,"")</f>
        <v/>
      </c>
    </row>
    <row r="1049" spans="1:17" x14ac:dyDescent="0.3">
      <c r="A1049" s="3">
        <v>41725</v>
      </c>
      <c r="B1049" s="9">
        <v>11.945601</v>
      </c>
      <c r="C1049" s="9">
        <v>9.8180530000000008</v>
      </c>
      <c r="E1049" s="14">
        <f t="shared" si="116"/>
        <v>1.2166975468557768</v>
      </c>
      <c r="F1049" s="18">
        <f t="shared" ca="1" si="115"/>
        <v>-1.9763633292344791</v>
      </c>
      <c r="G1049" s="15">
        <f t="shared" ca="1" si="113"/>
        <v>1.252932913926003</v>
      </c>
      <c r="H1049" s="15">
        <f t="shared" ca="1" si="114"/>
        <v>1.8334365212221163E-2</v>
      </c>
      <c r="J1049" s="17">
        <f t="shared" ca="1" si="117"/>
        <v>0</v>
      </c>
      <c r="K1049" s="24">
        <f t="shared" ca="1" si="118"/>
        <v>-1</v>
      </c>
      <c r="L1049" s="17">
        <f t="shared" ca="1" si="119"/>
        <v>-1</v>
      </c>
      <c r="N1049" s="24" t="str">
        <f ca="1">IF(AND(L1049=1,L1048&lt;&gt;1),MAX($N$8:N1048)+1,"")</f>
        <v/>
      </c>
      <c r="O1049" s="24" t="str">
        <f ca="1">IF(AND(L1049&lt;&gt;1,L1048=1),MAX($O$8:O1048)+1,"")</f>
        <v/>
      </c>
      <c r="P1049" s="17" t="str">
        <f ca="1">IF(AND(L1049=-1,L1048&lt;&gt;-1),MAX($P$8:P1048)+1,"")</f>
        <v/>
      </c>
      <c r="Q1049" s="24" t="str">
        <f ca="1">IF(AND(L1049&lt;&gt;-1,L1048=-1),MAX($Q$8:Q1048)+1,"")</f>
        <v/>
      </c>
    </row>
    <row r="1050" spans="1:17" x14ac:dyDescent="0.3">
      <c r="A1050" s="3">
        <v>41726</v>
      </c>
      <c r="B1050" s="9">
        <v>11.874141</v>
      </c>
      <c r="C1050" s="9">
        <v>9.8404889999999998</v>
      </c>
      <c r="E1050" s="14">
        <f t="shared" si="116"/>
        <v>1.2066616811420652</v>
      </c>
      <c r="F1050" s="18">
        <f t="shared" ca="1" si="115"/>
        <v>-2.1277678746547437</v>
      </c>
      <c r="G1050" s="15">
        <f t="shared" ca="1" si="113"/>
        <v>1.2503294801721887</v>
      </c>
      <c r="H1050" s="15">
        <f t="shared" ca="1" si="114"/>
        <v>2.0522820910250445E-2</v>
      </c>
      <c r="J1050" s="17">
        <f t="shared" ca="1" si="117"/>
        <v>0</v>
      </c>
      <c r="K1050" s="24">
        <f t="shared" ca="1" si="118"/>
        <v>-1</v>
      </c>
      <c r="L1050" s="17">
        <f t="shared" ca="1" si="119"/>
        <v>-1</v>
      </c>
      <c r="N1050" s="24" t="str">
        <f ca="1">IF(AND(L1050=1,L1049&lt;&gt;1),MAX($N$8:N1049)+1,"")</f>
        <v/>
      </c>
      <c r="O1050" s="24" t="str">
        <f ca="1">IF(AND(L1050&lt;&gt;1,L1049=1),MAX($O$8:O1049)+1,"")</f>
        <v/>
      </c>
      <c r="P1050" s="17" t="str">
        <f ca="1">IF(AND(L1050=-1,L1049&lt;&gt;-1),MAX($P$8:P1049)+1,"")</f>
        <v/>
      </c>
      <c r="Q1050" s="24" t="str">
        <f ca="1">IF(AND(L1050&lt;&gt;-1,L1049=-1),MAX($Q$8:Q1049)+1,"")</f>
        <v/>
      </c>
    </row>
    <row r="1051" spans="1:17" x14ac:dyDescent="0.3">
      <c r="A1051" s="3">
        <v>41729</v>
      </c>
      <c r="B1051" s="9">
        <v>12.102796</v>
      </c>
      <c r="C1051" s="9">
        <v>9.9975439999999995</v>
      </c>
      <c r="E1051" s="14">
        <f t="shared" si="116"/>
        <v>1.2105769176909849</v>
      </c>
      <c r="F1051" s="18">
        <f t="shared" ca="1" si="115"/>
        <v>-1.7615028988469301</v>
      </c>
      <c r="G1051" s="15">
        <f t="shared" ca="1" si="113"/>
        <v>1.2469345823847784</v>
      </c>
      <c r="H1051" s="15">
        <f t="shared" ca="1" si="114"/>
        <v>2.0640139007204052E-2</v>
      </c>
      <c r="J1051" s="17">
        <f t="shared" ca="1" si="117"/>
        <v>0</v>
      </c>
      <c r="K1051" s="24">
        <f t="shared" ca="1" si="118"/>
        <v>-1</v>
      </c>
      <c r="L1051" s="17">
        <f t="shared" ca="1" si="119"/>
        <v>-1</v>
      </c>
      <c r="N1051" s="24" t="str">
        <f ca="1">IF(AND(L1051=1,L1050&lt;&gt;1),MAX($N$8:N1050)+1,"")</f>
        <v/>
      </c>
      <c r="O1051" s="24" t="str">
        <f ca="1">IF(AND(L1051&lt;&gt;1,L1050=1),MAX($O$8:O1050)+1,"")</f>
        <v/>
      </c>
      <c r="P1051" s="17" t="str">
        <f ca="1">IF(AND(L1051=-1,L1050&lt;&gt;-1),MAX($P$8:P1050)+1,"")</f>
        <v/>
      </c>
      <c r="Q1051" s="24" t="str">
        <f ca="1">IF(AND(L1051&lt;&gt;-1,L1050=-1),MAX($Q$8:Q1050)+1,"")</f>
        <v/>
      </c>
    </row>
    <row r="1052" spans="1:17" x14ac:dyDescent="0.3">
      <c r="A1052" s="3">
        <v>41730</v>
      </c>
      <c r="B1052" s="9">
        <v>12.210012000000001</v>
      </c>
      <c r="C1052" s="9">
        <v>10.096885</v>
      </c>
      <c r="E1052" s="14">
        <f t="shared" si="116"/>
        <v>1.2092850418718248</v>
      </c>
      <c r="F1052" s="18">
        <f t="shared" ca="1" si="115"/>
        <v>-1.679089876120714</v>
      </c>
      <c r="G1052" s="15">
        <f t="shared" ca="1" si="113"/>
        <v>1.2435330552526185</v>
      </c>
      <c r="H1052" s="15">
        <f t="shared" ca="1" si="114"/>
        <v>2.0396772005986094E-2</v>
      </c>
      <c r="J1052" s="17">
        <f t="shared" ca="1" si="117"/>
        <v>0</v>
      </c>
      <c r="K1052" s="24">
        <f t="shared" ca="1" si="118"/>
        <v>-1</v>
      </c>
      <c r="L1052" s="17">
        <f t="shared" ca="1" si="119"/>
        <v>-1</v>
      </c>
      <c r="N1052" s="24" t="str">
        <f ca="1">IF(AND(L1052=1,L1051&lt;&gt;1),MAX($N$8:N1051)+1,"")</f>
        <v/>
      </c>
      <c r="O1052" s="24" t="str">
        <f ca="1">IF(AND(L1052&lt;&gt;1,L1051=1),MAX($O$8:O1051)+1,"")</f>
        <v/>
      </c>
      <c r="P1052" s="17" t="str">
        <f ca="1">IF(AND(L1052=-1,L1051&lt;&gt;-1),MAX($P$8:P1051)+1,"")</f>
        <v/>
      </c>
      <c r="Q1052" s="24" t="str">
        <f ca="1">IF(AND(L1052&lt;&gt;-1,L1051=-1),MAX($Q$8:Q1051)+1,"")</f>
        <v/>
      </c>
    </row>
    <row r="1053" spans="1:17" x14ac:dyDescent="0.3">
      <c r="A1053" s="3">
        <v>41731</v>
      </c>
      <c r="B1053" s="9">
        <v>12.603331000000001</v>
      </c>
      <c r="C1053" s="9">
        <v>10.367706</v>
      </c>
      <c r="E1053" s="14">
        <f t="shared" si="116"/>
        <v>1.2156335258735154</v>
      </c>
      <c r="F1053" s="18">
        <f t="shared" ca="1" si="115"/>
        <v>-1.2696153950253408</v>
      </c>
      <c r="G1053" s="15">
        <f t="shared" ca="1" si="113"/>
        <v>1.2407067682575865</v>
      </c>
      <c r="H1053" s="15">
        <f t="shared" ca="1" si="114"/>
        <v>1.9748691203898574E-2</v>
      </c>
      <c r="J1053" s="17">
        <f t="shared" ca="1" si="117"/>
        <v>0</v>
      </c>
      <c r="K1053" s="24">
        <f t="shared" ca="1" si="118"/>
        <v>-1</v>
      </c>
      <c r="L1053" s="17">
        <f t="shared" ca="1" si="119"/>
        <v>-1</v>
      </c>
      <c r="N1053" s="24" t="str">
        <f ca="1">IF(AND(L1053=1,L1052&lt;&gt;1),MAX($N$8:N1052)+1,"")</f>
        <v/>
      </c>
      <c r="O1053" s="24" t="str">
        <f ca="1">IF(AND(L1053&lt;&gt;1,L1052=1),MAX($O$8:O1052)+1,"")</f>
        <v/>
      </c>
      <c r="P1053" s="17" t="str">
        <f ca="1">IF(AND(L1053=-1,L1052&lt;&gt;-1),MAX($P$8:P1052)+1,"")</f>
        <v/>
      </c>
      <c r="Q1053" s="24" t="str">
        <f ca="1">IF(AND(L1053&lt;&gt;-1,L1052=-1),MAX($Q$8:Q1052)+1,"")</f>
        <v/>
      </c>
    </row>
    <row r="1054" spans="1:17" x14ac:dyDescent="0.3">
      <c r="A1054" s="3">
        <v>41732</v>
      </c>
      <c r="B1054" s="9">
        <v>12.456716</v>
      </c>
      <c r="C1054" s="9">
        <v>10.313103</v>
      </c>
      <c r="E1054" s="14">
        <f t="shared" si="116"/>
        <v>1.2078533492780981</v>
      </c>
      <c r="F1054" s="18">
        <f t="shared" ca="1" si="115"/>
        <v>-1.5338247150595914</v>
      </c>
      <c r="G1054" s="15">
        <f t="shared" ca="1" si="113"/>
        <v>1.2376792650454449</v>
      </c>
      <c r="H1054" s="15">
        <f t="shared" ca="1" si="114"/>
        <v>1.9445452583014385E-2</v>
      </c>
      <c r="J1054" s="17">
        <f t="shared" ca="1" si="117"/>
        <v>0</v>
      </c>
      <c r="K1054" s="24">
        <f t="shared" ca="1" si="118"/>
        <v>-1</v>
      </c>
      <c r="L1054" s="17">
        <f t="shared" ca="1" si="119"/>
        <v>-1</v>
      </c>
      <c r="N1054" s="24" t="str">
        <f ca="1">IF(AND(L1054=1,L1053&lt;&gt;1),MAX($N$8:N1053)+1,"")</f>
        <v/>
      </c>
      <c r="O1054" s="24" t="str">
        <f ca="1">IF(AND(L1054&lt;&gt;1,L1053=1),MAX($O$8:O1053)+1,"")</f>
        <v/>
      </c>
      <c r="P1054" s="17" t="str">
        <f ca="1">IF(AND(L1054=-1,L1053&lt;&gt;-1),MAX($P$8:P1053)+1,"")</f>
        <v/>
      </c>
      <c r="Q1054" s="24" t="str">
        <f ca="1">IF(AND(L1054&lt;&gt;-1,L1053=-1),MAX($Q$8:Q1053)+1,"")</f>
        <v/>
      </c>
    </row>
    <row r="1055" spans="1:17" x14ac:dyDescent="0.3">
      <c r="A1055" s="3">
        <v>41733</v>
      </c>
      <c r="B1055" s="9">
        <v>12.277967</v>
      </c>
      <c r="C1055" s="9">
        <v>10.191148</v>
      </c>
      <c r="E1055" s="14">
        <f t="shared" si="116"/>
        <v>1.2047678043729715</v>
      </c>
      <c r="F1055" s="18">
        <f t="shared" ca="1" si="115"/>
        <v>-1.563259648856324</v>
      </c>
      <c r="G1055" s="15">
        <f t="shared" ref="G1055:G1118" ca="1" si="120">IF(ISNUMBER(E1055),IF(ROW(E1055)&gt;$J$1,AVERAGE(OFFSET(E1055,0,0,-$J$1)),""),"")</f>
        <v>1.2346284698956018</v>
      </c>
      <c r="H1055" s="15">
        <f t="shared" ref="H1055:H1118" ca="1" si="121">IF(ISNUMBER(E1055),IF(ROW(E1055)&gt;$J$1,_xlfn.STDEV.P(OFFSET(E1055,0,0,-$J$1)),""),"")</f>
        <v>1.910153923852401E-2</v>
      </c>
      <c r="J1055" s="17">
        <f t="shared" ca="1" si="117"/>
        <v>0</v>
      </c>
      <c r="K1055" s="24">
        <f t="shared" ca="1" si="118"/>
        <v>-1</v>
      </c>
      <c r="L1055" s="17">
        <f t="shared" ca="1" si="119"/>
        <v>-1</v>
      </c>
      <c r="N1055" s="24" t="str">
        <f ca="1">IF(AND(L1055=1,L1054&lt;&gt;1),MAX($N$8:N1054)+1,"")</f>
        <v/>
      </c>
      <c r="O1055" s="24" t="str">
        <f ca="1">IF(AND(L1055&lt;&gt;1,L1054=1),MAX($O$8:O1054)+1,"")</f>
        <v/>
      </c>
      <c r="P1055" s="17" t="str">
        <f ca="1">IF(AND(L1055=-1,L1054&lt;&gt;-1),MAX($P$8:P1054)+1,"")</f>
        <v/>
      </c>
      <c r="Q1055" s="24" t="str">
        <f ca="1">IF(AND(L1055&lt;&gt;-1,L1054=-1),MAX($Q$8:Q1054)+1,"")</f>
        <v/>
      </c>
    </row>
    <row r="1056" spans="1:17" x14ac:dyDescent="0.3">
      <c r="A1056" s="3">
        <v>41736</v>
      </c>
      <c r="B1056" s="9">
        <v>12.556858</v>
      </c>
      <c r="C1056" s="9">
        <v>10.601993</v>
      </c>
      <c r="E1056" s="14">
        <f t="shared" si="116"/>
        <v>1.1843865582631492</v>
      </c>
      <c r="F1056" s="18">
        <f t="shared" ca="1" si="115"/>
        <v>-2.2226626511708871</v>
      </c>
      <c r="G1056" s="15">
        <f t="shared" ca="1" si="120"/>
        <v>1.2313298711263605</v>
      </c>
      <c r="H1056" s="15">
        <f t="shared" ca="1" si="121"/>
        <v>2.1120304891289642E-2</v>
      </c>
      <c r="J1056" s="17">
        <f t="shared" ca="1" si="117"/>
        <v>0</v>
      </c>
      <c r="K1056" s="24">
        <f t="shared" ca="1" si="118"/>
        <v>-1</v>
      </c>
      <c r="L1056" s="17">
        <f t="shared" ca="1" si="119"/>
        <v>-1</v>
      </c>
      <c r="N1056" s="24" t="str">
        <f ca="1">IF(AND(L1056=1,L1055&lt;&gt;1),MAX($N$8:N1055)+1,"")</f>
        <v/>
      </c>
      <c r="O1056" s="24" t="str">
        <f ca="1">IF(AND(L1056&lt;&gt;1,L1055=1),MAX($O$8:O1055)+1,"")</f>
        <v/>
      </c>
      <c r="P1056" s="17" t="str">
        <f ca="1">IF(AND(L1056=-1,L1055&lt;&gt;-1),MAX($P$8:P1055)+1,"")</f>
        <v/>
      </c>
      <c r="Q1056" s="24" t="str">
        <f ca="1">IF(AND(L1056&lt;&gt;-1,L1055=-1),MAX($Q$8:Q1055)+1,"")</f>
        <v/>
      </c>
    </row>
    <row r="1057" spans="1:17" x14ac:dyDescent="0.3">
      <c r="A1057" s="3">
        <v>41737</v>
      </c>
      <c r="B1057" s="9">
        <v>12.374475</v>
      </c>
      <c r="C1057" s="9">
        <v>10.393357</v>
      </c>
      <c r="E1057" s="14">
        <f t="shared" si="116"/>
        <v>1.190613869994074</v>
      </c>
      <c r="F1057" s="18">
        <f t="shared" ca="1" si="115"/>
        <v>-1.7007682673977012</v>
      </c>
      <c r="G1057" s="15">
        <f t="shared" ca="1" si="120"/>
        <v>1.228725227484277</v>
      </c>
      <c r="H1057" s="15">
        <f t="shared" ca="1" si="121"/>
        <v>2.240831877026736E-2</v>
      </c>
      <c r="J1057" s="17">
        <f t="shared" ca="1" si="117"/>
        <v>0</v>
      </c>
      <c r="K1057" s="24">
        <f t="shared" ca="1" si="118"/>
        <v>-1</v>
      </c>
      <c r="L1057" s="17">
        <f t="shared" ca="1" si="119"/>
        <v>-1</v>
      </c>
      <c r="N1057" s="24" t="str">
        <f ca="1">IF(AND(L1057=1,L1056&lt;&gt;1),MAX($N$8:N1056)+1,"")</f>
        <v/>
      </c>
      <c r="O1057" s="24" t="str">
        <f ca="1">IF(AND(L1057&lt;&gt;1,L1056=1),MAX($O$8:O1056)+1,"")</f>
        <v/>
      </c>
      <c r="P1057" s="17" t="str">
        <f ca="1">IF(AND(L1057=-1,L1056&lt;&gt;-1),MAX($P$8:P1056)+1,"")</f>
        <v/>
      </c>
      <c r="Q1057" s="24" t="str">
        <f ca="1">IF(AND(L1057&lt;&gt;-1,L1056=-1),MAX($Q$8:Q1056)+1,"")</f>
        <v/>
      </c>
    </row>
    <row r="1058" spans="1:17" x14ac:dyDescent="0.3">
      <c r="A1058" s="3">
        <v>41738</v>
      </c>
      <c r="B1058" s="9">
        <v>12.210012000000001</v>
      </c>
      <c r="C1058" s="9">
        <v>10.306736000000001</v>
      </c>
      <c r="E1058" s="14">
        <f t="shared" si="116"/>
        <v>1.1846633114499101</v>
      </c>
      <c r="F1058" s="18">
        <f t="shared" ca="1" si="115"/>
        <v>-1.7648204285473419</v>
      </c>
      <c r="G1058" s="15">
        <f t="shared" ca="1" si="120"/>
        <v>1.2252131165337325</v>
      </c>
      <c r="H1058" s="15">
        <f t="shared" ca="1" si="121"/>
        <v>2.2976731472447755E-2</v>
      </c>
      <c r="J1058" s="17">
        <f t="shared" ca="1" si="117"/>
        <v>0</v>
      </c>
      <c r="K1058" s="24">
        <f t="shared" ca="1" si="118"/>
        <v>-1</v>
      </c>
      <c r="L1058" s="17">
        <f t="shared" ca="1" si="119"/>
        <v>-1</v>
      </c>
      <c r="N1058" s="24" t="str">
        <f ca="1">IF(AND(L1058=1,L1057&lt;&gt;1),MAX($N$8:N1057)+1,"")</f>
        <v/>
      </c>
      <c r="O1058" s="24" t="str">
        <f ca="1">IF(AND(L1058&lt;&gt;1,L1057=1),MAX($O$8:O1057)+1,"")</f>
        <v/>
      </c>
      <c r="P1058" s="17" t="str">
        <f ca="1">IF(AND(L1058=-1,L1057&lt;&gt;-1),MAX($P$8:P1057)+1,"")</f>
        <v/>
      </c>
      <c r="Q1058" s="24" t="str">
        <f ca="1">IF(AND(L1058&lt;&gt;-1,L1057=-1),MAX($Q$8:Q1057)+1,"")</f>
        <v/>
      </c>
    </row>
    <row r="1059" spans="1:17" x14ac:dyDescent="0.3">
      <c r="A1059" s="3">
        <v>41739</v>
      </c>
      <c r="B1059" s="9">
        <v>12.342359999999999</v>
      </c>
      <c r="C1059" s="9">
        <v>10.374141</v>
      </c>
      <c r="E1059" s="14">
        <f t="shared" si="116"/>
        <v>1.1897235636184238</v>
      </c>
      <c r="F1059" s="18">
        <f t="shared" ca="1" si="115"/>
        <v>-1.4497535515534459</v>
      </c>
      <c r="G1059" s="15">
        <f t="shared" ca="1" si="120"/>
        <v>1.2215895548909446</v>
      </c>
      <c r="H1059" s="15">
        <f t="shared" ca="1" si="121"/>
        <v>2.1980281571564758E-2</v>
      </c>
      <c r="J1059" s="17">
        <f t="shared" ca="1" si="117"/>
        <v>0</v>
      </c>
      <c r="K1059" s="24">
        <f t="shared" ca="1" si="118"/>
        <v>-1</v>
      </c>
      <c r="L1059" s="17">
        <f t="shared" ca="1" si="119"/>
        <v>-1</v>
      </c>
      <c r="N1059" s="24" t="str">
        <f ca="1">IF(AND(L1059=1,L1058&lt;&gt;1),MAX($N$8:N1058)+1,"")</f>
        <v/>
      </c>
      <c r="O1059" s="24" t="str">
        <f ca="1">IF(AND(L1059&lt;&gt;1,L1058=1),MAX($O$8:O1058)+1,"")</f>
        <v/>
      </c>
      <c r="P1059" s="17" t="str">
        <f ca="1">IF(AND(L1059=-1,L1058&lt;&gt;-1),MAX($P$8:P1058)+1,"")</f>
        <v/>
      </c>
      <c r="Q1059" s="24" t="str">
        <f ca="1">IF(AND(L1059&lt;&gt;-1,L1058=-1),MAX($Q$8:Q1058)+1,"")</f>
        <v/>
      </c>
    </row>
    <row r="1060" spans="1:17" x14ac:dyDescent="0.3">
      <c r="A1060" s="3">
        <v>41740</v>
      </c>
      <c r="B1060" s="9">
        <v>12.635526</v>
      </c>
      <c r="C1060" s="9">
        <v>10.646922</v>
      </c>
      <c r="E1060" s="14">
        <f t="shared" si="116"/>
        <v>1.1867773615698509</v>
      </c>
      <c r="F1060" s="18">
        <f t="shared" ca="1" si="115"/>
        <v>-1.4309173785650733</v>
      </c>
      <c r="G1060" s="15">
        <f t="shared" ca="1" si="120"/>
        <v>1.2188973937138554</v>
      </c>
      <c r="H1060" s="15">
        <f t="shared" ca="1" si="121"/>
        <v>2.2447160559482846E-2</v>
      </c>
      <c r="J1060" s="17">
        <f t="shared" ca="1" si="117"/>
        <v>0</v>
      </c>
      <c r="K1060" s="24">
        <f t="shared" ca="1" si="118"/>
        <v>-1</v>
      </c>
      <c r="L1060" s="17">
        <f t="shared" ca="1" si="119"/>
        <v>-1</v>
      </c>
      <c r="N1060" s="24" t="str">
        <f ca="1">IF(AND(L1060=1,L1059&lt;&gt;1),MAX($N$8:N1059)+1,"")</f>
        <v/>
      </c>
      <c r="O1060" s="24" t="str">
        <f ca="1">IF(AND(L1060&lt;&gt;1,L1059=1),MAX($O$8:O1059)+1,"")</f>
        <v/>
      </c>
      <c r="P1060" s="17" t="str">
        <f ca="1">IF(AND(L1060=-1,L1059&lt;&gt;-1),MAX($P$8:P1059)+1,"")</f>
        <v/>
      </c>
      <c r="Q1060" s="24" t="str">
        <f ca="1">IF(AND(L1060&lt;&gt;-1,L1059=-1),MAX($Q$8:Q1059)+1,"")</f>
        <v/>
      </c>
    </row>
    <row r="1061" spans="1:17" x14ac:dyDescent="0.3">
      <c r="A1061" s="3">
        <v>41743</v>
      </c>
      <c r="B1061" s="9">
        <v>12.474631</v>
      </c>
      <c r="C1061" s="9">
        <v>10.515368</v>
      </c>
      <c r="E1061" s="14">
        <f t="shared" si="116"/>
        <v>1.1863237691728905</v>
      </c>
      <c r="F1061" s="18">
        <f t="shared" ca="1" si="115"/>
        <v>-1.3428000905842017</v>
      </c>
      <c r="G1061" s="15">
        <f t="shared" ca="1" si="120"/>
        <v>1.215732029994157</v>
      </c>
      <c r="H1061" s="15">
        <f t="shared" ca="1" si="121"/>
        <v>2.1900699163992489E-2</v>
      </c>
      <c r="J1061" s="17">
        <f t="shared" ca="1" si="117"/>
        <v>0</v>
      </c>
      <c r="K1061" s="24">
        <f t="shared" ca="1" si="118"/>
        <v>-1</v>
      </c>
      <c r="L1061" s="17">
        <f t="shared" ca="1" si="119"/>
        <v>-1</v>
      </c>
      <c r="N1061" s="24" t="str">
        <f ca="1">IF(AND(L1061=1,L1060&lt;&gt;1),MAX($N$8:N1060)+1,"")</f>
        <v/>
      </c>
      <c r="O1061" s="24" t="str">
        <f ca="1">IF(AND(L1061&lt;&gt;1,L1060=1),MAX($O$8:O1060)+1,"")</f>
        <v/>
      </c>
      <c r="P1061" s="17" t="str">
        <f ca="1">IF(AND(L1061=-1,L1060&lt;&gt;-1),MAX($P$8:P1060)+1,"")</f>
        <v/>
      </c>
      <c r="Q1061" s="24" t="str">
        <f ca="1">IF(AND(L1061&lt;&gt;-1,L1060=-1),MAX($Q$8:Q1060)+1,"")</f>
        <v/>
      </c>
    </row>
    <row r="1062" spans="1:17" x14ac:dyDescent="0.3">
      <c r="A1062" s="3">
        <v>41744</v>
      </c>
      <c r="B1062" s="9">
        <v>12.174250000000001</v>
      </c>
      <c r="C1062" s="9">
        <v>10.415825999999999</v>
      </c>
      <c r="E1062" s="14">
        <f t="shared" si="116"/>
        <v>1.1688223286372106</v>
      </c>
      <c r="F1062" s="18">
        <f t="shared" ca="1" si="115"/>
        <v>-1.870598710435994</v>
      </c>
      <c r="G1062" s="15">
        <f t="shared" ca="1" si="120"/>
        <v>1.2125935748716623</v>
      </c>
      <c r="H1062" s="15">
        <f t="shared" ca="1" si="121"/>
        <v>2.3399591793928715E-2</v>
      </c>
      <c r="J1062" s="17">
        <f t="shared" ca="1" si="117"/>
        <v>0</v>
      </c>
      <c r="K1062" s="24">
        <f t="shared" ca="1" si="118"/>
        <v>-1</v>
      </c>
      <c r="L1062" s="17">
        <f t="shared" ca="1" si="119"/>
        <v>-1</v>
      </c>
      <c r="N1062" s="24" t="str">
        <f ca="1">IF(AND(L1062=1,L1061&lt;&gt;1),MAX($N$8:N1061)+1,"")</f>
        <v/>
      </c>
      <c r="O1062" s="24" t="str">
        <f ca="1">IF(AND(L1062&lt;&gt;1,L1061=1),MAX($O$8:O1061)+1,"")</f>
        <v/>
      </c>
      <c r="P1062" s="17" t="str">
        <f ca="1">IF(AND(L1062=-1,L1061&lt;&gt;-1),MAX($P$8:P1061)+1,"")</f>
        <v/>
      </c>
      <c r="Q1062" s="24" t="str">
        <f ca="1">IF(AND(L1062&lt;&gt;-1,L1061=-1),MAX($Q$8:Q1061)+1,"")</f>
        <v/>
      </c>
    </row>
    <row r="1063" spans="1:17" x14ac:dyDescent="0.3">
      <c r="A1063" s="3">
        <v>41745</v>
      </c>
      <c r="B1063" s="9">
        <v>12.395963</v>
      </c>
      <c r="C1063" s="9">
        <v>10.537839</v>
      </c>
      <c r="E1063" s="14">
        <f t="shared" si="116"/>
        <v>1.1763287520335051</v>
      </c>
      <c r="F1063" s="18">
        <f t="shared" ca="1" si="115"/>
        <v>-1.400640468722725</v>
      </c>
      <c r="G1063" s="15">
        <f t="shared" ca="1" si="120"/>
        <v>1.2098190135487406</v>
      </c>
      <c r="H1063" s="15">
        <f t="shared" ca="1" si="121"/>
        <v>2.3910676767590469E-2</v>
      </c>
      <c r="J1063" s="17">
        <f t="shared" ca="1" si="117"/>
        <v>0</v>
      </c>
      <c r="K1063" s="24">
        <f t="shared" ca="1" si="118"/>
        <v>-1</v>
      </c>
      <c r="L1063" s="17">
        <f t="shared" ca="1" si="119"/>
        <v>-1</v>
      </c>
      <c r="N1063" s="24" t="str">
        <f ca="1">IF(AND(L1063=1,L1062&lt;&gt;1),MAX($N$8:N1062)+1,"")</f>
        <v/>
      </c>
      <c r="O1063" s="24" t="str">
        <f ca="1">IF(AND(L1063&lt;&gt;1,L1062=1),MAX($O$8:O1062)+1,"")</f>
        <v/>
      </c>
      <c r="P1063" s="17" t="str">
        <f ca="1">IF(AND(L1063=-1,L1062&lt;&gt;-1),MAX($P$8:P1062)+1,"")</f>
        <v/>
      </c>
      <c r="Q1063" s="24" t="str">
        <f ca="1">IF(AND(L1063&lt;&gt;-1,L1062=-1),MAX($Q$8:Q1062)+1,"")</f>
        <v/>
      </c>
    </row>
    <row r="1064" spans="1:17" x14ac:dyDescent="0.3">
      <c r="A1064" s="3">
        <v>41746</v>
      </c>
      <c r="B1064" s="9">
        <v>12.710618999999999</v>
      </c>
      <c r="C1064" s="9">
        <v>10.730366</v>
      </c>
      <c r="E1064" s="14">
        <f t="shared" si="116"/>
        <v>1.1845466408135565</v>
      </c>
      <c r="F1064" s="18">
        <f t="shared" ca="1" si="115"/>
        <v>-0.97294463658832886</v>
      </c>
      <c r="G1064" s="15">
        <f t="shared" ca="1" si="120"/>
        <v>1.2070374256990932</v>
      </c>
      <c r="H1064" s="15">
        <f t="shared" ca="1" si="121"/>
        <v>2.3116202134996669E-2</v>
      </c>
      <c r="J1064" s="17">
        <f t="shared" ca="1" si="117"/>
        <v>0</v>
      </c>
      <c r="K1064" s="24">
        <f t="shared" ca="1" si="118"/>
        <v>-1</v>
      </c>
      <c r="L1064" s="17">
        <f t="shared" ca="1" si="119"/>
        <v>-1</v>
      </c>
      <c r="N1064" s="24" t="str">
        <f ca="1">IF(AND(L1064=1,L1063&lt;&gt;1),MAX($N$8:N1063)+1,"")</f>
        <v/>
      </c>
      <c r="O1064" s="24" t="str">
        <f ca="1">IF(AND(L1064&lt;&gt;1,L1063=1),MAX($O$8:O1063)+1,"")</f>
        <v/>
      </c>
      <c r="P1064" s="17" t="str">
        <f ca="1">IF(AND(L1064=-1,L1063&lt;&gt;-1),MAX($P$8:P1063)+1,"")</f>
        <v/>
      </c>
      <c r="Q1064" s="24" t="str">
        <f ca="1">IF(AND(L1064&lt;&gt;-1,L1063=-1),MAX($Q$8:Q1063)+1,"")</f>
        <v/>
      </c>
    </row>
    <row r="1065" spans="1:17" x14ac:dyDescent="0.3">
      <c r="A1065" s="3">
        <v>41751</v>
      </c>
      <c r="B1065" s="9">
        <v>12.799993000000001</v>
      </c>
      <c r="C1065" s="9">
        <v>10.695109</v>
      </c>
      <c r="E1065" s="14">
        <f t="shared" si="116"/>
        <v>1.1968080923719431</v>
      </c>
      <c r="F1065" s="18">
        <f t="shared" ca="1" si="115"/>
        <v>-0.37570059179136706</v>
      </c>
      <c r="G1065" s="15">
        <f t="shared" ca="1" si="120"/>
        <v>1.2051112850940309</v>
      </c>
      <c r="H1065" s="15">
        <f t="shared" ca="1" si="121"/>
        <v>2.2100558006836194E-2</v>
      </c>
      <c r="J1065" s="17">
        <f t="shared" ca="1" si="117"/>
        <v>0</v>
      </c>
      <c r="K1065" s="24">
        <f t="shared" ca="1" si="118"/>
        <v>-1</v>
      </c>
      <c r="L1065" s="17">
        <f t="shared" ca="1" si="119"/>
        <v>-1</v>
      </c>
      <c r="N1065" s="24" t="str">
        <f ca="1">IF(AND(L1065=1,L1064&lt;&gt;1),MAX($N$8:N1064)+1,"")</f>
        <v/>
      </c>
      <c r="O1065" s="24" t="str">
        <f ca="1">IF(AND(L1065&lt;&gt;1,L1064=1),MAX($O$8:O1064)+1,"")</f>
        <v/>
      </c>
      <c r="P1065" s="17" t="str">
        <f ca="1">IF(AND(L1065=-1,L1064&lt;&gt;-1),MAX($P$8:P1064)+1,"")</f>
        <v/>
      </c>
      <c r="Q1065" s="24" t="str">
        <f ca="1">IF(AND(L1065&lt;&gt;-1,L1064=-1),MAX($Q$8:Q1064)+1,"")</f>
        <v/>
      </c>
    </row>
    <row r="1066" spans="1:17" x14ac:dyDescent="0.3">
      <c r="A1066" s="3">
        <v>41752</v>
      </c>
      <c r="B1066" s="9">
        <v>12.774938000000001</v>
      </c>
      <c r="C1066" s="9">
        <v>10.614846</v>
      </c>
      <c r="E1066" s="14">
        <f t="shared" si="116"/>
        <v>1.2034972528098853</v>
      </c>
      <c r="F1066" s="18">
        <f t="shared" ca="1" si="115"/>
        <v>-1.8608655929404978E-2</v>
      </c>
      <c r="G1066" s="15">
        <f t="shared" ca="1" si="120"/>
        <v>1.2038956564734644</v>
      </c>
      <c r="H1066" s="15">
        <f t="shared" ca="1" si="121"/>
        <v>2.1409588370623761E-2</v>
      </c>
      <c r="J1066" s="17">
        <f t="shared" ca="1" si="117"/>
        <v>0</v>
      </c>
      <c r="K1066" s="24">
        <f t="shared" ca="1" si="118"/>
        <v>-1</v>
      </c>
      <c r="L1066" s="17">
        <f t="shared" ca="1" si="119"/>
        <v>-1</v>
      </c>
      <c r="N1066" s="24" t="str">
        <f ca="1">IF(AND(L1066=1,L1065&lt;&gt;1),MAX($N$8:N1065)+1,"")</f>
        <v/>
      </c>
      <c r="O1066" s="24" t="str">
        <f ca="1">IF(AND(L1066&lt;&gt;1,L1065=1),MAX($O$8:O1065)+1,"")</f>
        <v/>
      </c>
      <c r="P1066" s="17" t="str">
        <f ca="1">IF(AND(L1066=-1,L1065&lt;&gt;-1),MAX($P$8:P1065)+1,"")</f>
        <v/>
      </c>
      <c r="Q1066" s="24" t="str">
        <f ca="1">IF(AND(L1066&lt;&gt;-1,L1065=-1),MAX($Q$8:Q1065)+1,"")</f>
        <v/>
      </c>
    </row>
    <row r="1067" spans="1:17" x14ac:dyDescent="0.3">
      <c r="A1067" s="3">
        <v>41753</v>
      </c>
      <c r="B1067" s="9">
        <v>13.050262999999999</v>
      </c>
      <c r="C1067" s="9">
        <v>10.784977</v>
      </c>
      <c r="E1067" s="14">
        <f t="shared" si="116"/>
        <v>1.2100408744497091</v>
      </c>
      <c r="F1067" s="18">
        <f t="shared" ca="1" si="115"/>
        <v>0.36510767774599945</v>
      </c>
      <c r="G1067" s="15">
        <f t="shared" ca="1" si="120"/>
        <v>1.2026633635563984</v>
      </c>
      <c r="H1067" s="15">
        <f t="shared" ca="1" si="121"/>
        <v>2.020639757250783E-2</v>
      </c>
      <c r="J1067" s="17">
        <f t="shared" ca="1" si="117"/>
        <v>0</v>
      </c>
      <c r="K1067" s="24">
        <f t="shared" ca="1" si="118"/>
        <v>0</v>
      </c>
      <c r="L1067" s="17">
        <f t="shared" ca="1" si="119"/>
        <v>0</v>
      </c>
      <c r="N1067" s="24" t="str">
        <f ca="1">IF(AND(L1067=1,L1066&lt;&gt;1),MAX($N$8:N1066)+1,"")</f>
        <v/>
      </c>
      <c r="O1067" s="24" t="str">
        <f ca="1">IF(AND(L1067&lt;&gt;1,L1066=1),MAX($O$8:O1066)+1,"")</f>
        <v/>
      </c>
      <c r="P1067" s="17" t="str">
        <f ca="1">IF(AND(L1067=-1,L1066&lt;&gt;-1),MAX($P$8:P1066)+1,"")</f>
        <v/>
      </c>
      <c r="Q1067" s="24">
        <f ca="1">IF(AND(L1067&lt;&gt;-1,L1066=-1),MAX($Q$8:Q1066)+1,"")</f>
        <v>40</v>
      </c>
    </row>
    <row r="1068" spans="1:17" x14ac:dyDescent="0.3">
      <c r="A1068" s="3">
        <v>41754</v>
      </c>
      <c r="B1068" s="9">
        <v>13.175397999999999</v>
      </c>
      <c r="C1068" s="9">
        <v>10.762510000000001</v>
      </c>
      <c r="E1068" s="14">
        <f t="shared" si="116"/>
        <v>1.2241937986584912</v>
      </c>
      <c r="F1068" s="18">
        <f t="shared" ca="1" si="115"/>
        <v>1.1332049533669333</v>
      </c>
      <c r="G1068" s="15">
        <f t="shared" ca="1" si="120"/>
        <v>1.2021329709774091</v>
      </c>
      <c r="H1068" s="15">
        <f t="shared" ca="1" si="121"/>
        <v>1.9467641414323011E-2</v>
      </c>
      <c r="J1068" s="17">
        <f t="shared" ca="1" si="117"/>
        <v>1</v>
      </c>
      <c r="K1068" s="24">
        <f t="shared" ca="1" si="118"/>
        <v>0</v>
      </c>
      <c r="L1068" s="17">
        <f t="shared" ca="1" si="119"/>
        <v>1</v>
      </c>
      <c r="N1068" s="24">
        <f ca="1">IF(AND(L1068=1,L1067&lt;&gt;1),MAX($N$8:N1067)+1,"")</f>
        <v>30</v>
      </c>
      <c r="O1068" s="24" t="str">
        <f ca="1">IF(AND(L1068&lt;&gt;1,L1067=1),MAX($O$8:O1067)+1,"")</f>
        <v/>
      </c>
      <c r="P1068" s="17" t="str">
        <f ca="1">IF(AND(L1068=-1,L1067&lt;&gt;-1),MAX($P$8:P1067)+1,"")</f>
        <v/>
      </c>
      <c r="Q1068" s="24" t="str">
        <f ca="1">IF(AND(L1068&lt;&gt;-1,L1067=-1),MAX($Q$8:Q1067)+1,"")</f>
        <v/>
      </c>
    </row>
    <row r="1069" spans="1:17" x14ac:dyDescent="0.3">
      <c r="A1069" s="3">
        <v>41757</v>
      </c>
      <c r="B1069" s="9">
        <v>13.150344</v>
      </c>
      <c r="C1069" s="9">
        <v>10.685430999999999</v>
      </c>
      <c r="E1069" s="14">
        <f t="shared" si="116"/>
        <v>1.2306797919522385</v>
      </c>
      <c r="F1069" s="18">
        <f t="shared" ca="1" si="115"/>
        <v>1.7086184667070763</v>
      </c>
      <c r="G1069" s="15">
        <f t="shared" ca="1" si="120"/>
        <v>1.2011341549109364</v>
      </c>
      <c r="H1069" s="15">
        <f t="shared" ca="1" si="121"/>
        <v>1.7292120866657681E-2</v>
      </c>
      <c r="J1069" s="17">
        <f t="shared" ca="1" si="117"/>
        <v>1</v>
      </c>
      <c r="K1069" s="24">
        <f t="shared" ca="1" si="118"/>
        <v>0</v>
      </c>
      <c r="L1069" s="17">
        <f t="shared" ca="1" si="119"/>
        <v>1</v>
      </c>
      <c r="N1069" s="24" t="str">
        <f ca="1">IF(AND(L1069=1,L1068&lt;&gt;1),MAX($N$8:N1068)+1,"")</f>
        <v/>
      </c>
      <c r="O1069" s="24" t="str">
        <f ca="1">IF(AND(L1069&lt;&gt;1,L1068=1),MAX($O$8:O1068)+1,"")</f>
        <v/>
      </c>
      <c r="P1069" s="17" t="str">
        <f ca="1">IF(AND(L1069=-1,L1068&lt;&gt;-1),MAX($P$8:P1068)+1,"")</f>
        <v/>
      </c>
      <c r="Q1069" s="24" t="str">
        <f ca="1">IF(AND(L1069&lt;&gt;-1,L1068=-1),MAX($Q$8:Q1068)+1,"")</f>
        <v/>
      </c>
    </row>
    <row r="1070" spans="1:17" x14ac:dyDescent="0.3">
      <c r="A1070" s="3">
        <v>41758</v>
      </c>
      <c r="B1070" s="9">
        <v>13.157555</v>
      </c>
      <c r="C1070" s="9">
        <v>10.768941999999999</v>
      </c>
      <c r="E1070" s="14">
        <f t="shared" si="116"/>
        <v>1.2218057261335422</v>
      </c>
      <c r="F1070" s="18">
        <f t="shared" ca="1" si="115"/>
        <v>1.315784484332551</v>
      </c>
      <c r="G1070" s="15">
        <f t="shared" ca="1" si="120"/>
        <v>1.2004857981369825</v>
      </c>
      <c r="H1070" s="15">
        <f t="shared" ca="1" si="121"/>
        <v>1.6203206718442571E-2</v>
      </c>
      <c r="J1070" s="17">
        <f t="shared" ca="1" si="117"/>
        <v>1</v>
      </c>
      <c r="K1070" s="24">
        <f t="shared" ca="1" si="118"/>
        <v>0</v>
      </c>
      <c r="L1070" s="17">
        <f t="shared" ca="1" si="119"/>
        <v>1</v>
      </c>
      <c r="N1070" s="24" t="str">
        <f ca="1">IF(AND(L1070=1,L1069&lt;&gt;1),MAX($N$8:N1069)+1,"")</f>
        <v/>
      </c>
      <c r="O1070" s="24" t="str">
        <f ca="1">IF(AND(L1070&lt;&gt;1,L1069=1),MAX($O$8:O1069)+1,"")</f>
        <v/>
      </c>
      <c r="P1070" s="17" t="str">
        <f ca="1">IF(AND(L1070=-1,L1069&lt;&gt;-1),MAX($P$8:P1069)+1,"")</f>
        <v/>
      </c>
      <c r="Q1070" s="24" t="str">
        <f ca="1">IF(AND(L1070&lt;&gt;-1,L1069=-1),MAX($Q$8:Q1069)+1,"")</f>
        <v/>
      </c>
    </row>
    <row r="1071" spans="1:17" x14ac:dyDescent="0.3">
      <c r="A1071" s="3">
        <v>41759</v>
      </c>
      <c r="B1071" s="9">
        <v>13.146777</v>
      </c>
      <c r="C1071" s="9">
        <v>10.662964000000001</v>
      </c>
      <c r="E1071" s="14">
        <f t="shared" si="116"/>
        <v>1.2329383274669219</v>
      </c>
      <c r="F1071" s="18">
        <f t="shared" ca="1" si="115"/>
        <v>1.8373958372545254</v>
      </c>
      <c r="G1071" s="15">
        <f t="shared" ca="1" si="120"/>
        <v>1.2012240154374891</v>
      </c>
      <c r="H1071" s="15">
        <f t="shared" ca="1" si="121"/>
        <v>1.7260467987573615E-2</v>
      </c>
      <c r="J1071" s="17">
        <f t="shared" ca="1" si="117"/>
        <v>1</v>
      </c>
      <c r="K1071" s="24">
        <f t="shared" ca="1" si="118"/>
        <v>0</v>
      </c>
      <c r="L1071" s="17">
        <f t="shared" ca="1" si="119"/>
        <v>1</v>
      </c>
      <c r="N1071" s="24" t="str">
        <f ca="1">IF(AND(L1071=1,L1070&lt;&gt;1),MAX($N$8:N1070)+1,"")</f>
        <v/>
      </c>
      <c r="O1071" s="24" t="str">
        <f ca="1">IF(AND(L1071&lt;&gt;1,L1070=1),MAX($O$8:O1070)+1,"")</f>
        <v/>
      </c>
      <c r="P1071" s="17" t="str">
        <f ca="1">IF(AND(L1071=-1,L1070&lt;&gt;-1),MAX($P$8:P1070)+1,"")</f>
        <v/>
      </c>
      <c r="Q1071" s="24" t="str">
        <f ca="1">IF(AND(L1071&lt;&gt;-1,L1070=-1),MAX($Q$8:Q1070)+1,"")</f>
        <v/>
      </c>
    </row>
    <row r="1072" spans="1:17" x14ac:dyDescent="0.3">
      <c r="A1072" s="3">
        <v>41761</v>
      </c>
      <c r="B1072" s="9">
        <v>13.400817999999999</v>
      </c>
      <c r="C1072" s="9">
        <v>10.849131</v>
      </c>
      <c r="E1072" s="14">
        <f t="shared" si="116"/>
        <v>1.2351973628118234</v>
      </c>
      <c r="F1072" s="18">
        <f t="shared" ca="1" si="115"/>
        <v>1.7532437827089093</v>
      </c>
      <c r="G1072" s="15">
        <f t="shared" ca="1" si="120"/>
        <v>1.2025210918770235</v>
      </c>
      <c r="H1072" s="15">
        <f t="shared" ca="1" si="121"/>
        <v>1.8637608333230343E-2</v>
      </c>
      <c r="J1072" s="17">
        <f t="shared" ca="1" si="117"/>
        <v>1</v>
      </c>
      <c r="K1072" s="24">
        <f t="shared" ca="1" si="118"/>
        <v>0</v>
      </c>
      <c r="L1072" s="17">
        <f t="shared" ca="1" si="119"/>
        <v>1</v>
      </c>
      <c r="N1072" s="24" t="str">
        <f ca="1">IF(AND(L1072=1,L1071&lt;&gt;1),MAX($N$8:N1071)+1,"")</f>
        <v/>
      </c>
      <c r="O1072" s="24" t="str">
        <f ca="1">IF(AND(L1072&lt;&gt;1,L1071=1),MAX($O$8:O1071)+1,"")</f>
        <v/>
      </c>
      <c r="P1072" s="17" t="str">
        <f ca="1">IF(AND(L1072=-1,L1071&lt;&gt;-1),MAX($P$8:P1071)+1,"")</f>
        <v/>
      </c>
      <c r="Q1072" s="24" t="str">
        <f ca="1">IF(AND(L1072&lt;&gt;-1,L1071=-1),MAX($Q$8:Q1071)+1,"")</f>
        <v/>
      </c>
    </row>
    <row r="1073" spans="1:17" x14ac:dyDescent="0.3">
      <c r="A1073" s="3">
        <v>41764</v>
      </c>
      <c r="B1073" s="9">
        <v>13.543987</v>
      </c>
      <c r="C1073" s="9">
        <v>11.027072</v>
      </c>
      <c r="E1073" s="14">
        <f t="shared" si="116"/>
        <v>1.2282487137111282</v>
      </c>
      <c r="F1073" s="18">
        <f t="shared" ca="1" si="115"/>
        <v>1.289062589158807</v>
      </c>
      <c r="G1073" s="15">
        <f t="shared" ca="1" si="120"/>
        <v>1.2033243553324846</v>
      </c>
      <c r="H1073" s="15">
        <f t="shared" ca="1" si="121"/>
        <v>1.9335258495794438E-2</v>
      </c>
      <c r="J1073" s="17">
        <f t="shared" ca="1" si="117"/>
        <v>1</v>
      </c>
      <c r="K1073" s="24">
        <f t="shared" ca="1" si="118"/>
        <v>0</v>
      </c>
      <c r="L1073" s="17">
        <f t="shared" ca="1" si="119"/>
        <v>1</v>
      </c>
      <c r="N1073" s="24" t="str">
        <f ca="1">IF(AND(L1073=1,L1072&lt;&gt;1),MAX($N$8:N1072)+1,"")</f>
        <v/>
      </c>
      <c r="O1073" s="24" t="str">
        <f ca="1">IF(AND(L1073&lt;&gt;1,L1072=1),MAX($O$8:O1072)+1,"")</f>
        <v/>
      </c>
      <c r="P1073" s="17" t="str">
        <f ca="1">IF(AND(L1073=-1,L1072&lt;&gt;-1),MAX($P$8:P1072)+1,"")</f>
        <v/>
      </c>
      <c r="Q1073" s="24" t="str">
        <f ca="1">IF(AND(L1073&lt;&gt;-1,L1072=-1),MAX($Q$8:Q1072)+1,"")</f>
        <v/>
      </c>
    </row>
    <row r="1074" spans="1:17" x14ac:dyDescent="0.3">
      <c r="A1074" s="3">
        <v>41765</v>
      </c>
      <c r="B1074" s="9">
        <v>13.418748000000001</v>
      </c>
      <c r="C1074" s="9">
        <v>11.107430000000001</v>
      </c>
      <c r="E1074" s="14">
        <f t="shared" si="116"/>
        <v>1.2080875594084319</v>
      </c>
      <c r="F1074" s="18">
        <f t="shared" ca="1" si="115"/>
        <v>0.24935894380887744</v>
      </c>
      <c r="G1074" s="15">
        <f t="shared" ca="1" si="120"/>
        <v>1.2032699243114215</v>
      </c>
      <c r="H1074" s="15">
        <f t="shared" ca="1" si="121"/>
        <v>1.9320081419268803E-2</v>
      </c>
      <c r="J1074" s="17">
        <f t="shared" ca="1" si="117"/>
        <v>1</v>
      </c>
      <c r="K1074" s="24">
        <f t="shared" ca="1" si="118"/>
        <v>0</v>
      </c>
      <c r="L1074" s="17">
        <f t="shared" ca="1" si="119"/>
        <v>1</v>
      </c>
      <c r="N1074" s="24" t="str">
        <f ca="1">IF(AND(L1074=1,L1073&lt;&gt;1),MAX($N$8:N1073)+1,"")</f>
        <v/>
      </c>
      <c r="O1074" s="24" t="str">
        <f ca="1">IF(AND(L1074&lt;&gt;1,L1073=1),MAX($O$8:O1073)+1,"")</f>
        <v/>
      </c>
      <c r="P1074" s="17" t="str">
        <f ca="1">IF(AND(L1074=-1,L1073&lt;&gt;-1),MAX($P$8:P1073)+1,"")</f>
        <v/>
      </c>
      <c r="Q1074" s="24" t="str">
        <f ca="1">IF(AND(L1074&lt;&gt;-1,L1073=-1),MAX($Q$8:Q1073)+1,"")</f>
        <v/>
      </c>
    </row>
    <row r="1075" spans="1:17" x14ac:dyDescent="0.3">
      <c r="A1075" s="3">
        <v>41766</v>
      </c>
      <c r="B1075" s="9">
        <v>13.511765</v>
      </c>
      <c r="C1075" s="9">
        <v>11.239226</v>
      </c>
      <c r="E1075" s="14">
        <f t="shared" si="116"/>
        <v>1.2021971085909298</v>
      </c>
      <c r="F1075" s="18">
        <f t="shared" ca="1" si="115"/>
        <v>-2.4152866546253895E-2</v>
      </c>
      <c r="G1075" s="15">
        <f t="shared" ca="1" si="120"/>
        <v>1.2026591780713038</v>
      </c>
      <c r="H1075" s="15">
        <f t="shared" ca="1" si="121"/>
        <v>1.9131041008701725E-2</v>
      </c>
      <c r="J1075" s="17">
        <f t="shared" ca="1" si="117"/>
        <v>0</v>
      </c>
      <c r="K1075" s="24">
        <f t="shared" ca="1" si="118"/>
        <v>0</v>
      </c>
      <c r="L1075" s="17">
        <f t="shared" ca="1" si="119"/>
        <v>0</v>
      </c>
      <c r="N1075" s="24" t="str">
        <f ca="1">IF(AND(L1075=1,L1074&lt;&gt;1),MAX($N$8:N1074)+1,"")</f>
        <v/>
      </c>
      <c r="O1075" s="24">
        <f ca="1">IF(AND(L1075&lt;&gt;1,L1074=1),MAX($O$8:O1074)+1,"")</f>
        <v>30</v>
      </c>
      <c r="P1075" s="17" t="str">
        <f ca="1">IF(AND(L1075=-1,L1074&lt;&gt;-1),MAX($P$8:P1074)+1,"")</f>
        <v/>
      </c>
      <c r="Q1075" s="24" t="str">
        <f ca="1">IF(AND(L1075&lt;&gt;-1,L1074=-1),MAX($Q$8:Q1074)+1,"")</f>
        <v/>
      </c>
    </row>
    <row r="1076" spans="1:17" x14ac:dyDescent="0.3">
      <c r="A1076" s="3">
        <v>41767</v>
      </c>
      <c r="B1076" s="9">
        <v>13.304226999999999</v>
      </c>
      <c r="C1076" s="9">
        <v>11.11387</v>
      </c>
      <c r="E1076" s="14">
        <f t="shared" si="116"/>
        <v>1.1970831942428695</v>
      </c>
      <c r="F1076" s="18">
        <f t="shared" ca="1" si="115"/>
        <v>-0.26589237201948263</v>
      </c>
      <c r="G1076" s="15">
        <f t="shared" ca="1" si="120"/>
        <v>1.2021696255697025</v>
      </c>
      <c r="H1076" s="15">
        <f t="shared" ca="1" si="121"/>
        <v>1.9129662457787119E-2</v>
      </c>
      <c r="J1076" s="17">
        <f t="shared" ca="1" si="117"/>
        <v>0</v>
      </c>
      <c r="K1076" s="24">
        <f t="shared" ca="1" si="118"/>
        <v>0</v>
      </c>
      <c r="L1076" s="17">
        <f t="shared" ca="1" si="119"/>
        <v>0</v>
      </c>
      <c r="N1076" s="24" t="str">
        <f ca="1">IF(AND(L1076=1,L1075&lt;&gt;1),MAX($N$8:N1075)+1,"")</f>
        <v/>
      </c>
      <c r="O1076" s="24" t="str">
        <f ca="1">IF(AND(L1076&lt;&gt;1,L1075=1),MAX($O$8:O1075)+1,"")</f>
        <v/>
      </c>
      <c r="P1076" s="17" t="str">
        <f ca="1">IF(AND(L1076=-1,L1075&lt;&gt;-1),MAX($P$8:P1075)+1,"")</f>
        <v/>
      </c>
      <c r="Q1076" s="24" t="str">
        <f ca="1">IF(AND(L1076&lt;&gt;-1,L1075=-1),MAX($Q$8:Q1075)+1,"")</f>
        <v/>
      </c>
    </row>
    <row r="1077" spans="1:17" x14ac:dyDescent="0.3">
      <c r="A1077" s="3">
        <v>41768</v>
      </c>
      <c r="B1077" s="9">
        <v>13.186137</v>
      </c>
      <c r="C1077" s="9">
        <v>11.0207</v>
      </c>
      <c r="E1077" s="14">
        <f t="shared" si="116"/>
        <v>1.196488154109993</v>
      </c>
      <c r="F1077" s="18">
        <f t="shared" ca="1" si="115"/>
        <v>-0.27693926327913398</v>
      </c>
      <c r="G1077" s="15">
        <f t="shared" ca="1" si="120"/>
        <v>1.2017932778304763</v>
      </c>
      <c r="H1077" s="15">
        <f t="shared" ca="1" si="121"/>
        <v>1.9156271514798321E-2</v>
      </c>
      <c r="J1077" s="17">
        <f t="shared" ca="1" si="117"/>
        <v>0</v>
      </c>
      <c r="K1077" s="24">
        <f t="shared" ca="1" si="118"/>
        <v>0</v>
      </c>
      <c r="L1077" s="17">
        <f t="shared" ca="1" si="119"/>
        <v>0</v>
      </c>
      <c r="N1077" s="24" t="str">
        <f ca="1">IF(AND(L1077=1,L1076&lt;&gt;1),MAX($N$8:N1076)+1,"")</f>
        <v/>
      </c>
      <c r="O1077" s="24" t="str">
        <f ca="1">IF(AND(L1077&lt;&gt;1,L1076=1),MAX($O$8:O1076)+1,"")</f>
        <v/>
      </c>
      <c r="P1077" s="17" t="str">
        <f ca="1">IF(AND(L1077=-1,L1076&lt;&gt;-1),MAX($P$8:P1076)+1,"")</f>
        <v/>
      </c>
      <c r="Q1077" s="24" t="str">
        <f ca="1">IF(AND(L1077&lt;&gt;-1,L1076=-1),MAX($Q$8:Q1076)+1,"")</f>
        <v/>
      </c>
    </row>
    <row r="1078" spans="1:17" x14ac:dyDescent="0.3">
      <c r="A1078" s="3">
        <v>41771</v>
      </c>
      <c r="B1078" s="9">
        <v>13.440182</v>
      </c>
      <c r="C1078" s="9">
        <v>11.219913</v>
      </c>
      <c r="E1078" s="14">
        <f t="shared" si="116"/>
        <v>1.1978864720252287</v>
      </c>
      <c r="F1078" s="18">
        <f t="shared" ca="1" si="115"/>
        <v>-0.24042587805716872</v>
      </c>
      <c r="G1078" s="15">
        <f t="shared" ca="1" si="120"/>
        <v>1.2024069102742072</v>
      </c>
      <c r="H1078" s="15">
        <f t="shared" ca="1" si="121"/>
        <v>1.8801795736412556E-2</v>
      </c>
      <c r="J1078" s="17">
        <f t="shared" ca="1" si="117"/>
        <v>0</v>
      </c>
      <c r="K1078" s="24">
        <f t="shared" ca="1" si="118"/>
        <v>0</v>
      </c>
      <c r="L1078" s="17">
        <f t="shared" ca="1" si="119"/>
        <v>0</v>
      </c>
      <c r="N1078" s="24" t="str">
        <f ca="1">IF(AND(L1078=1,L1077&lt;&gt;1),MAX($N$8:N1077)+1,"")</f>
        <v/>
      </c>
      <c r="O1078" s="24" t="str">
        <f ca="1">IF(AND(L1078&lt;&gt;1,L1077=1),MAX($O$8:O1077)+1,"")</f>
        <v/>
      </c>
      <c r="P1078" s="17" t="str">
        <f ca="1">IF(AND(L1078=-1,L1077&lt;&gt;-1),MAX($P$8:P1077)+1,"")</f>
        <v/>
      </c>
      <c r="Q1078" s="24" t="str">
        <f ca="1">IF(AND(L1078&lt;&gt;-1,L1077=-1),MAX($Q$8:Q1077)+1,"")</f>
        <v/>
      </c>
    </row>
    <row r="1079" spans="1:17" x14ac:dyDescent="0.3">
      <c r="A1079" s="3">
        <v>41772</v>
      </c>
      <c r="B1079" s="9">
        <v>13.357882</v>
      </c>
      <c r="C1079" s="9">
        <v>11.165300999999999</v>
      </c>
      <c r="E1079" s="14">
        <f t="shared" si="116"/>
        <v>1.1963745536282453</v>
      </c>
      <c r="F1079" s="18">
        <f t="shared" ca="1" si="115"/>
        <v>-0.33703152010504478</v>
      </c>
      <c r="G1079" s="15">
        <f t="shared" ca="1" si="120"/>
        <v>1.2026687595303061</v>
      </c>
      <c r="H1079" s="15">
        <f t="shared" ca="1" si="121"/>
        <v>1.8675422109181362E-2</v>
      </c>
      <c r="J1079" s="17">
        <f t="shared" ca="1" si="117"/>
        <v>0</v>
      </c>
      <c r="K1079" s="24">
        <f t="shared" ca="1" si="118"/>
        <v>0</v>
      </c>
      <c r="L1079" s="17">
        <f t="shared" ca="1" si="119"/>
        <v>0</v>
      </c>
      <c r="N1079" s="24" t="str">
        <f ca="1">IF(AND(L1079=1,L1078&lt;&gt;1),MAX($N$8:N1078)+1,"")</f>
        <v/>
      </c>
      <c r="O1079" s="24" t="str">
        <f ca="1">IF(AND(L1079&lt;&gt;1,L1078=1),MAX($O$8:O1078)+1,"")</f>
        <v/>
      </c>
      <c r="P1079" s="17" t="str">
        <f ca="1">IF(AND(L1079=-1,L1078&lt;&gt;-1),MAX($P$8:P1078)+1,"")</f>
        <v/>
      </c>
      <c r="Q1079" s="24" t="str">
        <f ca="1">IF(AND(L1079&lt;&gt;-1,L1078=-1),MAX($Q$8:Q1078)+1,"")</f>
        <v/>
      </c>
    </row>
    <row r="1080" spans="1:17" x14ac:dyDescent="0.3">
      <c r="A1080" s="3">
        <v>41773</v>
      </c>
      <c r="B1080" s="9">
        <v>13.415174</v>
      </c>
      <c r="C1080" s="9">
        <v>11.351713</v>
      </c>
      <c r="E1080" s="14">
        <f t="shared" si="116"/>
        <v>1.181775296820841</v>
      </c>
      <c r="F1080" s="18">
        <f t="shared" ca="1" si="115"/>
        <v>-1.1037153245138871</v>
      </c>
      <c r="G1080" s="15">
        <f t="shared" ca="1" si="120"/>
        <v>1.2025374861380755</v>
      </c>
      <c r="H1080" s="15">
        <f t="shared" ca="1" si="121"/>
        <v>1.8811181521266693E-2</v>
      </c>
      <c r="J1080" s="17">
        <f t="shared" ca="1" si="117"/>
        <v>0</v>
      </c>
      <c r="K1080" s="24">
        <f t="shared" ca="1" si="118"/>
        <v>-1</v>
      </c>
      <c r="L1080" s="17">
        <f t="shared" ca="1" si="119"/>
        <v>-1</v>
      </c>
      <c r="N1080" s="24" t="str">
        <f ca="1">IF(AND(L1080=1,L1079&lt;&gt;1),MAX($N$8:N1079)+1,"")</f>
        <v/>
      </c>
      <c r="O1080" s="24" t="str">
        <f ca="1">IF(AND(L1080&lt;&gt;1,L1079=1),MAX($O$8:O1079)+1,"")</f>
        <v/>
      </c>
      <c r="P1080" s="17">
        <f ca="1">IF(AND(L1080=-1,L1079&lt;&gt;-1),MAX($P$8:P1079)+1,"")</f>
        <v>41</v>
      </c>
      <c r="Q1080" s="24" t="str">
        <f ca="1">IF(AND(L1080&lt;&gt;-1,L1079=-1),MAX($Q$8:Q1079)+1,"")</f>
        <v/>
      </c>
    </row>
    <row r="1081" spans="1:17" x14ac:dyDescent="0.3">
      <c r="A1081" s="3">
        <v>41774</v>
      </c>
      <c r="B1081" s="9">
        <v>13.314946000000001</v>
      </c>
      <c r="C1081" s="9">
        <v>11.207109000000001</v>
      </c>
      <c r="E1081" s="14">
        <f t="shared" si="116"/>
        <v>1.1880803514983214</v>
      </c>
      <c r="F1081" s="18">
        <f t="shared" ca="1" si="115"/>
        <v>-0.76238373680531357</v>
      </c>
      <c r="G1081" s="15">
        <f t="shared" ca="1" si="120"/>
        <v>1.2024627946780708</v>
      </c>
      <c r="H1081" s="15">
        <f t="shared" ca="1" si="121"/>
        <v>1.8865097044196574E-2</v>
      </c>
      <c r="J1081" s="17">
        <f t="shared" ca="1" si="117"/>
        <v>0</v>
      </c>
      <c r="K1081" s="24">
        <f t="shared" ca="1" si="118"/>
        <v>-1</v>
      </c>
      <c r="L1081" s="17">
        <f t="shared" ca="1" si="119"/>
        <v>-1</v>
      </c>
      <c r="N1081" s="24" t="str">
        <f ca="1">IF(AND(L1081=1,L1080&lt;&gt;1),MAX($N$8:N1080)+1,"")</f>
        <v/>
      </c>
      <c r="O1081" s="24" t="str">
        <f ca="1">IF(AND(L1081&lt;&gt;1,L1080=1),MAX($O$8:O1080)+1,"")</f>
        <v/>
      </c>
      <c r="P1081" s="17" t="str">
        <f ca="1">IF(AND(L1081=-1,L1080&lt;&gt;-1),MAX($P$8:P1080)+1,"")</f>
        <v/>
      </c>
      <c r="Q1081" s="24" t="str">
        <f ca="1">IF(AND(L1081&lt;&gt;-1,L1080=-1),MAX($Q$8:Q1080)+1,"")</f>
        <v/>
      </c>
    </row>
    <row r="1082" spans="1:17" x14ac:dyDescent="0.3">
      <c r="A1082" s="3">
        <v>41775</v>
      </c>
      <c r="B1082" s="9">
        <v>13.447329</v>
      </c>
      <c r="C1082" s="9">
        <v>11.264906</v>
      </c>
      <c r="E1082" s="14">
        <f t="shared" si="116"/>
        <v>1.1937364590525656</v>
      </c>
      <c r="F1082" s="18">
        <f t="shared" ca="1" si="115"/>
        <v>-0.48468873426792192</v>
      </c>
      <c r="G1082" s="15">
        <f t="shared" ca="1" si="120"/>
        <v>1.2027791172909215</v>
      </c>
      <c r="H1082" s="15">
        <f t="shared" ca="1" si="121"/>
        <v>1.8656629706927119E-2</v>
      </c>
      <c r="J1082" s="17">
        <f t="shared" ca="1" si="117"/>
        <v>0</v>
      </c>
      <c r="K1082" s="24">
        <f t="shared" ca="1" si="118"/>
        <v>-1</v>
      </c>
      <c r="L1082" s="17">
        <f t="shared" ca="1" si="119"/>
        <v>-1</v>
      </c>
      <c r="N1082" s="24" t="str">
        <f ca="1">IF(AND(L1082=1,L1081&lt;&gt;1),MAX($N$8:N1081)+1,"")</f>
        <v/>
      </c>
      <c r="O1082" s="24" t="str">
        <f ca="1">IF(AND(L1082&lt;&gt;1,L1081=1),MAX($O$8:O1081)+1,"")</f>
        <v/>
      </c>
      <c r="P1082" s="17" t="str">
        <f ca="1">IF(AND(L1082=-1,L1081&lt;&gt;-1),MAX($P$8:P1081)+1,"")</f>
        <v/>
      </c>
      <c r="Q1082" s="24" t="str">
        <f ca="1">IF(AND(L1082&lt;&gt;-1,L1081=-1),MAX($Q$8:Q1081)+1,"")</f>
        <v/>
      </c>
    </row>
    <row r="1083" spans="1:17" x14ac:dyDescent="0.3">
      <c r="A1083" s="3">
        <v>41778</v>
      </c>
      <c r="B1083" s="9">
        <v>13.361456</v>
      </c>
      <c r="C1083" s="9">
        <v>11.088191</v>
      </c>
      <c r="E1083" s="14">
        <f t="shared" si="116"/>
        <v>1.2050167606239828</v>
      </c>
      <c r="F1083" s="18">
        <f t="shared" ca="1" si="115"/>
        <v>7.5802217844727821E-2</v>
      </c>
      <c r="G1083" s="15">
        <f t="shared" ca="1" si="120"/>
        <v>1.2036287987205165</v>
      </c>
      <c r="H1083" s="15">
        <f t="shared" ca="1" si="121"/>
        <v>1.8310307309336527E-2</v>
      </c>
      <c r="J1083" s="17">
        <f t="shared" ca="1" si="117"/>
        <v>0</v>
      </c>
      <c r="K1083" s="24">
        <f t="shared" ca="1" si="118"/>
        <v>0</v>
      </c>
      <c r="L1083" s="17">
        <f t="shared" ca="1" si="119"/>
        <v>0</v>
      </c>
      <c r="N1083" s="24" t="str">
        <f ca="1">IF(AND(L1083=1,L1082&lt;&gt;1),MAX($N$8:N1082)+1,"")</f>
        <v/>
      </c>
      <c r="O1083" s="24" t="str">
        <f ca="1">IF(AND(L1083&lt;&gt;1,L1082=1),MAX($O$8:O1082)+1,"")</f>
        <v/>
      </c>
      <c r="P1083" s="17" t="str">
        <f ca="1">IF(AND(L1083=-1,L1082&lt;&gt;-1),MAX($P$8:P1082)+1,"")</f>
        <v/>
      </c>
      <c r="Q1083" s="24">
        <f ca="1">IF(AND(L1083&lt;&gt;-1,L1082=-1),MAX($Q$8:Q1082)+1,"")</f>
        <v>41</v>
      </c>
    </row>
    <row r="1084" spans="1:17" x14ac:dyDescent="0.3">
      <c r="A1084" s="3">
        <v>41779</v>
      </c>
      <c r="B1084" s="9">
        <v>13.125337</v>
      </c>
      <c r="C1084" s="9">
        <v>10.888906</v>
      </c>
      <c r="E1084" s="14">
        <f t="shared" si="116"/>
        <v>1.2053861976584241</v>
      </c>
      <c r="F1084" s="18">
        <f t="shared" ca="1" si="115"/>
        <v>5.726355427969388E-3</v>
      </c>
      <c r="G1084" s="15">
        <f t="shared" ca="1" si="120"/>
        <v>1.2052907927669354</v>
      </c>
      <c r="H1084" s="15">
        <f t="shared" ca="1" si="121"/>
        <v>1.6660665354921684E-2</v>
      </c>
      <c r="J1084" s="17">
        <f t="shared" ca="1" si="117"/>
        <v>0</v>
      </c>
      <c r="K1084" s="24">
        <f t="shared" ca="1" si="118"/>
        <v>0</v>
      </c>
      <c r="L1084" s="17">
        <f t="shared" ca="1" si="119"/>
        <v>0</v>
      </c>
      <c r="N1084" s="24" t="str">
        <f ca="1">IF(AND(L1084=1,L1083&lt;&gt;1),MAX($N$8:N1083)+1,"")</f>
        <v/>
      </c>
      <c r="O1084" s="24" t="str">
        <f ca="1">IF(AND(L1084&lt;&gt;1,L1083=1),MAX($O$8:O1083)+1,"")</f>
        <v/>
      </c>
      <c r="P1084" s="17" t="str">
        <f ca="1">IF(AND(L1084=-1,L1083&lt;&gt;-1),MAX($P$8:P1083)+1,"")</f>
        <v/>
      </c>
      <c r="Q1084" s="24" t="str">
        <f ca="1">IF(AND(L1084&lt;&gt;-1,L1083=-1),MAX($Q$8:Q1083)+1,"")</f>
        <v/>
      </c>
    </row>
    <row r="1085" spans="1:17" x14ac:dyDescent="0.3">
      <c r="A1085" s="3">
        <v>41780</v>
      </c>
      <c r="B1085" s="9">
        <v>12.846225</v>
      </c>
      <c r="C1085" s="9">
        <v>10.612513999999999</v>
      </c>
      <c r="E1085" s="14">
        <f t="shared" si="116"/>
        <v>1.2104789685083102</v>
      </c>
      <c r="F1085" s="18">
        <f t="shared" ca="1" si="115"/>
        <v>0.23554913090349108</v>
      </c>
      <c r="G1085" s="15">
        <f t="shared" ca="1" si="120"/>
        <v>1.2068430753339721</v>
      </c>
      <c r="H1085" s="15">
        <f t="shared" ca="1" si="121"/>
        <v>1.5435816555093955E-2</v>
      </c>
      <c r="J1085" s="17">
        <f t="shared" ca="1" si="117"/>
        <v>0</v>
      </c>
      <c r="K1085" s="24">
        <f t="shared" ca="1" si="118"/>
        <v>0</v>
      </c>
      <c r="L1085" s="17">
        <f t="shared" ca="1" si="119"/>
        <v>0</v>
      </c>
      <c r="N1085" s="24" t="str">
        <f ca="1">IF(AND(L1085=1,L1084&lt;&gt;1),MAX($N$8:N1084)+1,"")</f>
        <v/>
      </c>
      <c r="O1085" s="24" t="str">
        <f ca="1">IF(AND(L1085&lt;&gt;1,L1084=1),MAX($O$8:O1084)+1,"")</f>
        <v/>
      </c>
      <c r="P1085" s="17" t="str">
        <f ca="1">IF(AND(L1085=-1,L1084&lt;&gt;-1),MAX($P$8:P1084)+1,"")</f>
        <v/>
      </c>
      <c r="Q1085" s="24" t="str">
        <f ca="1">IF(AND(L1085&lt;&gt;-1,L1084=-1),MAX($Q$8:Q1084)+1,"")</f>
        <v/>
      </c>
    </row>
    <row r="1086" spans="1:17" x14ac:dyDescent="0.3">
      <c r="A1086" s="3">
        <v>41781</v>
      </c>
      <c r="B1086" s="9">
        <v>13.003677</v>
      </c>
      <c r="C1086" s="9">
        <v>10.721743999999999</v>
      </c>
      <c r="E1086" s="14">
        <f t="shared" si="116"/>
        <v>1.2128322593786982</v>
      </c>
      <c r="F1086" s="18">
        <f t="shared" ca="1" si="115"/>
        <v>0.32029419875058129</v>
      </c>
      <c r="G1086" s="15">
        <f t="shared" ca="1" si="120"/>
        <v>1.2081287852687512</v>
      </c>
      <c r="H1086" s="15">
        <f t="shared" ca="1" si="121"/>
        <v>1.4684855761654486E-2</v>
      </c>
      <c r="J1086" s="17">
        <f t="shared" ca="1" si="117"/>
        <v>0</v>
      </c>
      <c r="K1086" s="24">
        <f t="shared" ca="1" si="118"/>
        <v>0</v>
      </c>
      <c r="L1086" s="17">
        <f t="shared" ca="1" si="119"/>
        <v>0</v>
      </c>
      <c r="N1086" s="24" t="str">
        <f ca="1">IF(AND(L1086=1,L1085&lt;&gt;1),MAX($N$8:N1085)+1,"")</f>
        <v/>
      </c>
      <c r="O1086" s="24" t="str">
        <f ca="1">IF(AND(L1086&lt;&gt;1,L1085=1),MAX($O$8:O1085)+1,"")</f>
        <v/>
      </c>
      <c r="P1086" s="17" t="str">
        <f ca="1">IF(AND(L1086=-1,L1085&lt;&gt;-1),MAX($P$8:P1085)+1,"")</f>
        <v/>
      </c>
      <c r="Q1086" s="24" t="str">
        <f ca="1">IF(AND(L1086&lt;&gt;-1,L1085=-1),MAX($Q$8:Q1085)+1,"")</f>
        <v/>
      </c>
    </row>
    <row r="1087" spans="1:17" x14ac:dyDescent="0.3">
      <c r="A1087" s="3">
        <v>41782</v>
      </c>
      <c r="B1087" s="9">
        <v>12.806856</v>
      </c>
      <c r="C1087" s="9">
        <v>10.551461</v>
      </c>
      <c r="E1087" s="14">
        <f t="shared" si="116"/>
        <v>1.2137519154930299</v>
      </c>
      <c r="F1087" s="18">
        <f t="shared" ca="1" si="115"/>
        <v>0.33435785609432339</v>
      </c>
      <c r="G1087" s="15">
        <f t="shared" ca="1" si="120"/>
        <v>1.2088989590469823</v>
      </c>
      <c r="H1087" s="15">
        <f t="shared" ca="1" si="121"/>
        <v>1.4514258772727976E-2</v>
      </c>
      <c r="J1087" s="17">
        <f t="shared" ca="1" si="117"/>
        <v>0</v>
      </c>
      <c r="K1087" s="24">
        <f t="shared" ca="1" si="118"/>
        <v>0</v>
      </c>
      <c r="L1087" s="17">
        <f t="shared" ca="1" si="119"/>
        <v>0</v>
      </c>
      <c r="N1087" s="24" t="str">
        <f ca="1">IF(AND(L1087=1,L1086&lt;&gt;1),MAX($N$8:N1086)+1,"")</f>
        <v/>
      </c>
      <c r="O1087" s="24" t="str">
        <f ca="1">IF(AND(L1087&lt;&gt;1,L1086=1),MAX($O$8:O1086)+1,"")</f>
        <v/>
      </c>
      <c r="P1087" s="17" t="str">
        <f ca="1">IF(AND(L1087=-1,L1086&lt;&gt;-1),MAX($P$8:P1086)+1,"")</f>
        <v/>
      </c>
      <c r="Q1087" s="24" t="str">
        <f ca="1">IF(AND(L1087&lt;&gt;-1,L1086=-1),MAX($Q$8:Q1086)+1,"")</f>
        <v/>
      </c>
    </row>
    <row r="1088" spans="1:17" x14ac:dyDescent="0.3">
      <c r="A1088" s="3">
        <v>41785</v>
      </c>
      <c r="B1088" s="9">
        <v>12.767491</v>
      </c>
      <c r="C1088" s="9">
        <v>10.509656</v>
      </c>
      <c r="E1088" s="14">
        <f t="shared" si="116"/>
        <v>1.2148343390116669</v>
      </c>
      <c r="F1088" s="18">
        <f t="shared" ca="1" si="115"/>
        <v>0.37342149512698652</v>
      </c>
      <c r="G1088" s="15">
        <f t="shared" ca="1" si="120"/>
        <v>1.2094142811470634</v>
      </c>
      <c r="H1088" s="15">
        <f t="shared" ca="1" si="121"/>
        <v>1.4514584552130233E-2</v>
      </c>
      <c r="J1088" s="17">
        <f t="shared" ca="1" si="117"/>
        <v>0</v>
      </c>
      <c r="K1088" s="24">
        <f t="shared" ca="1" si="118"/>
        <v>0</v>
      </c>
      <c r="L1088" s="17">
        <f t="shared" ca="1" si="119"/>
        <v>0</v>
      </c>
      <c r="N1088" s="24" t="str">
        <f ca="1">IF(AND(L1088=1,L1087&lt;&gt;1),MAX($N$8:N1087)+1,"")</f>
        <v/>
      </c>
      <c r="O1088" s="24" t="str">
        <f ca="1">IF(AND(L1088&lt;&gt;1,L1087=1),MAX($O$8:O1087)+1,"")</f>
        <v/>
      </c>
      <c r="P1088" s="17" t="str">
        <f ca="1">IF(AND(L1088=-1,L1087&lt;&gt;-1),MAX($P$8:P1087)+1,"")</f>
        <v/>
      </c>
      <c r="Q1088" s="24" t="str">
        <f ca="1">IF(AND(L1088&lt;&gt;-1,L1087=-1),MAX($Q$8:Q1087)+1,"")</f>
        <v/>
      </c>
    </row>
    <row r="1089" spans="1:17" x14ac:dyDescent="0.3">
      <c r="A1089" s="3">
        <v>41786</v>
      </c>
      <c r="B1089" s="9">
        <v>12.774634000000001</v>
      </c>
      <c r="C1089" s="9">
        <v>10.348926000000001</v>
      </c>
      <c r="E1089" s="14">
        <f t="shared" si="116"/>
        <v>1.2343922451469844</v>
      </c>
      <c r="F1089" s="18">
        <f t="shared" ca="1" si="115"/>
        <v>1.5480183381220323</v>
      </c>
      <c r="G1089" s="15">
        <f t="shared" ca="1" si="120"/>
        <v>1.2105211616333031</v>
      </c>
      <c r="H1089" s="15">
        <f t="shared" ca="1" si="121"/>
        <v>1.5420413909721715E-2</v>
      </c>
      <c r="J1089" s="17">
        <f t="shared" ca="1" si="117"/>
        <v>1</v>
      </c>
      <c r="K1089" s="24">
        <f t="shared" ca="1" si="118"/>
        <v>0</v>
      </c>
      <c r="L1089" s="17">
        <f t="shared" ca="1" si="119"/>
        <v>1</v>
      </c>
      <c r="N1089" s="24">
        <f ca="1">IF(AND(L1089=1,L1088&lt;&gt;1),MAX($N$8:N1088)+1,"")</f>
        <v>31</v>
      </c>
      <c r="O1089" s="24" t="str">
        <f ca="1">IF(AND(L1089&lt;&gt;1,L1088=1),MAX($O$8:O1088)+1,"")</f>
        <v/>
      </c>
      <c r="P1089" s="17" t="str">
        <f ca="1">IF(AND(L1089=-1,L1088&lt;&gt;-1),MAX($P$8:P1088)+1,"")</f>
        <v/>
      </c>
      <c r="Q1089" s="24" t="str">
        <f ca="1">IF(AND(L1089&lt;&gt;-1,L1088=-1),MAX($Q$8:Q1088)+1,"")</f>
        <v/>
      </c>
    </row>
    <row r="1090" spans="1:17" x14ac:dyDescent="0.3">
      <c r="A1090" s="3">
        <v>41787</v>
      </c>
      <c r="B1090" s="9">
        <v>13.007249</v>
      </c>
      <c r="C1090" s="9">
        <v>10.455038999999999</v>
      </c>
      <c r="E1090" s="14">
        <f t="shared" si="116"/>
        <v>1.2441129105305107</v>
      </c>
      <c r="F1090" s="18">
        <f t="shared" ref="F1090:F1153" ca="1" si="122">IF(ISNUMBER(G1090),(E1090-G1090)/H1090,"")</f>
        <v>1.9542085220580119</v>
      </c>
      <c r="G1090" s="15">
        <f t="shared" ca="1" si="120"/>
        <v>1.2114265758093041</v>
      </c>
      <c r="H1090" s="15">
        <f t="shared" ca="1" si="121"/>
        <v>1.6726124337429437E-2</v>
      </c>
      <c r="J1090" s="17">
        <f t="shared" ca="1" si="117"/>
        <v>1</v>
      </c>
      <c r="K1090" s="24">
        <f t="shared" ca="1" si="118"/>
        <v>0</v>
      </c>
      <c r="L1090" s="17">
        <f t="shared" ca="1" si="119"/>
        <v>1</v>
      </c>
      <c r="N1090" s="24" t="str">
        <f ca="1">IF(AND(L1090=1,L1089&lt;&gt;1),MAX($N$8:N1089)+1,"")</f>
        <v/>
      </c>
      <c r="O1090" s="24" t="str">
        <f ca="1">IF(AND(L1090&lt;&gt;1,L1089=1),MAX($O$8:O1089)+1,"")</f>
        <v/>
      </c>
      <c r="P1090" s="17" t="str">
        <f ca="1">IF(AND(L1090=-1,L1089&lt;&gt;-1),MAX($P$8:P1089)+1,"")</f>
        <v/>
      </c>
      <c r="Q1090" s="24" t="str">
        <f ca="1">IF(AND(L1090&lt;&gt;-1,L1089=-1),MAX($Q$8:Q1089)+1,"")</f>
        <v/>
      </c>
    </row>
    <row r="1091" spans="1:17" x14ac:dyDescent="0.3">
      <c r="A1091" s="3">
        <v>41788</v>
      </c>
      <c r="B1091" s="9">
        <v>12.810428</v>
      </c>
      <c r="C1091" s="9">
        <v>10.342489</v>
      </c>
      <c r="E1091" s="14">
        <f t="shared" ref="E1091:E1154" si="123">IF(ISNUMBER(B1091),B1091/C1091,"")</f>
        <v>1.2386213802112818</v>
      </c>
      <c r="F1091" s="18">
        <f t="shared" ca="1" si="122"/>
        <v>1.5586320557599207</v>
      </c>
      <c r="G1091" s="15">
        <f t="shared" ca="1" si="120"/>
        <v>1.2117875570938059</v>
      </c>
      <c r="H1091" s="15">
        <f t="shared" ca="1" si="121"/>
        <v>1.7216265390097373E-2</v>
      </c>
      <c r="J1091" s="17">
        <f t="shared" ca="1" si="117"/>
        <v>1</v>
      </c>
      <c r="K1091" s="24">
        <f t="shared" ca="1" si="118"/>
        <v>0</v>
      </c>
      <c r="L1091" s="17">
        <f t="shared" ca="1" si="119"/>
        <v>1</v>
      </c>
      <c r="N1091" s="24" t="str">
        <f ca="1">IF(AND(L1091=1,L1090&lt;&gt;1),MAX($N$8:N1090)+1,"")</f>
        <v/>
      </c>
      <c r="O1091" s="24" t="str">
        <f ca="1">IF(AND(L1091&lt;&gt;1,L1090=1),MAX($O$8:O1090)+1,"")</f>
        <v/>
      </c>
      <c r="P1091" s="17" t="str">
        <f ca="1">IF(AND(L1091=-1,L1090&lt;&gt;-1),MAX($P$8:P1090)+1,"")</f>
        <v/>
      </c>
      <c r="Q1091" s="24" t="str">
        <f ca="1">IF(AND(L1091&lt;&gt;-1,L1090=-1),MAX($Q$8:Q1090)+1,"")</f>
        <v/>
      </c>
    </row>
    <row r="1092" spans="1:17" x14ac:dyDescent="0.3">
      <c r="A1092" s="3">
        <v>41789</v>
      </c>
      <c r="B1092" s="9">
        <v>12.452578000000001</v>
      </c>
      <c r="C1092" s="9">
        <v>10.030792999999999</v>
      </c>
      <c r="E1092" s="14">
        <f t="shared" si="123"/>
        <v>1.2414350490534498</v>
      </c>
      <c r="F1092" s="18">
        <f t="shared" ca="1" si="122"/>
        <v>1.5805432650282614</v>
      </c>
      <c r="G1092" s="15">
        <f t="shared" ca="1" si="120"/>
        <v>1.2126797990447111</v>
      </c>
      <c r="H1092" s="15">
        <f t="shared" ca="1" si="121"/>
        <v>1.8193269773114702E-2</v>
      </c>
      <c r="J1092" s="17">
        <f t="shared" ca="1" si="117"/>
        <v>1</v>
      </c>
      <c r="K1092" s="24">
        <f t="shared" ca="1" si="118"/>
        <v>0</v>
      </c>
      <c r="L1092" s="17">
        <f t="shared" ca="1" si="119"/>
        <v>1</v>
      </c>
      <c r="N1092" s="24" t="str">
        <f ca="1">IF(AND(L1092=1,L1091&lt;&gt;1),MAX($N$8:N1091)+1,"")</f>
        <v/>
      </c>
      <c r="O1092" s="24" t="str">
        <f ca="1">IF(AND(L1092&lt;&gt;1,L1091=1),MAX($O$8:O1091)+1,"")</f>
        <v/>
      </c>
      <c r="P1092" s="17" t="str">
        <f ca="1">IF(AND(L1092=-1,L1091&lt;&gt;-1),MAX($P$8:P1091)+1,"")</f>
        <v/>
      </c>
      <c r="Q1092" s="24" t="str">
        <f ca="1">IF(AND(L1092&lt;&gt;-1,L1091=-1),MAX($Q$8:Q1091)+1,"")</f>
        <v/>
      </c>
    </row>
    <row r="1093" spans="1:17" x14ac:dyDescent="0.3">
      <c r="A1093" s="3">
        <v>41792</v>
      </c>
      <c r="B1093" s="9">
        <v>12.542097999999999</v>
      </c>
      <c r="C1093" s="9">
        <v>10.043602</v>
      </c>
      <c r="E1093" s="14">
        <f t="shared" si="123"/>
        <v>1.2487649351298469</v>
      </c>
      <c r="F1093" s="18">
        <f t="shared" ca="1" si="122"/>
        <v>1.8360715564918095</v>
      </c>
      <c r="G1093" s="15">
        <f t="shared" ca="1" si="120"/>
        <v>1.2133991903021164</v>
      </c>
      <c r="H1093" s="15">
        <f t="shared" ca="1" si="121"/>
        <v>1.9261637544946215E-2</v>
      </c>
      <c r="J1093" s="17">
        <f t="shared" ca="1" si="117"/>
        <v>1</v>
      </c>
      <c r="K1093" s="24">
        <f t="shared" ca="1" si="118"/>
        <v>0</v>
      </c>
      <c r="L1093" s="17">
        <f t="shared" ca="1" si="119"/>
        <v>1</v>
      </c>
      <c r="N1093" s="24" t="str">
        <f ca="1">IF(AND(L1093=1,L1092&lt;&gt;1),MAX($N$8:N1092)+1,"")</f>
        <v/>
      </c>
      <c r="O1093" s="24" t="str">
        <f ca="1">IF(AND(L1093&lt;&gt;1,L1092=1),MAX($O$8:O1092)+1,"")</f>
        <v/>
      </c>
      <c r="P1093" s="17" t="str">
        <f ca="1">IF(AND(L1093=-1,L1092&lt;&gt;-1),MAX($P$8:P1092)+1,"")</f>
        <v/>
      </c>
      <c r="Q1093" s="24" t="str">
        <f ca="1">IF(AND(L1093&lt;&gt;-1,L1092=-1),MAX($Q$8:Q1092)+1,"")</f>
        <v/>
      </c>
    </row>
    <row r="1094" spans="1:17" x14ac:dyDescent="0.3">
      <c r="A1094" s="3">
        <v>41793</v>
      </c>
      <c r="B1094" s="9">
        <v>12.617319</v>
      </c>
      <c r="C1094" s="9">
        <v>10.138121999999999</v>
      </c>
      <c r="E1094" s="14">
        <f t="shared" si="123"/>
        <v>1.2445420364836803</v>
      </c>
      <c r="F1094" s="18">
        <f t="shared" ca="1" si="122"/>
        <v>1.5488972796758396</v>
      </c>
      <c r="G1094" s="15">
        <f t="shared" ca="1" si="120"/>
        <v>1.2138239481962918</v>
      </c>
      <c r="H1094" s="15">
        <f t="shared" ca="1" si="121"/>
        <v>1.9832230768600329E-2</v>
      </c>
      <c r="J1094" s="17">
        <f t="shared" ca="1" si="117"/>
        <v>1</v>
      </c>
      <c r="K1094" s="24">
        <f t="shared" ca="1" si="118"/>
        <v>0</v>
      </c>
      <c r="L1094" s="17">
        <f t="shared" ca="1" si="119"/>
        <v>1</v>
      </c>
      <c r="N1094" s="24" t="str">
        <f ca="1">IF(AND(L1094=1,L1093&lt;&gt;1),MAX($N$8:N1093)+1,"")</f>
        <v/>
      </c>
      <c r="O1094" s="24" t="str">
        <f ca="1">IF(AND(L1094&lt;&gt;1,L1093=1),MAX($O$8:O1093)+1,"")</f>
        <v/>
      </c>
      <c r="P1094" s="17" t="str">
        <f ca="1">IF(AND(L1094=-1,L1093&lt;&gt;-1),MAX($P$8:P1093)+1,"")</f>
        <v/>
      </c>
      <c r="Q1094" s="24" t="str">
        <f ca="1">IF(AND(L1094&lt;&gt;-1,L1093=-1),MAX($Q$8:Q1093)+1,"")</f>
        <v/>
      </c>
    </row>
    <row r="1095" spans="1:17" x14ac:dyDescent="0.3">
      <c r="A1095" s="3">
        <v>41794</v>
      </c>
      <c r="B1095" s="9">
        <v>12.474028000000001</v>
      </c>
      <c r="C1095" s="9">
        <v>10.051197999999999</v>
      </c>
      <c r="E1095" s="14">
        <f t="shared" si="123"/>
        <v>1.241048877954648</v>
      </c>
      <c r="F1095" s="18">
        <f t="shared" ca="1" si="122"/>
        <v>1.3043873352877908</v>
      </c>
      <c r="G1095" s="15">
        <f t="shared" ca="1" si="120"/>
        <v>1.2144057738437246</v>
      </c>
      <c r="H1095" s="15">
        <f t="shared" ca="1" si="121"/>
        <v>2.0425761114159439E-2</v>
      </c>
      <c r="J1095" s="17">
        <f t="shared" ca="1" si="117"/>
        <v>1</v>
      </c>
      <c r="K1095" s="24">
        <f t="shared" ca="1" si="118"/>
        <v>0</v>
      </c>
      <c r="L1095" s="17">
        <f t="shared" ca="1" si="119"/>
        <v>1</v>
      </c>
      <c r="N1095" s="24" t="str">
        <f ca="1">IF(AND(L1095=1,L1094&lt;&gt;1),MAX($N$8:N1094)+1,"")</f>
        <v/>
      </c>
      <c r="O1095" s="24" t="str">
        <f ca="1">IF(AND(L1095&lt;&gt;1,L1094=1),MAX($O$8:O1094)+1,"")</f>
        <v/>
      </c>
      <c r="P1095" s="17" t="str">
        <f ca="1">IF(AND(L1095=-1,L1094&lt;&gt;-1),MAX($P$8:P1094)+1,"")</f>
        <v/>
      </c>
      <c r="Q1095" s="24" t="str">
        <f ca="1">IF(AND(L1095&lt;&gt;-1,L1094=-1),MAX($Q$8:Q1094)+1,"")</f>
        <v/>
      </c>
    </row>
    <row r="1096" spans="1:17" x14ac:dyDescent="0.3">
      <c r="A1096" s="3">
        <v>41795</v>
      </c>
      <c r="B1096" s="9">
        <v>12.309281</v>
      </c>
      <c r="C1096" s="9">
        <v>9.9739799999999992</v>
      </c>
      <c r="E1096" s="14">
        <f t="shared" si="123"/>
        <v>1.2341393305380601</v>
      </c>
      <c r="F1096" s="18">
        <f t="shared" ca="1" si="122"/>
        <v>0.89277239044428491</v>
      </c>
      <c r="G1096" s="15">
        <f t="shared" ca="1" si="120"/>
        <v>1.2155899452587076</v>
      </c>
      <c r="H1096" s="15">
        <f t="shared" ca="1" si="121"/>
        <v>2.0777283748796865E-2</v>
      </c>
      <c r="J1096" s="17">
        <f t="shared" ref="J1096:J1159" ca="1" si="124">IF(ISNUMBER(F1096),IF(AND(J1095&lt;&gt;1,F1096&gt;$L$1),1,IF(AND(J1095=1,F1096&gt;$N$1),1,0)),"")</f>
        <v>1</v>
      </c>
      <c r="K1096" s="24">
        <f t="shared" ca="1" si="118"/>
        <v>0</v>
      </c>
      <c r="L1096" s="17">
        <f t="shared" ca="1" si="119"/>
        <v>1</v>
      </c>
      <c r="N1096" s="24" t="str">
        <f ca="1">IF(AND(L1096=1,L1095&lt;&gt;1),MAX($N$8:N1095)+1,"")</f>
        <v/>
      </c>
      <c r="O1096" s="24" t="str">
        <f ca="1">IF(AND(L1096&lt;&gt;1,L1095=1),MAX($O$8:O1095)+1,"")</f>
        <v/>
      </c>
      <c r="P1096" s="17" t="str">
        <f ca="1">IF(AND(L1096=-1,L1095&lt;&gt;-1),MAX($P$8:P1095)+1,"")</f>
        <v/>
      </c>
      <c r="Q1096" s="24" t="str">
        <f ca="1">IF(AND(L1096&lt;&gt;-1,L1095=-1),MAX($Q$8:Q1095)+1,"")</f>
        <v/>
      </c>
    </row>
    <row r="1097" spans="1:17" x14ac:dyDescent="0.3">
      <c r="A1097" s="3">
        <v>41796</v>
      </c>
      <c r="B1097" s="9">
        <v>12.85871</v>
      </c>
      <c r="C1097" s="9">
        <v>10.459958</v>
      </c>
      <c r="E1097" s="14">
        <f t="shared" si="123"/>
        <v>1.2293271158450159</v>
      </c>
      <c r="F1097" s="18">
        <f t="shared" ca="1" si="122"/>
        <v>0.60257602632355334</v>
      </c>
      <c r="G1097" s="15">
        <f t="shared" ca="1" si="120"/>
        <v>1.2168231274066206</v>
      </c>
      <c r="H1097" s="15">
        <f t="shared" ca="1" si="121"/>
        <v>2.075088933538366E-2</v>
      </c>
      <c r="J1097" s="17">
        <f t="shared" ca="1" si="124"/>
        <v>1</v>
      </c>
      <c r="K1097" s="24">
        <f t="shared" ref="K1097:K1160" ca="1" si="125">IF(ISNUMBER(F1097),IF(AND(K1096&lt;&gt;-1,F1097&lt;$P$1),-1,IF(AND(K1096=-1,F1097&lt;R1090),-1,0)),"")</f>
        <v>0</v>
      </c>
      <c r="L1097" s="17">
        <f t="shared" ref="L1097:L1160" ca="1" si="126">IF(ISNUMBER(F1097),IF(J1097=1,1,IF(K1097=-1,-1,0)),"")</f>
        <v>1</v>
      </c>
      <c r="N1097" s="24" t="str">
        <f ca="1">IF(AND(L1097=1,L1096&lt;&gt;1),MAX($N$8:N1096)+1,"")</f>
        <v/>
      </c>
      <c r="O1097" s="24" t="str">
        <f ca="1">IF(AND(L1097&lt;&gt;1,L1096=1),MAX($O$8:O1096)+1,"")</f>
        <v/>
      </c>
      <c r="P1097" s="17" t="str">
        <f ca="1">IF(AND(L1097=-1,L1096&lt;&gt;-1),MAX($P$8:P1096)+1,"")</f>
        <v/>
      </c>
      <c r="Q1097" s="24" t="str">
        <f ca="1">IF(AND(L1097&lt;&gt;-1,L1096=-1),MAX($Q$8:Q1096)+1,"")</f>
        <v/>
      </c>
    </row>
    <row r="1098" spans="1:17" x14ac:dyDescent="0.3">
      <c r="A1098" s="3">
        <v>41799</v>
      </c>
      <c r="B1098" s="9">
        <v>13.343292999999999</v>
      </c>
      <c r="C1098" s="9">
        <v>10.743183999999999</v>
      </c>
      <c r="E1098" s="14">
        <f t="shared" si="123"/>
        <v>1.2420240591616043</v>
      </c>
      <c r="F1098" s="18">
        <f t="shared" ca="1" si="122"/>
        <v>1.1070682448803062</v>
      </c>
      <c r="G1098" s="15">
        <f t="shared" ca="1" si="120"/>
        <v>1.2188658939938357</v>
      </c>
      <c r="H1098" s="15">
        <f t="shared" ca="1" si="121"/>
        <v>2.0918462140762061E-2</v>
      </c>
      <c r="J1098" s="17">
        <f t="shared" ca="1" si="124"/>
        <v>1</v>
      </c>
      <c r="K1098" s="24">
        <f t="shared" ca="1" si="125"/>
        <v>0</v>
      </c>
      <c r="L1098" s="17">
        <f t="shared" ca="1" si="126"/>
        <v>1</v>
      </c>
      <c r="N1098" s="24" t="str">
        <f ca="1">IF(AND(L1098=1,L1097&lt;&gt;1),MAX($N$8:N1097)+1,"")</f>
        <v/>
      </c>
      <c r="O1098" s="24" t="str">
        <f ca="1">IF(AND(L1098&lt;&gt;1,L1097=1),MAX($O$8:O1097)+1,"")</f>
        <v/>
      </c>
      <c r="P1098" s="17" t="str">
        <f ca="1">IF(AND(L1098=-1,L1097&lt;&gt;-1),MAX($P$8:P1097)+1,"")</f>
        <v/>
      </c>
      <c r="Q1098" s="24" t="str">
        <f ca="1">IF(AND(L1098&lt;&gt;-1,L1097=-1),MAX($Q$8:Q1097)+1,"")</f>
        <v/>
      </c>
    </row>
    <row r="1099" spans="1:17" x14ac:dyDescent="0.3">
      <c r="A1099" s="3">
        <v>41800</v>
      </c>
      <c r="B1099" s="9">
        <v>13.30782</v>
      </c>
      <c r="C1099" s="9">
        <v>10.958826</v>
      </c>
      <c r="E1099" s="14">
        <f t="shared" si="123"/>
        <v>1.2143472302598837</v>
      </c>
      <c r="F1099" s="18">
        <f t="shared" ca="1" si="122"/>
        <v>-0.26163288294419612</v>
      </c>
      <c r="G1099" s="15">
        <f t="shared" ca="1" si="120"/>
        <v>1.219677670182467</v>
      </c>
      <c r="H1099" s="15">
        <f t="shared" ca="1" si="121"/>
        <v>2.0373738433025031E-2</v>
      </c>
      <c r="J1099" s="17">
        <f t="shared" ca="1" si="124"/>
        <v>0</v>
      </c>
      <c r="K1099" s="24">
        <f t="shared" ca="1" si="125"/>
        <v>0</v>
      </c>
      <c r="L1099" s="17">
        <f t="shared" ca="1" si="126"/>
        <v>0</v>
      </c>
      <c r="N1099" s="24" t="str">
        <f ca="1">IF(AND(L1099=1,L1098&lt;&gt;1),MAX($N$8:N1098)+1,"")</f>
        <v/>
      </c>
      <c r="O1099" s="24">
        <f ca="1">IF(AND(L1099&lt;&gt;1,L1098=1),MAX($O$8:O1098)+1,"")</f>
        <v>31</v>
      </c>
      <c r="P1099" s="17" t="str">
        <f ca="1">IF(AND(L1099=-1,L1098&lt;&gt;-1),MAX($P$8:P1098)+1,"")</f>
        <v/>
      </c>
      <c r="Q1099" s="24" t="str">
        <f ca="1">IF(AND(L1099&lt;&gt;-1,L1098=-1),MAX($Q$8:Q1098)+1,"")</f>
        <v/>
      </c>
    </row>
    <row r="1100" spans="1:17" x14ac:dyDescent="0.3">
      <c r="A1100" s="3">
        <v>41801</v>
      </c>
      <c r="B1100" s="9">
        <v>13.583546999999999</v>
      </c>
      <c r="C1100" s="9">
        <v>11.077912</v>
      </c>
      <c r="E1100" s="14">
        <f t="shared" si="123"/>
        <v>1.226182966609592</v>
      </c>
      <c r="F1100" s="18">
        <f t="shared" ca="1" si="122"/>
        <v>0.26300947071588687</v>
      </c>
      <c r="G1100" s="15">
        <f t="shared" ca="1" si="120"/>
        <v>1.2209638744817566</v>
      </c>
      <c r="H1100" s="15">
        <f t="shared" ca="1" si="121"/>
        <v>1.9843742180194388E-2</v>
      </c>
      <c r="J1100" s="17">
        <f t="shared" ca="1" si="124"/>
        <v>0</v>
      </c>
      <c r="K1100" s="24">
        <f t="shared" ca="1" si="125"/>
        <v>0</v>
      </c>
      <c r="L1100" s="17">
        <f t="shared" ca="1" si="126"/>
        <v>0</v>
      </c>
      <c r="N1100" s="24" t="str">
        <f ca="1">IF(AND(L1100=1,L1099&lt;&gt;1),MAX($N$8:N1099)+1,"")</f>
        <v/>
      </c>
      <c r="O1100" s="24" t="str">
        <f ca="1">IF(AND(L1100&lt;&gt;1,L1099=1),MAX($O$8:O1099)+1,"")</f>
        <v/>
      </c>
      <c r="P1100" s="17" t="str">
        <f ca="1">IF(AND(L1100=-1,L1099&lt;&gt;-1),MAX($P$8:P1099)+1,"")</f>
        <v/>
      </c>
      <c r="Q1100" s="24" t="str">
        <f ca="1">IF(AND(L1100&lt;&gt;-1,L1099=-1),MAX($Q$8:Q1099)+1,"")</f>
        <v/>
      </c>
    </row>
    <row r="1101" spans="1:17" x14ac:dyDescent="0.3">
      <c r="A1101" s="3">
        <v>41803</v>
      </c>
      <c r="B1101" s="9">
        <v>13.508747</v>
      </c>
      <c r="C1101" s="9">
        <v>11.052194</v>
      </c>
      <c r="E1101" s="14">
        <f t="shared" si="123"/>
        <v>1.2222683568529469</v>
      </c>
      <c r="F1101" s="18">
        <f t="shared" ca="1" si="122"/>
        <v>6.6733581487537219E-3</v>
      </c>
      <c r="G1101" s="15">
        <f t="shared" ca="1" si="120"/>
        <v>1.2221408655374246</v>
      </c>
      <c r="H1101" s="15">
        <f t="shared" ca="1" si="121"/>
        <v>1.9104521693633979E-2</v>
      </c>
      <c r="J1101" s="17">
        <f t="shared" ca="1" si="124"/>
        <v>0</v>
      </c>
      <c r="K1101" s="24">
        <f t="shared" ca="1" si="125"/>
        <v>0</v>
      </c>
      <c r="L1101" s="17">
        <f t="shared" ca="1" si="126"/>
        <v>0</v>
      </c>
      <c r="N1101" s="24" t="str">
        <f ca="1">IF(AND(L1101=1,L1100&lt;&gt;1),MAX($N$8:N1100)+1,"")</f>
        <v/>
      </c>
      <c r="O1101" s="24" t="str">
        <f ca="1">IF(AND(L1101&lt;&gt;1,L1100=1),MAX($O$8:O1100)+1,"")</f>
        <v/>
      </c>
      <c r="P1101" s="17" t="str">
        <f ca="1">IF(AND(L1101=-1,L1100&lt;&gt;-1),MAX($P$8:P1100)+1,"")</f>
        <v/>
      </c>
      <c r="Q1101" s="24" t="str">
        <f ca="1">IF(AND(L1101&lt;&gt;-1,L1100=-1),MAX($Q$8:Q1100)+1,"")</f>
        <v/>
      </c>
    </row>
    <row r="1102" spans="1:17" x14ac:dyDescent="0.3">
      <c r="A1102" s="3">
        <v>41806</v>
      </c>
      <c r="B1102" s="9">
        <v>13.418084</v>
      </c>
      <c r="C1102" s="9">
        <v>11.042495000000001</v>
      </c>
      <c r="E1102" s="14">
        <f t="shared" si="123"/>
        <v>1.2151315440939752</v>
      </c>
      <c r="F1102" s="18">
        <f t="shared" ca="1" si="122"/>
        <v>-0.49989956327659485</v>
      </c>
      <c r="G1102" s="15">
        <f t="shared" ca="1" si="120"/>
        <v>1.2236570585952944</v>
      </c>
      <c r="H1102" s="15">
        <f t="shared" ca="1" si="121"/>
        <v>1.7054454789755528E-2</v>
      </c>
      <c r="J1102" s="17">
        <f t="shared" ca="1" si="124"/>
        <v>0</v>
      </c>
      <c r="K1102" s="24">
        <f t="shared" ca="1" si="125"/>
        <v>0</v>
      </c>
      <c r="L1102" s="17">
        <f t="shared" ca="1" si="126"/>
        <v>0</v>
      </c>
      <c r="N1102" s="24" t="str">
        <f ca="1">IF(AND(L1102=1,L1101&lt;&gt;1),MAX($N$8:N1101)+1,"")</f>
        <v/>
      </c>
      <c r="O1102" s="24" t="str">
        <f ca="1">IF(AND(L1102&lt;&gt;1,L1101=1),MAX($O$8:O1101)+1,"")</f>
        <v/>
      </c>
      <c r="P1102" s="17" t="str">
        <f ca="1">IF(AND(L1102=-1,L1101&lt;&gt;-1),MAX($P$8:P1101)+1,"")</f>
        <v/>
      </c>
      <c r="Q1102" s="24" t="str">
        <f ca="1">IF(AND(L1102&lt;&gt;-1,L1101=-1),MAX($Q$8:Q1101)+1,"")</f>
        <v/>
      </c>
    </row>
    <row r="1103" spans="1:17" x14ac:dyDescent="0.3">
      <c r="A1103" s="3">
        <v>41807</v>
      </c>
      <c r="B1103" s="9">
        <v>13.240826</v>
      </c>
      <c r="C1103" s="9">
        <v>10.894499</v>
      </c>
      <c r="E1103" s="14">
        <f t="shared" si="123"/>
        <v>1.2153680495082886</v>
      </c>
      <c r="F1103" s="18">
        <f t="shared" ca="1" si="122"/>
        <v>-0.62174971543160096</v>
      </c>
      <c r="G1103" s="15">
        <f t="shared" ca="1" si="120"/>
        <v>1.2248974085048385</v>
      </c>
      <c r="H1103" s="15">
        <f t="shared" ca="1" si="121"/>
        <v>1.5326680109431062E-2</v>
      </c>
      <c r="J1103" s="17">
        <f t="shared" ca="1" si="124"/>
        <v>0</v>
      </c>
      <c r="K1103" s="24">
        <f t="shared" ca="1" si="125"/>
        <v>0</v>
      </c>
      <c r="L1103" s="17">
        <f t="shared" ca="1" si="126"/>
        <v>0</v>
      </c>
      <c r="N1103" s="24" t="str">
        <f ca="1">IF(AND(L1103=1,L1102&lt;&gt;1),MAX($N$8:N1102)+1,"")</f>
        <v/>
      </c>
      <c r="O1103" s="24" t="str">
        <f ca="1">IF(AND(L1103&lt;&gt;1,L1102=1),MAX($O$8:O1102)+1,"")</f>
        <v/>
      </c>
      <c r="P1103" s="17" t="str">
        <f ca="1">IF(AND(L1103=-1,L1102&lt;&gt;-1),MAX($P$8:P1102)+1,"")</f>
        <v/>
      </c>
      <c r="Q1103" s="24" t="str">
        <f ca="1">IF(AND(L1103&lt;&gt;-1,L1102=-1),MAX($Q$8:Q1102)+1,"")</f>
        <v/>
      </c>
    </row>
    <row r="1104" spans="1:17" x14ac:dyDescent="0.3">
      <c r="A1104" s="3">
        <v>41808</v>
      </c>
      <c r="B1104" s="9">
        <v>13.422010999999999</v>
      </c>
      <c r="C1104" s="9">
        <v>11.084355</v>
      </c>
      <c r="E1104" s="14">
        <f t="shared" si="123"/>
        <v>1.2108968902565822</v>
      </c>
      <c r="F1104" s="18">
        <f t="shared" ca="1" si="122"/>
        <v>-1.0475754156059116</v>
      </c>
      <c r="G1104" s="15">
        <f t="shared" ca="1" si="120"/>
        <v>1.2256774281050211</v>
      </c>
      <c r="H1104" s="15">
        <f t="shared" ca="1" si="121"/>
        <v>1.4109282852814882E-2</v>
      </c>
      <c r="J1104" s="17">
        <f t="shared" ca="1" si="124"/>
        <v>0</v>
      </c>
      <c r="K1104" s="24">
        <f t="shared" ca="1" si="125"/>
        <v>-1</v>
      </c>
      <c r="L1104" s="17">
        <f t="shared" ca="1" si="126"/>
        <v>-1</v>
      </c>
      <c r="N1104" s="24" t="str">
        <f ca="1">IF(AND(L1104=1,L1103&lt;&gt;1),MAX($N$8:N1103)+1,"")</f>
        <v/>
      </c>
      <c r="O1104" s="24" t="str">
        <f ca="1">IF(AND(L1104&lt;&gt;1,L1103=1),MAX($O$8:O1103)+1,"")</f>
        <v/>
      </c>
      <c r="P1104" s="17">
        <f ca="1">IF(AND(L1104=-1,L1103&lt;&gt;-1),MAX($P$8:P1103)+1,"")</f>
        <v>42</v>
      </c>
      <c r="Q1104" s="24" t="str">
        <f ca="1">IF(AND(L1104&lt;&gt;-1,L1103=-1),MAX($Q$8:Q1103)+1,"")</f>
        <v/>
      </c>
    </row>
    <row r="1105" spans="1:17" x14ac:dyDescent="0.3">
      <c r="A1105" s="3">
        <v>41810</v>
      </c>
      <c r="B1105" s="9">
        <v>13.225095</v>
      </c>
      <c r="C1105" s="9">
        <v>11.055384999999999</v>
      </c>
      <c r="E1105" s="14">
        <f t="shared" si="123"/>
        <v>1.1962582035813316</v>
      </c>
      <c r="F1105" s="18">
        <f t="shared" ca="1" si="122"/>
        <v>-1.961732296897035</v>
      </c>
      <c r="G1105" s="15">
        <f t="shared" ca="1" si="120"/>
        <v>1.2252793118758094</v>
      </c>
      <c r="H1105" s="15">
        <f t="shared" ca="1" si="121"/>
        <v>1.4793612941165242E-2</v>
      </c>
      <c r="J1105" s="17">
        <f t="shared" ca="1" si="124"/>
        <v>0</v>
      </c>
      <c r="K1105" s="24">
        <f t="shared" ca="1" si="125"/>
        <v>-1</v>
      </c>
      <c r="L1105" s="17">
        <f t="shared" ca="1" si="126"/>
        <v>-1</v>
      </c>
      <c r="N1105" s="24" t="str">
        <f ca="1">IF(AND(L1105=1,L1104&lt;&gt;1),MAX($N$8:N1104)+1,"")</f>
        <v/>
      </c>
      <c r="O1105" s="24" t="str">
        <f ca="1">IF(AND(L1105&lt;&gt;1,L1104=1),MAX($O$8:O1104)+1,"")</f>
        <v/>
      </c>
      <c r="P1105" s="17" t="str">
        <f ca="1">IF(AND(L1105=-1,L1104&lt;&gt;-1),MAX($P$8:P1104)+1,"")</f>
        <v/>
      </c>
      <c r="Q1105" s="24" t="str">
        <f ca="1">IF(AND(L1105&lt;&gt;-1,L1104=-1),MAX($Q$8:Q1104)+1,"")</f>
        <v/>
      </c>
    </row>
    <row r="1106" spans="1:17" x14ac:dyDescent="0.3">
      <c r="A1106" s="3">
        <v>41813</v>
      </c>
      <c r="B1106" s="9">
        <v>13.12656</v>
      </c>
      <c r="C1106" s="9">
        <v>10.965272000000001</v>
      </c>
      <c r="E1106" s="14">
        <f t="shared" si="123"/>
        <v>1.1971029993601616</v>
      </c>
      <c r="F1106" s="18">
        <f t="shared" ca="1" si="122"/>
        <v>-1.8065239647521505</v>
      </c>
      <c r="G1106" s="15">
        <f t="shared" ca="1" si="120"/>
        <v>1.2249028028622524</v>
      </c>
      <c r="H1106" s="15">
        <f t="shared" ca="1" si="121"/>
        <v>1.5388560597315307E-2</v>
      </c>
      <c r="J1106" s="17">
        <f t="shared" ca="1" si="124"/>
        <v>0</v>
      </c>
      <c r="K1106" s="24">
        <f t="shared" ca="1" si="125"/>
        <v>-1</v>
      </c>
      <c r="L1106" s="17">
        <f t="shared" ca="1" si="126"/>
        <v>-1</v>
      </c>
      <c r="N1106" s="24" t="str">
        <f ca="1">IF(AND(L1106=1,L1105&lt;&gt;1),MAX($N$8:N1105)+1,"")</f>
        <v/>
      </c>
      <c r="O1106" s="24" t="str">
        <f ca="1">IF(AND(L1106&lt;&gt;1,L1105=1),MAX($O$8:O1105)+1,"")</f>
        <v/>
      </c>
      <c r="P1106" s="17" t="str">
        <f ca="1">IF(AND(L1106=-1,L1105&lt;&gt;-1),MAX($P$8:P1105)+1,"")</f>
        <v/>
      </c>
      <c r="Q1106" s="24" t="str">
        <f ca="1">IF(AND(L1106&lt;&gt;-1,L1105=-1),MAX($Q$8:Q1105)+1,"")</f>
        <v/>
      </c>
    </row>
    <row r="1107" spans="1:17" x14ac:dyDescent="0.3">
      <c r="A1107" s="3">
        <v>41814</v>
      </c>
      <c r="B1107" s="9">
        <v>13.150233999999999</v>
      </c>
      <c r="C1107" s="9">
        <v>11.068279</v>
      </c>
      <c r="E1107" s="14">
        <f t="shared" si="123"/>
        <v>1.1881010588909078</v>
      </c>
      <c r="F1107" s="18">
        <f t="shared" ca="1" si="122"/>
        <v>-2.1090701199443949</v>
      </c>
      <c r="G1107" s="15">
        <f t="shared" ca="1" si="120"/>
        <v>1.2238856251523702</v>
      </c>
      <c r="H1107" s="15">
        <f t="shared" ca="1" si="121"/>
        <v>1.696698745246359E-2</v>
      </c>
      <c r="J1107" s="17">
        <f t="shared" ca="1" si="124"/>
        <v>0</v>
      </c>
      <c r="K1107" s="24">
        <f t="shared" ca="1" si="125"/>
        <v>-1</v>
      </c>
      <c r="L1107" s="17">
        <f t="shared" ca="1" si="126"/>
        <v>-1</v>
      </c>
      <c r="N1107" s="24" t="str">
        <f ca="1">IF(AND(L1107=1,L1106&lt;&gt;1),MAX($N$8:N1106)+1,"")</f>
        <v/>
      </c>
      <c r="O1107" s="24" t="str">
        <f ca="1">IF(AND(L1107&lt;&gt;1,L1106=1),MAX($O$8:O1106)+1,"")</f>
        <v/>
      </c>
      <c r="P1107" s="17" t="str">
        <f ca="1">IF(AND(L1107=-1,L1106&lt;&gt;-1),MAX($P$8:P1106)+1,"")</f>
        <v/>
      </c>
      <c r="Q1107" s="24" t="str">
        <f ca="1">IF(AND(L1107&lt;&gt;-1,L1106=-1),MAX($Q$8:Q1106)+1,"")</f>
        <v/>
      </c>
    </row>
    <row r="1108" spans="1:17" x14ac:dyDescent="0.3">
      <c r="A1108" s="3">
        <v>41815</v>
      </c>
      <c r="B1108" s="9">
        <v>12.732654999999999</v>
      </c>
      <c r="C1108" s="9">
        <v>10.698746</v>
      </c>
      <c r="E1108" s="14">
        <f t="shared" si="123"/>
        <v>1.1901072331280693</v>
      </c>
      <c r="F1108" s="18">
        <f t="shared" ca="1" si="122"/>
        <v>-1.7941132307979888</v>
      </c>
      <c r="G1108" s="15">
        <f t="shared" ca="1" si="120"/>
        <v>1.2228526694137054</v>
      </c>
      <c r="H1108" s="15">
        <f t="shared" ca="1" si="121"/>
        <v>1.8251599577732067E-2</v>
      </c>
      <c r="J1108" s="17">
        <f t="shared" ca="1" si="124"/>
        <v>0</v>
      </c>
      <c r="K1108" s="24">
        <f t="shared" ca="1" si="125"/>
        <v>-1</v>
      </c>
      <c r="L1108" s="17">
        <f t="shared" ca="1" si="126"/>
        <v>-1</v>
      </c>
      <c r="N1108" s="24" t="str">
        <f ca="1">IF(AND(L1108=1,L1107&lt;&gt;1),MAX($N$8:N1107)+1,"")</f>
        <v/>
      </c>
      <c r="O1108" s="24" t="str">
        <f ca="1">IF(AND(L1108&lt;&gt;1,L1107=1),MAX($O$8:O1107)+1,"")</f>
        <v/>
      </c>
      <c r="P1108" s="17" t="str">
        <f ca="1">IF(AND(L1108=-1,L1107&lt;&gt;-1),MAX($P$8:P1107)+1,"")</f>
        <v/>
      </c>
      <c r="Q1108" s="24" t="str">
        <f ca="1">IF(AND(L1108&lt;&gt;-1,L1107=-1),MAX($Q$8:Q1107)+1,"")</f>
        <v/>
      </c>
    </row>
    <row r="1109" spans="1:17" x14ac:dyDescent="0.3">
      <c r="A1109" s="3">
        <v>41816</v>
      </c>
      <c r="B1109" s="9">
        <v>12.689323</v>
      </c>
      <c r="C1109" s="9">
        <v>10.675928000000001</v>
      </c>
      <c r="E1109" s="14">
        <f t="shared" si="123"/>
        <v>1.1885920362145566</v>
      </c>
      <c r="F1109" s="18">
        <f t="shared" ca="1" si="122"/>
        <v>-1.6957401311261766</v>
      </c>
      <c r="G1109" s="15">
        <f t="shared" ca="1" si="120"/>
        <v>1.2217090385374112</v>
      </c>
      <c r="H1109" s="15">
        <f t="shared" ca="1" si="121"/>
        <v>1.9529526791856332E-2</v>
      </c>
      <c r="J1109" s="17">
        <f t="shared" ca="1" si="124"/>
        <v>0</v>
      </c>
      <c r="K1109" s="24">
        <f t="shared" ca="1" si="125"/>
        <v>-1</v>
      </c>
      <c r="L1109" s="17">
        <f t="shared" ca="1" si="126"/>
        <v>-1</v>
      </c>
      <c r="N1109" s="24" t="str">
        <f ca="1">IF(AND(L1109=1,L1108&lt;&gt;1),MAX($N$8:N1108)+1,"")</f>
        <v/>
      </c>
      <c r="O1109" s="24" t="str">
        <f ca="1">IF(AND(L1109&lt;&gt;1,L1108=1),MAX($O$8:O1108)+1,"")</f>
        <v/>
      </c>
      <c r="P1109" s="17" t="str">
        <f ca="1">IF(AND(L1109=-1,L1108&lt;&gt;-1),MAX($P$8:P1108)+1,"")</f>
        <v/>
      </c>
      <c r="Q1109" s="24" t="str">
        <f ca="1">IF(AND(L1109&lt;&gt;-1,L1108=-1),MAX($Q$8:Q1108)+1,"")</f>
        <v/>
      </c>
    </row>
    <row r="1110" spans="1:17" x14ac:dyDescent="0.3">
      <c r="A1110" s="3">
        <v>41817</v>
      </c>
      <c r="B1110" s="9">
        <v>12.649922</v>
      </c>
      <c r="C1110" s="9">
        <v>10.558611000000001</v>
      </c>
      <c r="E1110" s="14">
        <f t="shared" si="123"/>
        <v>1.1980668669392214</v>
      </c>
      <c r="F1110" s="18">
        <f t="shared" ca="1" si="122"/>
        <v>-1.1382102549118742</v>
      </c>
      <c r="G1110" s="15">
        <f t="shared" ca="1" si="120"/>
        <v>1.2209468807159363</v>
      </c>
      <c r="H1110" s="15">
        <f t="shared" ca="1" si="121"/>
        <v>2.0101746296853011E-2</v>
      </c>
      <c r="J1110" s="17">
        <f t="shared" ca="1" si="124"/>
        <v>0</v>
      </c>
      <c r="K1110" s="24">
        <f t="shared" ca="1" si="125"/>
        <v>-1</v>
      </c>
      <c r="L1110" s="17">
        <f t="shared" ca="1" si="126"/>
        <v>-1</v>
      </c>
      <c r="N1110" s="24" t="str">
        <f ca="1">IF(AND(L1110=1,L1109&lt;&gt;1),MAX($N$8:N1109)+1,"")</f>
        <v/>
      </c>
      <c r="O1110" s="24" t="str">
        <f ca="1">IF(AND(L1110&lt;&gt;1,L1109=1),MAX($O$8:O1109)+1,"")</f>
        <v/>
      </c>
      <c r="P1110" s="17" t="str">
        <f ca="1">IF(AND(L1110=-1,L1109&lt;&gt;-1),MAX($P$8:P1109)+1,"")</f>
        <v/>
      </c>
      <c r="Q1110" s="24" t="str">
        <f ca="1">IF(AND(L1110&lt;&gt;-1,L1109=-1),MAX($Q$8:Q1109)+1,"")</f>
        <v/>
      </c>
    </row>
    <row r="1111" spans="1:17" x14ac:dyDescent="0.3">
      <c r="A1111" s="3">
        <v>41820</v>
      </c>
      <c r="B1111" s="9">
        <v>12.586862</v>
      </c>
      <c r="C1111" s="9">
        <v>10.447749999999999</v>
      </c>
      <c r="E1111" s="14">
        <f t="shared" si="123"/>
        <v>1.2047437965112107</v>
      </c>
      <c r="F1111" s="18">
        <f t="shared" ca="1" si="122"/>
        <v>-0.73728020455299903</v>
      </c>
      <c r="G1111" s="15">
        <f t="shared" ca="1" si="120"/>
        <v>1.2195992239597648</v>
      </c>
      <c r="H1111" s="15">
        <f t="shared" ca="1" si="121"/>
        <v>2.0148957420551897E-2</v>
      </c>
      <c r="J1111" s="17">
        <f t="shared" ca="1" si="124"/>
        <v>0</v>
      </c>
      <c r="K1111" s="24">
        <f t="shared" ca="1" si="125"/>
        <v>-1</v>
      </c>
      <c r="L1111" s="17">
        <f t="shared" ca="1" si="126"/>
        <v>-1</v>
      </c>
      <c r="N1111" s="24" t="str">
        <f ca="1">IF(AND(L1111=1,L1110&lt;&gt;1),MAX($N$8:N1110)+1,"")</f>
        <v/>
      </c>
      <c r="O1111" s="24" t="str">
        <f ca="1">IF(AND(L1111&lt;&gt;1,L1110=1),MAX($O$8:O1110)+1,"")</f>
        <v/>
      </c>
      <c r="P1111" s="17" t="str">
        <f ca="1">IF(AND(L1111=-1,L1110&lt;&gt;-1),MAX($P$8:P1110)+1,"")</f>
        <v/>
      </c>
      <c r="Q1111" s="24" t="str">
        <f ca="1">IF(AND(L1111&lt;&gt;-1,L1110=-1),MAX($Q$8:Q1110)+1,"")</f>
        <v/>
      </c>
    </row>
    <row r="1112" spans="1:17" x14ac:dyDescent="0.3">
      <c r="A1112" s="3">
        <v>41821</v>
      </c>
      <c r="B1112" s="9">
        <v>12.648835</v>
      </c>
      <c r="C1112" s="9">
        <v>10.437993000000001</v>
      </c>
      <c r="E1112" s="14">
        <f t="shared" si="123"/>
        <v>1.2118071932027545</v>
      </c>
      <c r="F1112" s="18">
        <f t="shared" ca="1" si="122"/>
        <v>-0.324705574294609</v>
      </c>
      <c r="G1112" s="15">
        <f t="shared" ca="1" si="120"/>
        <v>1.2181307822630485</v>
      </c>
      <c r="H1112" s="15">
        <f t="shared" ca="1" si="121"/>
        <v>1.9474839857712117E-2</v>
      </c>
      <c r="J1112" s="17">
        <f t="shared" ca="1" si="124"/>
        <v>0</v>
      </c>
      <c r="K1112" s="24">
        <f t="shared" ca="1" si="125"/>
        <v>-1</v>
      </c>
      <c r="L1112" s="17">
        <f t="shared" ca="1" si="126"/>
        <v>-1</v>
      </c>
      <c r="N1112" s="24" t="str">
        <f ca="1">IF(AND(L1112=1,L1111&lt;&gt;1),MAX($N$8:N1111)+1,"")</f>
        <v/>
      </c>
      <c r="O1112" s="24" t="str">
        <f ca="1">IF(AND(L1112&lt;&gt;1,L1111=1),MAX($O$8:O1111)+1,"")</f>
        <v/>
      </c>
      <c r="P1112" s="17" t="str">
        <f ca="1">IF(AND(L1112=-1,L1111&lt;&gt;-1),MAX($P$8:P1111)+1,"")</f>
        <v/>
      </c>
      <c r="Q1112" s="24" t="str">
        <f ca="1">IF(AND(L1112&lt;&gt;-1,L1111=-1),MAX($Q$8:Q1111)+1,"")</f>
        <v/>
      </c>
    </row>
    <row r="1113" spans="1:17" x14ac:dyDescent="0.3">
      <c r="A1113" s="3">
        <v>41822</v>
      </c>
      <c r="B1113" s="9">
        <v>12.443804</v>
      </c>
      <c r="C1113" s="9">
        <v>10.422855</v>
      </c>
      <c r="E1113" s="14">
        <f t="shared" si="123"/>
        <v>1.1938959143152237</v>
      </c>
      <c r="F1113" s="18">
        <f t="shared" ca="1" si="122"/>
        <v>-1.1348364959016686</v>
      </c>
      <c r="G1113" s="15">
        <f t="shared" ca="1" si="120"/>
        <v>1.2160978065405006</v>
      </c>
      <c r="H1113" s="15">
        <f t="shared" ca="1" si="121"/>
        <v>1.9563956839118664E-2</v>
      </c>
      <c r="J1113" s="17">
        <f t="shared" ca="1" si="124"/>
        <v>0</v>
      </c>
      <c r="K1113" s="24">
        <f t="shared" ca="1" si="125"/>
        <v>-1</v>
      </c>
      <c r="L1113" s="17">
        <f t="shared" ca="1" si="126"/>
        <v>-1</v>
      </c>
      <c r="N1113" s="24" t="str">
        <f ca="1">IF(AND(L1113=1,L1112&lt;&gt;1),MAX($N$8:N1112)+1,"")</f>
        <v/>
      </c>
      <c r="O1113" s="24" t="str">
        <f ca="1">IF(AND(L1113&lt;&gt;1,L1112=1),MAX($O$8:O1112)+1,"")</f>
        <v/>
      </c>
      <c r="P1113" s="17" t="str">
        <f ca="1">IF(AND(L1113=-1,L1112&lt;&gt;-1),MAX($P$8:P1112)+1,"")</f>
        <v/>
      </c>
      <c r="Q1113" s="24" t="str">
        <f ca="1">IF(AND(L1113&lt;&gt;-1,L1112=-1),MAX($Q$8:Q1112)+1,"")</f>
        <v/>
      </c>
    </row>
    <row r="1114" spans="1:17" x14ac:dyDescent="0.3">
      <c r="A1114" s="3">
        <v>41823</v>
      </c>
      <c r="B1114" s="9">
        <v>12.534547999999999</v>
      </c>
      <c r="C1114" s="9">
        <v>10.602406</v>
      </c>
      <c r="E1114" s="14">
        <f t="shared" si="123"/>
        <v>1.1822361829946899</v>
      </c>
      <c r="F1114" s="18">
        <f t="shared" ca="1" si="122"/>
        <v>-1.5615754179877808</v>
      </c>
      <c r="G1114" s="15">
        <f t="shared" ca="1" si="120"/>
        <v>1.2134069489923749</v>
      </c>
      <c r="H1114" s="15">
        <f t="shared" ca="1" si="121"/>
        <v>1.9961101870988141E-2</v>
      </c>
      <c r="J1114" s="17">
        <f t="shared" ca="1" si="124"/>
        <v>0</v>
      </c>
      <c r="K1114" s="24">
        <f t="shared" ca="1" si="125"/>
        <v>-1</v>
      </c>
      <c r="L1114" s="17">
        <f t="shared" ca="1" si="126"/>
        <v>-1</v>
      </c>
      <c r="N1114" s="24" t="str">
        <f ca="1">IF(AND(L1114=1,L1113&lt;&gt;1),MAX($N$8:N1113)+1,"")</f>
        <v/>
      </c>
      <c r="O1114" s="24" t="str">
        <f ca="1">IF(AND(L1114&lt;&gt;1,L1113=1),MAX($O$8:O1113)+1,"")</f>
        <v/>
      </c>
      <c r="P1114" s="17" t="str">
        <f ca="1">IF(AND(L1114=-1,L1113&lt;&gt;-1),MAX($P$8:P1113)+1,"")</f>
        <v/>
      </c>
      <c r="Q1114" s="24" t="str">
        <f ca="1">IF(AND(L1114&lt;&gt;-1,L1113=-1),MAX($Q$8:Q1113)+1,"")</f>
        <v/>
      </c>
    </row>
    <row r="1115" spans="1:17" x14ac:dyDescent="0.3">
      <c r="A1115" s="3">
        <v>41824</v>
      </c>
      <c r="B1115" s="9">
        <v>12.526605999999999</v>
      </c>
      <c r="C1115" s="9">
        <v>10.654574999999999</v>
      </c>
      <c r="E1115" s="14">
        <f t="shared" si="123"/>
        <v>1.1757020810309187</v>
      </c>
      <c r="F1115" s="18">
        <f t="shared" ca="1" si="122"/>
        <v>-1.729577678164739</v>
      </c>
      <c r="G1115" s="15">
        <f t="shared" ca="1" si="120"/>
        <v>1.2100859101696966</v>
      </c>
      <c r="H1115" s="15">
        <f t="shared" ca="1" si="121"/>
        <v>1.9879898759599345E-2</v>
      </c>
      <c r="J1115" s="17">
        <f t="shared" ca="1" si="124"/>
        <v>0</v>
      </c>
      <c r="K1115" s="24">
        <f t="shared" ca="1" si="125"/>
        <v>-1</v>
      </c>
      <c r="L1115" s="17">
        <f t="shared" ca="1" si="126"/>
        <v>-1</v>
      </c>
      <c r="N1115" s="24" t="str">
        <f ca="1">IF(AND(L1115=1,L1114&lt;&gt;1),MAX($N$8:N1114)+1,"")</f>
        <v/>
      </c>
      <c r="O1115" s="24" t="str">
        <f ca="1">IF(AND(L1115&lt;&gt;1,L1114=1),MAX($O$8:O1114)+1,"")</f>
        <v/>
      </c>
      <c r="P1115" s="17" t="str">
        <f ca="1">IF(AND(L1115=-1,L1114&lt;&gt;-1),MAX($P$8:P1114)+1,"")</f>
        <v/>
      </c>
      <c r="Q1115" s="24" t="str">
        <f ca="1">IF(AND(L1115&lt;&gt;-1,L1114=-1),MAX($Q$8:Q1114)+1,"")</f>
        <v/>
      </c>
    </row>
    <row r="1116" spans="1:17" x14ac:dyDescent="0.3">
      <c r="A1116" s="3">
        <v>41827</v>
      </c>
      <c r="B1116" s="9">
        <v>12.538481000000001</v>
      </c>
      <c r="C1116" s="9">
        <v>10.550172</v>
      </c>
      <c r="E1116" s="14">
        <f t="shared" si="123"/>
        <v>1.1884622354972034</v>
      </c>
      <c r="F1116" s="18">
        <f t="shared" ca="1" si="122"/>
        <v>-1.0109491442198402</v>
      </c>
      <c r="G1116" s="15">
        <f t="shared" ca="1" si="120"/>
        <v>1.207536828306675</v>
      </c>
      <c r="H1116" s="15">
        <f t="shared" ca="1" si="121"/>
        <v>1.8868004309150095E-2</v>
      </c>
      <c r="J1116" s="17">
        <f t="shared" ca="1" si="124"/>
        <v>0</v>
      </c>
      <c r="K1116" s="24">
        <f t="shared" ca="1" si="125"/>
        <v>-1</v>
      </c>
      <c r="L1116" s="17">
        <f t="shared" ca="1" si="126"/>
        <v>-1</v>
      </c>
      <c r="N1116" s="24" t="str">
        <f ca="1">IF(AND(L1116=1,L1115&lt;&gt;1),MAX($N$8:N1115)+1,"")</f>
        <v/>
      </c>
      <c r="O1116" s="24" t="str">
        <f ca="1">IF(AND(L1116&lt;&gt;1,L1115=1),MAX($O$8:O1115)+1,"")</f>
        <v/>
      </c>
      <c r="P1116" s="17" t="str">
        <f ca="1">IF(AND(L1116=-1,L1115&lt;&gt;-1),MAX($P$8:P1115)+1,"")</f>
        <v/>
      </c>
      <c r="Q1116" s="24" t="str">
        <f ca="1">IF(AND(L1116&lt;&gt;-1,L1115=-1),MAX($Q$8:Q1115)+1,"")</f>
        <v/>
      </c>
    </row>
    <row r="1117" spans="1:17" x14ac:dyDescent="0.3">
      <c r="A1117" s="3">
        <v>41828</v>
      </c>
      <c r="B1117" s="9">
        <v>12.510859999999999</v>
      </c>
      <c r="C1117" s="9">
        <v>10.462009999999999</v>
      </c>
      <c r="E1117" s="14">
        <f t="shared" si="123"/>
        <v>1.1958371288117675</v>
      </c>
      <c r="F1117" s="18">
        <f t="shared" ca="1" si="122"/>
        <v>-0.55049046519725886</v>
      </c>
      <c r="G1117" s="15">
        <f t="shared" ca="1" si="120"/>
        <v>1.2054817488001801</v>
      </c>
      <c r="H1117" s="15">
        <f t="shared" ca="1" si="121"/>
        <v>1.7520049116484897E-2</v>
      </c>
      <c r="J1117" s="17">
        <f t="shared" ca="1" si="124"/>
        <v>0</v>
      </c>
      <c r="K1117" s="24">
        <f t="shared" ca="1" si="125"/>
        <v>-1</v>
      </c>
      <c r="L1117" s="17">
        <f t="shared" ca="1" si="126"/>
        <v>-1</v>
      </c>
      <c r="N1117" s="24" t="str">
        <f ca="1">IF(AND(L1117=1,L1116&lt;&gt;1),MAX($N$8:N1116)+1,"")</f>
        <v/>
      </c>
      <c r="O1117" s="24" t="str">
        <f ca="1">IF(AND(L1117&lt;&gt;1,L1116=1),MAX($O$8:O1116)+1,"")</f>
        <v/>
      </c>
      <c r="P1117" s="17" t="str">
        <f ca="1">IF(AND(L1117=-1,L1116&lt;&gt;-1),MAX($P$8:P1116)+1,"")</f>
        <v/>
      </c>
      <c r="Q1117" s="24" t="str">
        <f ca="1">IF(AND(L1117&lt;&gt;-1,L1116=-1),MAX($Q$8:Q1116)+1,"")</f>
        <v/>
      </c>
    </row>
    <row r="1118" spans="1:17" x14ac:dyDescent="0.3">
      <c r="A1118" s="3">
        <v>41830</v>
      </c>
      <c r="B1118" s="9">
        <v>13.090455</v>
      </c>
      <c r="C1118" s="9">
        <v>10.772118000000001</v>
      </c>
      <c r="E1118" s="14">
        <f t="shared" si="123"/>
        <v>1.215216450469629</v>
      </c>
      <c r="F1118" s="18">
        <f t="shared" ca="1" si="122"/>
        <v>0.64100552669889554</v>
      </c>
      <c r="G1118" s="15">
        <f t="shared" ca="1" si="120"/>
        <v>1.2046216178879787</v>
      </c>
      <c r="H1118" s="15">
        <f t="shared" ca="1" si="121"/>
        <v>1.6528457463093098E-2</v>
      </c>
      <c r="J1118" s="17">
        <f t="shared" ca="1" si="124"/>
        <v>0</v>
      </c>
      <c r="K1118" s="24">
        <f t="shared" ca="1" si="125"/>
        <v>0</v>
      </c>
      <c r="L1118" s="17">
        <f t="shared" ca="1" si="126"/>
        <v>0</v>
      </c>
      <c r="N1118" s="24" t="str">
        <f ca="1">IF(AND(L1118=1,L1117&lt;&gt;1),MAX($N$8:N1117)+1,"")</f>
        <v/>
      </c>
      <c r="O1118" s="24" t="str">
        <f ca="1">IF(AND(L1118&lt;&gt;1,L1117=1),MAX($O$8:O1117)+1,"")</f>
        <v/>
      </c>
      <c r="P1118" s="17" t="str">
        <f ca="1">IF(AND(L1118=-1,L1117&lt;&gt;-1),MAX($P$8:P1117)+1,"")</f>
        <v/>
      </c>
      <c r="Q1118" s="24">
        <f ca="1">IF(AND(L1118&lt;&gt;-1,L1117=-1),MAX($Q$8:Q1117)+1,"")</f>
        <v>42</v>
      </c>
    </row>
    <row r="1119" spans="1:17" x14ac:dyDescent="0.3">
      <c r="A1119" s="3">
        <v>41831</v>
      </c>
      <c r="B1119" s="9">
        <v>13.070774</v>
      </c>
      <c r="C1119" s="9">
        <v>10.840662999999999</v>
      </c>
      <c r="E1119" s="14">
        <f t="shared" si="123"/>
        <v>1.2057172148972808</v>
      </c>
      <c r="F1119" s="18">
        <f t="shared" ca="1" si="122"/>
        <v>0.13874234759208826</v>
      </c>
      <c r="G1119" s="15">
        <f t="shared" ref="G1119:G1182" ca="1" si="127">IF(ISNUMBER(E1119),IF(ROW(E1119)&gt;$J$1,AVERAGE(OFFSET(E1119,0,0,-$J$1)),""),"")</f>
        <v>1.203548440572173</v>
      </c>
      <c r="H1119" s="15">
        <f t="shared" ref="H1119:H1182" ca="1" si="128">IF(ISNUMBER(E1119),IF(ROW(E1119)&gt;$J$1,_xlfn.STDEV.P(OFFSET(E1119,0,0,-$J$1)),""),"")</f>
        <v>1.563166807213108E-2</v>
      </c>
      <c r="J1119" s="17">
        <f t="shared" ca="1" si="124"/>
        <v>0</v>
      </c>
      <c r="K1119" s="24">
        <f t="shared" ca="1" si="125"/>
        <v>0</v>
      </c>
      <c r="L1119" s="17">
        <f t="shared" ca="1" si="126"/>
        <v>0</v>
      </c>
      <c r="N1119" s="24" t="str">
        <f ca="1">IF(AND(L1119=1,L1118&lt;&gt;1),MAX($N$8:N1118)+1,"")</f>
        <v/>
      </c>
      <c r="O1119" s="24" t="str">
        <f ca="1">IF(AND(L1119&lt;&gt;1,L1118=1),MAX($O$8:O1118)+1,"")</f>
        <v/>
      </c>
      <c r="P1119" s="17" t="str">
        <f ca="1">IF(AND(L1119=-1,L1118&lt;&gt;-1),MAX($P$8:P1118)+1,"")</f>
        <v/>
      </c>
      <c r="Q1119" s="24" t="str">
        <f ca="1">IF(AND(L1119&lt;&gt;-1,L1118=-1),MAX($Q$8:Q1118)+1,"")</f>
        <v/>
      </c>
    </row>
    <row r="1120" spans="1:17" x14ac:dyDescent="0.3">
      <c r="A1120" s="3">
        <v>41834</v>
      </c>
      <c r="B1120" s="9">
        <v>13.378285</v>
      </c>
      <c r="C1120" s="9">
        <v>11.229088000000001</v>
      </c>
      <c r="E1120" s="14">
        <f t="shared" si="123"/>
        <v>1.1913955078097169</v>
      </c>
      <c r="F1120" s="18">
        <f t="shared" ca="1" si="122"/>
        <v>-0.73742440039793811</v>
      </c>
      <c r="G1120" s="15">
        <f t="shared" ca="1" si="127"/>
        <v>1.2012471427834506</v>
      </c>
      <c r="H1120" s="15">
        <f t="shared" ca="1" si="128"/>
        <v>1.3359518573588542E-2</v>
      </c>
      <c r="J1120" s="17">
        <f t="shared" ca="1" si="124"/>
        <v>0</v>
      </c>
      <c r="K1120" s="24">
        <f t="shared" ca="1" si="125"/>
        <v>0</v>
      </c>
      <c r="L1120" s="17">
        <f t="shared" ca="1" si="126"/>
        <v>0</v>
      </c>
      <c r="N1120" s="24" t="str">
        <f ca="1">IF(AND(L1120=1,L1119&lt;&gt;1),MAX($N$8:N1119)+1,"")</f>
        <v/>
      </c>
      <c r="O1120" s="24" t="str">
        <f ca="1">IF(AND(L1120&lt;&gt;1,L1119=1),MAX($O$8:O1119)+1,"")</f>
        <v/>
      </c>
      <c r="P1120" s="17" t="str">
        <f ca="1">IF(AND(L1120=-1,L1119&lt;&gt;-1),MAX($P$8:P1119)+1,"")</f>
        <v/>
      </c>
      <c r="Q1120" s="24" t="str">
        <f ca="1">IF(AND(L1120&lt;&gt;-1,L1119=-1),MAX($Q$8:Q1119)+1,"")</f>
        <v/>
      </c>
    </row>
    <row r="1121" spans="1:17" x14ac:dyDescent="0.3">
      <c r="A1121" s="3">
        <v>41835</v>
      </c>
      <c r="B1121" s="9">
        <v>13.53994</v>
      </c>
      <c r="C1121" s="9">
        <v>11.330322000000001</v>
      </c>
      <c r="E1121" s="14">
        <f t="shared" si="123"/>
        <v>1.1950181115770584</v>
      </c>
      <c r="F1121" s="18">
        <f t="shared" ca="1" si="122"/>
        <v>-0.40836123767094912</v>
      </c>
      <c r="G1121" s="15">
        <f t="shared" ca="1" si="127"/>
        <v>1.2003685464796858</v>
      </c>
      <c r="H1121" s="15">
        <f t="shared" ca="1" si="128"/>
        <v>1.3102210516216347E-2</v>
      </c>
      <c r="J1121" s="17">
        <f t="shared" ca="1" si="124"/>
        <v>0</v>
      </c>
      <c r="K1121" s="24">
        <f t="shared" ca="1" si="125"/>
        <v>0</v>
      </c>
      <c r="L1121" s="17">
        <f t="shared" ca="1" si="126"/>
        <v>0</v>
      </c>
      <c r="N1121" s="24" t="str">
        <f ca="1">IF(AND(L1121=1,L1120&lt;&gt;1),MAX($N$8:N1120)+1,"")</f>
        <v/>
      </c>
      <c r="O1121" s="24" t="str">
        <f ca="1">IF(AND(L1121&lt;&gt;1,L1120=1),MAX($O$8:O1120)+1,"")</f>
        <v/>
      </c>
      <c r="P1121" s="17" t="str">
        <f ca="1">IF(AND(L1121=-1,L1120&lt;&gt;-1),MAX($P$8:P1120)+1,"")</f>
        <v/>
      </c>
      <c r="Q1121" s="24" t="str">
        <f ca="1">IF(AND(L1121&lt;&gt;-1,L1120=-1),MAX($Q$8:Q1120)+1,"")</f>
        <v/>
      </c>
    </row>
    <row r="1122" spans="1:17" x14ac:dyDescent="0.3">
      <c r="A1122" s="3">
        <v>41836</v>
      </c>
      <c r="B1122" s="9">
        <v>13.189075000000001</v>
      </c>
      <c r="C1122" s="9">
        <v>10.958212</v>
      </c>
      <c r="E1122" s="14">
        <f t="shared" si="123"/>
        <v>1.2035791057884262</v>
      </c>
      <c r="F1122" s="18">
        <f t="shared" ca="1" si="122"/>
        <v>0.35716992527895913</v>
      </c>
      <c r="G1122" s="15">
        <f t="shared" ca="1" si="127"/>
        <v>1.1993410982605419</v>
      </c>
      <c r="H1122" s="15">
        <f t="shared" ca="1" si="128"/>
        <v>1.1865521780912221E-2</v>
      </c>
      <c r="J1122" s="17">
        <f t="shared" ca="1" si="124"/>
        <v>0</v>
      </c>
      <c r="K1122" s="24">
        <f t="shared" ca="1" si="125"/>
        <v>0</v>
      </c>
      <c r="L1122" s="17">
        <f t="shared" ca="1" si="126"/>
        <v>0</v>
      </c>
      <c r="N1122" s="24" t="str">
        <f ca="1">IF(AND(L1122=1,L1121&lt;&gt;1),MAX($N$8:N1121)+1,"")</f>
        <v/>
      </c>
      <c r="O1122" s="24" t="str">
        <f ca="1">IF(AND(L1122&lt;&gt;1,L1121=1),MAX($O$8:O1121)+1,"")</f>
        <v/>
      </c>
      <c r="P1122" s="17" t="str">
        <f ca="1">IF(AND(L1122=-1,L1121&lt;&gt;-1),MAX($P$8:P1121)+1,"")</f>
        <v/>
      </c>
      <c r="Q1122" s="24" t="str">
        <f ca="1">IF(AND(L1122&lt;&gt;-1,L1121=-1),MAX($Q$8:Q1121)+1,"")</f>
        <v/>
      </c>
    </row>
    <row r="1123" spans="1:17" x14ac:dyDescent="0.3">
      <c r="A1123" s="3">
        <v>41837</v>
      </c>
      <c r="B1123" s="9">
        <v>13.208747000000001</v>
      </c>
      <c r="C1123" s="9">
        <v>10.909208</v>
      </c>
      <c r="E1123" s="14">
        <f t="shared" si="123"/>
        <v>1.2107888125334123</v>
      </c>
      <c r="F1123" s="18">
        <f t="shared" ca="1" si="122"/>
        <v>1.0810950077764279</v>
      </c>
      <c r="G1123" s="15">
        <f t="shared" ca="1" si="127"/>
        <v>1.198819300791472</v>
      </c>
      <c r="H1123" s="15">
        <f t="shared" ca="1" si="128"/>
        <v>1.1071655734086592E-2</v>
      </c>
      <c r="J1123" s="17">
        <f t="shared" ca="1" si="124"/>
        <v>1</v>
      </c>
      <c r="K1123" s="24">
        <f t="shared" ca="1" si="125"/>
        <v>0</v>
      </c>
      <c r="L1123" s="17">
        <f t="shared" ca="1" si="126"/>
        <v>1</v>
      </c>
      <c r="N1123" s="24">
        <f ca="1">IF(AND(L1123=1,L1122&lt;&gt;1),MAX($N$8:N1122)+1,"")</f>
        <v>32</v>
      </c>
      <c r="O1123" s="24" t="str">
        <f ca="1">IF(AND(L1123&lt;&gt;1,L1122=1),MAX($O$8:O1122)+1,"")</f>
        <v/>
      </c>
      <c r="P1123" s="17" t="str">
        <f ca="1">IF(AND(L1123=-1,L1122&lt;&gt;-1),MAX($P$8:P1122)+1,"")</f>
        <v/>
      </c>
      <c r="Q1123" s="24" t="str">
        <f ca="1">IF(AND(L1123&lt;&gt;-1,L1122=-1),MAX($Q$8:Q1122)+1,"")</f>
        <v/>
      </c>
    </row>
    <row r="1124" spans="1:17" x14ac:dyDescent="0.3">
      <c r="A1124" s="3">
        <v>41838</v>
      </c>
      <c r="B1124" s="9">
        <v>13.855399</v>
      </c>
      <c r="C1124" s="9">
        <v>11.431494000000001</v>
      </c>
      <c r="E1124" s="14">
        <f t="shared" si="123"/>
        <v>1.2120374642194625</v>
      </c>
      <c r="F1124" s="18">
        <f t="shared" ca="1" si="122"/>
        <v>1.2276537377929919</v>
      </c>
      <c r="G1124" s="15">
        <f t="shared" ca="1" si="127"/>
        <v>1.198678660797176</v>
      </c>
      <c r="H1124" s="15">
        <f t="shared" ca="1" si="128"/>
        <v>1.088157271960266E-2</v>
      </c>
      <c r="J1124" s="17">
        <f t="shared" ca="1" si="124"/>
        <v>1</v>
      </c>
      <c r="K1124" s="24">
        <f t="shared" ca="1" si="125"/>
        <v>0</v>
      </c>
      <c r="L1124" s="17">
        <f t="shared" ca="1" si="126"/>
        <v>1</v>
      </c>
      <c r="N1124" s="24" t="str">
        <f ca="1">IF(AND(L1124=1,L1123&lt;&gt;1),MAX($N$8:N1123)+1,"")</f>
        <v/>
      </c>
      <c r="O1124" s="24" t="str">
        <f ca="1">IF(AND(L1124&lt;&gt;1,L1123=1),MAX($O$8:O1123)+1,"")</f>
        <v/>
      </c>
      <c r="P1124" s="17" t="str">
        <f ca="1">IF(AND(L1124=-1,L1123&lt;&gt;-1),MAX($P$8:P1123)+1,"")</f>
        <v/>
      </c>
      <c r="Q1124" s="24" t="str">
        <f ca="1">IF(AND(L1124&lt;&gt;-1,L1123=-1),MAX($Q$8:Q1123)+1,"")</f>
        <v/>
      </c>
    </row>
    <row r="1125" spans="1:17" x14ac:dyDescent="0.3">
      <c r="A1125" s="3">
        <v>41841</v>
      </c>
      <c r="B1125" s="9">
        <v>13.973699999999999</v>
      </c>
      <c r="C1125" s="9">
        <v>11.565346</v>
      </c>
      <c r="E1125" s="14">
        <f t="shared" si="123"/>
        <v>1.2082388196600429</v>
      </c>
      <c r="F1125" s="18">
        <f t="shared" ca="1" si="122"/>
        <v>0.94329245155222541</v>
      </c>
      <c r="G1125" s="15">
        <f t="shared" ca="1" si="127"/>
        <v>1.1983546048949831</v>
      </c>
      <c r="H1125" s="15">
        <f t="shared" ca="1" si="128"/>
        <v>1.0478420291389876E-2</v>
      </c>
      <c r="J1125" s="17">
        <f t="shared" ca="1" si="124"/>
        <v>1</v>
      </c>
      <c r="K1125" s="24">
        <f t="shared" ca="1" si="125"/>
        <v>0</v>
      </c>
      <c r="L1125" s="17">
        <f t="shared" ca="1" si="126"/>
        <v>1</v>
      </c>
      <c r="N1125" s="24" t="str">
        <f ca="1">IF(AND(L1125=1,L1124&lt;&gt;1),MAX($N$8:N1124)+1,"")</f>
        <v/>
      </c>
      <c r="O1125" s="24" t="str">
        <f ca="1">IF(AND(L1125&lt;&gt;1,L1124=1),MAX($O$8:O1124)+1,"")</f>
        <v/>
      </c>
      <c r="P1125" s="17" t="str">
        <f ca="1">IF(AND(L1125=-1,L1124&lt;&gt;-1),MAX($P$8:P1124)+1,"")</f>
        <v/>
      </c>
      <c r="Q1125" s="24" t="str">
        <f ca="1">IF(AND(L1125&lt;&gt;-1,L1124=-1),MAX($Q$8:Q1124)+1,"")</f>
        <v/>
      </c>
    </row>
    <row r="1126" spans="1:17" x14ac:dyDescent="0.3">
      <c r="A1126" s="3">
        <v>41842</v>
      </c>
      <c r="B1126" s="9">
        <v>13.946073999999999</v>
      </c>
      <c r="C1126" s="9">
        <v>11.483727</v>
      </c>
      <c r="E1126" s="14">
        <f t="shared" si="123"/>
        <v>1.2144205448283472</v>
      </c>
      <c r="F1126" s="18">
        <f t="shared" ca="1" si="122"/>
        <v>1.4874065122443194</v>
      </c>
      <c r="G1126" s="15">
        <f t="shared" ca="1" si="127"/>
        <v>1.1985147710118815</v>
      </c>
      <c r="H1126" s="15">
        <f t="shared" ca="1" si="128"/>
        <v>1.0693629270498292E-2</v>
      </c>
      <c r="J1126" s="17">
        <f t="shared" ca="1" si="124"/>
        <v>1</v>
      </c>
      <c r="K1126" s="24">
        <f t="shared" ca="1" si="125"/>
        <v>0</v>
      </c>
      <c r="L1126" s="17">
        <f t="shared" ca="1" si="126"/>
        <v>1</v>
      </c>
      <c r="N1126" s="24" t="str">
        <f ca="1">IF(AND(L1126=1,L1125&lt;&gt;1),MAX($N$8:N1125)+1,"")</f>
        <v/>
      </c>
      <c r="O1126" s="24" t="str">
        <f ca="1">IF(AND(L1126&lt;&gt;1,L1125=1),MAX($O$8:O1125)+1,"")</f>
        <v/>
      </c>
      <c r="P1126" s="17" t="str">
        <f ca="1">IF(AND(L1126=-1,L1125&lt;&gt;-1),MAX($P$8:P1125)+1,"")</f>
        <v/>
      </c>
      <c r="Q1126" s="24" t="str">
        <f ca="1">IF(AND(L1126&lt;&gt;-1,L1125=-1),MAX($Q$8:Q1125)+1,"")</f>
        <v/>
      </c>
    </row>
    <row r="1127" spans="1:17" x14ac:dyDescent="0.3">
      <c r="A1127" s="3">
        <v>41843</v>
      </c>
      <c r="B1127" s="9">
        <v>13.950005000000001</v>
      </c>
      <c r="C1127" s="9">
        <v>11.490266</v>
      </c>
      <c r="E1127" s="14">
        <f t="shared" si="123"/>
        <v>1.2140715454281041</v>
      </c>
      <c r="F1127" s="18">
        <f t="shared" ca="1" si="122"/>
        <v>1.3218385718136054</v>
      </c>
      <c r="G1127" s="15">
        <f t="shared" ca="1" si="127"/>
        <v>1.1993244683685529</v>
      </c>
      <c r="H1127" s="15">
        <f t="shared" ca="1" si="128"/>
        <v>1.1156488677220079E-2</v>
      </c>
      <c r="J1127" s="17">
        <f t="shared" ca="1" si="124"/>
        <v>1</v>
      </c>
      <c r="K1127" s="24">
        <f t="shared" ca="1" si="125"/>
        <v>0</v>
      </c>
      <c r="L1127" s="17">
        <f t="shared" ca="1" si="126"/>
        <v>1</v>
      </c>
      <c r="N1127" s="24" t="str">
        <f ca="1">IF(AND(L1127=1,L1126&lt;&gt;1),MAX($N$8:N1126)+1,"")</f>
        <v/>
      </c>
      <c r="O1127" s="24" t="str">
        <f ca="1">IF(AND(L1127&lt;&gt;1,L1126=1),MAX($O$8:O1126)+1,"")</f>
        <v/>
      </c>
      <c r="P1127" s="17" t="str">
        <f ca="1">IF(AND(L1127=-1,L1126&lt;&gt;-1),MAX($P$8:P1126)+1,"")</f>
        <v/>
      </c>
      <c r="Q1127" s="24" t="str">
        <f ca="1">IF(AND(L1127&lt;&gt;-1,L1126=-1),MAX($Q$8:Q1126)+1,"")</f>
        <v/>
      </c>
    </row>
    <row r="1128" spans="1:17" x14ac:dyDescent="0.3">
      <c r="A1128" s="3">
        <v>41844</v>
      </c>
      <c r="B1128" s="9">
        <v>14.155036000000001</v>
      </c>
      <c r="C1128" s="9">
        <v>11.620813</v>
      </c>
      <c r="E1128" s="14">
        <f t="shared" si="123"/>
        <v>1.2180762223779009</v>
      </c>
      <c r="F1128" s="18">
        <f t="shared" ca="1" si="122"/>
        <v>1.5079232278758761</v>
      </c>
      <c r="G1128" s="15">
        <f t="shared" ca="1" si="127"/>
        <v>1.2002777966875409</v>
      </c>
      <c r="H1128" s="15">
        <f t="shared" ca="1" si="128"/>
        <v>1.1803270459220701E-2</v>
      </c>
      <c r="J1128" s="17">
        <f t="shared" ca="1" si="124"/>
        <v>1</v>
      </c>
      <c r="K1128" s="24">
        <f t="shared" ca="1" si="125"/>
        <v>0</v>
      </c>
      <c r="L1128" s="17">
        <f t="shared" ca="1" si="126"/>
        <v>1</v>
      </c>
      <c r="N1128" s="24" t="str">
        <f ca="1">IF(AND(L1128=1,L1127&lt;&gt;1),MAX($N$8:N1127)+1,"")</f>
        <v/>
      </c>
      <c r="O1128" s="24" t="str">
        <f ca="1">IF(AND(L1128&lt;&gt;1,L1127=1),MAX($O$8:O1127)+1,"")</f>
        <v/>
      </c>
      <c r="P1128" s="17" t="str">
        <f ca="1">IF(AND(L1128=-1,L1127&lt;&gt;-1),MAX($P$8:P1127)+1,"")</f>
        <v/>
      </c>
      <c r="Q1128" s="24" t="str">
        <f ca="1">IF(AND(L1128&lt;&gt;-1,L1127=-1),MAX($Q$8:Q1127)+1,"")</f>
        <v/>
      </c>
    </row>
    <row r="1129" spans="1:17" x14ac:dyDescent="0.3">
      <c r="A1129" s="3">
        <v>41845</v>
      </c>
      <c r="B1129" s="9">
        <v>14.095926</v>
      </c>
      <c r="C1129" s="9">
        <v>11.522887000000001</v>
      </c>
      <c r="E1129" s="14">
        <f t="shared" si="123"/>
        <v>1.2232981196465782</v>
      </c>
      <c r="F1129" s="18">
        <f t="shared" ca="1" si="122"/>
        <v>1.7255163473026249</v>
      </c>
      <c r="G1129" s="15">
        <f t="shared" ca="1" si="127"/>
        <v>1.2018776630855259</v>
      </c>
      <c r="H1129" s="15">
        <f t="shared" ca="1" si="128"/>
        <v>1.2413940090766074E-2</v>
      </c>
      <c r="J1129" s="17">
        <f t="shared" ca="1" si="124"/>
        <v>1</v>
      </c>
      <c r="K1129" s="24">
        <f t="shared" ca="1" si="125"/>
        <v>0</v>
      </c>
      <c r="L1129" s="17">
        <f t="shared" ca="1" si="126"/>
        <v>1</v>
      </c>
      <c r="N1129" s="24" t="str">
        <f ca="1">IF(AND(L1129=1,L1128&lt;&gt;1),MAX($N$8:N1128)+1,"")</f>
        <v/>
      </c>
      <c r="O1129" s="24" t="str">
        <f ca="1">IF(AND(L1129&lt;&gt;1,L1128=1),MAX($O$8:O1128)+1,"")</f>
        <v/>
      </c>
      <c r="P1129" s="17" t="str">
        <f ca="1">IF(AND(L1129=-1,L1128&lt;&gt;-1),MAX($P$8:P1128)+1,"")</f>
        <v/>
      </c>
      <c r="Q1129" s="24" t="str">
        <f ca="1">IF(AND(L1129&lt;&gt;-1,L1128=-1),MAX($Q$8:Q1128)+1,"")</f>
        <v/>
      </c>
    </row>
    <row r="1130" spans="1:17" x14ac:dyDescent="0.3">
      <c r="A1130" s="3">
        <v>41848</v>
      </c>
      <c r="B1130" s="9">
        <v>14.001242</v>
      </c>
      <c r="C1130" s="9">
        <v>11.405412</v>
      </c>
      <c r="E1130" s="14">
        <f t="shared" si="123"/>
        <v>1.2275963375983261</v>
      </c>
      <c r="F1130" s="18">
        <f t="shared" ca="1" si="122"/>
        <v>1.815487313713871</v>
      </c>
      <c r="G1130" s="15">
        <f t="shared" ca="1" si="127"/>
        <v>1.2035817132887194</v>
      </c>
      <c r="H1130" s="15">
        <f t="shared" ca="1" si="128"/>
        <v>1.3227646444127933E-2</v>
      </c>
      <c r="J1130" s="17">
        <f t="shared" ca="1" si="124"/>
        <v>1</v>
      </c>
      <c r="K1130" s="24">
        <f t="shared" ca="1" si="125"/>
        <v>0</v>
      </c>
      <c r="L1130" s="17">
        <f t="shared" ca="1" si="126"/>
        <v>1</v>
      </c>
      <c r="N1130" s="24" t="str">
        <f ca="1">IF(AND(L1130=1,L1129&lt;&gt;1),MAX($N$8:N1129)+1,"")</f>
        <v/>
      </c>
      <c r="O1130" s="24" t="str">
        <f ca="1">IF(AND(L1130&lt;&gt;1,L1129=1),MAX($O$8:O1129)+1,"")</f>
        <v/>
      </c>
      <c r="P1130" s="17" t="str">
        <f ca="1">IF(AND(L1130=-1,L1129&lt;&gt;-1),MAX($P$8:P1129)+1,"")</f>
        <v/>
      </c>
      <c r="Q1130" s="24" t="str">
        <f ca="1">IF(AND(L1130&lt;&gt;-1,L1129=-1),MAX($Q$8:Q1129)+1,"")</f>
        <v/>
      </c>
    </row>
    <row r="1131" spans="1:17" x14ac:dyDescent="0.3">
      <c r="A1131" s="3">
        <v>41849</v>
      </c>
      <c r="B1131" s="9">
        <v>14.064368</v>
      </c>
      <c r="C1131" s="9">
        <v>11.454336</v>
      </c>
      <c r="E1131" s="14">
        <f t="shared" si="123"/>
        <v>1.2278641031658231</v>
      </c>
      <c r="F1131" s="18">
        <f t="shared" ca="1" si="122"/>
        <v>1.6391611211143888</v>
      </c>
      <c r="G1131" s="15">
        <f t="shared" ca="1" si="127"/>
        <v>1.2053668072410502</v>
      </c>
      <c r="H1131" s="15">
        <f t="shared" ca="1" si="128"/>
        <v>1.3724883804880657E-2</v>
      </c>
      <c r="J1131" s="17">
        <f t="shared" ca="1" si="124"/>
        <v>1</v>
      </c>
      <c r="K1131" s="24">
        <f t="shared" ca="1" si="125"/>
        <v>0</v>
      </c>
      <c r="L1131" s="17">
        <f t="shared" ca="1" si="126"/>
        <v>1</v>
      </c>
      <c r="N1131" s="24" t="str">
        <f ca="1">IF(AND(L1131=1,L1130&lt;&gt;1),MAX($N$8:N1130)+1,"")</f>
        <v/>
      </c>
      <c r="O1131" s="24" t="str">
        <f ca="1">IF(AND(L1131&lt;&gt;1,L1130=1),MAX($O$8:O1130)+1,"")</f>
        <v/>
      </c>
      <c r="P1131" s="17" t="str">
        <f ca="1">IF(AND(L1131=-1,L1130&lt;&gt;-1),MAX($P$8:P1130)+1,"")</f>
        <v/>
      </c>
      <c r="Q1131" s="24" t="str">
        <f ca="1">IF(AND(L1131&lt;&gt;-1,L1130=-1),MAX($Q$8:Q1130)+1,"")</f>
        <v/>
      </c>
    </row>
    <row r="1132" spans="1:17" x14ac:dyDescent="0.3">
      <c r="A1132" s="3">
        <v>41850</v>
      </c>
      <c r="B1132" s="9">
        <v>14.131423</v>
      </c>
      <c r="C1132" s="9">
        <v>11.395567</v>
      </c>
      <c r="E1132" s="14">
        <f t="shared" si="123"/>
        <v>1.2400807261279758</v>
      </c>
      <c r="F1132" s="18">
        <f t="shared" ca="1" si="122"/>
        <v>2.1305090645260991</v>
      </c>
      <c r="G1132" s="15">
        <f t="shared" ca="1" si="127"/>
        <v>1.2072765281132662</v>
      </c>
      <c r="H1132" s="15">
        <f t="shared" ca="1" si="128"/>
        <v>1.5397352004229278E-2</v>
      </c>
      <c r="J1132" s="17">
        <f t="shared" ca="1" si="124"/>
        <v>1</v>
      </c>
      <c r="K1132" s="24">
        <f t="shared" ca="1" si="125"/>
        <v>0</v>
      </c>
      <c r="L1132" s="17">
        <f t="shared" ca="1" si="126"/>
        <v>1</v>
      </c>
      <c r="N1132" s="24" t="str">
        <f ca="1">IF(AND(L1132=1,L1131&lt;&gt;1),MAX($N$8:N1131)+1,"")</f>
        <v/>
      </c>
      <c r="O1132" s="24" t="str">
        <f ca="1">IF(AND(L1132&lt;&gt;1,L1131=1),MAX($O$8:O1131)+1,"")</f>
        <v/>
      </c>
      <c r="P1132" s="17" t="str">
        <f ca="1">IF(AND(L1132=-1,L1131&lt;&gt;-1),MAX($P$8:P1131)+1,"")</f>
        <v/>
      </c>
      <c r="Q1132" s="24" t="str">
        <f ca="1">IF(AND(L1132&lt;&gt;-1,L1131=-1),MAX($Q$8:Q1131)+1,"")</f>
        <v/>
      </c>
    </row>
    <row r="1133" spans="1:17" x14ac:dyDescent="0.3">
      <c r="A1133" s="3">
        <v>41851</v>
      </c>
      <c r="B1133" s="9">
        <v>13.831711</v>
      </c>
      <c r="C1133" s="9">
        <v>11.297637</v>
      </c>
      <c r="E1133" s="14">
        <f t="shared" si="123"/>
        <v>1.2243012410471323</v>
      </c>
      <c r="F1133" s="18">
        <f t="shared" ca="1" si="122"/>
        <v>1.0222095536685809</v>
      </c>
      <c r="G1133" s="15">
        <f t="shared" ca="1" si="127"/>
        <v>1.2081655028648988</v>
      </c>
      <c r="H1133" s="15">
        <f t="shared" ca="1" si="128"/>
        <v>1.5785156893050399E-2</v>
      </c>
      <c r="J1133" s="17">
        <f t="shared" ca="1" si="124"/>
        <v>1</v>
      </c>
      <c r="K1133" s="24">
        <f t="shared" ca="1" si="125"/>
        <v>0</v>
      </c>
      <c r="L1133" s="17">
        <f t="shared" ca="1" si="126"/>
        <v>1</v>
      </c>
      <c r="N1133" s="24" t="str">
        <f ca="1">IF(AND(L1133=1,L1132&lt;&gt;1),MAX($N$8:N1132)+1,"")</f>
        <v/>
      </c>
      <c r="O1133" s="24" t="str">
        <f ca="1">IF(AND(L1133&lt;&gt;1,L1132=1),MAX($O$8:O1132)+1,"")</f>
        <v/>
      </c>
      <c r="P1133" s="17" t="str">
        <f ca="1">IF(AND(L1133=-1,L1132&lt;&gt;-1),MAX($P$8:P1132)+1,"")</f>
        <v/>
      </c>
      <c r="Q1133" s="24" t="str">
        <f ca="1">IF(AND(L1133&lt;&gt;-1,L1132=-1),MAX($Q$8:Q1132)+1,"")</f>
        <v/>
      </c>
    </row>
    <row r="1134" spans="1:17" x14ac:dyDescent="0.3">
      <c r="A1134" s="3">
        <v>41852</v>
      </c>
      <c r="B1134" s="9">
        <v>13.822756999999999</v>
      </c>
      <c r="C1134" s="9">
        <v>11.424953</v>
      </c>
      <c r="E1134" s="14">
        <f t="shared" si="123"/>
        <v>1.209874298826437</v>
      </c>
      <c r="F1134" s="18">
        <f t="shared" ca="1" si="122"/>
        <v>0.11392854114078987</v>
      </c>
      <c r="G1134" s="15">
        <f t="shared" ca="1" si="127"/>
        <v>1.2080776440296117</v>
      </c>
      <c r="H1134" s="15">
        <f t="shared" ca="1" si="128"/>
        <v>1.577001494827427E-2</v>
      </c>
      <c r="J1134" s="17">
        <f t="shared" ca="1" si="124"/>
        <v>1</v>
      </c>
      <c r="K1134" s="24">
        <f t="shared" ca="1" si="125"/>
        <v>0</v>
      </c>
      <c r="L1134" s="17">
        <f t="shared" ca="1" si="126"/>
        <v>1</v>
      </c>
      <c r="N1134" s="24" t="str">
        <f ca="1">IF(AND(L1134=1,L1133&lt;&gt;1),MAX($N$8:N1133)+1,"")</f>
        <v/>
      </c>
      <c r="O1134" s="24" t="str">
        <f ca="1">IF(AND(L1134&lt;&gt;1,L1133=1),MAX($O$8:O1133)+1,"")</f>
        <v/>
      </c>
      <c r="P1134" s="17" t="str">
        <f ca="1">IF(AND(L1134=-1,L1133&lt;&gt;-1),MAX($P$8:P1133)+1,"")</f>
        <v/>
      </c>
      <c r="Q1134" s="24" t="str">
        <f ca="1">IF(AND(L1134&lt;&gt;-1,L1133=-1),MAX($Q$8:Q1133)+1,"")</f>
        <v/>
      </c>
    </row>
    <row r="1135" spans="1:17" x14ac:dyDescent="0.3">
      <c r="A1135" s="3">
        <v>41855</v>
      </c>
      <c r="B1135" s="9">
        <v>13.996366999999999</v>
      </c>
      <c r="C1135" s="9">
        <v>11.602665</v>
      </c>
      <c r="E1135" s="14">
        <f t="shared" si="123"/>
        <v>1.206306223613282</v>
      </c>
      <c r="F1135" s="18">
        <f t="shared" ca="1" si="122"/>
        <v>-0.15095391277803313</v>
      </c>
      <c r="G1135" s="15">
        <f t="shared" ca="1" si="127"/>
        <v>1.208641748997705</v>
      </c>
      <c r="H1135" s="15">
        <f t="shared" ca="1" si="128"/>
        <v>1.5471777719715528E-2</v>
      </c>
      <c r="J1135" s="17">
        <f t="shared" ca="1" si="124"/>
        <v>0</v>
      </c>
      <c r="K1135" s="24">
        <f t="shared" ca="1" si="125"/>
        <v>0</v>
      </c>
      <c r="L1135" s="17">
        <f t="shared" ca="1" si="126"/>
        <v>0</v>
      </c>
      <c r="N1135" s="24" t="str">
        <f ca="1">IF(AND(L1135=1,L1134&lt;&gt;1),MAX($N$8:N1134)+1,"")</f>
        <v/>
      </c>
      <c r="O1135" s="24">
        <f ca="1">IF(AND(L1135&lt;&gt;1,L1134=1),MAX($O$8:O1134)+1,"")</f>
        <v>32</v>
      </c>
      <c r="P1135" s="17" t="str">
        <f ca="1">IF(AND(L1135=-1,L1134&lt;&gt;-1),MAX($P$8:P1134)+1,"")</f>
        <v/>
      </c>
      <c r="Q1135" s="24" t="str">
        <f ca="1">IF(AND(L1135&lt;&gt;-1,L1134=-1),MAX($Q$8:Q1134)+1,"")</f>
        <v/>
      </c>
    </row>
    <row r="1136" spans="1:17" x14ac:dyDescent="0.3">
      <c r="A1136" s="3">
        <v>41856</v>
      </c>
      <c r="B1136" s="9">
        <v>14.185798999999999</v>
      </c>
      <c r="C1136" s="9">
        <v>11.471945</v>
      </c>
      <c r="E1136" s="14">
        <f t="shared" si="123"/>
        <v>1.2365644186752986</v>
      </c>
      <c r="F1136" s="18">
        <f t="shared" ca="1" si="122"/>
        <v>1.6532793025750057</v>
      </c>
      <c r="G1136" s="15">
        <f t="shared" ca="1" si="127"/>
        <v>1.2111112142559148</v>
      </c>
      <c r="H1136" s="15">
        <f t="shared" ca="1" si="128"/>
        <v>1.5395586444311068E-2</v>
      </c>
      <c r="J1136" s="17">
        <f t="shared" ca="1" si="124"/>
        <v>1</v>
      </c>
      <c r="K1136" s="24">
        <f t="shared" ca="1" si="125"/>
        <v>0</v>
      </c>
      <c r="L1136" s="17">
        <f t="shared" ca="1" si="126"/>
        <v>1</v>
      </c>
      <c r="N1136" s="24">
        <f ca="1">IF(AND(L1136=1,L1135&lt;&gt;1),MAX($N$8:N1135)+1,"")</f>
        <v>33</v>
      </c>
      <c r="O1136" s="24" t="str">
        <f ca="1">IF(AND(L1136&lt;&gt;1,L1135=1),MAX($O$8:O1135)+1,"")</f>
        <v/>
      </c>
      <c r="P1136" s="17" t="str">
        <f ca="1">IF(AND(L1136=-1,L1135&lt;&gt;-1),MAX($P$8:P1135)+1,"")</f>
        <v/>
      </c>
      <c r="Q1136" s="24" t="str">
        <f ca="1">IF(AND(L1136&lt;&gt;-1,L1135=-1),MAX($Q$8:Q1135)+1,"")</f>
        <v/>
      </c>
    </row>
    <row r="1137" spans="1:17" x14ac:dyDescent="0.3">
      <c r="A1137" s="3">
        <v>41857</v>
      </c>
      <c r="B1137" s="9">
        <v>14.126571</v>
      </c>
      <c r="C1137" s="9">
        <v>11.478431</v>
      </c>
      <c r="E1137" s="14">
        <f t="shared" si="123"/>
        <v>1.2307057471530733</v>
      </c>
      <c r="F1137" s="18">
        <f t="shared" ca="1" si="122"/>
        <v>1.2361475781472524</v>
      </c>
      <c r="G1137" s="15">
        <f t="shared" ca="1" si="127"/>
        <v>1.213611380897831</v>
      </c>
      <c r="H1137" s="15">
        <f t="shared" ca="1" si="128"/>
        <v>1.3828742261392017E-2</v>
      </c>
      <c r="J1137" s="17">
        <f t="shared" ca="1" si="124"/>
        <v>1</v>
      </c>
      <c r="K1137" s="24">
        <f t="shared" ca="1" si="125"/>
        <v>0</v>
      </c>
      <c r="L1137" s="17">
        <f t="shared" ca="1" si="126"/>
        <v>1</v>
      </c>
      <c r="N1137" s="24" t="str">
        <f ca="1">IF(AND(L1137=1,L1136&lt;&gt;1),MAX($N$8:N1136)+1,"")</f>
        <v/>
      </c>
      <c r="O1137" s="24" t="str">
        <f ca="1">IF(AND(L1137&lt;&gt;1,L1136=1),MAX($O$8:O1136)+1,"")</f>
        <v/>
      </c>
      <c r="P1137" s="17" t="str">
        <f ca="1">IF(AND(L1137=-1,L1136&lt;&gt;-1),MAX($P$8:P1136)+1,"")</f>
        <v/>
      </c>
      <c r="Q1137" s="24" t="str">
        <f ca="1">IF(AND(L1137&lt;&gt;-1,L1136=-1),MAX($Q$8:Q1136)+1,"")</f>
        <v/>
      </c>
    </row>
    <row r="1138" spans="1:17" x14ac:dyDescent="0.3">
      <c r="A1138" s="3">
        <v>41858</v>
      </c>
      <c r="B1138" s="9">
        <v>14.000303000000001</v>
      </c>
      <c r="C1138" s="9">
        <v>11.357495</v>
      </c>
      <c r="E1138" s="14">
        <f t="shared" si="123"/>
        <v>1.2326928605295446</v>
      </c>
      <c r="F1138" s="18">
        <f t="shared" ca="1" si="122"/>
        <v>1.2904713746847933</v>
      </c>
      <c r="G1138" s="15">
        <f t="shared" ca="1" si="127"/>
        <v>1.2156218638538467</v>
      </c>
      <c r="H1138" s="15">
        <f t="shared" ca="1" si="128"/>
        <v>1.3228496974500967E-2</v>
      </c>
      <c r="J1138" s="17">
        <f t="shared" ca="1" si="124"/>
        <v>1</v>
      </c>
      <c r="K1138" s="24">
        <f t="shared" ca="1" si="125"/>
        <v>0</v>
      </c>
      <c r="L1138" s="17">
        <f t="shared" ca="1" si="126"/>
        <v>1</v>
      </c>
      <c r="N1138" s="24" t="str">
        <f ca="1">IF(AND(L1138=1,L1137&lt;&gt;1),MAX($N$8:N1137)+1,"")</f>
        <v/>
      </c>
      <c r="O1138" s="24" t="str">
        <f ca="1">IF(AND(L1138&lt;&gt;1,L1137=1),MAX($O$8:O1137)+1,"")</f>
        <v/>
      </c>
      <c r="P1138" s="17" t="str">
        <f ca="1">IF(AND(L1138=-1,L1137&lt;&gt;-1),MAX($P$8:P1137)+1,"")</f>
        <v/>
      </c>
      <c r="Q1138" s="24" t="str">
        <f ca="1">IF(AND(L1138&lt;&gt;-1,L1137=-1),MAX($Q$8:Q1137)+1,"")</f>
        <v/>
      </c>
    </row>
    <row r="1139" spans="1:17" x14ac:dyDescent="0.3">
      <c r="A1139" s="3">
        <v>41859</v>
      </c>
      <c r="B1139" s="9">
        <v>13.81087</v>
      </c>
      <c r="C1139" s="9">
        <v>11.11239</v>
      </c>
      <c r="E1139" s="14">
        <f t="shared" si="123"/>
        <v>1.2428352496627639</v>
      </c>
      <c r="F1139" s="18">
        <f t="shared" ca="1" si="122"/>
        <v>1.8372660514366121</v>
      </c>
      <c r="G1139" s="15">
        <f t="shared" ca="1" si="127"/>
        <v>1.2177581420743466</v>
      </c>
      <c r="H1139" s="15">
        <f t="shared" ca="1" si="128"/>
        <v>1.3649143284832797E-2</v>
      </c>
      <c r="J1139" s="17">
        <f t="shared" ca="1" si="124"/>
        <v>1</v>
      </c>
      <c r="K1139" s="24">
        <f t="shared" ca="1" si="125"/>
        <v>0</v>
      </c>
      <c r="L1139" s="17">
        <f t="shared" ca="1" si="126"/>
        <v>1</v>
      </c>
      <c r="N1139" s="24" t="str">
        <f ca="1">IF(AND(L1139=1,L1138&lt;&gt;1),MAX($N$8:N1138)+1,"")</f>
        <v/>
      </c>
      <c r="O1139" s="24" t="str">
        <f ca="1">IF(AND(L1139&lt;&gt;1,L1138=1),MAX($O$8:O1138)+1,"")</f>
        <v/>
      </c>
      <c r="P1139" s="17" t="str">
        <f ca="1">IF(AND(L1139=-1,L1138&lt;&gt;-1),MAX($P$8:P1138)+1,"")</f>
        <v/>
      </c>
      <c r="Q1139" s="24" t="str">
        <f ca="1">IF(AND(L1139&lt;&gt;-1,L1138=-1),MAX($Q$8:Q1138)+1,"")</f>
        <v/>
      </c>
    </row>
    <row r="1140" spans="1:17" x14ac:dyDescent="0.3">
      <c r="A1140" s="3">
        <v>41862</v>
      </c>
      <c r="B1140" s="9">
        <v>14.063472000000001</v>
      </c>
      <c r="C1140" s="9">
        <v>11.422883000000001</v>
      </c>
      <c r="E1140" s="14">
        <f t="shared" si="123"/>
        <v>1.2311665977844648</v>
      </c>
      <c r="F1140" s="18">
        <f t="shared" ca="1" si="122"/>
        <v>0.91143651793366454</v>
      </c>
      <c r="G1140" s="15">
        <f t="shared" ca="1" si="127"/>
        <v>1.2184831487704753</v>
      </c>
      <c r="H1140" s="15">
        <f t="shared" ca="1" si="128"/>
        <v>1.3915888560998674E-2</v>
      </c>
      <c r="J1140" s="17">
        <f t="shared" ca="1" si="124"/>
        <v>1</v>
      </c>
      <c r="K1140" s="24">
        <f t="shared" ca="1" si="125"/>
        <v>0</v>
      </c>
      <c r="L1140" s="17">
        <f t="shared" ca="1" si="126"/>
        <v>1</v>
      </c>
      <c r="N1140" s="24" t="str">
        <f ca="1">IF(AND(L1140=1,L1139&lt;&gt;1),MAX($N$8:N1139)+1,"")</f>
        <v/>
      </c>
      <c r="O1140" s="24" t="str">
        <f ca="1">IF(AND(L1140&lt;&gt;1,L1139=1),MAX($O$8:O1139)+1,"")</f>
        <v/>
      </c>
      <c r="P1140" s="17" t="str">
        <f ca="1">IF(AND(L1140=-1,L1139&lt;&gt;-1),MAX($P$8:P1139)+1,"")</f>
        <v/>
      </c>
      <c r="Q1140" s="24" t="str">
        <f ca="1">IF(AND(L1140&lt;&gt;-1,L1139=-1),MAX($Q$8:Q1139)+1,"")</f>
        <v/>
      </c>
    </row>
    <row r="1141" spans="1:17" x14ac:dyDescent="0.3">
      <c r="A1141" s="3">
        <v>41863</v>
      </c>
      <c r="B1141" s="9">
        <v>14.024017000000001</v>
      </c>
      <c r="C1141" s="9">
        <v>11.422883000000001</v>
      </c>
      <c r="E1141" s="14">
        <f t="shared" si="123"/>
        <v>1.227712566083361</v>
      </c>
      <c r="F1141" s="18">
        <f t="shared" ca="1" si="122"/>
        <v>0.59843281872556531</v>
      </c>
      <c r="G1141" s="15">
        <f t="shared" ca="1" si="127"/>
        <v>1.2194829374607519</v>
      </c>
      <c r="H1141" s="15">
        <f t="shared" ca="1" si="128"/>
        <v>1.3751967414045078E-2</v>
      </c>
      <c r="J1141" s="17">
        <f t="shared" ca="1" si="124"/>
        <v>1</v>
      </c>
      <c r="K1141" s="24">
        <f t="shared" ca="1" si="125"/>
        <v>0</v>
      </c>
      <c r="L1141" s="17">
        <f t="shared" ca="1" si="126"/>
        <v>1</v>
      </c>
      <c r="N1141" s="24" t="str">
        <f ca="1">IF(AND(L1141=1,L1140&lt;&gt;1),MAX($N$8:N1140)+1,"")</f>
        <v/>
      </c>
      <c r="O1141" s="24" t="str">
        <f ca="1">IF(AND(L1141&lt;&gt;1,L1140=1),MAX($O$8:O1140)+1,"")</f>
        <v/>
      </c>
      <c r="P1141" s="17" t="str">
        <f ca="1">IF(AND(L1141=-1,L1140&lt;&gt;-1),MAX($P$8:P1140)+1,"")</f>
        <v/>
      </c>
      <c r="Q1141" s="24" t="str">
        <f ca="1">IF(AND(L1141&lt;&gt;-1,L1140=-1),MAX($Q$8:Q1140)+1,"")</f>
        <v/>
      </c>
    </row>
    <row r="1142" spans="1:17" x14ac:dyDescent="0.3">
      <c r="A1142" s="3">
        <v>41864</v>
      </c>
      <c r="B1142" s="9">
        <v>13.783301</v>
      </c>
      <c r="C1142" s="9">
        <v>11.315047</v>
      </c>
      <c r="E1142" s="14">
        <f t="shared" si="123"/>
        <v>1.2181390850608045</v>
      </c>
      <c r="F1142" s="18">
        <f t="shared" ca="1" si="122"/>
        <v>-0.20769489479722461</v>
      </c>
      <c r="G1142" s="15">
        <f t="shared" ca="1" si="127"/>
        <v>1.2206985546085287</v>
      </c>
      <c r="H1142" s="15">
        <f t="shared" ca="1" si="128"/>
        <v>1.2323218393129408E-2</v>
      </c>
      <c r="J1142" s="17">
        <f t="shared" ca="1" si="124"/>
        <v>0</v>
      </c>
      <c r="K1142" s="24">
        <f t="shared" ca="1" si="125"/>
        <v>0</v>
      </c>
      <c r="L1142" s="17">
        <f t="shared" ca="1" si="126"/>
        <v>0</v>
      </c>
      <c r="N1142" s="24" t="str">
        <f ca="1">IF(AND(L1142=1,L1141&lt;&gt;1),MAX($N$8:N1141)+1,"")</f>
        <v/>
      </c>
      <c r="O1142" s="24">
        <f ca="1">IF(AND(L1142&lt;&gt;1,L1141=1),MAX($O$8:O1141)+1,"")</f>
        <v>33</v>
      </c>
      <c r="P1142" s="17" t="str">
        <f ca="1">IF(AND(L1142=-1,L1141&lt;&gt;-1),MAX($P$8:P1141)+1,"")</f>
        <v/>
      </c>
      <c r="Q1142" s="24" t="str">
        <f ca="1">IF(AND(L1142&lt;&gt;-1,L1141=-1),MAX($Q$8:Q1141)+1,"")</f>
        <v/>
      </c>
    </row>
    <row r="1143" spans="1:17" x14ac:dyDescent="0.3">
      <c r="A1143" s="3">
        <v>41865</v>
      </c>
      <c r="B1143" s="9">
        <v>14.140893999999999</v>
      </c>
      <c r="C1143" s="9">
        <v>11.651657999999999</v>
      </c>
      <c r="E1143" s="14">
        <f t="shared" si="123"/>
        <v>1.2136379217446993</v>
      </c>
      <c r="F1143" s="18">
        <f t="shared" ca="1" si="122"/>
        <v>-0.71169223337430543</v>
      </c>
      <c r="G1143" s="15">
        <f t="shared" ca="1" si="127"/>
        <v>1.2215449096161484</v>
      </c>
      <c r="H1143" s="15">
        <f t="shared" ca="1" si="128"/>
        <v>1.1110122466786113E-2</v>
      </c>
      <c r="J1143" s="17">
        <f t="shared" ca="1" si="124"/>
        <v>0</v>
      </c>
      <c r="K1143" s="24">
        <f t="shared" ca="1" si="125"/>
        <v>0</v>
      </c>
      <c r="L1143" s="17">
        <f t="shared" ca="1" si="126"/>
        <v>0</v>
      </c>
      <c r="N1143" s="24" t="str">
        <f ca="1">IF(AND(L1143=1,L1142&lt;&gt;1),MAX($N$8:N1142)+1,"")</f>
        <v/>
      </c>
      <c r="O1143" s="24" t="str">
        <f ca="1">IF(AND(L1143&lt;&gt;1,L1142=1),MAX($O$8:O1142)+1,"")</f>
        <v/>
      </c>
      <c r="P1143" s="17" t="str">
        <f ca="1">IF(AND(L1143=-1,L1142&lt;&gt;-1),MAX($P$8:P1142)+1,"")</f>
        <v/>
      </c>
      <c r="Q1143" s="24" t="str">
        <f ca="1">IF(AND(L1143&lt;&gt;-1,L1142=-1),MAX($Q$8:Q1142)+1,"")</f>
        <v/>
      </c>
    </row>
    <row r="1144" spans="1:17" x14ac:dyDescent="0.3">
      <c r="A1144" s="3">
        <v>41866</v>
      </c>
      <c r="B1144" s="9">
        <v>14.34962</v>
      </c>
      <c r="C1144" s="9">
        <v>11.815102</v>
      </c>
      <c r="E1144" s="14">
        <f t="shared" si="123"/>
        <v>1.2145151180243725</v>
      </c>
      <c r="F1144" s="18">
        <f t="shared" ca="1" si="122"/>
        <v>-0.71518525235133767</v>
      </c>
      <c r="G1144" s="15">
        <f t="shared" ca="1" si="127"/>
        <v>1.2220420010814186</v>
      </c>
      <c r="H1144" s="15">
        <f t="shared" ca="1" si="128"/>
        <v>1.052438236428911E-2</v>
      </c>
      <c r="J1144" s="17">
        <f t="shared" ca="1" si="124"/>
        <v>0</v>
      </c>
      <c r="K1144" s="24">
        <f t="shared" ca="1" si="125"/>
        <v>0</v>
      </c>
      <c r="L1144" s="17">
        <f t="shared" ca="1" si="126"/>
        <v>0</v>
      </c>
      <c r="N1144" s="24" t="str">
        <f ca="1">IF(AND(L1144=1,L1143&lt;&gt;1),MAX($N$8:N1143)+1,"")</f>
        <v/>
      </c>
      <c r="O1144" s="24" t="str">
        <f ca="1">IF(AND(L1144&lt;&gt;1,L1143=1),MAX($O$8:O1143)+1,"")</f>
        <v/>
      </c>
      <c r="P1144" s="17" t="str">
        <f ca="1">IF(AND(L1144=-1,L1143&lt;&gt;-1),MAX($P$8:P1143)+1,"")</f>
        <v/>
      </c>
      <c r="Q1144" s="24" t="str">
        <f ca="1">IF(AND(L1144&lt;&gt;-1,L1143=-1),MAX($Q$8:Q1143)+1,"")</f>
        <v/>
      </c>
    </row>
    <row r="1145" spans="1:17" x14ac:dyDescent="0.3">
      <c r="A1145" s="3">
        <v>41869</v>
      </c>
      <c r="B1145" s="9">
        <v>14.558341</v>
      </c>
      <c r="C1145" s="9">
        <v>11.896825</v>
      </c>
      <c r="E1145" s="14">
        <f t="shared" si="123"/>
        <v>1.2237164957877418</v>
      </c>
      <c r="F1145" s="18">
        <f t="shared" ca="1" si="122"/>
        <v>0.10617481786516779</v>
      </c>
      <c r="G1145" s="15">
        <f t="shared" ca="1" si="127"/>
        <v>1.2226296230475244</v>
      </c>
      <c r="H1145" s="15">
        <f t="shared" ca="1" si="128"/>
        <v>1.023663390313112E-2</v>
      </c>
      <c r="J1145" s="17">
        <f t="shared" ca="1" si="124"/>
        <v>0</v>
      </c>
      <c r="K1145" s="24">
        <f t="shared" ca="1" si="125"/>
        <v>0</v>
      </c>
      <c r="L1145" s="17">
        <f t="shared" ca="1" si="126"/>
        <v>0</v>
      </c>
      <c r="N1145" s="24" t="str">
        <f ca="1">IF(AND(L1145=1,L1144&lt;&gt;1),MAX($N$8:N1144)+1,"")</f>
        <v/>
      </c>
      <c r="O1145" s="24" t="str">
        <f ca="1">IF(AND(L1145&lt;&gt;1,L1144=1),MAX($O$8:O1144)+1,"")</f>
        <v/>
      </c>
      <c r="P1145" s="17" t="str">
        <f ca="1">IF(AND(L1145=-1,L1144&lt;&gt;-1),MAX($P$8:P1144)+1,"")</f>
        <v/>
      </c>
      <c r="Q1145" s="24" t="str">
        <f ca="1">IF(AND(L1145&lt;&gt;-1,L1144=-1),MAX($Q$8:Q1144)+1,"")</f>
        <v/>
      </c>
    </row>
    <row r="1146" spans="1:17" x14ac:dyDescent="0.3">
      <c r="A1146" s="3">
        <v>41870</v>
      </c>
      <c r="B1146" s="9">
        <v>15.056069000000001</v>
      </c>
      <c r="C1146" s="9">
        <v>12.256319</v>
      </c>
      <c r="E1146" s="14">
        <f t="shared" si="123"/>
        <v>1.228433186179309</v>
      </c>
      <c r="F1146" s="18">
        <f t="shared" ca="1" si="122"/>
        <v>0.50415798319012228</v>
      </c>
      <c r="G1146" s="15">
        <f t="shared" ca="1" si="127"/>
        <v>1.2233748831366087</v>
      </c>
      <c r="H1146" s="15">
        <f t="shared" ca="1" si="128"/>
        <v>1.0033170576201596E-2</v>
      </c>
      <c r="J1146" s="17">
        <f t="shared" ca="1" si="124"/>
        <v>0</v>
      </c>
      <c r="K1146" s="24">
        <f t="shared" ca="1" si="125"/>
        <v>0</v>
      </c>
      <c r="L1146" s="17">
        <f t="shared" ca="1" si="126"/>
        <v>0</v>
      </c>
      <c r="N1146" s="24" t="str">
        <f ca="1">IF(AND(L1146=1,L1145&lt;&gt;1),MAX($N$8:N1145)+1,"")</f>
        <v/>
      </c>
      <c r="O1146" s="24" t="str">
        <f ca="1">IF(AND(L1146&lt;&gt;1,L1145=1),MAX($O$8:O1145)+1,"")</f>
        <v/>
      </c>
      <c r="P1146" s="17" t="str">
        <f ca="1">IF(AND(L1146=-1,L1145&lt;&gt;-1),MAX($P$8:P1145)+1,"")</f>
        <v/>
      </c>
      <c r="Q1146" s="24" t="str">
        <f ca="1">IF(AND(L1146&lt;&gt;-1,L1145=-1),MAX($Q$8:Q1145)+1,"")</f>
        <v/>
      </c>
    </row>
    <row r="1147" spans="1:17" x14ac:dyDescent="0.3">
      <c r="A1147" s="3">
        <v>41871</v>
      </c>
      <c r="B1147" s="9">
        <v>15.128263</v>
      </c>
      <c r="C1147" s="9">
        <v>12.321712</v>
      </c>
      <c r="E1147" s="14">
        <f t="shared" si="123"/>
        <v>1.2277728127390091</v>
      </c>
      <c r="F1147" s="18">
        <f t="shared" ca="1" si="122"/>
        <v>0.36928842265259187</v>
      </c>
      <c r="G1147" s="15">
        <f t="shared" ca="1" si="127"/>
        <v>1.224262791912925</v>
      </c>
      <c r="H1147" s="15">
        <f t="shared" ca="1" si="128"/>
        <v>9.5048222765059306E-3</v>
      </c>
      <c r="J1147" s="17">
        <f t="shared" ca="1" si="124"/>
        <v>0</v>
      </c>
      <c r="K1147" s="24">
        <f t="shared" ca="1" si="125"/>
        <v>0</v>
      </c>
      <c r="L1147" s="17">
        <f t="shared" ca="1" si="126"/>
        <v>0</v>
      </c>
      <c r="N1147" s="24" t="str">
        <f ca="1">IF(AND(L1147=1,L1146&lt;&gt;1),MAX($N$8:N1146)+1,"")</f>
        <v/>
      </c>
      <c r="O1147" s="24" t="str">
        <f ca="1">IF(AND(L1147&lt;&gt;1,L1146=1),MAX($O$8:O1146)+1,"")</f>
        <v/>
      </c>
      <c r="P1147" s="17" t="str">
        <f ca="1">IF(AND(L1147=-1,L1146&lt;&gt;-1),MAX($P$8:P1146)+1,"")</f>
        <v/>
      </c>
      <c r="Q1147" s="24" t="str">
        <f ca="1">IF(AND(L1147&lt;&gt;-1,L1146=-1),MAX($Q$8:Q1146)+1,"")</f>
        <v/>
      </c>
    </row>
    <row r="1148" spans="1:17" x14ac:dyDescent="0.3">
      <c r="A1148" s="3">
        <v>41872</v>
      </c>
      <c r="B1148" s="9">
        <v>15.216631</v>
      </c>
      <c r="C1148" s="9">
        <v>12.485087</v>
      </c>
      <c r="E1148" s="14">
        <f t="shared" si="123"/>
        <v>1.2187845387060579</v>
      </c>
      <c r="F1148" s="18">
        <f t="shared" ca="1" si="122"/>
        <v>-0.60767841755098673</v>
      </c>
      <c r="G1148" s="15">
        <f t="shared" ca="1" si="127"/>
        <v>1.2244611552710027</v>
      </c>
      <c r="H1148" s="15">
        <f t="shared" ca="1" si="128"/>
        <v>9.3414812851545775E-3</v>
      </c>
      <c r="J1148" s="17">
        <f t="shared" ca="1" si="124"/>
        <v>0</v>
      </c>
      <c r="K1148" s="24">
        <f t="shared" ca="1" si="125"/>
        <v>0</v>
      </c>
      <c r="L1148" s="17">
        <f t="shared" ca="1" si="126"/>
        <v>0</v>
      </c>
      <c r="N1148" s="24" t="str">
        <f ca="1">IF(AND(L1148=1,L1147&lt;&gt;1),MAX($N$8:N1147)+1,"")</f>
        <v/>
      </c>
      <c r="O1148" s="24" t="str">
        <f ca="1">IF(AND(L1148&lt;&gt;1,L1147=1),MAX($O$8:O1147)+1,"")</f>
        <v/>
      </c>
      <c r="P1148" s="17" t="str">
        <f ca="1">IF(AND(L1148=-1,L1147&lt;&gt;-1),MAX($P$8:P1147)+1,"")</f>
        <v/>
      </c>
      <c r="Q1148" s="24" t="str">
        <f ca="1">IF(AND(L1148&lt;&gt;-1,L1147=-1),MAX($Q$8:Q1147)+1,"")</f>
        <v/>
      </c>
    </row>
    <row r="1149" spans="1:17" x14ac:dyDescent="0.3">
      <c r="A1149" s="3">
        <v>41873</v>
      </c>
      <c r="B1149" s="9">
        <v>15.043975</v>
      </c>
      <c r="C1149" s="9">
        <v>12.288978</v>
      </c>
      <c r="E1149" s="14">
        <f t="shared" si="123"/>
        <v>1.2241843870173743</v>
      </c>
      <c r="F1149" s="18">
        <f t="shared" ca="1" si="122"/>
        <v>-8.1252767794874448E-2</v>
      </c>
      <c r="G1149" s="15">
        <f t="shared" ca="1" si="127"/>
        <v>1.2249208298886969</v>
      </c>
      <c r="H1149" s="15">
        <f t="shared" ca="1" si="128"/>
        <v>9.0636035092582952E-3</v>
      </c>
      <c r="J1149" s="17">
        <f t="shared" ca="1" si="124"/>
        <v>0</v>
      </c>
      <c r="K1149" s="24">
        <f t="shared" ca="1" si="125"/>
        <v>0</v>
      </c>
      <c r="L1149" s="17">
        <f t="shared" ca="1" si="126"/>
        <v>0</v>
      </c>
      <c r="N1149" s="24" t="str">
        <f ca="1">IF(AND(L1149=1,L1148&lt;&gt;1),MAX($N$8:N1148)+1,"")</f>
        <v/>
      </c>
      <c r="O1149" s="24" t="str">
        <f ca="1">IF(AND(L1149&lt;&gt;1,L1148=1),MAX($O$8:O1148)+1,"")</f>
        <v/>
      </c>
      <c r="P1149" s="17" t="str">
        <f ca="1">IF(AND(L1149=-1,L1148&lt;&gt;-1),MAX($P$8:P1148)+1,"")</f>
        <v/>
      </c>
      <c r="Q1149" s="24" t="str">
        <f ca="1">IF(AND(L1149&lt;&gt;-1,L1148=-1),MAX($Q$8:Q1148)+1,"")</f>
        <v/>
      </c>
    </row>
    <row r="1150" spans="1:17" x14ac:dyDescent="0.3">
      <c r="A1150" s="3">
        <v>41876</v>
      </c>
      <c r="B1150" s="9">
        <v>15.417260000000001</v>
      </c>
      <c r="C1150" s="9">
        <v>12.638750999999999</v>
      </c>
      <c r="E1150" s="14">
        <f t="shared" si="123"/>
        <v>1.2198404731606787</v>
      </c>
      <c r="F1150" s="18">
        <f t="shared" ca="1" si="122"/>
        <v>-0.5727366061466509</v>
      </c>
      <c r="G1150" s="15">
        <f t="shared" ca="1" si="127"/>
        <v>1.2250010231060957</v>
      </c>
      <c r="H1150" s="15">
        <f t="shared" ca="1" si="128"/>
        <v>9.0103371952021914E-3</v>
      </c>
      <c r="J1150" s="17">
        <f t="shared" ca="1" si="124"/>
        <v>0</v>
      </c>
      <c r="K1150" s="24">
        <f t="shared" ca="1" si="125"/>
        <v>0</v>
      </c>
      <c r="L1150" s="17">
        <f t="shared" ca="1" si="126"/>
        <v>0</v>
      </c>
      <c r="N1150" s="24" t="str">
        <f ca="1">IF(AND(L1150=1,L1149&lt;&gt;1),MAX($N$8:N1149)+1,"")</f>
        <v/>
      </c>
      <c r="O1150" s="24" t="str">
        <f ca="1">IF(AND(L1150&lt;&gt;1,L1149=1),MAX($O$8:O1149)+1,"")</f>
        <v/>
      </c>
      <c r="P1150" s="17" t="str">
        <f ca="1">IF(AND(L1150=-1,L1149&lt;&gt;-1),MAX($P$8:P1149)+1,"")</f>
        <v/>
      </c>
      <c r="Q1150" s="24" t="str">
        <f ca="1">IF(AND(L1150&lt;&gt;-1,L1149=-1),MAX($Q$8:Q1149)+1,"")</f>
        <v/>
      </c>
    </row>
    <row r="1151" spans="1:17" x14ac:dyDescent="0.3">
      <c r="A1151" s="3">
        <v>41877</v>
      </c>
      <c r="B1151" s="9">
        <v>15.521660000000001</v>
      </c>
      <c r="C1151" s="9">
        <v>12.707379</v>
      </c>
      <c r="E1151" s="14">
        <f t="shared" si="123"/>
        <v>1.2214682508485819</v>
      </c>
      <c r="F1151" s="18">
        <f t="shared" ca="1" si="122"/>
        <v>-0.38184225466307709</v>
      </c>
      <c r="G1151" s="15">
        <f t="shared" ca="1" si="127"/>
        <v>1.2249178472516415</v>
      </c>
      <c r="H1151" s="15">
        <f t="shared" ca="1" si="128"/>
        <v>9.034087665607966E-3</v>
      </c>
      <c r="J1151" s="17">
        <f t="shared" ca="1" si="124"/>
        <v>0</v>
      </c>
      <c r="K1151" s="24">
        <f t="shared" ca="1" si="125"/>
        <v>0</v>
      </c>
      <c r="L1151" s="17">
        <f t="shared" ca="1" si="126"/>
        <v>0</v>
      </c>
      <c r="N1151" s="24" t="str">
        <f ca="1">IF(AND(L1151=1,L1150&lt;&gt;1),MAX($N$8:N1150)+1,"")</f>
        <v/>
      </c>
      <c r="O1151" s="24" t="str">
        <f ca="1">IF(AND(L1151&lt;&gt;1,L1150=1),MAX($O$8:O1150)+1,"")</f>
        <v/>
      </c>
      <c r="P1151" s="17" t="str">
        <f ca="1">IF(AND(L1151=-1,L1150&lt;&gt;-1),MAX($P$8:P1150)+1,"")</f>
        <v/>
      </c>
      <c r="Q1151" s="24" t="str">
        <f ca="1">IF(AND(L1151&lt;&gt;-1,L1150=-1),MAX($Q$8:Q1150)+1,"")</f>
        <v/>
      </c>
    </row>
    <row r="1152" spans="1:17" x14ac:dyDescent="0.3">
      <c r="A1152" s="3">
        <v>41878</v>
      </c>
      <c r="B1152" s="9">
        <v>15.991258</v>
      </c>
      <c r="C1152" s="9">
        <v>13.043989</v>
      </c>
      <c r="E1152" s="14">
        <f t="shared" si="123"/>
        <v>1.2259484426121487</v>
      </c>
      <c r="F1152" s="18">
        <f t="shared" ca="1" si="122"/>
        <v>0.12258286177424339</v>
      </c>
      <c r="G1152" s="15">
        <f t="shared" ca="1" si="127"/>
        <v>1.2248429429340879</v>
      </c>
      <c r="H1152" s="15">
        <f t="shared" ca="1" si="128"/>
        <v>9.0183869266880056E-3</v>
      </c>
      <c r="J1152" s="17">
        <f t="shared" ca="1" si="124"/>
        <v>0</v>
      </c>
      <c r="K1152" s="24">
        <f t="shared" ca="1" si="125"/>
        <v>0</v>
      </c>
      <c r="L1152" s="17">
        <f t="shared" ca="1" si="126"/>
        <v>0</v>
      </c>
      <c r="N1152" s="24" t="str">
        <f ca="1">IF(AND(L1152=1,L1151&lt;&gt;1),MAX($N$8:N1151)+1,"")</f>
        <v/>
      </c>
      <c r="O1152" s="24" t="str">
        <f ca="1">IF(AND(L1152&lt;&gt;1,L1151=1),MAX($O$8:O1151)+1,"")</f>
        <v/>
      </c>
      <c r="P1152" s="17" t="str">
        <f ca="1">IF(AND(L1152=-1,L1151&lt;&gt;-1),MAX($P$8:P1151)+1,"")</f>
        <v/>
      </c>
      <c r="Q1152" s="24" t="str">
        <f ca="1">IF(AND(L1152&lt;&gt;-1,L1151=-1),MAX($Q$8:Q1151)+1,"")</f>
        <v/>
      </c>
    </row>
    <row r="1153" spans="1:17" x14ac:dyDescent="0.3">
      <c r="A1153" s="3">
        <v>41879</v>
      </c>
      <c r="B1153" s="9">
        <v>15.838711</v>
      </c>
      <c r="C1153" s="9">
        <v>13.073411</v>
      </c>
      <c r="E1153" s="14">
        <f t="shared" si="123"/>
        <v>1.2115209259465645</v>
      </c>
      <c r="F1153" s="18">
        <f t="shared" ca="1" si="122"/>
        <v>-1.3376646383152253</v>
      </c>
      <c r="G1153" s="15">
        <f t="shared" ca="1" si="127"/>
        <v>1.2241000712423036</v>
      </c>
      <c r="H1153" s="15">
        <f t="shared" ca="1" si="128"/>
        <v>9.403810892080108E-3</v>
      </c>
      <c r="J1153" s="17">
        <f t="shared" ca="1" si="124"/>
        <v>0</v>
      </c>
      <c r="K1153" s="24">
        <f t="shared" ca="1" si="125"/>
        <v>-1</v>
      </c>
      <c r="L1153" s="17">
        <f t="shared" ca="1" si="126"/>
        <v>-1</v>
      </c>
      <c r="N1153" s="24" t="str">
        <f ca="1">IF(AND(L1153=1,L1152&lt;&gt;1),MAX($N$8:N1152)+1,"")</f>
        <v/>
      </c>
      <c r="O1153" s="24" t="str">
        <f ca="1">IF(AND(L1153&lt;&gt;1,L1152=1),MAX($O$8:O1152)+1,"")</f>
        <v/>
      </c>
      <c r="P1153" s="17">
        <f ca="1">IF(AND(L1153=-1,L1152&lt;&gt;-1),MAX($P$8:P1152)+1,"")</f>
        <v>43</v>
      </c>
      <c r="Q1153" s="24" t="str">
        <f ca="1">IF(AND(L1153&lt;&gt;-1,L1152=-1),MAX($Q$8:Q1152)+1,"")</f>
        <v/>
      </c>
    </row>
    <row r="1154" spans="1:17" x14ac:dyDescent="0.3">
      <c r="A1154" s="3">
        <v>41880</v>
      </c>
      <c r="B1154" s="9">
        <v>16.256150999999999</v>
      </c>
      <c r="C1154" s="9">
        <v>13.445994000000001</v>
      </c>
      <c r="E1154" s="14">
        <f t="shared" si="123"/>
        <v>1.2089958540811485</v>
      </c>
      <c r="F1154" s="18">
        <f t="shared" ref="F1154:F1217" ca="1" si="129">IF(ISNUMBER(G1154),(E1154-G1154)/H1154,"")</f>
        <v>-1.4833097665426431</v>
      </c>
      <c r="G1154" s="15">
        <f t="shared" ca="1" si="127"/>
        <v>1.2226871225129023</v>
      </c>
      <c r="H1154" s="15">
        <f t="shared" ca="1" si="128"/>
        <v>9.2302152527897006E-3</v>
      </c>
      <c r="J1154" s="17">
        <f t="shared" ca="1" si="124"/>
        <v>0</v>
      </c>
      <c r="K1154" s="24">
        <f t="shared" ca="1" si="125"/>
        <v>-1</v>
      </c>
      <c r="L1154" s="17">
        <f t="shared" ca="1" si="126"/>
        <v>-1</v>
      </c>
      <c r="N1154" s="24" t="str">
        <f ca="1">IF(AND(L1154=1,L1153&lt;&gt;1),MAX($N$8:N1153)+1,"")</f>
        <v/>
      </c>
      <c r="O1154" s="24" t="str">
        <f ca="1">IF(AND(L1154&lt;&gt;1,L1153=1),MAX($O$8:O1153)+1,"")</f>
        <v/>
      </c>
      <c r="P1154" s="17" t="str">
        <f ca="1">IF(AND(L1154=-1,L1153&lt;&gt;-1),MAX($P$8:P1153)+1,"")</f>
        <v/>
      </c>
      <c r="Q1154" s="24" t="str">
        <f ca="1">IF(AND(L1154&lt;&gt;-1,L1153=-1),MAX($Q$8:Q1153)+1,"")</f>
        <v/>
      </c>
    </row>
    <row r="1155" spans="1:17" x14ac:dyDescent="0.3">
      <c r="A1155" s="3">
        <v>41883</v>
      </c>
      <c r="B1155" s="9">
        <v>16.267085999999999</v>
      </c>
      <c r="C1155" s="9">
        <v>13.305496</v>
      </c>
      <c r="E1155" s="14">
        <f t="shared" ref="E1155:E1218" si="130">IF(ISNUMBER(B1155),B1155/C1155,"")</f>
        <v>1.2225839607933442</v>
      </c>
      <c r="F1155" s="18">
        <f t="shared" ca="1" si="129"/>
        <v>-2.7216938325699551E-3</v>
      </c>
      <c r="G1155" s="15">
        <f t="shared" ca="1" si="127"/>
        <v>1.2226090643195482</v>
      </c>
      <c r="H1155" s="15">
        <f t="shared" ca="1" si="128"/>
        <v>9.2234938050660981E-3</v>
      </c>
      <c r="J1155" s="17">
        <f t="shared" ca="1" si="124"/>
        <v>0</v>
      </c>
      <c r="K1155" s="24">
        <f t="shared" ca="1" si="125"/>
        <v>-1</v>
      </c>
      <c r="L1155" s="17">
        <f t="shared" ca="1" si="126"/>
        <v>-1</v>
      </c>
      <c r="N1155" s="24" t="str">
        <f ca="1">IF(AND(L1155=1,L1154&lt;&gt;1),MAX($N$8:N1154)+1,"")</f>
        <v/>
      </c>
      <c r="O1155" s="24" t="str">
        <f ca="1">IF(AND(L1155&lt;&gt;1,L1154=1),MAX($O$8:O1154)+1,"")</f>
        <v/>
      </c>
      <c r="P1155" s="17" t="str">
        <f ca="1">IF(AND(L1155=-1,L1154&lt;&gt;-1),MAX($P$8:P1154)+1,"")</f>
        <v/>
      </c>
      <c r="Q1155" s="24" t="str">
        <f ca="1">IF(AND(L1155&lt;&gt;-1,L1154=-1),MAX($Q$8:Q1154)+1,"")</f>
        <v/>
      </c>
    </row>
    <row r="1156" spans="1:17" x14ac:dyDescent="0.3">
      <c r="A1156" s="3">
        <v>41884</v>
      </c>
      <c r="B1156" s="9">
        <v>16.564378999999999</v>
      </c>
      <c r="C1156" s="9">
        <v>13.594590999999999</v>
      </c>
      <c r="E1156" s="14">
        <f t="shared" si="130"/>
        <v>1.2184536482193542</v>
      </c>
      <c r="F1156" s="18">
        <f t="shared" ca="1" si="129"/>
        <v>-0.51356500163232921</v>
      </c>
      <c r="G1156" s="15">
        <f t="shared" ca="1" si="127"/>
        <v>1.222999034746499</v>
      </c>
      <c r="H1156" s="15">
        <f t="shared" ca="1" si="128"/>
        <v>8.8506547617099585E-3</v>
      </c>
      <c r="J1156" s="17">
        <f t="shared" ca="1" si="124"/>
        <v>0</v>
      </c>
      <c r="K1156" s="24">
        <f t="shared" ca="1" si="125"/>
        <v>-1</v>
      </c>
      <c r="L1156" s="17">
        <f t="shared" ca="1" si="126"/>
        <v>-1</v>
      </c>
      <c r="N1156" s="24" t="str">
        <f ca="1">IF(AND(L1156=1,L1155&lt;&gt;1),MAX($N$8:N1155)+1,"")</f>
        <v/>
      </c>
      <c r="O1156" s="24" t="str">
        <f ca="1">IF(AND(L1156&lt;&gt;1,L1155=1),MAX($O$8:O1155)+1,"")</f>
        <v/>
      </c>
      <c r="P1156" s="17" t="str">
        <f ca="1">IF(AND(L1156=-1,L1155&lt;&gt;-1),MAX($P$8:P1155)+1,"")</f>
        <v/>
      </c>
      <c r="Q1156" s="24" t="str">
        <f ca="1">IF(AND(L1156&lt;&gt;-1,L1155=-1),MAX($Q$8:Q1155)+1,"")</f>
        <v/>
      </c>
    </row>
    <row r="1157" spans="1:17" x14ac:dyDescent="0.3">
      <c r="A1157" s="3">
        <v>41885</v>
      </c>
      <c r="B1157" s="9">
        <v>16.508087</v>
      </c>
      <c r="C1157" s="9">
        <v>13.624044</v>
      </c>
      <c r="E1157" s="14">
        <f t="shared" si="130"/>
        <v>1.2116877338329206</v>
      </c>
      <c r="F1157" s="18">
        <f t="shared" ca="1" si="129"/>
        <v>-1.3673575530367692</v>
      </c>
      <c r="G1157" s="15">
        <f t="shared" ca="1" si="127"/>
        <v>1.2232436488473917</v>
      </c>
      <c r="H1157" s="15">
        <f t="shared" ca="1" si="128"/>
        <v>8.4512752270293097E-3</v>
      </c>
      <c r="J1157" s="17">
        <f t="shared" ca="1" si="124"/>
        <v>0</v>
      </c>
      <c r="K1157" s="24">
        <f t="shared" ca="1" si="125"/>
        <v>-1</v>
      </c>
      <c r="L1157" s="17">
        <f t="shared" ca="1" si="126"/>
        <v>-1</v>
      </c>
      <c r="N1157" s="24" t="str">
        <f ca="1">IF(AND(L1157=1,L1156&lt;&gt;1),MAX($N$8:N1156)+1,"")</f>
        <v/>
      </c>
      <c r="O1157" s="24" t="str">
        <f ca="1">IF(AND(L1157&lt;&gt;1,L1156=1),MAX($O$8:O1156)+1,"")</f>
        <v/>
      </c>
      <c r="P1157" s="17" t="str">
        <f ca="1">IF(AND(L1157=-1,L1156&lt;&gt;-1),MAX($P$8:P1156)+1,"")</f>
        <v/>
      </c>
      <c r="Q1157" s="24" t="str">
        <f ca="1">IF(AND(L1157&lt;&gt;-1,L1156=-1),MAX($Q$8:Q1156)+1,"")</f>
        <v/>
      </c>
    </row>
    <row r="1158" spans="1:17" x14ac:dyDescent="0.3">
      <c r="A1158" s="3">
        <v>41886</v>
      </c>
      <c r="B1158" s="9">
        <v>16.17071</v>
      </c>
      <c r="C1158" s="9">
        <v>13.152903</v>
      </c>
      <c r="E1158" s="14">
        <f t="shared" si="130"/>
        <v>1.2294403752540408</v>
      </c>
      <c r="F1158" s="18">
        <f t="shared" ca="1" si="129"/>
        <v>0.80878026709393713</v>
      </c>
      <c r="G1158" s="15">
        <f t="shared" ca="1" si="127"/>
        <v>1.2229198286918801</v>
      </c>
      <c r="H1158" s="15">
        <f t="shared" ca="1" si="128"/>
        <v>8.0621978891621295E-3</v>
      </c>
      <c r="J1158" s="17">
        <f t="shared" ca="1" si="124"/>
        <v>0</v>
      </c>
      <c r="K1158" s="24">
        <f t="shared" ca="1" si="125"/>
        <v>0</v>
      </c>
      <c r="L1158" s="17">
        <f t="shared" ca="1" si="126"/>
        <v>0</v>
      </c>
      <c r="N1158" s="24" t="str">
        <f ca="1">IF(AND(L1158=1,L1157&lt;&gt;1),MAX($N$8:N1157)+1,"")</f>
        <v/>
      </c>
      <c r="O1158" s="24" t="str">
        <f ca="1">IF(AND(L1158&lt;&gt;1,L1157=1),MAX($O$8:O1157)+1,"")</f>
        <v/>
      </c>
      <c r="P1158" s="17" t="str">
        <f ca="1">IF(AND(L1158=-1,L1157&lt;&gt;-1),MAX($P$8:P1157)+1,"")</f>
        <v/>
      </c>
      <c r="Q1158" s="24">
        <f ca="1">IF(AND(L1158&lt;&gt;-1,L1157=-1),MAX($Q$8:Q1157)+1,"")</f>
        <v>43</v>
      </c>
    </row>
    <row r="1159" spans="1:17" x14ac:dyDescent="0.3">
      <c r="A1159" s="3">
        <v>41887</v>
      </c>
      <c r="B1159" s="9">
        <v>16.291215999999999</v>
      </c>
      <c r="C1159" s="9">
        <v>13.378606</v>
      </c>
      <c r="E1159" s="14">
        <f t="shared" si="130"/>
        <v>1.2177065383344123</v>
      </c>
      <c r="F1159" s="18">
        <f t="shared" ca="1" si="129"/>
        <v>-0.58177079083589733</v>
      </c>
      <c r="G1159" s="15">
        <f t="shared" ca="1" si="127"/>
        <v>1.2223289555637591</v>
      </c>
      <c r="H1159" s="15">
        <f t="shared" ca="1" si="128"/>
        <v>7.9454267937810914E-3</v>
      </c>
      <c r="J1159" s="17">
        <f t="shared" ca="1" si="124"/>
        <v>0</v>
      </c>
      <c r="K1159" s="24">
        <f t="shared" ca="1" si="125"/>
        <v>0</v>
      </c>
      <c r="L1159" s="17">
        <f t="shared" ca="1" si="126"/>
        <v>0</v>
      </c>
      <c r="N1159" s="24" t="str">
        <f ca="1">IF(AND(L1159=1,L1158&lt;&gt;1),MAX($N$8:N1158)+1,"")</f>
        <v/>
      </c>
      <c r="O1159" s="24" t="str">
        <f ca="1">IF(AND(L1159&lt;&gt;1,L1158=1),MAX($O$8:O1158)+1,"")</f>
        <v/>
      </c>
      <c r="P1159" s="17" t="str">
        <f ca="1">IF(AND(L1159=-1,L1158&lt;&gt;-1),MAX($P$8:P1158)+1,"")</f>
        <v/>
      </c>
      <c r="Q1159" s="24" t="str">
        <f ca="1">IF(AND(L1159&lt;&gt;-1,L1158=-1),MAX($Q$8:Q1158)+1,"")</f>
        <v/>
      </c>
    </row>
    <row r="1160" spans="1:17" x14ac:dyDescent="0.3">
      <c r="A1160" s="3">
        <v>41890</v>
      </c>
      <c r="B1160" s="9">
        <v>15.869483000000001</v>
      </c>
      <c r="C1160" s="9">
        <v>13.00563</v>
      </c>
      <c r="E1160" s="14">
        <f t="shared" si="130"/>
        <v>1.2202010206349096</v>
      </c>
      <c r="F1160" s="18">
        <f t="shared" ca="1" si="129"/>
        <v>-0.20462350108583707</v>
      </c>
      <c r="G1160" s="15">
        <f t="shared" ca="1" si="127"/>
        <v>1.2217611446594574</v>
      </c>
      <c r="H1160" s="15">
        <f t="shared" ca="1" si="128"/>
        <v>7.6243638500413293E-3</v>
      </c>
      <c r="J1160" s="17">
        <f t="shared" ref="J1160:J1223" ca="1" si="131">IF(ISNUMBER(F1160),IF(AND(J1159&lt;&gt;1,F1160&gt;$L$1),1,IF(AND(J1159=1,F1160&gt;$N$1),1,0)),"")</f>
        <v>0</v>
      </c>
      <c r="K1160" s="24">
        <f t="shared" ca="1" si="125"/>
        <v>0</v>
      </c>
      <c r="L1160" s="17">
        <f t="shared" ca="1" si="126"/>
        <v>0</v>
      </c>
      <c r="N1160" s="24" t="str">
        <f ca="1">IF(AND(L1160=1,L1159&lt;&gt;1),MAX($N$8:N1159)+1,"")</f>
        <v/>
      </c>
      <c r="O1160" s="24" t="str">
        <f ca="1">IF(AND(L1160&lt;&gt;1,L1159=1),MAX($O$8:O1159)+1,"")</f>
        <v/>
      </c>
      <c r="P1160" s="17" t="str">
        <f ca="1">IF(AND(L1160=-1,L1159&lt;&gt;-1),MAX($P$8:P1159)+1,"")</f>
        <v/>
      </c>
      <c r="Q1160" s="24" t="str">
        <f ca="1">IF(AND(L1160&lt;&gt;-1,L1159=-1),MAX($Q$8:Q1159)+1,"")</f>
        <v/>
      </c>
    </row>
    <row r="1161" spans="1:17" x14ac:dyDescent="0.3">
      <c r="A1161" s="3">
        <v>41891</v>
      </c>
      <c r="B1161" s="9">
        <v>15.624472000000001</v>
      </c>
      <c r="C1161" s="9">
        <v>12.832212</v>
      </c>
      <c r="E1161" s="14">
        <f t="shared" si="130"/>
        <v>1.2175977142522272</v>
      </c>
      <c r="F1161" s="18">
        <f t="shared" ca="1" si="129"/>
        <v>-0.49310944528007644</v>
      </c>
      <c r="G1161" s="15">
        <f t="shared" ca="1" si="127"/>
        <v>1.2206139839589785</v>
      </c>
      <c r="H1161" s="15">
        <f t="shared" ca="1" si="128"/>
        <v>6.1168362026367247E-3</v>
      </c>
      <c r="J1161" s="17">
        <f t="shared" ca="1" si="131"/>
        <v>0</v>
      </c>
      <c r="K1161" s="24">
        <f t="shared" ref="K1161:K1224" ca="1" si="132">IF(ISNUMBER(F1161),IF(AND(K1160&lt;&gt;-1,F1161&lt;$P$1),-1,IF(AND(K1160=-1,F1161&lt;R1154),-1,0)),"")</f>
        <v>0</v>
      </c>
      <c r="L1161" s="17">
        <f t="shared" ref="L1161:L1224" ca="1" si="133">IF(ISNUMBER(F1161),IF(J1161=1,1,IF(K1161=-1,-1,0)),"")</f>
        <v>0</v>
      </c>
      <c r="N1161" s="24" t="str">
        <f ca="1">IF(AND(L1161=1,L1160&lt;&gt;1),MAX($N$8:N1160)+1,"")</f>
        <v/>
      </c>
      <c r="O1161" s="24" t="str">
        <f ca="1">IF(AND(L1161&lt;&gt;1,L1160=1),MAX($O$8:O1160)+1,"")</f>
        <v/>
      </c>
      <c r="P1161" s="17" t="str">
        <f ca="1">IF(AND(L1161=-1,L1160&lt;&gt;-1),MAX($P$8:P1160)+1,"")</f>
        <v/>
      </c>
      <c r="Q1161" s="24" t="str">
        <f ca="1">IF(AND(L1161&lt;&gt;-1,L1160=-1),MAX($Q$8:Q1160)+1,"")</f>
        <v/>
      </c>
    </row>
    <row r="1162" spans="1:17" x14ac:dyDescent="0.3">
      <c r="A1162" s="3">
        <v>41892</v>
      </c>
      <c r="B1162" s="9">
        <v>15.455774</v>
      </c>
      <c r="C1162" s="9">
        <v>12.514836000000001</v>
      </c>
      <c r="E1162" s="14">
        <f t="shared" si="130"/>
        <v>1.2349961277958417</v>
      </c>
      <c r="F1162" s="18">
        <f t="shared" ca="1" si="129"/>
        <v>2.199546033802863</v>
      </c>
      <c r="G1162" s="15">
        <f t="shared" ca="1" si="127"/>
        <v>1.2207880535049502</v>
      </c>
      <c r="H1162" s="15">
        <f t="shared" ca="1" si="128"/>
        <v>6.4595485034367114E-3</v>
      </c>
      <c r="J1162" s="17">
        <f t="shared" ca="1" si="131"/>
        <v>1</v>
      </c>
      <c r="K1162" s="24">
        <f t="shared" ca="1" si="132"/>
        <v>0</v>
      </c>
      <c r="L1162" s="17">
        <f t="shared" ca="1" si="133"/>
        <v>1</v>
      </c>
      <c r="N1162" s="24">
        <f ca="1">IF(AND(L1162=1,L1161&lt;&gt;1),MAX($N$8:N1161)+1,"")</f>
        <v>34</v>
      </c>
      <c r="O1162" s="24" t="str">
        <f ca="1">IF(AND(L1162&lt;&gt;1,L1161=1),MAX($O$8:O1161)+1,"")</f>
        <v/>
      </c>
      <c r="P1162" s="17" t="str">
        <f ca="1">IF(AND(L1162=-1,L1161&lt;&gt;-1),MAX($P$8:P1161)+1,"")</f>
        <v/>
      </c>
      <c r="Q1162" s="24" t="str">
        <f ca="1">IF(AND(L1162&lt;&gt;-1,L1161=-1),MAX($Q$8:Q1161)+1,"")</f>
        <v/>
      </c>
    </row>
    <row r="1163" spans="1:17" x14ac:dyDescent="0.3">
      <c r="A1163" s="3">
        <v>41893</v>
      </c>
      <c r="B1163" s="9">
        <v>15.431638</v>
      </c>
      <c r="C1163" s="9">
        <v>12.455990999999999</v>
      </c>
      <c r="E1163" s="14">
        <f t="shared" si="130"/>
        <v>1.2388928347812711</v>
      </c>
      <c r="F1163" s="18">
        <f t="shared" ca="1" si="129"/>
        <v>2.3904513958516862</v>
      </c>
      <c r="G1163" s="15">
        <f t="shared" ca="1" si="127"/>
        <v>1.2212962475366735</v>
      </c>
      <c r="H1163" s="15">
        <f t="shared" ca="1" si="128"/>
        <v>7.3611985063298593E-3</v>
      </c>
      <c r="J1163" s="17">
        <f t="shared" ca="1" si="131"/>
        <v>1</v>
      </c>
      <c r="K1163" s="24">
        <f t="shared" ca="1" si="132"/>
        <v>0</v>
      </c>
      <c r="L1163" s="17">
        <f t="shared" ca="1" si="133"/>
        <v>1</v>
      </c>
      <c r="N1163" s="24" t="str">
        <f ca="1">IF(AND(L1163=1,L1162&lt;&gt;1),MAX($N$8:N1162)+1,"")</f>
        <v/>
      </c>
      <c r="O1163" s="24" t="str">
        <f ca="1">IF(AND(L1163&lt;&gt;1,L1162=1),MAX($O$8:O1162)+1,"")</f>
        <v/>
      </c>
      <c r="P1163" s="17" t="str">
        <f ca="1">IF(AND(L1163=-1,L1162&lt;&gt;-1),MAX($P$8:P1162)+1,"")</f>
        <v/>
      </c>
      <c r="Q1163" s="24" t="str">
        <f ca="1">IF(AND(L1163&lt;&gt;-1,L1162=-1),MAX($Q$8:Q1162)+1,"")</f>
        <v/>
      </c>
    </row>
    <row r="1164" spans="1:17" x14ac:dyDescent="0.3">
      <c r="A1164" s="3">
        <v>41894</v>
      </c>
      <c r="B1164" s="9">
        <v>14.877373</v>
      </c>
      <c r="C1164" s="9">
        <v>12.105919999999999</v>
      </c>
      <c r="E1164" s="14">
        <f t="shared" si="130"/>
        <v>1.2289336952499275</v>
      </c>
      <c r="F1164" s="18">
        <f t="shared" ca="1" si="129"/>
        <v>0.95379674311582541</v>
      </c>
      <c r="G1164" s="15">
        <f t="shared" ca="1" si="127"/>
        <v>1.221786911636179</v>
      </c>
      <c r="H1164" s="15">
        <f t="shared" ca="1" si="128"/>
        <v>7.4929838724355474E-3</v>
      </c>
      <c r="J1164" s="17">
        <f t="shared" ca="1" si="131"/>
        <v>1</v>
      </c>
      <c r="K1164" s="24">
        <f t="shared" ca="1" si="132"/>
        <v>0</v>
      </c>
      <c r="L1164" s="17">
        <f t="shared" ca="1" si="133"/>
        <v>1</v>
      </c>
      <c r="N1164" s="24" t="str">
        <f ca="1">IF(AND(L1164=1,L1163&lt;&gt;1),MAX($N$8:N1163)+1,"")</f>
        <v/>
      </c>
      <c r="O1164" s="24" t="str">
        <f ca="1">IF(AND(L1164&lt;&gt;1,L1163=1),MAX($O$8:O1163)+1,"")</f>
        <v/>
      </c>
      <c r="P1164" s="17" t="str">
        <f ca="1">IF(AND(L1164=-1,L1163&lt;&gt;-1),MAX($P$8:P1163)+1,"")</f>
        <v/>
      </c>
      <c r="Q1164" s="24" t="str">
        <f ca="1">IF(AND(L1164&lt;&gt;-1,L1163=-1),MAX($Q$8:Q1163)+1,"")</f>
        <v/>
      </c>
    </row>
    <row r="1165" spans="1:17" x14ac:dyDescent="0.3">
      <c r="A1165" s="3">
        <v>41897</v>
      </c>
      <c r="B1165" s="9">
        <v>15.254928</v>
      </c>
      <c r="C1165" s="9">
        <v>12.514836000000001</v>
      </c>
      <c r="E1165" s="14">
        <f t="shared" si="130"/>
        <v>1.2189474955964263</v>
      </c>
      <c r="F1165" s="18">
        <f t="shared" ca="1" si="129"/>
        <v>-0.42145066597673747</v>
      </c>
      <c r="G1165" s="15">
        <f t="shared" ca="1" si="127"/>
        <v>1.2220282559021667</v>
      </c>
      <c r="H1165" s="15">
        <f t="shared" ca="1" si="128"/>
        <v>7.3098954502788336E-3</v>
      </c>
      <c r="J1165" s="17">
        <f t="shared" ca="1" si="131"/>
        <v>0</v>
      </c>
      <c r="K1165" s="24">
        <f t="shared" ca="1" si="132"/>
        <v>0</v>
      </c>
      <c r="L1165" s="17">
        <f t="shared" ca="1" si="133"/>
        <v>0</v>
      </c>
      <c r="N1165" s="24" t="str">
        <f ca="1">IF(AND(L1165=1,L1164&lt;&gt;1),MAX($N$8:N1164)+1,"")</f>
        <v/>
      </c>
      <c r="O1165" s="24">
        <f ca="1">IF(AND(L1165&lt;&gt;1,L1164=1),MAX($O$8:O1164)+1,"")</f>
        <v>34</v>
      </c>
      <c r="P1165" s="17" t="str">
        <f ca="1">IF(AND(L1165=-1,L1164&lt;&gt;-1),MAX($P$8:P1164)+1,"")</f>
        <v/>
      </c>
      <c r="Q1165" s="24" t="str">
        <f ca="1">IF(AND(L1165&lt;&gt;-1,L1164=-1),MAX($Q$8:Q1164)+1,"")</f>
        <v/>
      </c>
    </row>
    <row r="1166" spans="1:17" x14ac:dyDescent="0.3">
      <c r="A1166" s="3">
        <v>41898</v>
      </c>
      <c r="B1166" s="9">
        <v>15.648588</v>
      </c>
      <c r="C1166" s="9">
        <v>12.832212</v>
      </c>
      <c r="E1166" s="14">
        <f t="shared" si="130"/>
        <v>1.2194770472931713</v>
      </c>
      <c r="F1166" s="18">
        <f t="shared" ca="1" si="129"/>
        <v>-0.38838993699730151</v>
      </c>
      <c r="G1166" s="15">
        <f t="shared" ca="1" si="127"/>
        <v>1.2222537981416575</v>
      </c>
      <c r="H1166" s="15">
        <f t="shared" ca="1" si="128"/>
        <v>7.1493892708797378E-3</v>
      </c>
      <c r="J1166" s="17">
        <f t="shared" ca="1" si="131"/>
        <v>0</v>
      </c>
      <c r="K1166" s="24">
        <f t="shared" ca="1" si="132"/>
        <v>0</v>
      </c>
      <c r="L1166" s="17">
        <f t="shared" ca="1" si="133"/>
        <v>0</v>
      </c>
      <c r="N1166" s="24" t="str">
        <f ca="1">IF(AND(L1166=1,L1165&lt;&gt;1),MAX($N$8:N1165)+1,"")</f>
        <v/>
      </c>
      <c r="O1166" s="24" t="str">
        <f ca="1">IF(AND(L1166&lt;&gt;1,L1165=1),MAX($O$8:O1165)+1,"")</f>
        <v/>
      </c>
      <c r="P1166" s="17" t="str">
        <f ca="1">IF(AND(L1166=-1,L1165&lt;&gt;-1),MAX($P$8:P1165)+1,"")</f>
        <v/>
      </c>
      <c r="Q1166" s="24" t="str">
        <f ca="1">IF(AND(L1166&lt;&gt;-1,L1165=-1),MAX($Q$8:Q1165)+1,"")</f>
        <v/>
      </c>
    </row>
    <row r="1167" spans="1:17" x14ac:dyDescent="0.3">
      <c r="A1167" s="3">
        <v>41899</v>
      </c>
      <c r="B1167" s="9">
        <v>15.716837</v>
      </c>
      <c r="C1167" s="9">
        <v>12.897672</v>
      </c>
      <c r="E1167" s="14">
        <f t="shared" si="130"/>
        <v>1.2185793684317603</v>
      </c>
      <c r="F1167" s="18">
        <f t="shared" ca="1" si="129"/>
        <v>-0.47912907858077503</v>
      </c>
      <c r="G1167" s="15">
        <f t="shared" ca="1" si="127"/>
        <v>1.2220202923527494</v>
      </c>
      <c r="H1167" s="15">
        <f t="shared" ca="1" si="128"/>
        <v>7.1816219779051935E-3</v>
      </c>
      <c r="J1167" s="17">
        <f t="shared" ca="1" si="131"/>
        <v>0</v>
      </c>
      <c r="K1167" s="24">
        <f t="shared" ca="1" si="132"/>
        <v>0</v>
      </c>
      <c r="L1167" s="17">
        <f t="shared" ca="1" si="133"/>
        <v>0</v>
      </c>
      <c r="N1167" s="24" t="str">
        <f ca="1">IF(AND(L1167=1,L1166&lt;&gt;1),MAX($N$8:N1166)+1,"")</f>
        <v/>
      </c>
      <c r="O1167" s="24" t="str">
        <f ca="1">IF(AND(L1167&lt;&gt;1,L1166=1),MAX($O$8:O1166)+1,"")</f>
        <v/>
      </c>
      <c r="P1167" s="17" t="str">
        <f ca="1">IF(AND(L1167=-1,L1166&lt;&gt;-1),MAX($P$8:P1166)+1,"")</f>
        <v/>
      </c>
      <c r="Q1167" s="24" t="str">
        <f ca="1">IF(AND(L1167&lt;&gt;-1,L1166=-1),MAX($Q$8:Q1166)+1,"")</f>
        <v/>
      </c>
    </row>
    <row r="1168" spans="1:17" x14ac:dyDescent="0.3">
      <c r="A1168" s="3">
        <v>41900</v>
      </c>
      <c r="B1168" s="9">
        <v>15.532102999999999</v>
      </c>
      <c r="C1168" s="9">
        <v>12.727499999999999</v>
      </c>
      <c r="E1168" s="14">
        <f t="shared" si="130"/>
        <v>1.220357729326262</v>
      </c>
      <c r="F1168" s="18">
        <f t="shared" ca="1" si="129"/>
        <v>-0.1837680798352257</v>
      </c>
      <c r="G1168" s="15">
        <f t="shared" ca="1" si="127"/>
        <v>1.2216532261321564</v>
      </c>
      <c r="H1168" s="15">
        <f t="shared" ca="1" si="128"/>
        <v>7.0496291143492774E-3</v>
      </c>
      <c r="J1168" s="17">
        <f t="shared" ca="1" si="131"/>
        <v>0</v>
      </c>
      <c r="K1168" s="24">
        <f t="shared" ca="1" si="132"/>
        <v>0</v>
      </c>
      <c r="L1168" s="17">
        <f t="shared" ca="1" si="133"/>
        <v>0</v>
      </c>
      <c r="N1168" s="24" t="str">
        <f ca="1">IF(AND(L1168=1,L1167&lt;&gt;1),MAX($N$8:N1167)+1,"")</f>
        <v/>
      </c>
      <c r="O1168" s="24" t="str">
        <f ca="1">IF(AND(L1168&lt;&gt;1,L1167=1),MAX($O$8:O1167)+1,"")</f>
        <v/>
      </c>
      <c r="P1168" s="17" t="str">
        <f ca="1">IF(AND(L1168=-1,L1167&lt;&gt;-1),MAX($P$8:P1167)+1,"")</f>
        <v/>
      </c>
      <c r="Q1168" s="24" t="str">
        <f ca="1">IF(AND(L1168&lt;&gt;-1,L1167=-1),MAX($Q$8:Q1167)+1,"")</f>
        <v/>
      </c>
    </row>
    <row r="1169" spans="1:17" x14ac:dyDescent="0.3">
      <c r="A1169" s="3">
        <v>41901</v>
      </c>
      <c r="B1169" s="9">
        <v>15.162565000000001</v>
      </c>
      <c r="C1169" s="9">
        <v>12.433090999999999</v>
      </c>
      <c r="E1169" s="14">
        <f t="shared" si="130"/>
        <v>1.2195330187802857</v>
      </c>
      <c r="F1169" s="18">
        <f t="shared" ca="1" si="129"/>
        <v>-0.25181101839682901</v>
      </c>
      <c r="G1169" s="15">
        <f t="shared" ca="1" si="127"/>
        <v>1.2212786900431236</v>
      </c>
      <c r="H1169" s="15">
        <f t="shared" ca="1" si="128"/>
        <v>6.9324657592499126E-3</v>
      </c>
      <c r="J1169" s="17">
        <f t="shared" ca="1" si="131"/>
        <v>0</v>
      </c>
      <c r="K1169" s="24">
        <f t="shared" ca="1" si="132"/>
        <v>0</v>
      </c>
      <c r="L1169" s="17">
        <f t="shared" ca="1" si="133"/>
        <v>0</v>
      </c>
      <c r="N1169" s="24" t="str">
        <f ca="1">IF(AND(L1169=1,L1168&lt;&gt;1),MAX($N$8:N1168)+1,"")</f>
        <v/>
      </c>
      <c r="O1169" s="24" t="str">
        <f ca="1">IF(AND(L1169&lt;&gt;1,L1168=1),MAX($O$8:O1168)+1,"")</f>
        <v/>
      </c>
      <c r="P1169" s="17" t="str">
        <f ca="1">IF(AND(L1169=-1,L1168&lt;&gt;-1),MAX($P$8:P1168)+1,"")</f>
        <v/>
      </c>
      <c r="Q1169" s="24" t="str">
        <f ca="1">IF(AND(L1169&lt;&gt;-1,L1168=-1),MAX($Q$8:Q1168)+1,"")</f>
        <v/>
      </c>
    </row>
    <row r="1170" spans="1:17" x14ac:dyDescent="0.3">
      <c r="A1170" s="3">
        <v>41904</v>
      </c>
      <c r="B1170" s="9">
        <v>14.957712000000001</v>
      </c>
      <c r="C1170" s="9">
        <v>12.331616</v>
      </c>
      <c r="E1170" s="14">
        <f t="shared" si="130"/>
        <v>1.212956355436303</v>
      </c>
      <c r="F1170" s="18">
        <f t="shared" ca="1" si="129"/>
        <v>-1.1298783482317623</v>
      </c>
      <c r="G1170" s="15">
        <f t="shared" ca="1" si="127"/>
        <v>1.2210137726217709</v>
      </c>
      <c r="H1170" s="15">
        <f t="shared" ca="1" si="128"/>
        <v>7.1312254085385664E-3</v>
      </c>
      <c r="J1170" s="17">
        <f t="shared" ca="1" si="131"/>
        <v>0</v>
      </c>
      <c r="K1170" s="24">
        <f t="shared" ca="1" si="132"/>
        <v>-1</v>
      </c>
      <c r="L1170" s="17">
        <f t="shared" ca="1" si="133"/>
        <v>-1</v>
      </c>
      <c r="N1170" s="24" t="str">
        <f ca="1">IF(AND(L1170=1,L1169&lt;&gt;1),MAX($N$8:N1169)+1,"")</f>
        <v/>
      </c>
      <c r="O1170" s="24" t="str">
        <f ca="1">IF(AND(L1170&lt;&gt;1,L1169=1),MAX($O$8:O1169)+1,"")</f>
        <v/>
      </c>
      <c r="P1170" s="17">
        <f ca="1">IF(AND(L1170=-1,L1169&lt;&gt;-1),MAX($P$8:P1169)+1,"")</f>
        <v>44</v>
      </c>
      <c r="Q1170" s="24" t="str">
        <f ca="1">IF(AND(L1170&lt;&gt;-1,L1169=-1),MAX($Q$8:Q1169)+1,"")</f>
        <v/>
      </c>
    </row>
    <row r="1171" spans="1:17" x14ac:dyDescent="0.3">
      <c r="A1171" s="3">
        <v>41905</v>
      </c>
      <c r="B1171" s="9">
        <v>14.885389999999999</v>
      </c>
      <c r="C1171" s="9">
        <v>12.230218000000001</v>
      </c>
      <c r="E1171" s="14">
        <f t="shared" si="130"/>
        <v>1.2170993190800032</v>
      </c>
      <c r="F1171" s="18">
        <f t="shared" ca="1" si="129"/>
        <v>-0.50308559188940527</v>
      </c>
      <c r="G1171" s="15">
        <f t="shared" ca="1" si="127"/>
        <v>1.220691724079163</v>
      </c>
      <c r="H1171" s="15">
        <f t="shared" ca="1" si="128"/>
        <v>7.1407431599621969E-3</v>
      </c>
      <c r="J1171" s="17">
        <f t="shared" ca="1" si="131"/>
        <v>0</v>
      </c>
      <c r="K1171" s="24">
        <f t="shared" ca="1" si="132"/>
        <v>-1</v>
      </c>
      <c r="L1171" s="17">
        <f t="shared" ca="1" si="133"/>
        <v>-1</v>
      </c>
      <c r="N1171" s="24" t="str">
        <f ca="1">IF(AND(L1171=1,L1170&lt;&gt;1),MAX($N$8:N1170)+1,"")</f>
        <v/>
      </c>
      <c r="O1171" s="24" t="str">
        <f ca="1">IF(AND(L1171&lt;&gt;1,L1170=1),MAX($O$8:O1170)+1,"")</f>
        <v/>
      </c>
      <c r="P1171" s="17" t="str">
        <f ca="1">IF(AND(L1171=-1,L1170&lt;&gt;-1),MAX($P$8:P1170)+1,"")</f>
        <v/>
      </c>
      <c r="Q1171" s="24" t="str">
        <f ca="1">IF(AND(L1171&lt;&gt;-1,L1170=-1),MAX($Q$8:Q1170)+1,"")</f>
        <v/>
      </c>
    </row>
    <row r="1172" spans="1:17" x14ac:dyDescent="0.3">
      <c r="A1172" s="3">
        <v>41906</v>
      </c>
      <c r="B1172" s="9">
        <v>15.001899999999999</v>
      </c>
      <c r="C1172" s="9">
        <v>12.325070999999999</v>
      </c>
      <c r="E1172" s="14">
        <f t="shared" si="130"/>
        <v>1.2171856859891517</v>
      </c>
      <c r="F1172" s="18">
        <f t="shared" ca="1" si="129"/>
        <v>-0.47173258244800709</v>
      </c>
      <c r="G1172" s="15">
        <f t="shared" ca="1" si="127"/>
        <v>1.2205710519350028</v>
      </c>
      <c r="H1172" s="15">
        <f t="shared" ca="1" si="128"/>
        <v>7.1764513875279606E-3</v>
      </c>
      <c r="J1172" s="17">
        <f t="shared" ca="1" si="131"/>
        <v>0</v>
      </c>
      <c r="K1172" s="24">
        <f t="shared" ca="1" si="132"/>
        <v>-1</v>
      </c>
      <c r="L1172" s="17">
        <f t="shared" ca="1" si="133"/>
        <v>-1</v>
      </c>
      <c r="N1172" s="24" t="str">
        <f ca="1">IF(AND(L1172=1,L1171&lt;&gt;1),MAX($N$8:N1171)+1,"")</f>
        <v/>
      </c>
      <c r="O1172" s="24" t="str">
        <f ca="1">IF(AND(L1172&lt;&gt;1,L1171=1),MAX($O$8:O1171)+1,"")</f>
        <v/>
      </c>
      <c r="P1172" s="17" t="str">
        <f ca="1">IF(AND(L1172=-1,L1171&lt;&gt;-1),MAX($P$8:P1171)+1,"")</f>
        <v/>
      </c>
      <c r="Q1172" s="24" t="str">
        <f ca="1">IF(AND(L1172&lt;&gt;-1,L1171=-1),MAX($Q$8:Q1171)+1,"")</f>
        <v/>
      </c>
    </row>
    <row r="1173" spans="1:17" x14ac:dyDescent="0.3">
      <c r="A1173" s="3">
        <v>41907</v>
      </c>
      <c r="B1173" s="9">
        <v>14.531974999999999</v>
      </c>
      <c r="C1173" s="9">
        <v>12.030654999999999</v>
      </c>
      <c r="E1173" s="14">
        <f t="shared" si="130"/>
        <v>1.2079122042814792</v>
      </c>
      <c r="F1173" s="18">
        <f t="shared" ca="1" si="129"/>
        <v>-1.5762714890386542</v>
      </c>
      <c r="G1173" s="15">
        <f t="shared" ca="1" si="127"/>
        <v>1.2199548680001344</v>
      </c>
      <c r="H1173" s="15">
        <f t="shared" ca="1" si="128"/>
        <v>7.6399679892706213E-3</v>
      </c>
      <c r="J1173" s="17">
        <f t="shared" ca="1" si="131"/>
        <v>0</v>
      </c>
      <c r="K1173" s="24">
        <f t="shared" ca="1" si="132"/>
        <v>-1</v>
      </c>
      <c r="L1173" s="17">
        <f t="shared" ca="1" si="133"/>
        <v>-1</v>
      </c>
      <c r="N1173" s="24" t="str">
        <f ca="1">IF(AND(L1173=1,L1172&lt;&gt;1),MAX($N$8:N1172)+1,"")</f>
        <v/>
      </c>
      <c r="O1173" s="24" t="str">
        <f ca="1">IF(AND(L1173&lt;&gt;1,L1172=1),MAX($O$8:O1172)+1,"")</f>
        <v/>
      </c>
      <c r="P1173" s="17" t="str">
        <f ca="1">IF(AND(L1173=-1,L1172&lt;&gt;-1),MAX($P$8:P1172)+1,"")</f>
        <v/>
      </c>
      <c r="Q1173" s="24" t="str">
        <f ca="1">IF(AND(L1173&lt;&gt;-1,L1172=-1),MAX($Q$8:Q1172)+1,"")</f>
        <v/>
      </c>
    </row>
    <row r="1174" spans="1:17" x14ac:dyDescent="0.3">
      <c r="A1174" s="3">
        <v>41908</v>
      </c>
      <c r="B1174" s="9">
        <v>15.142447000000001</v>
      </c>
      <c r="C1174" s="9">
        <v>12.560706</v>
      </c>
      <c r="E1174" s="14">
        <f t="shared" si="130"/>
        <v>1.2055410738854966</v>
      </c>
      <c r="F1174" s="18">
        <f t="shared" ca="1" si="129"/>
        <v>-1.6686618939071589</v>
      </c>
      <c r="G1174" s="15">
        <f t="shared" ca="1" si="127"/>
        <v>1.219027260330741</v>
      </c>
      <c r="H1174" s="15">
        <f t="shared" ca="1" si="128"/>
        <v>8.0820365674358768E-3</v>
      </c>
      <c r="J1174" s="17">
        <f t="shared" ca="1" si="131"/>
        <v>0</v>
      </c>
      <c r="K1174" s="24">
        <f t="shared" ca="1" si="132"/>
        <v>-1</v>
      </c>
      <c r="L1174" s="17">
        <f t="shared" ca="1" si="133"/>
        <v>-1</v>
      </c>
      <c r="N1174" s="24" t="str">
        <f ca="1">IF(AND(L1174=1,L1173&lt;&gt;1),MAX($N$8:N1173)+1,"")</f>
        <v/>
      </c>
      <c r="O1174" s="24" t="str">
        <f ca="1">IF(AND(L1174&lt;&gt;1,L1173=1),MAX($O$8:O1173)+1,"")</f>
        <v/>
      </c>
      <c r="P1174" s="17" t="str">
        <f ca="1">IF(AND(L1174=-1,L1173&lt;&gt;-1),MAX($P$8:P1173)+1,"")</f>
        <v/>
      </c>
      <c r="Q1174" s="24" t="str">
        <f ca="1">IF(AND(L1174&lt;&gt;-1,L1173=-1),MAX($Q$8:Q1173)+1,"")</f>
        <v/>
      </c>
    </row>
    <row r="1175" spans="1:17" x14ac:dyDescent="0.3">
      <c r="A1175" s="3">
        <v>41911</v>
      </c>
      <c r="B1175" s="9">
        <v>14.082102000000001</v>
      </c>
      <c r="C1175" s="9">
        <v>11.677272</v>
      </c>
      <c r="E1175" s="14">
        <f t="shared" si="130"/>
        <v>1.2059410793890901</v>
      </c>
      <c r="F1175" s="18">
        <f t="shared" ca="1" si="129"/>
        <v>-1.5285747485124894</v>
      </c>
      <c r="G1175" s="15">
        <f t="shared" ca="1" si="127"/>
        <v>1.2187736309417649</v>
      </c>
      <c r="H1175" s="15">
        <f t="shared" ca="1" si="128"/>
        <v>8.3951089504537696E-3</v>
      </c>
      <c r="J1175" s="17">
        <f t="shared" ca="1" si="131"/>
        <v>0</v>
      </c>
      <c r="K1175" s="24">
        <f t="shared" ca="1" si="132"/>
        <v>-1</v>
      </c>
      <c r="L1175" s="17">
        <f t="shared" ca="1" si="133"/>
        <v>-1</v>
      </c>
      <c r="N1175" s="24" t="str">
        <f ca="1">IF(AND(L1175=1,L1174&lt;&gt;1),MAX($N$8:N1174)+1,"")</f>
        <v/>
      </c>
      <c r="O1175" s="24" t="str">
        <f ca="1">IF(AND(L1175&lt;&gt;1,L1174=1),MAX($O$8:O1174)+1,"")</f>
        <v/>
      </c>
      <c r="P1175" s="17" t="str">
        <f ca="1">IF(AND(L1175=-1,L1174&lt;&gt;-1),MAX($P$8:P1174)+1,"")</f>
        <v/>
      </c>
      <c r="Q1175" s="24" t="str">
        <f ca="1">IF(AND(L1175&lt;&gt;-1,L1174=-1),MAX($Q$8:Q1174)+1,"")</f>
        <v/>
      </c>
    </row>
    <row r="1176" spans="1:17" x14ac:dyDescent="0.3">
      <c r="A1176" s="3">
        <v>41912</v>
      </c>
      <c r="B1176" s="9">
        <v>13.596078</v>
      </c>
      <c r="C1176" s="9">
        <v>11.399137</v>
      </c>
      <c r="E1176" s="14">
        <f t="shared" si="130"/>
        <v>1.1927287127086903</v>
      </c>
      <c r="F1176" s="18">
        <f t="shared" ca="1" si="129"/>
        <v>-2.5771144904661161</v>
      </c>
      <c r="G1176" s="15">
        <f t="shared" ca="1" si="127"/>
        <v>1.2180342154248347</v>
      </c>
      <c r="H1176" s="15">
        <f t="shared" ca="1" si="128"/>
        <v>9.8193164524745108E-3</v>
      </c>
      <c r="J1176" s="17">
        <f t="shared" ca="1" si="131"/>
        <v>0</v>
      </c>
      <c r="K1176" s="24">
        <f t="shared" ca="1" si="132"/>
        <v>-1</v>
      </c>
      <c r="L1176" s="17">
        <f t="shared" ca="1" si="133"/>
        <v>-1</v>
      </c>
      <c r="N1176" s="24" t="str">
        <f ca="1">IF(AND(L1176=1,L1175&lt;&gt;1),MAX($N$8:N1175)+1,"")</f>
        <v/>
      </c>
      <c r="O1176" s="24" t="str">
        <f ca="1">IF(AND(L1176&lt;&gt;1,L1175=1),MAX($O$8:O1175)+1,"")</f>
        <v/>
      </c>
      <c r="P1176" s="17" t="str">
        <f ca="1">IF(AND(L1176=-1,L1175&lt;&gt;-1),MAX($P$8:P1175)+1,"")</f>
        <v/>
      </c>
      <c r="Q1176" s="24" t="str">
        <f ca="1">IF(AND(L1176&lt;&gt;-1,L1175=-1),MAX($Q$8:Q1175)+1,"")</f>
        <v/>
      </c>
    </row>
    <row r="1177" spans="1:17" x14ac:dyDescent="0.3">
      <c r="A1177" s="3">
        <v>41913</v>
      </c>
      <c r="B1177" s="9">
        <v>13.249295</v>
      </c>
      <c r="C1177" s="9">
        <v>10.98367</v>
      </c>
      <c r="E1177" s="14">
        <f t="shared" si="130"/>
        <v>1.2062721294430732</v>
      </c>
      <c r="F1177" s="18">
        <f t="shared" ca="1" si="129"/>
        <v>-1.0954195312777486</v>
      </c>
      <c r="G1177" s="15">
        <f t="shared" ca="1" si="127"/>
        <v>1.2172927685452768</v>
      </c>
      <c r="H1177" s="15">
        <f t="shared" ca="1" si="128"/>
        <v>1.0060656020391242E-2</v>
      </c>
      <c r="J1177" s="17">
        <f t="shared" ca="1" si="131"/>
        <v>0</v>
      </c>
      <c r="K1177" s="24">
        <f t="shared" ca="1" si="132"/>
        <v>-1</v>
      </c>
      <c r="L1177" s="17">
        <f t="shared" ca="1" si="133"/>
        <v>-1</v>
      </c>
      <c r="N1177" s="24" t="str">
        <f ca="1">IF(AND(L1177=1,L1176&lt;&gt;1),MAX($N$8:N1176)+1,"")</f>
        <v/>
      </c>
      <c r="O1177" s="24" t="str">
        <f ca="1">IF(AND(L1177&lt;&gt;1,L1176=1),MAX($O$8:O1176)+1,"")</f>
        <v/>
      </c>
      <c r="P1177" s="17" t="str">
        <f ca="1">IF(AND(L1177=-1,L1176&lt;&gt;-1),MAX($P$8:P1176)+1,"")</f>
        <v/>
      </c>
      <c r="Q1177" s="24" t="str">
        <f ca="1">IF(AND(L1177&lt;&gt;-1,L1176=-1),MAX($Q$8:Q1176)+1,"")</f>
        <v/>
      </c>
    </row>
    <row r="1178" spans="1:17" x14ac:dyDescent="0.3">
      <c r="A1178" s="3">
        <v>41914</v>
      </c>
      <c r="B1178" s="9">
        <v>13.691433</v>
      </c>
      <c r="C1178" s="9">
        <v>11.338623999999999</v>
      </c>
      <c r="E1178" s="14">
        <f t="shared" si="130"/>
        <v>1.2075039264023573</v>
      </c>
      <c r="F1178" s="18">
        <f t="shared" ca="1" si="129"/>
        <v>-0.90558629563788551</v>
      </c>
      <c r="G1178" s="15">
        <f t="shared" ca="1" si="127"/>
        <v>1.2167950539172316</v>
      </c>
      <c r="H1178" s="15">
        <f t="shared" ca="1" si="128"/>
        <v>1.0259792533995673E-2</v>
      </c>
      <c r="J1178" s="17">
        <f t="shared" ca="1" si="131"/>
        <v>0</v>
      </c>
      <c r="K1178" s="24">
        <f t="shared" ca="1" si="132"/>
        <v>-1</v>
      </c>
      <c r="L1178" s="17">
        <f t="shared" ca="1" si="133"/>
        <v>-1</v>
      </c>
      <c r="N1178" s="24" t="str">
        <f ca="1">IF(AND(L1178=1,L1177&lt;&gt;1),MAX($N$8:N1177)+1,"")</f>
        <v/>
      </c>
      <c r="O1178" s="24" t="str">
        <f ca="1">IF(AND(L1178&lt;&gt;1,L1177=1),MAX($O$8:O1177)+1,"")</f>
        <v/>
      </c>
      <c r="P1178" s="17" t="str">
        <f ca="1">IF(AND(L1178=-1,L1177&lt;&gt;-1),MAX($P$8:P1177)+1,"")</f>
        <v/>
      </c>
      <c r="Q1178" s="24" t="str">
        <f ca="1">IF(AND(L1178&lt;&gt;-1,L1177=-1),MAX($Q$8:Q1177)+1,"")</f>
        <v/>
      </c>
    </row>
    <row r="1179" spans="1:17" x14ac:dyDescent="0.3">
      <c r="A1179" s="3">
        <v>41915</v>
      </c>
      <c r="B1179" s="9">
        <v>14.013036</v>
      </c>
      <c r="C1179" s="9">
        <v>11.574502000000001</v>
      </c>
      <c r="E1179" s="14">
        <f t="shared" si="130"/>
        <v>1.2106815481132578</v>
      </c>
      <c r="F1179" s="18">
        <f t="shared" ca="1" si="129"/>
        <v>-0.58998197327870849</v>
      </c>
      <c r="G1179" s="15">
        <f t="shared" ca="1" si="127"/>
        <v>1.2167493182027014</v>
      </c>
      <c r="H1179" s="15">
        <f t="shared" ca="1" si="128"/>
        <v>1.0284670319201713E-2</v>
      </c>
      <c r="J1179" s="17">
        <f t="shared" ca="1" si="131"/>
        <v>0</v>
      </c>
      <c r="K1179" s="24">
        <f t="shared" ca="1" si="132"/>
        <v>-1</v>
      </c>
      <c r="L1179" s="17">
        <f t="shared" ca="1" si="133"/>
        <v>-1</v>
      </c>
      <c r="N1179" s="24" t="str">
        <f ca="1">IF(AND(L1179=1,L1178&lt;&gt;1),MAX($N$8:N1178)+1,"")</f>
        <v/>
      </c>
      <c r="O1179" s="24" t="str">
        <f ca="1">IF(AND(L1179&lt;&gt;1,L1178=1),MAX($O$8:O1178)+1,"")</f>
        <v/>
      </c>
      <c r="P1179" s="17" t="str">
        <f ca="1">IF(AND(L1179=-1,L1178&lt;&gt;-1),MAX($P$8:P1178)+1,"")</f>
        <v/>
      </c>
      <c r="Q1179" s="24" t="str">
        <f ca="1">IF(AND(L1179&lt;&gt;-1,L1178=-1),MAX($Q$8:Q1178)+1,"")</f>
        <v/>
      </c>
    </row>
    <row r="1180" spans="1:17" x14ac:dyDescent="0.3">
      <c r="A1180" s="3">
        <v>41918</v>
      </c>
      <c r="B1180" s="9">
        <v>14.764739000000001</v>
      </c>
      <c r="C1180" s="9">
        <v>12.44927</v>
      </c>
      <c r="E1180" s="14">
        <f t="shared" si="130"/>
        <v>1.1859923513587545</v>
      </c>
      <c r="F1180" s="18">
        <f t="shared" ca="1" si="129"/>
        <v>-2.4540715950030942</v>
      </c>
      <c r="G1180" s="15">
        <f t="shared" ca="1" si="127"/>
        <v>1.2147744080256431</v>
      </c>
      <c r="H1180" s="15">
        <f t="shared" ca="1" si="128"/>
        <v>1.1728287277964404E-2</v>
      </c>
      <c r="J1180" s="17">
        <f t="shared" ca="1" si="131"/>
        <v>0</v>
      </c>
      <c r="K1180" s="24">
        <f t="shared" ca="1" si="132"/>
        <v>-1</v>
      </c>
      <c r="L1180" s="17">
        <f t="shared" ca="1" si="133"/>
        <v>-1</v>
      </c>
      <c r="N1180" s="24" t="str">
        <f ca="1">IF(AND(L1180=1,L1179&lt;&gt;1),MAX($N$8:N1179)+1,"")</f>
        <v/>
      </c>
      <c r="O1180" s="24" t="str">
        <f ca="1">IF(AND(L1180&lt;&gt;1,L1179=1),MAX($O$8:O1179)+1,"")</f>
        <v/>
      </c>
      <c r="P1180" s="17" t="str">
        <f ca="1">IF(AND(L1180=-1,L1179&lt;&gt;-1),MAX($P$8:P1179)+1,"")</f>
        <v/>
      </c>
      <c r="Q1180" s="24" t="str">
        <f ca="1">IF(AND(L1180&lt;&gt;-1,L1179=-1),MAX($Q$8:Q1179)+1,"")</f>
        <v/>
      </c>
    </row>
    <row r="1181" spans="1:17" x14ac:dyDescent="0.3">
      <c r="A1181" s="3">
        <v>41919</v>
      </c>
      <c r="B1181" s="9">
        <v>14.788891</v>
      </c>
      <c r="C1181" s="9">
        <v>12.367350999999999</v>
      </c>
      <c r="E1181" s="14">
        <f t="shared" si="130"/>
        <v>1.1958010248112148</v>
      </c>
      <c r="F1181" s="18">
        <f t="shared" ca="1" si="129"/>
        <v>-1.455629218829098</v>
      </c>
      <c r="G1181" s="15">
        <f t="shared" ca="1" si="127"/>
        <v>1.2137787028654978</v>
      </c>
      <c r="H1181" s="15">
        <f t="shared" ca="1" si="128"/>
        <v>1.2350451489799198E-2</v>
      </c>
      <c r="J1181" s="17">
        <f t="shared" ca="1" si="131"/>
        <v>0</v>
      </c>
      <c r="K1181" s="24">
        <f t="shared" ca="1" si="132"/>
        <v>-1</v>
      </c>
      <c r="L1181" s="17">
        <f t="shared" ca="1" si="133"/>
        <v>-1</v>
      </c>
      <c r="N1181" s="24" t="str">
        <f ca="1">IF(AND(L1181=1,L1180&lt;&gt;1),MAX($N$8:N1180)+1,"")</f>
        <v/>
      </c>
      <c r="O1181" s="24" t="str">
        <f ca="1">IF(AND(L1181&lt;&gt;1,L1180=1),MAX($O$8:O1180)+1,"")</f>
        <v/>
      </c>
      <c r="P1181" s="17" t="str">
        <f ca="1">IF(AND(L1181=-1,L1180&lt;&gt;-1),MAX($P$8:P1180)+1,"")</f>
        <v/>
      </c>
      <c r="Q1181" s="24" t="str">
        <f ca="1">IF(AND(L1181&lt;&gt;-1,L1180=-1),MAX($Q$8:Q1180)+1,"")</f>
        <v/>
      </c>
    </row>
    <row r="1182" spans="1:17" x14ac:dyDescent="0.3">
      <c r="A1182" s="3">
        <v>41920</v>
      </c>
      <c r="B1182" s="9">
        <v>14.595910999999999</v>
      </c>
      <c r="C1182" s="9">
        <v>12.262508</v>
      </c>
      <c r="E1182" s="14">
        <f t="shared" si="130"/>
        <v>1.1902875822792531</v>
      </c>
      <c r="F1182" s="18">
        <f t="shared" ca="1" si="129"/>
        <v>-1.6782929787689285</v>
      </c>
      <c r="G1182" s="15">
        <f t="shared" ca="1" si="127"/>
        <v>1.2124190011220588</v>
      </c>
      <c r="H1182" s="15">
        <f t="shared" ca="1" si="128"/>
        <v>1.318686255783519E-2</v>
      </c>
      <c r="J1182" s="17">
        <f t="shared" ca="1" si="131"/>
        <v>0</v>
      </c>
      <c r="K1182" s="24">
        <f t="shared" ca="1" si="132"/>
        <v>-1</v>
      </c>
      <c r="L1182" s="17">
        <f t="shared" ca="1" si="133"/>
        <v>-1</v>
      </c>
      <c r="N1182" s="24" t="str">
        <f ca="1">IF(AND(L1182=1,L1181&lt;&gt;1),MAX($N$8:N1181)+1,"")</f>
        <v/>
      </c>
      <c r="O1182" s="24" t="str">
        <f ca="1">IF(AND(L1182&lt;&gt;1,L1181=1),MAX($O$8:O1181)+1,"")</f>
        <v/>
      </c>
      <c r="P1182" s="17" t="str">
        <f ca="1">IF(AND(L1182=-1,L1181&lt;&gt;-1),MAX($P$8:P1181)+1,"")</f>
        <v/>
      </c>
      <c r="Q1182" s="24" t="str">
        <f ca="1">IF(AND(L1182&lt;&gt;-1,L1181=-1),MAX($Q$8:Q1181)+1,"")</f>
        <v/>
      </c>
    </row>
    <row r="1183" spans="1:17" x14ac:dyDescent="0.3">
      <c r="A1183" s="3">
        <v>41921</v>
      </c>
      <c r="B1183" s="9">
        <v>14.780865</v>
      </c>
      <c r="C1183" s="9">
        <v>12.501702</v>
      </c>
      <c r="E1183" s="14">
        <f t="shared" si="130"/>
        <v>1.1823082169131851</v>
      </c>
      <c r="F1183" s="18">
        <f t="shared" ca="1" si="129"/>
        <v>-1.9610290781312711</v>
      </c>
      <c r="G1183" s="15">
        <f t="shared" ref="G1183:G1246" ca="1" si="134">IF(ISNUMBER(E1183),IF(ROW(E1183)&gt;$J$1,AVERAGE(OFFSET(E1183,0,0,-$J$1)),""),"")</f>
        <v>1.2108149330611933</v>
      </c>
      <c r="H1183" s="15">
        <f t="shared" ref="H1183:H1246" ca="1" si="135">IF(ISNUMBER(E1183),IF(ROW(E1183)&gt;$J$1,_xlfn.STDEV.P(OFFSET(E1183,0,0,-$J$1)),""),"")</f>
        <v>1.453661063260374E-2</v>
      </c>
      <c r="J1183" s="17">
        <f t="shared" ca="1" si="131"/>
        <v>0</v>
      </c>
      <c r="K1183" s="24">
        <f t="shared" ca="1" si="132"/>
        <v>-1</v>
      </c>
      <c r="L1183" s="17">
        <f t="shared" ca="1" si="133"/>
        <v>-1</v>
      </c>
      <c r="N1183" s="24" t="str">
        <f ca="1">IF(AND(L1183=1,L1182&lt;&gt;1),MAX($N$8:N1182)+1,"")</f>
        <v/>
      </c>
      <c r="O1183" s="24" t="str">
        <f ca="1">IF(AND(L1183&lt;&gt;1,L1182=1),MAX($O$8:O1182)+1,"")</f>
        <v/>
      </c>
      <c r="P1183" s="17" t="str">
        <f ca="1">IF(AND(L1183=-1,L1182&lt;&gt;-1),MAX($P$8:P1182)+1,"")</f>
        <v/>
      </c>
      <c r="Q1183" s="24" t="str">
        <f ca="1">IF(AND(L1183&lt;&gt;-1,L1182=-1),MAX($Q$8:Q1182)+1,"")</f>
        <v/>
      </c>
    </row>
    <row r="1184" spans="1:17" x14ac:dyDescent="0.3">
      <c r="A1184" s="3">
        <v>41922</v>
      </c>
      <c r="B1184" s="9">
        <v>14.169827</v>
      </c>
      <c r="C1184" s="9">
        <v>11.875919</v>
      </c>
      <c r="E1184" s="14">
        <f t="shared" si="130"/>
        <v>1.193156251739339</v>
      </c>
      <c r="F1184" s="18">
        <f t="shared" ca="1" si="129"/>
        <v>-1.1275301949568104</v>
      </c>
      <c r="G1184" s="15">
        <f t="shared" ca="1" si="134"/>
        <v>1.2089131205131705</v>
      </c>
      <c r="H1184" s="15">
        <f t="shared" ca="1" si="135"/>
        <v>1.3974675662175933E-2</v>
      </c>
      <c r="J1184" s="17">
        <f t="shared" ca="1" si="131"/>
        <v>0</v>
      </c>
      <c r="K1184" s="24">
        <f t="shared" ca="1" si="132"/>
        <v>-1</v>
      </c>
      <c r="L1184" s="17">
        <f t="shared" ca="1" si="133"/>
        <v>-1</v>
      </c>
      <c r="N1184" s="24" t="str">
        <f ca="1">IF(AND(L1184=1,L1183&lt;&gt;1),MAX($N$8:N1183)+1,"")</f>
        <v/>
      </c>
      <c r="O1184" s="24" t="str">
        <f ca="1">IF(AND(L1184&lt;&gt;1,L1183=1),MAX($O$8:O1183)+1,"")</f>
        <v/>
      </c>
      <c r="P1184" s="17" t="str">
        <f ca="1">IF(AND(L1184=-1,L1183&lt;&gt;-1),MAX($P$8:P1183)+1,"")</f>
        <v/>
      </c>
      <c r="Q1184" s="24" t="str">
        <f ca="1">IF(AND(L1184&lt;&gt;-1,L1183=-1),MAX($Q$8:Q1183)+1,"")</f>
        <v/>
      </c>
    </row>
    <row r="1185" spans="1:17" x14ac:dyDescent="0.3">
      <c r="A1185" s="3">
        <v>41925</v>
      </c>
      <c r="B1185" s="9">
        <v>15.275238999999999</v>
      </c>
      <c r="C1185" s="9">
        <v>12.829307999999999</v>
      </c>
      <c r="E1185" s="14">
        <f t="shared" si="130"/>
        <v>1.190651826271534</v>
      </c>
      <c r="F1185" s="18">
        <f t="shared" ca="1" si="129"/>
        <v>-1.2517390925448646</v>
      </c>
      <c r="G1185" s="15">
        <f t="shared" ca="1" si="134"/>
        <v>1.2067203473990917</v>
      </c>
      <c r="H1185" s="15">
        <f t="shared" ca="1" si="135"/>
        <v>1.2836957176826223E-2</v>
      </c>
      <c r="J1185" s="17">
        <f t="shared" ca="1" si="131"/>
        <v>0</v>
      </c>
      <c r="K1185" s="24">
        <f t="shared" ca="1" si="132"/>
        <v>-1</v>
      </c>
      <c r="L1185" s="17">
        <f t="shared" ca="1" si="133"/>
        <v>-1</v>
      </c>
      <c r="N1185" s="24" t="str">
        <f ca="1">IF(AND(L1185=1,L1184&lt;&gt;1),MAX($N$8:N1184)+1,"")</f>
        <v/>
      </c>
      <c r="O1185" s="24" t="str">
        <f ca="1">IF(AND(L1185&lt;&gt;1,L1184=1),MAX($O$8:O1184)+1,"")</f>
        <v/>
      </c>
      <c r="P1185" s="17" t="str">
        <f ca="1">IF(AND(L1185=-1,L1184&lt;&gt;-1),MAX($P$8:P1184)+1,"")</f>
        <v/>
      </c>
      <c r="Q1185" s="24" t="str">
        <f ca="1">IF(AND(L1185&lt;&gt;-1,L1184=-1),MAX($Q$8:Q1184)+1,"")</f>
        <v/>
      </c>
    </row>
    <row r="1186" spans="1:17" x14ac:dyDescent="0.3">
      <c r="A1186" s="3">
        <v>41926</v>
      </c>
      <c r="B1186" s="9">
        <v>15.415971000000001</v>
      </c>
      <c r="C1186" s="9">
        <v>13.006192</v>
      </c>
      <c r="E1186" s="14">
        <f t="shared" si="130"/>
        <v>1.1852793653976506</v>
      </c>
      <c r="F1186" s="18">
        <f t="shared" ca="1" si="129"/>
        <v>-1.5414780559562427</v>
      </c>
      <c r="G1186" s="15">
        <f t="shared" ca="1" si="134"/>
        <v>1.2047360596785337</v>
      </c>
      <c r="H1186" s="15">
        <f t="shared" ca="1" si="135"/>
        <v>1.2622102666789734E-2</v>
      </c>
      <c r="J1186" s="17">
        <f t="shared" ca="1" si="131"/>
        <v>0</v>
      </c>
      <c r="K1186" s="24">
        <f t="shared" ca="1" si="132"/>
        <v>-1</v>
      </c>
      <c r="L1186" s="17">
        <f t="shared" ca="1" si="133"/>
        <v>-1</v>
      </c>
      <c r="N1186" s="24" t="str">
        <f ca="1">IF(AND(L1186=1,L1185&lt;&gt;1),MAX($N$8:N1185)+1,"")</f>
        <v/>
      </c>
      <c r="O1186" s="24" t="str">
        <f ca="1">IF(AND(L1186&lt;&gt;1,L1185=1),MAX($O$8:O1185)+1,"")</f>
        <v/>
      </c>
      <c r="P1186" s="17" t="str">
        <f ca="1">IF(AND(L1186=-1,L1185&lt;&gt;-1),MAX($P$8:P1185)+1,"")</f>
        <v/>
      </c>
      <c r="Q1186" s="24" t="str">
        <f ca="1">IF(AND(L1186&lt;&gt;-1,L1185=-1),MAX($Q$8:Q1185)+1,"")</f>
        <v/>
      </c>
    </row>
    <row r="1187" spans="1:17" x14ac:dyDescent="0.3">
      <c r="A1187" s="3">
        <v>41927</v>
      </c>
      <c r="B1187" s="9">
        <v>14.724532</v>
      </c>
      <c r="C1187" s="9">
        <v>12.295249</v>
      </c>
      <c r="E1187" s="14">
        <f t="shared" si="130"/>
        <v>1.1975789998234276</v>
      </c>
      <c r="F1187" s="18">
        <f t="shared" ca="1" si="129"/>
        <v>-0.50252223710012367</v>
      </c>
      <c r="G1187" s="15">
        <f t="shared" ca="1" si="134"/>
        <v>1.2037647644161247</v>
      </c>
      <c r="H1187" s="15">
        <f t="shared" ca="1" si="135"/>
        <v>1.2309434560334839E-2</v>
      </c>
      <c r="J1187" s="17">
        <f t="shared" ca="1" si="131"/>
        <v>0</v>
      </c>
      <c r="K1187" s="24">
        <f t="shared" ca="1" si="132"/>
        <v>-1</v>
      </c>
      <c r="L1187" s="17">
        <f t="shared" ca="1" si="133"/>
        <v>-1</v>
      </c>
      <c r="N1187" s="24" t="str">
        <f ca="1">IF(AND(L1187=1,L1186&lt;&gt;1),MAX($N$8:N1186)+1,"")</f>
        <v/>
      </c>
      <c r="O1187" s="24" t="str">
        <f ca="1">IF(AND(L1187&lt;&gt;1,L1186=1),MAX($O$8:O1186)+1,"")</f>
        <v/>
      </c>
      <c r="P1187" s="17" t="str">
        <f ca="1">IF(AND(L1187=-1,L1186&lt;&gt;-1),MAX($P$8:P1186)+1,"")</f>
        <v/>
      </c>
      <c r="Q1187" s="24" t="str">
        <f ca="1">IF(AND(L1187&lt;&gt;-1,L1186=-1),MAX($Q$8:Q1186)+1,"")</f>
        <v/>
      </c>
    </row>
    <row r="1188" spans="1:17" x14ac:dyDescent="0.3">
      <c r="A1188" s="3">
        <v>41928</v>
      </c>
      <c r="B1188" s="9">
        <v>14.334642000000001</v>
      </c>
      <c r="C1188" s="9">
        <v>11.859548999999999</v>
      </c>
      <c r="E1188" s="14">
        <f t="shared" si="130"/>
        <v>1.2087004320316059</v>
      </c>
      <c r="F1188" s="18">
        <f t="shared" ca="1" si="129"/>
        <v>0.45663886884506627</v>
      </c>
      <c r="G1188" s="15">
        <f t="shared" ca="1" si="134"/>
        <v>1.2032749182678717</v>
      </c>
      <c r="H1188" s="15">
        <f t="shared" ca="1" si="135"/>
        <v>1.1881410308886927E-2</v>
      </c>
      <c r="J1188" s="17">
        <f t="shared" ca="1" si="131"/>
        <v>0</v>
      </c>
      <c r="K1188" s="24">
        <f t="shared" ca="1" si="132"/>
        <v>0</v>
      </c>
      <c r="L1188" s="17">
        <f t="shared" ca="1" si="133"/>
        <v>0</v>
      </c>
      <c r="N1188" s="24" t="str">
        <f ca="1">IF(AND(L1188=1,L1187&lt;&gt;1),MAX($N$8:N1187)+1,"")</f>
        <v/>
      </c>
      <c r="O1188" s="24" t="str">
        <f ca="1">IF(AND(L1188&lt;&gt;1,L1187=1),MAX($O$8:O1187)+1,"")</f>
        <v/>
      </c>
      <c r="P1188" s="17" t="str">
        <f ca="1">IF(AND(L1188=-1,L1187&lt;&gt;-1),MAX($P$8:P1187)+1,"")</f>
        <v/>
      </c>
      <c r="Q1188" s="24">
        <f ca="1">IF(AND(L1188&lt;&gt;-1,L1187=-1),MAX($Q$8:Q1187)+1,"")</f>
        <v>44</v>
      </c>
    </row>
    <row r="1189" spans="1:17" x14ac:dyDescent="0.3">
      <c r="A1189" s="3">
        <v>41929</v>
      </c>
      <c r="B1189" s="9">
        <v>14.752706</v>
      </c>
      <c r="C1189" s="9">
        <v>12.318182999999999</v>
      </c>
      <c r="E1189" s="14">
        <f t="shared" si="130"/>
        <v>1.1976365345440965</v>
      </c>
      <c r="F1189" s="18">
        <f t="shared" ca="1" si="129"/>
        <v>-0.40936194667351783</v>
      </c>
      <c r="G1189" s="15">
        <f t="shared" ca="1" si="134"/>
        <v>1.2023229712729777</v>
      </c>
      <c r="H1189" s="15">
        <f t="shared" ca="1" si="135"/>
        <v>1.1448149411451929E-2</v>
      </c>
      <c r="J1189" s="17">
        <f t="shared" ca="1" si="131"/>
        <v>0</v>
      </c>
      <c r="K1189" s="24">
        <f t="shared" ca="1" si="132"/>
        <v>0</v>
      </c>
      <c r="L1189" s="17">
        <f t="shared" ca="1" si="133"/>
        <v>0</v>
      </c>
      <c r="N1189" s="24" t="str">
        <f ca="1">IF(AND(L1189=1,L1188&lt;&gt;1),MAX($N$8:N1188)+1,"")</f>
        <v/>
      </c>
      <c r="O1189" s="24" t="str">
        <f ca="1">IF(AND(L1189&lt;&gt;1,L1188=1),MAX($O$8:O1188)+1,"")</f>
        <v/>
      </c>
      <c r="P1189" s="17" t="str">
        <f ca="1">IF(AND(L1189=-1,L1188&lt;&gt;-1),MAX($P$8:P1188)+1,"")</f>
        <v/>
      </c>
      <c r="Q1189" s="24" t="str">
        <f ca="1">IF(AND(L1189&lt;&gt;-1,L1188=-1),MAX($Q$8:Q1188)+1,"")</f>
        <v/>
      </c>
    </row>
    <row r="1190" spans="1:17" x14ac:dyDescent="0.3">
      <c r="A1190" s="3">
        <v>41932</v>
      </c>
      <c r="B1190" s="9">
        <v>14.390893</v>
      </c>
      <c r="C1190" s="9">
        <v>12.026643</v>
      </c>
      <c r="E1190" s="14">
        <f t="shared" si="130"/>
        <v>1.1965843668927398</v>
      </c>
      <c r="F1190" s="18">
        <f t="shared" ca="1" si="129"/>
        <v>-0.43136056038313736</v>
      </c>
      <c r="G1190" s="15">
        <f t="shared" ca="1" si="134"/>
        <v>1.2012423638896357</v>
      </c>
      <c r="H1190" s="15">
        <f t="shared" ca="1" si="135"/>
        <v>1.0798384054301526E-2</v>
      </c>
      <c r="J1190" s="17">
        <f t="shared" ca="1" si="131"/>
        <v>0</v>
      </c>
      <c r="K1190" s="24">
        <f t="shared" ca="1" si="132"/>
        <v>0</v>
      </c>
      <c r="L1190" s="17">
        <f t="shared" ca="1" si="133"/>
        <v>0</v>
      </c>
      <c r="N1190" s="24" t="str">
        <f ca="1">IF(AND(L1190=1,L1189&lt;&gt;1),MAX($N$8:N1189)+1,"")</f>
        <v/>
      </c>
      <c r="O1190" s="24" t="str">
        <f ca="1">IF(AND(L1190&lt;&gt;1,L1189=1),MAX($O$8:O1189)+1,"")</f>
        <v/>
      </c>
      <c r="P1190" s="17" t="str">
        <f ca="1">IF(AND(L1190=-1,L1189&lt;&gt;-1),MAX($P$8:P1189)+1,"")</f>
        <v/>
      </c>
      <c r="Q1190" s="24" t="str">
        <f ca="1">IF(AND(L1190&lt;&gt;-1,L1189=-1),MAX($Q$8:Q1189)+1,"")</f>
        <v/>
      </c>
    </row>
    <row r="1191" spans="1:17" x14ac:dyDescent="0.3">
      <c r="A1191" s="3">
        <v>41933</v>
      </c>
      <c r="B1191" s="9">
        <v>13.667351</v>
      </c>
      <c r="C1191" s="9">
        <v>11.505699999999999</v>
      </c>
      <c r="E1191" s="14">
        <f t="shared" si="130"/>
        <v>1.1878765307630132</v>
      </c>
      <c r="F1191" s="18">
        <f t="shared" ca="1" si="129"/>
        <v>-1.1506103745882137</v>
      </c>
      <c r="G1191" s="15">
        <f t="shared" ca="1" si="134"/>
        <v>1.1998034326161233</v>
      </c>
      <c r="H1191" s="15">
        <f t="shared" ca="1" si="135"/>
        <v>1.0365717289293983E-2</v>
      </c>
      <c r="J1191" s="17">
        <f t="shared" ca="1" si="131"/>
        <v>0</v>
      </c>
      <c r="K1191" s="24">
        <f t="shared" ca="1" si="132"/>
        <v>-1</v>
      </c>
      <c r="L1191" s="17">
        <f t="shared" ca="1" si="133"/>
        <v>-1</v>
      </c>
      <c r="N1191" s="24" t="str">
        <f ca="1">IF(AND(L1191=1,L1190&lt;&gt;1),MAX($N$8:N1190)+1,"")</f>
        <v/>
      </c>
      <c r="O1191" s="24" t="str">
        <f ca="1">IF(AND(L1191&lt;&gt;1,L1190=1),MAX($O$8:O1190)+1,"")</f>
        <v/>
      </c>
      <c r="P1191" s="17">
        <f ca="1">IF(AND(L1191=-1,L1190&lt;&gt;-1),MAX($P$8:P1190)+1,"")</f>
        <v>45</v>
      </c>
      <c r="Q1191" s="24" t="str">
        <f ca="1">IF(AND(L1191&lt;&gt;-1,L1190=-1),MAX($Q$8:Q1190)+1,"")</f>
        <v/>
      </c>
    </row>
    <row r="1192" spans="1:17" x14ac:dyDescent="0.3">
      <c r="A1192" s="3">
        <v>41934</v>
      </c>
      <c r="B1192" s="9">
        <v>13.578925999999999</v>
      </c>
      <c r="C1192" s="9">
        <v>11.433664</v>
      </c>
      <c r="E1192" s="14">
        <f t="shared" si="130"/>
        <v>1.187626818489681</v>
      </c>
      <c r="F1192" s="18">
        <f t="shared" ca="1" si="129"/>
        <v>-1.0759643258660285</v>
      </c>
      <c r="G1192" s="15">
        <f t="shared" ca="1" si="134"/>
        <v>1.1986520900276405</v>
      </c>
      <c r="H1192" s="15">
        <f t="shared" ca="1" si="135"/>
        <v>1.0246874615555146E-2</v>
      </c>
      <c r="J1192" s="17">
        <f t="shared" ca="1" si="131"/>
        <v>0</v>
      </c>
      <c r="K1192" s="24">
        <f t="shared" ca="1" si="132"/>
        <v>-1</v>
      </c>
      <c r="L1192" s="17">
        <f t="shared" ca="1" si="133"/>
        <v>-1</v>
      </c>
      <c r="N1192" s="24" t="str">
        <f ca="1">IF(AND(L1192=1,L1191&lt;&gt;1),MAX($N$8:N1191)+1,"")</f>
        <v/>
      </c>
      <c r="O1192" s="24" t="str">
        <f ca="1">IF(AND(L1192&lt;&gt;1,L1191=1),MAX($O$8:O1191)+1,"")</f>
        <v/>
      </c>
      <c r="P1192" s="17" t="str">
        <f ca="1">IF(AND(L1192=-1,L1191&lt;&gt;-1),MAX($P$8:P1191)+1,"")</f>
        <v/>
      </c>
      <c r="Q1192" s="24" t="str">
        <f ca="1">IF(AND(L1192&lt;&gt;-1,L1191=-1),MAX($Q$8:Q1191)+1,"")</f>
        <v/>
      </c>
    </row>
    <row r="1193" spans="1:17" x14ac:dyDescent="0.3">
      <c r="A1193" s="3">
        <v>41935</v>
      </c>
      <c r="B1193" s="9">
        <v>12.963881000000001</v>
      </c>
      <c r="C1193" s="9">
        <v>10.824323</v>
      </c>
      <c r="E1193" s="14">
        <f t="shared" si="130"/>
        <v>1.197662061636557</v>
      </c>
      <c r="F1193" s="18">
        <f t="shared" ca="1" si="129"/>
        <v>-1.1303822936671915E-2</v>
      </c>
      <c r="G1193" s="15">
        <f t="shared" ca="1" si="134"/>
        <v>1.1977685783256655</v>
      </c>
      <c r="H1193" s="15">
        <f t="shared" ca="1" si="135"/>
        <v>9.4230677272011225E-3</v>
      </c>
      <c r="J1193" s="17">
        <f t="shared" ca="1" si="131"/>
        <v>0</v>
      </c>
      <c r="K1193" s="24">
        <f t="shared" ca="1" si="132"/>
        <v>-1</v>
      </c>
      <c r="L1193" s="17">
        <f t="shared" ca="1" si="133"/>
        <v>-1</v>
      </c>
      <c r="N1193" s="24" t="str">
        <f ca="1">IF(AND(L1193=1,L1192&lt;&gt;1),MAX($N$8:N1192)+1,"")</f>
        <v/>
      </c>
      <c r="O1193" s="24" t="str">
        <f ca="1">IF(AND(L1193&lt;&gt;1,L1192=1),MAX($O$8:O1192)+1,"")</f>
        <v/>
      </c>
      <c r="P1193" s="17" t="str">
        <f ca="1">IF(AND(L1193=-1,L1192&lt;&gt;-1),MAX($P$8:P1192)+1,"")</f>
        <v/>
      </c>
      <c r="Q1193" s="24" t="str">
        <f ca="1">IF(AND(L1193&lt;&gt;-1,L1192=-1),MAX($Q$8:Q1192)+1,"")</f>
        <v/>
      </c>
    </row>
    <row r="1194" spans="1:17" x14ac:dyDescent="0.3">
      <c r="A1194" s="3">
        <v>41936</v>
      </c>
      <c r="B1194" s="9">
        <v>13.325685</v>
      </c>
      <c r="C1194" s="9">
        <v>11.109306</v>
      </c>
      <c r="E1194" s="14">
        <f t="shared" si="130"/>
        <v>1.1995065218295364</v>
      </c>
      <c r="F1194" s="18">
        <f t="shared" ca="1" si="129"/>
        <v>0.30131107584877143</v>
      </c>
      <c r="G1194" s="15">
        <f t="shared" ca="1" si="134"/>
        <v>1.1969649799547741</v>
      </c>
      <c r="H1194" s="15">
        <f t="shared" ca="1" si="135"/>
        <v>8.4349434138886528E-3</v>
      </c>
      <c r="J1194" s="17">
        <f t="shared" ca="1" si="131"/>
        <v>0</v>
      </c>
      <c r="K1194" s="24">
        <f t="shared" ca="1" si="132"/>
        <v>0</v>
      </c>
      <c r="L1194" s="17">
        <f t="shared" ca="1" si="133"/>
        <v>0</v>
      </c>
      <c r="N1194" s="24" t="str">
        <f ca="1">IF(AND(L1194=1,L1193&lt;&gt;1),MAX($N$8:N1193)+1,"")</f>
        <v/>
      </c>
      <c r="O1194" s="24" t="str">
        <f ca="1">IF(AND(L1194&lt;&gt;1,L1193=1),MAX($O$8:O1193)+1,"")</f>
        <v/>
      </c>
      <c r="P1194" s="17" t="str">
        <f ca="1">IF(AND(L1194=-1,L1193&lt;&gt;-1),MAX($P$8:P1193)+1,"")</f>
        <v/>
      </c>
      <c r="Q1194" s="24">
        <f ca="1">IF(AND(L1194&lt;&gt;-1,L1193=-1),MAX($Q$8:Q1193)+1,"")</f>
        <v>45</v>
      </c>
    </row>
    <row r="1195" spans="1:17" x14ac:dyDescent="0.3">
      <c r="A1195" s="3">
        <v>41939</v>
      </c>
      <c r="B1195" s="9">
        <v>13.032247999999999</v>
      </c>
      <c r="C1195" s="9">
        <v>10.988085999999999</v>
      </c>
      <c r="E1195" s="14">
        <f t="shared" si="130"/>
        <v>1.1860344012596917</v>
      </c>
      <c r="F1195" s="18">
        <f t="shared" ca="1" si="129"/>
        <v>-1.1863855990853176</v>
      </c>
      <c r="G1195" s="15">
        <f t="shared" ca="1" si="134"/>
        <v>1.1959705343628748</v>
      </c>
      <c r="H1195" s="15">
        <f t="shared" ca="1" si="135"/>
        <v>8.3751295622971744E-3</v>
      </c>
      <c r="J1195" s="17">
        <f t="shared" ca="1" si="131"/>
        <v>0</v>
      </c>
      <c r="K1195" s="24">
        <f t="shared" ca="1" si="132"/>
        <v>-1</v>
      </c>
      <c r="L1195" s="17">
        <f t="shared" ca="1" si="133"/>
        <v>-1</v>
      </c>
      <c r="N1195" s="24" t="str">
        <f ca="1">IF(AND(L1195=1,L1194&lt;&gt;1),MAX($N$8:N1194)+1,"")</f>
        <v/>
      </c>
      <c r="O1195" s="24" t="str">
        <f ca="1">IF(AND(L1195&lt;&gt;1,L1194=1),MAX($O$8:O1194)+1,"")</f>
        <v/>
      </c>
      <c r="P1195" s="17">
        <f ca="1">IF(AND(L1195=-1,L1194&lt;&gt;-1),MAX($P$8:P1194)+1,"")</f>
        <v>46</v>
      </c>
      <c r="Q1195" s="24" t="str">
        <f ca="1">IF(AND(L1195&lt;&gt;-1,L1194=-1),MAX($Q$8:Q1194)+1,"")</f>
        <v/>
      </c>
    </row>
    <row r="1196" spans="1:17" x14ac:dyDescent="0.3">
      <c r="A1196" s="3">
        <v>41940</v>
      </c>
      <c r="B1196" s="9">
        <v>13.627159000000001</v>
      </c>
      <c r="C1196" s="9">
        <v>11.515582</v>
      </c>
      <c r="E1196" s="14">
        <f t="shared" si="130"/>
        <v>1.1833669370770838</v>
      </c>
      <c r="F1196" s="18">
        <f t="shared" ca="1" si="129"/>
        <v>-1.3648217100667988</v>
      </c>
      <c r="G1196" s="15">
        <f t="shared" ca="1" si="134"/>
        <v>1.1949626190534017</v>
      </c>
      <c r="H1196" s="15">
        <f t="shared" ca="1" si="135"/>
        <v>8.4961148337465656E-3</v>
      </c>
      <c r="J1196" s="17">
        <f t="shared" ca="1" si="131"/>
        <v>0</v>
      </c>
      <c r="K1196" s="24">
        <f t="shared" ca="1" si="132"/>
        <v>-1</v>
      </c>
      <c r="L1196" s="17">
        <f t="shared" ca="1" si="133"/>
        <v>-1</v>
      </c>
      <c r="N1196" s="24" t="str">
        <f ca="1">IF(AND(L1196=1,L1195&lt;&gt;1),MAX($N$8:N1195)+1,"")</f>
        <v/>
      </c>
      <c r="O1196" s="24" t="str">
        <f ca="1">IF(AND(L1196&lt;&gt;1,L1195=1),MAX($O$8:O1195)+1,"")</f>
        <v/>
      </c>
      <c r="P1196" s="17" t="str">
        <f ca="1">IF(AND(L1196=-1,L1195&lt;&gt;-1),MAX($P$8:P1195)+1,"")</f>
        <v/>
      </c>
      <c r="Q1196" s="24" t="str">
        <f ca="1">IF(AND(L1196&lt;&gt;-1,L1195=-1),MAX($Q$8:Q1195)+1,"")</f>
        <v/>
      </c>
    </row>
    <row r="1197" spans="1:17" x14ac:dyDescent="0.3">
      <c r="A1197" s="3">
        <v>41941</v>
      </c>
      <c r="B1197" s="9">
        <v>13.233177</v>
      </c>
      <c r="C1197" s="9">
        <v>11.060200999999999</v>
      </c>
      <c r="E1197" s="14">
        <f t="shared" si="130"/>
        <v>1.1964680388719879</v>
      </c>
      <c r="F1197" s="18">
        <f t="shared" ca="1" si="129"/>
        <v>0.23718968075420652</v>
      </c>
      <c r="G1197" s="15">
        <f t="shared" ca="1" si="134"/>
        <v>1.1945320263026242</v>
      </c>
      <c r="H1197" s="15">
        <f t="shared" ca="1" si="135"/>
        <v>8.1622967879869494E-3</v>
      </c>
      <c r="J1197" s="17">
        <f t="shared" ca="1" si="131"/>
        <v>0</v>
      </c>
      <c r="K1197" s="24">
        <f t="shared" ca="1" si="132"/>
        <v>0</v>
      </c>
      <c r="L1197" s="17">
        <f t="shared" ca="1" si="133"/>
        <v>0</v>
      </c>
      <c r="N1197" s="24" t="str">
        <f ca="1">IF(AND(L1197=1,L1196&lt;&gt;1),MAX($N$8:N1196)+1,"")</f>
        <v/>
      </c>
      <c r="O1197" s="24" t="str">
        <f ca="1">IF(AND(L1197&lt;&gt;1,L1196=1),MAX($O$8:O1196)+1,"")</f>
        <v/>
      </c>
      <c r="P1197" s="17" t="str">
        <f ca="1">IF(AND(L1197=-1,L1196&lt;&gt;-1),MAX($P$8:P1196)+1,"")</f>
        <v/>
      </c>
      <c r="Q1197" s="24">
        <f ca="1">IF(AND(L1197&lt;&gt;-1,L1196=-1),MAX($Q$8:Q1196)+1,"")</f>
        <v>46</v>
      </c>
    </row>
    <row r="1198" spans="1:17" x14ac:dyDescent="0.3">
      <c r="A1198" s="3">
        <v>41942</v>
      </c>
      <c r="B1198" s="9">
        <v>14.302465</v>
      </c>
      <c r="C1198" s="9">
        <v>11.810445</v>
      </c>
      <c r="E1198" s="14">
        <f t="shared" si="130"/>
        <v>1.2110013636234707</v>
      </c>
      <c r="F1198" s="18">
        <f t="shared" ca="1" si="129"/>
        <v>1.769443258921908</v>
      </c>
      <c r="G1198" s="15">
        <f t="shared" ca="1" si="134"/>
        <v>1.1953626013442049</v>
      </c>
      <c r="H1198" s="15">
        <f t="shared" ca="1" si="135"/>
        <v>8.8382389208649641E-3</v>
      </c>
      <c r="J1198" s="17">
        <f t="shared" ca="1" si="131"/>
        <v>1</v>
      </c>
      <c r="K1198" s="24">
        <f t="shared" ca="1" si="132"/>
        <v>0</v>
      </c>
      <c r="L1198" s="17">
        <f t="shared" ca="1" si="133"/>
        <v>1</v>
      </c>
      <c r="N1198" s="24">
        <f ca="1">IF(AND(L1198=1,L1197&lt;&gt;1),MAX($N$8:N1197)+1,"")</f>
        <v>35</v>
      </c>
      <c r="O1198" s="24" t="str">
        <f ca="1">IF(AND(L1198&lt;&gt;1,L1197=1),MAX($O$8:O1197)+1,"")</f>
        <v/>
      </c>
      <c r="P1198" s="17" t="str">
        <f ca="1">IF(AND(L1198=-1,L1197&lt;&gt;-1),MAX($P$8:P1197)+1,"")</f>
        <v/>
      </c>
      <c r="Q1198" s="24" t="str">
        <f ca="1">IF(AND(L1198&lt;&gt;-1,L1197=-1),MAX($Q$8:Q1197)+1,"")</f>
        <v/>
      </c>
    </row>
    <row r="1199" spans="1:17" x14ac:dyDescent="0.3">
      <c r="A1199" s="3">
        <v>41943</v>
      </c>
      <c r="B1199" s="9">
        <v>14.764739000000001</v>
      </c>
      <c r="C1199" s="9">
        <v>12.226456000000001</v>
      </c>
      <c r="E1199" s="14">
        <f t="shared" si="130"/>
        <v>1.2076057853559528</v>
      </c>
      <c r="F1199" s="18">
        <f t="shared" ca="1" si="129"/>
        <v>1.3662053567680195</v>
      </c>
      <c r="G1199" s="15">
        <f t="shared" ca="1" si="134"/>
        <v>1.1954232220675178</v>
      </c>
      <c r="H1199" s="15">
        <f t="shared" ca="1" si="135"/>
        <v>8.917080604379091E-3</v>
      </c>
      <c r="J1199" s="17">
        <f t="shared" ca="1" si="131"/>
        <v>1</v>
      </c>
      <c r="K1199" s="24">
        <f t="shared" ca="1" si="132"/>
        <v>0</v>
      </c>
      <c r="L1199" s="17">
        <f t="shared" ca="1" si="133"/>
        <v>1</v>
      </c>
      <c r="N1199" s="24" t="str">
        <f ca="1">IF(AND(L1199=1,L1198&lt;&gt;1),MAX($N$8:N1198)+1,"")</f>
        <v/>
      </c>
      <c r="O1199" s="24" t="str">
        <f ca="1">IF(AND(L1199&lt;&gt;1,L1198=1),MAX($O$8:O1198)+1,"")</f>
        <v/>
      </c>
      <c r="P1199" s="17" t="str">
        <f ca="1">IF(AND(L1199=-1,L1198&lt;&gt;-1),MAX($P$8:P1198)+1,"")</f>
        <v/>
      </c>
      <c r="Q1199" s="24" t="str">
        <f ca="1">IF(AND(L1199&lt;&gt;-1,L1198=-1),MAX($Q$8:Q1198)+1,"")</f>
        <v/>
      </c>
    </row>
    <row r="1200" spans="1:17" x14ac:dyDescent="0.3">
      <c r="A1200" s="3">
        <v>41946</v>
      </c>
      <c r="B1200" s="9">
        <v>14.723413000000001</v>
      </c>
      <c r="C1200" s="9">
        <v>12.069254000000001</v>
      </c>
      <c r="E1200" s="14">
        <f t="shared" si="130"/>
        <v>1.219910774932734</v>
      </c>
      <c r="F1200" s="18">
        <f t="shared" ca="1" si="129"/>
        <v>2.3945300779315701</v>
      </c>
      <c r="G1200" s="15">
        <f t="shared" ca="1" si="134"/>
        <v>1.1959871697279896</v>
      </c>
      <c r="H1200" s="15">
        <f t="shared" ca="1" si="135"/>
        <v>9.9909395272286643E-3</v>
      </c>
      <c r="J1200" s="17">
        <f t="shared" ca="1" si="131"/>
        <v>1</v>
      </c>
      <c r="K1200" s="24">
        <f t="shared" ca="1" si="132"/>
        <v>0</v>
      </c>
      <c r="L1200" s="17">
        <f t="shared" ca="1" si="133"/>
        <v>1</v>
      </c>
      <c r="N1200" s="24" t="str">
        <f ca="1">IF(AND(L1200=1,L1199&lt;&gt;1),MAX($N$8:N1199)+1,"")</f>
        <v/>
      </c>
      <c r="O1200" s="24" t="str">
        <f ca="1">IF(AND(L1200&lt;&gt;1,L1199=1),MAX($O$8:O1199)+1,"")</f>
        <v/>
      </c>
      <c r="P1200" s="17" t="str">
        <f ca="1">IF(AND(L1200=-1,L1199&lt;&gt;-1),MAX($P$8:P1199)+1,"")</f>
        <v/>
      </c>
      <c r="Q1200" s="24" t="str">
        <f ca="1">IF(AND(L1200&lt;&gt;-1,L1199=-1),MAX($Q$8:Q1199)+1,"")</f>
        <v/>
      </c>
    </row>
    <row r="1201" spans="1:17" x14ac:dyDescent="0.3">
      <c r="A1201" s="3">
        <v>41947</v>
      </c>
      <c r="B1201" s="9">
        <v>15.005034999999999</v>
      </c>
      <c r="C1201" s="9">
        <v>12.231137</v>
      </c>
      <c r="E1201" s="14">
        <f t="shared" si="130"/>
        <v>1.2267898724378608</v>
      </c>
      <c r="F1201" s="18">
        <f t="shared" ca="1" si="129"/>
        <v>2.6114170522799638</v>
      </c>
      <c r="G1201" s="15">
        <f t="shared" ca="1" si="134"/>
        <v>1.196719366288199</v>
      </c>
      <c r="H1201" s="15">
        <f t="shared" ca="1" si="135"/>
        <v>1.151501485502209E-2</v>
      </c>
      <c r="J1201" s="17">
        <f t="shared" ca="1" si="131"/>
        <v>1</v>
      </c>
      <c r="K1201" s="24">
        <f t="shared" ca="1" si="132"/>
        <v>0</v>
      </c>
      <c r="L1201" s="17">
        <f t="shared" ca="1" si="133"/>
        <v>1</v>
      </c>
      <c r="N1201" s="24" t="str">
        <f ca="1">IF(AND(L1201=1,L1200&lt;&gt;1),MAX($N$8:N1200)+1,"")</f>
        <v/>
      </c>
      <c r="O1201" s="24" t="str">
        <f ca="1">IF(AND(L1201&lt;&gt;1,L1200=1),MAX($O$8:O1200)+1,"")</f>
        <v/>
      </c>
      <c r="P1201" s="17" t="str">
        <f ca="1">IF(AND(L1201=-1,L1200&lt;&gt;-1),MAX($P$8:P1200)+1,"")</f>
        <v/>
      </c>
      <c r="Q1201" s="24" t="str">
        <f ca="1">IF(AND(L1201&lt;&gt;-1,L1200=-1),MAX($Q$8:Q1200)+1,"")</f>
        <v/>
      </c>
    </row>
    <row r="1202" spans="1:17" x14ac:dyDescent="0.3">
      <c r="A1202" s="3">
        <v>41948</v>
      </c>
      <c r="B1202" s="9">
        <v>14.840083999999999</v>
      </c>
      <c r="C1202" s="9">
        <v>12.050720999999999</v>
      </c>
      <c r="E1202" s="14">
        <f t="shared" si="130"/>
        <v>1.2314685569436052</v>
      </c>
      <c r="F1202" s="18">
        <f t="shared" ca="1" si="129"/>
        <v>2.4497713800201963</v>
      </c>
      <c r="G1202" s="15">
        <f t="shared" ca="1" si="134"/>
        <v>1.1987864665420558</v>
      </c>
      <c r="H1202" s="15">
        <f t="shared" ca="1" si="135"/>
        <v>1.3340873629309857E-2</v>
      </c>
      <c r="J1202" s="17">
        <f t="shared" ca="1" si="131"/>
        <v>1</v>
      </c>
      <c r="K1202" s="24">
        <f t="shared" ca="1" si="132"/>
        <v>0</v>
      </c>
      <c r="L1202" s="17">
        <f t="shared" ca="1" si="133"/>
        <v>1</v>
      </c>
      <c r="N1202" s="24" t="str">
        <f ca="1">IF(AND(L1202=1,L1201&lt;&gt;1),MAX($N$8:N1201)+1,"")</f>
        <v/>
      </c>
      <c r="O1202" s="24" t="str">
        <f ca="1">IF(AND(L1202&lt;&gt;1,L1201=1),MAX($O$8:O1201)+1,"")</f>
        <v/>
      </c>
      <c r="P1202" s="17" t="str">
        <f ca="1">IF(AND(L1202=-1,L1201&lt;&gt;-1),MAX($P$8:P1201)+1,"")</f>
        <v/>
      </c>
      <c r="Q1202" s="24" t="str">
        <f ca="1">IF(AND(L1202&lt;&gt;-1,L1201=-1),MAX($Q$8:Q1201)+1,"")</f>
        <v/>
      </c>
    </row>
    <row r="1203" spans="1:17" x14ac:dyDescent="0.3">
      <c r="A1203" s="3">
        <v>41949</v>
      </c>
      <c r="B1203" s="9">
        <v>14.301023000000001</v>
      </c>
      <c r="C1203" s="9">
        <v>11.791601</v>
      </c>
      <c r="E1203" s="14">
        <f t="shared" si="130"/>
        <v>1.2128143582877338</v>
      </c>
      <c r="F1203" s="18">
        <f t="shared" ca="1" si="129"/>
        <v>0.97207950780105545</v>
      </c>
      <c r="G1203" s="15">
        <f t="shared" ca="1" si="134"/>
        <v>1.1995597998818974</v>
      </c>
      <c r="H1203" s="15">
        <f t="shared" ca="1" si="135"/>
        <v>1.3635261621572005E-2</v>
      </c>
      <c r="J1203" s="17">
        <f t="shared" ca="1" si="131"/>
        <v>1</v>
      </c>
      <c r="K1203" s="24">
        <f t="shared" ca="1" si="132"/>
        <v>0</v>
      </c>
      <c r="L1203" s="17">
        <f t="shared" ca="1" si="133"/>
        <v>1</v>
      </c>
      <c r="N1203" s="24" t="str">
        <f ca="1">IF(AND(L1203=1,L1202&lt;&gt;1),MAX($N$8:N1202)+1,"")</f>
        <v/>
      </c>
      <c r="O1203" s="24" t="str">
        <f ca="1">IF(AND(L1203&lt;&gt;1,L1202=1),MAX($O$8:O1202)+1,"")</f>
        <v/>
      </c>
      <c r="P1203" s="17" t="str">
        <f ca="1">IF(AND(L1203=-1,L1202&lt;&gt;-1),MAX($P$8:P1202)+1,"")</f>
        <v/>
      </c>
      <c r="Q1203" s="24" t="str">
        <f ca="1">IF(AND(L1203&lt;&gt;-1,L1202=-1),MAX($Q$8:Q1202)+1,"")</f>
        <v/>
      </c>
    </row>
    <row r="1204" spans="1:17" x14ac:dyDescent="0.3">
      <c r="A1204" s="3">
        <v>41950</v>
      </c>
      <c r="B1204" s="9">
        <v>14.542417</v>
      </c>
      <c r="C1204" s="9">
        <v>11.840842</v>
      </c>
      <c r="E1204" s="14">
        <f t="shared" si="130"/>
        <v>1.2281573388108717</v>
      </c>
      <c r="F1204" s="18">
        <f t="shared" ca="1" si="129"/>
        <v>1.8277496236272035</v>
      </c>
      <c r="G1204" s="15">
        <f t="shared" ca="1" si="134"/>
        <v>1.2012811524515163</v>
      </c>
      <c r="H1204" s="15">
        <f t="shared" ca="1" si="135"/>
        <v>1.4704522989324493E-2</v>
      </c>
      <c r="J1204" s="17">
        <f t="shared" ca="1" si="131"/>
        <v>1</v>
      </c>
      <c r="K1204" s="24">
        <f t="shared" ca="1" si="132"/>
        <v>0</v>
      </c>
      <c r="L1204" s="17">
        <f t="shared" ca="1" si="133"/>
        <v>1</v>
      </c>
      <c r="N1204" s="24" t="str">
        <f ca="1">IF(AND(L1204=1,L1203&lt;&gt;1),MAX($N$8:N1203)+1,"")</f>
        <v/>
      </c>
      <c r="O1204" s="24" t="str">
        <f ca="1">IF(AND(L1204&lt;&gt;1,L1203=1),MAX($O$8:O1203)+1,"")</f>
        <v/>
      </c>
      <c r="P1204" s="17" t="str">
        <f ca="1">IF(AND(L1204=-1,L1203&lt;&gt;-1),MAX($P$8:P1203)+1,"")</f>
        <v/>
      </c>
      <c r="Q1204" s="24" t="str">
        <f ca="1">IF(AND(L1204&lt;&gt;-1,L1203=-1),MAX($Q$8:Q1203)+1,"")</f>
        <v/>
      </c>
    </row>
    <row r="1205" spans="1:17" x14ac:dyDescent="0.3">
      <c r="A1205" s="3">
        <v>41953</v>
      </c>
      <c r="B1205" s="9">
        <v>14.502184</v>
      </c>
      <c r="C1205" s="9">
        <v>11.903146</v>
      </c>
      <c r="E1205" s="14">
        <f t="shared" si="130"/>
        <v>1.2183488297967613</v>
      </c>
      <c r="F1205" s="18">
        <f t="shared" ca="1" si="129"/>
        <v>1.0636762048283903</v>
      </c>
      <c r="G1205" s="15">
        <f t="shared" ca="1" si="134"/>
        <v>1.2029193621280421</v>
      </c>
      <c r="H1205" s="15">
        <f t="shared" ca="1" si="135"/>
        <v>1.4505793773217437E-2</v>
      </c>
      <c r="J1205" s="17">
        <f t="shared" ca="1" si="131"/>
        <v>1</v>
      </c>
      <c r="K1205" s="24">
        <f t="shared" ca="1" si="132"/>
        <v>0</v>
      </c>
      <c r="L1205" s="17">
        <f t="shared" ca="1" si="133"/>
        <v>1</v>
      </c>
      <c r="N1205" s="24" t="str">
        <f ca="1">IF(AND(L1205=1,L1204&lt;&gt;1),MAX($N$8:N1204)+1,"")</f>
        <v/>
      </c>
      <c r="O1205" s="24" t="str">
        <f ca="1">IF(AND(L1205&lt;&gt;1,L1204=1),MAX($O$8:O1204)+1,"")</f>
        <v/>
      </c>
      <c r="P1205" s="17" t="str">
        <f ca="1">IF(AND(L1205=-1,L1204&lt;&gt;-1),MAX($P$8:P1204)+1,"")</f>
        <v/>
      </c>
      <c r="Q1205" s="24" t="str">
        <f ca="1">IF(AND(L1205&lt;&gt;-1,L1204=-1),MAX($Q$8:Q1204)+1,"")</f>
        <v/>
      </c>
    </row>
    <row r="1206" spans="1:17" x14ac:dyDescent="0.3">
      <c r="A1206" s="3">
        <v>41954</v>
      </c>
      <c r="B1206" s="9">
        <v>14.494087</v>
      </c>
      <c r="C1206" s="9">
        <v>11.975272</v>
      </c>
      <c r="E1206" s="14">
        <f t="shared" si="130"/>
        <v>1.2103346796632259</v>
      </c>
      <c r="F1206" s="18">
        <f t="shared" ca="1" si="129"/>
        <v>0.46004594955619965</v>
      </c>
      <c r="G1206" s="15">
        <f t="shared" ca="1" si="134"/>
        <v>1.203700199760946</v>
      </c>
      <c r="H1206" s="15">
        <f t="shared" ca="1" si="135"/>
        <v>1.4421341843527023E-2</v>
      </c>
      <c r="J1206" s="17">
        <f t="shared" ca="1" si="131"/>
        <v>1</v>
      </c>
      <c r="K1206" s="24">
        <f t="shared" ca="1" si="132"/>
        <v>0</v>
      </c>
      <c r="L1206" s="17">
        <f t="shared" ca="1" si="133"/>
        <v>1</v>
      </c>
      <c r="N1206" s="24" t="str">
        <f ca="1">IF(AND(L1206=1,L1205&lt;&gt;1),MAX($N$8:N1205)+1,"")</f>
        <v/>
      </c>
      <c r="O1206" s="24" t="str">
        <f ca="1">IF(AND(L1206&lt;&gt;1,L1205=1),MAX($O$8:O1205)+1,"")</f>
        <v/>
      </c>
      <c r="P1206" s="17" t="str">
        <f ca="1">IF(AND(L1206=-1,L1205&lt;&gt;-1),MAX($P$8:P1205)+1,"")</f>
        <v/>
      </c>
      <c r="Q1206" s="24" t="str">
        <f ca="1">IF(AND(L1206&lt;&gt;-1,L1205=-1),MAX($Q$8:Q1205)+1,"")</f>
        <v/>
      </c>
    </row>
    <row r="1207" spans="1:17" x14ac:dyDescent="0.3">
      <c r="A1207" s="3">
        <v>41955</v>
      </c>
      <c r="B1207" s="9">
        <v>14.60272</v>
      </c>
      <c r="C1207" s="9">
        <v>12.008118</v>
      </c>
      <c r="E1207" s="14">
        <f t="shared" si="130"/>
        <v>1.2160706615308077</v>
      </c>
      <c r="F1207" s="18">
        <f t="shared" ca="1" si="129"/>
        <v>0.78166183330025785</v>
      </c>
      <c r="G1207" s="15">
        <f t="shared" ca="1" si="134"/>
        <v>1.2048556013636402</v>
      </c>
      <c r="H1207" s="15">
        <f t="shared" ca="1" si="135"/>
        <v>1.4347713665148892E-2</v>
      </c>
      <c r="J1207" s="17">
        <f t="shared" ca="1" si="131"/>
        <v>1</v>
      </c>
      <c r="K1207" s="24">
        <f t="shared" ca="1" si="132"/>
        <v>0</v>
      </c>
      <c r="L1207" s="17">
        <f t="shared" ca="1" si="133"/>
        <v>1</v>
      </c>
      <c r="N1207" s="24" t="str">
        <f ca="1">IF(AND(L1207=1,L1206&lt;&gt;1),MAX($N$8:N1206)+1,"")</f>
        <v/>
      </c>
      <c r="O1207" s="24" t="str">
        <f ca="1">IF(AND(L1207&lt;&gt;1,L1206=1),MAX($O$8:O1206)+1,"")</f>
        <v/>
      </c>
      <c r="P1207" s="17" t="str">
        <f ca="1">IF(AND(L1207=-1,L1206&lt;&gt;-1),MAX($P$8:P1206)+1,"")</f>
        <v/>
      </c>
      <c r="Q1207" s="24" t="str">
        <f ca="1">IF(AND(L1207&lt;&gt;-1,L1206=-1),MAX($Q$8:Q1206)+1,"")</f>
        <v/>
      </c>
    </row>
    <row r="1208" spans="1:17" x14ac:dyDescent="0.3">
      <c r="A1208" s="3">
        <v>41956</v>
      </c>
      <c r="B1208" s="9">
        <v>14.132069</v>
      </c>
      <c r="C1208" s="9">
        <v>11.689947</v>
      </c>
      <c r="E1208" s="14">
        <f t="shared" si="130"/>
        <v>1.2089078761434933</v>
      </c>
      <c r="F1208" s="18">
        <f t="shared" ca="1" si="129"/>
        <v>0.21719383681292601</v>
      </c>
      <c r="G1208" s="15">
        <f t="shared" ca="1" si="134"/>
        <v>1.2059296245793605</v>
      </c>
      <c r="H1208" s="15">
        <f t="shared" ca="1" si="135"/>
        <v>1.3712412874302778E-2</v>
      </c>
      <c r="J1208" s="17">
        <f t="shared" ca="1" si="131"/>
        <v>1</v>
      </c>
      <c r="K1208" s="24">
        <f t="shared" ca="1" si="132"/>
        <v>0</v>
      </c>
      <c r="L1208" s="17">
        <f t="shared" ca="1" si="133"/>
        <v>1</v>
      </c>
      <c r="N1208" s="24" t="str">
        <f ca="1">IF(AND(L1208=1,L1207&lt;&gt;1),MAX($N$8:N1207)+1,"")</f>
        <v/>
      </c>
      <c r="O1208" s="24" t="str">
        <f ca="1">IF(AND(L1208&lt;&gt;1,L1207=1),MAX($O$8:O1207)+1,"")</f>
        <v/>
      </c>
      <c r="P1208" s="17" t="str">
        <f ca="1">IF(AND(L1208=-1,L1207&lt;&gt;-1),MAX($P$8:P1207)+1,"")</f>
        <v/>
      </c>
      <c r="Q1208" s="24" t="str">
        <f ca="1">IF(AND(L1208&lt;&gt;-1,L1207=-1),MAX($Q$8:Q1207)+1,"")</f>
        <v/>
      </c>
    </row>
    <row r="1209" spans="1:17" x14ac:dyDescent="0.3">
      <c r="A1209" s="3">
        <v>41957</v>
      </c>
      <c r="B1209" s="9">
        <v>14.200418000000001</v>
      </c>
      <c r="C1209" s="9">
        <v>11.729293999999999</v>
      </c>
      <c r="E1209" s="14">
        <f t="shared" si="130"/>
        <v>1.2106796879675794</v>
      </c>
      <c r="F1209" s="18">
        <f t="shared" ca="1" si="129"/>
        <v>0.30501271889645604</v>
      </c>
      <c r="G1209" s="15">
        <f t="shared" ca="1" si="134"/>
        <v>1.2065251104040948</v>
      </c>
      <c r="H1209" s="15">
        <f t="shared" ca="1" si="135"/>
        <v>1.3620997768604388E-2</v>
      </c>
      <c r="J1209" s="17">
        <f t="shared" ca="1" si="131"/>
        <v>1</v>
      </c>
      <c r="K1209" s="24">
        <f t="shared" ca="1" si="132"/>
        <v>0</v>
      </c>
      <c r="L1209" s="17">
        <f t="shared" ca="1" si="133"/>
        <v>1</v>
      </c>
      <c r="N1209" s="24" t="str">
        <f ca="1">IF(AND(L1209=1,L1208&lt;&gt;1),MAX($N$8:N1208)+1,"")</f>
        <v/>
      </c>
      <c r="O1209" s="24" t="str">
        <f ca="1">IF(AND(L1209&lt;&gt;1,L1208=1),MAX($O$8:O1208)+1,"")</f>
        <v/>
      </c>
      <c r="P1209" s="17" t="str">
        <f ca="1">IF(AND(L1209=-1,L1208&lt;&gt;-1),MAX($P$8:P1208)+1,"")</f>
        <v/>
      </c>
      <c r="Q1209" s="24" t="str">
        <f ca="1">IF(AND(L1209&lt;&gt;-1,L1208=-1),MAX($Q$8:Q1208)+1,"")</f>
        <v/>
      </c>
    </row>
    <row r="1210" spans="1:17" x14ac:dyDescent="0.3">
      <c r="A1210" s="3">
        <v>41960</v>
      </c>
      <c r="B1210" s="9">
        <v>14.095865</v>
      </c>
      <c r="C1210" s="9">
        <v>11.466932</v>
      </c>
      <c r="E1210" s="14">
        <f t="shared" si="130"/>
        <v>1.2292621077721573</v>
      </c>
      <c r="F1210" s="18">
        <f t="shared" ca="1" si="129"/>
        <v>1.5119348314069581</v>
      </c>
      <c r="G1210" s="15">
        <f t="shared" ca="1" si="134"/>
        <v>1.2074597320286653</v>
      </c>
      <c r="H1210" s="15">
        <f t="shared" ca="1" si="135"/>
        <v>1.4420182200051165E-2</v>
      </c>
      <c r="J1210" s="17">
        <f t="shared" ca="1" si="131"/>
        <v>1</v>
      </c>
      <c r="K1210" s="24">
        <f t="shared" ca="1" si="132"/>
        <v>0</v>
      </c>
      <c r="L1210" s="17">
        <f t="shared" ca="1" si="133"/>
        <v>1</v>
      </c>
      <c r="N1210" s="24" t="str">
        <f ca="1">IF(AND(L1210=1,L1209&lt;&gt;1),MAX($N$8:N1209)+1,"")</f>
        <v/>
      </c>
      <c r="O1210" s="24" t="str">
        <f ca="1">IF(AND(L1210&lt;&gt;1,L1209=1),MAX($O$8:O1209)+1,"")</f>
        <v/>
      </c>
      <c r="P1210" s="17" t="str">
        <f ca="1">IF(AND(L1210=-1,L1209&lt;&gt;-1),MAX($P$8:P1209)+1,"")</f>
        <v/>
      </c>
      <c r="Q1210" s="24" t="str">
        <f ca="1">IF(AND(L1210&lt;&gt;-1,L1209=-1),MAX($Q$8:Q1209)+1,"")</f>
        <v/>
      </c>
    </row>
    <row r="1211" spans="1:17" x14ac:dyDescent="0.3">
      <c r="A1211" s="3">
        <v>41961</v>
      </c>
      <c r="B1211" s="9">
        <v>14.506202</v>
      </c>
      <c r="C1211" s="9">
        <v>11.981839000000001</v>
      </c>
      <c r="E1211" s="14">
        <f t="shared" si="130"/>
        <v>1.2106824336397777</v>
      </c>
      <c r="F1211" s="18">
        <f t="shared" ca="1" si="129"/>
        <v>0.1842626689558188</v>
      </c>
      <c r="G1211" s="15">
        <f t="shared" ca="1" si="134"/>
        <v>1.2080527274421053</v>
      </c>
      <c r="H1211" s="15">
        <f t="shared" ca="1" si="135"/>
        <v>1.4271508236445142E-2</v>
      </c>
      <c r="J1211" s="17">
        <f t="shared" ca="1" si="131"/>
        <v>1</v>
      </c>
      <c r="K1211" s="24">
        <f t="shared" ca="1" si="132"/>
        <v>0</v>
      </c>
      <c r="L1211" s="17">
        <f t="shared" ca="1" si="133"/>
        <v>1</v>
      </c>
      <c r="N1211" s="24" t="str">
        <f ca="1">IF(AND(L1211=1,L1210&lt;&gt;1),MAX($N$8:N1210)+1,"")</f>
        <v/>
      </c>
      <c r="O1211" s="24" t="str">
        <f ca="1">IF(AND(L1211&lt;&gt;1,L1210=1),MAX($O$8:O1210)+1,"")</f>
        <v/>
      </c>
      <c r="P1211" s="17" t="str">
        <f ca="1">IF(AND(L1211=-1,L1210&lt;&gt;-1),MAX($P$8:P1210)+1,"")</f>
        <v/>
      </c>
      <c r="Q1211" s="24" t="str">
        <f ca="1">IF(AND(L1211&lt;&gt;-1,L1210=-1),MAX($Q$8:Q1210)+1,"")</f>
        <v/>
      </c>
    </row>
    <row r="1212" spans="1:17" x14ac:dyDescent="0.3">
      <c r="A1212" s="3">
        <v>41962</v>
      </c>
      <c r="B1212" s="9">
        <v>15.089506</v>
      </c>
      <c r="C1212" s="9">
        <v>12.496819</v>
      </c>
      <c r="E1212" s="14">
        <f t="shared" si="130"/>
        <v>1.2074677563946472</v>
      </c>
      <c r="F1212" s="18">
        <f t="shared" ca="1" si="129"/>
        <v>-7.6832048639060915E-2</v>
      </c>
      <c r="G1212" s="15">
        <f t="shared" ca="1" si="134"/>
        <v>1.2085474269649195</v>
      </c>
      <c r="H1212" s="15">
        <f t="shared" ca="1" si="135"/>
        <v>1.4052346506394644E-2</v>
      </c>
      <c r="J1212" s="17">
        <f t="shared" ca="1" si="131"/>
        <v>0</v>
      </c>
      <c r="K1212" s="24">
        <f t="shared" ca="1" si="132"/>
        <v>0</v>
      </c>
      <c r="L1212" s="17">
        <f t="shared" ca="1" si="133"/>
        <v>0</v>
      </c>
      <c r="N1212" s="24" t="str">
        <f ca="1">IF(AND(L1212=1,L1211&lt;&gt;1),MAX($N$8:N1211)+1,"")</f>
        <v/>
      </c>
      <c r="O1212" s="24">
        <f ca="1">IF(AND(L1212&lt;&gt;1,L1211=1),MAX($O$8:O1211)+1,"")</f>
        <v>35</v>
      </c>
      <c r="P1212" s="17" t="str">
        <f ca="1">IF(AND(L1212=-1,L1211&lt;&gt;-1),MAX($P$8:P1211)+1,"")</f>
        <v/>
      </c>
      <c r="Q1212" s="24" t="str">
        <f ca="1">IF(AND(L1212&lt;&gt;-1,L1211=-1),MAX($Q$8:Q1211)+1,"")</f>
        <v/>
      </c>
    </row>
    <row r="1213" spans="1:17" x14ac:dyDescent="0.3">
      <c r="A1213" s="3">
        <v>41964</v>
      </c>
      <c r="B1213" s="9">
        <v>16.083067</v>
      </c>
      <c r="C1213" s="9">
        <v>13.448012</v>
      </c>
      <c r="E1213" s="14">
        <f t="shared" si="130"/>
        <v>1.1959438316979492</v>
      </c>
      <c r="F1213" s="18">
        <f t="shared" ca="1" si="129"/>
        <v>-0.95325376881318291</v>
      </c>
      <c r="G1213" s="15">
        <f t="shared" ca="1" si="134"/>
        <v>1.2089141224619622</v>
      </c>
      <c r="H1213" s="15">
        <f t="shared" ca="1" si="135"/>
        <v>1.3606335677184101E-2</v>
      </c>
      <c r="J1213" s="17">
        <f t="shared" ca="1" si="131"/>
        <v>0</v>
      </c>
      <c r="K1213" s="24">
        <f t="shared" ca="1" si="132"/>
        <v>0</v>
      </c>
      <c r="L1213" s="17">
        <f t="shared" ca="1" si="133"/>
        <v>0</v>
      </c>
      <c r="N1213" s="24" t="str">
        <f ca="1">IF(AND(L1213=1,L1212&lt;&gt;1),MAX($N$8:N1212)+1,"")</f>
        <v/>
      </c>
      <c r="O1213" s="24" t="str">
        <f ca="1">IF(AND(L1213&lt;&gt;1,L1212=1),MAX($O$8:O1212)+1,"")</f>
        <v/>
      </c>
      <c r="P1213" s="17" t="str">
        <f ca="1">IF(AND(L1213=-1,L1212&lt;&gt;-1),MAX($P$8:P1212)+1,"")</f>
        <v/>
      </c>
      <c r="Q1213" s="24" t="str">
        <f ca="1">IF(AND(L1213&lt;&gt;-1,L1212=-1),MAX($Q$8:Q1212)+1,"")</f>
        <v/>
      </c>
    </row>
    <row r="1214" spans="1:17" x14ac:dyDescent="0.3">
      <c r="A1214" s="3">
        <v>41967</v>
      </c>
      <c r="B1214" s="9">
        <v>15.749181999999999</v>
      </c>
      <c r="C1214" s="9">
        <v>13.231562</v>
      </c>
      <c r="E1214" s="14">
        <f t="shared" si="130"/>
        <v>1.1902738316156474</v>
      </c>
      <c r="F1214" s="18">
        <f t="shared" ca="1" si="129"/>
        <v>-1.397115780338001</v>
      </c>
      <c r="G1214" s="15">
        <f t="shared" ca="1" si="134"/>
        <v>1.209034441240415</v>
      </c>
      <c r="H1214" s="15">
        <f t="shared" ca="1" si="135"/>
        <v>1.342809943799286E-2</v>
      </c>
      <c r="J1214" s="17">
        <f t="shared" ca="1" si="131"/>
        <v>0</v>
      </c>
      <c r="K1214" s="24">
        <f t="shared" ca="1" si="132"/>
        <v>-1</v>
      </c>
      <c r="L1214" s="17">
        <f t="shared" ca="1" si="133"/>
        <v>-1</v>
      </c>
      <c r="N1214" s="24" t="str">
        <f ca="1">IF(AND(L1214=1,L1213&lt;&gt;1),MAX($N$8:N1213)+1,"")</f>
        <v/>
      </c>
      <c r="O1214" s="24" t="str">
        <f ca="1">IF(AND(L1214&lt;&gt;1,L1213=1),MAX($O$8:O1213)+1,"")</f>
        <v/>
      </c>
      <c r="P1214" s="17">
        <f ca="1">IF(AND(L1214=-1,L1213&lt;&gt;-1),MAX($P$8:P1213)+1,"")</f>
        <v>47</v>
      </c>
      <c r="Q1214" s="24" t="str">
        <f ca="1">IF(AND(L1214&lt;&gt;-1,L1213=-1),MAX($Q$8:Q1213)+1,"")</f>
        <v/>
      </c>
    </row>
    <row r="1215" spans="1:17" x14ac:dyDescent="0.3">
      <c r="A1215" s="3">
        <v>41968</v>
      </c>
      <c r="B1215" s="9">
        <v>15.950336999999999</v>
      </c>
      <c r="C1215" s="9">
        <v>13.421798000000001</v>
      </c>
      <c r="E1215" s="14">
        <f t="shared" si="130"/>
        <v>1.1883904824077964</v>
      </c>
      <c r="F1215" s="18">
        <f t="shared" ca="1" si="129"/>
        <v>-1.4532825936606184</v>
      </c>
      <c r="G1215" s="15">
        <f t="shared" ca="1" si="134"/>
        <v>1.2086130058209261</v>
      </c>
      <c r="H1215" s="15">
        <f t="shared" ca="1" si="135"/>
        <v>1.3915066141535447E-2</v>
      </c>
      <c r="J1215" s="17">
        <f t="shared" ca="1" si="131"/>
        <v>0</v>
      </c>
      <c r="K1215" s="24">
        <f t="shared" ca="1" si="132"/>
        <v>-1</v>
      </c>
      <c r="L1215" s="17">
        <f t="shared" ca="1" si="133"/>
        <v>-1</v>
      </c>
      <c r="N1215" s="24" t="str">
        <f ca="1">IF(AND(L1215=1,L1214&lt;&gt;1),MAX($N$8:N1214)+1,"")</f>
        <v/>
      </c>
      <c r="O1215" s="24" t="str">
        <f ca="1">IF(AND(L1215&lt;&gt;1,L1214=1),MAX($O$8:O1214)+1,"")</f>
        <v/>
      </c>
      <c r="P1215" s="17" t="str">
        <f ca="1">IF(AND(L1215=-1,L1214&lt;&gt;-1),MAX($P$8:P1214)+1,"")</f>
        <v/>
      </c>
      <c r="Q1215" s="24" t="str">
        <f ca="1">IF(AND(L1215&lt;&gt;-1,L1214=-1),MAX($Q$8:Q1214)+1,"")</f>
        <v/>
      </c>
    </row>
    <row r="1216" spans="1:17" x14ac:dyDescent="0.3">
      <c r="A1216" s="3">
        <v>41969</v>
      </c>
      <c r="B1216" s="9">
        <v>15.817595000000001</v>
      </c>
      <c r="C1216" s="9">
        <v>13.283984</v>
      </c>
      <c r="E1216" s="14">
        <f t="shared" si="130"/>
        <v>1.1907267428205273</v>
      </c>
      <c r="F1216" s="18">
        <f t="shared" ca="1" si="129"/>
        <v>-1.2236218162963468</v>
      </c>
      <c r="G1216" s="15">
        <f t="shared" ca="1" si="134"/>
        <v>1.2082139249568802</v>
      </c>
      <c r="H1216" s="15">
        <f t="shared" ca="1" si="135"/>
        <v>1.4291329153711108E-2</v>
      </c>
      <c r="J1216" s="17">
        <f t="shared" ca="1" si="131"/>
        <v>0</v>
      </c>
      <c r="K1216" s="24">
        <f t="shared" ca="1" si="132"/>
        <v>-1</v>
      </c>
      <c r="L1216" s="17">
        <f t="shared" ca="1" si="133"/>
        <v>-1</v>
      </c>
      <c r="N1216" s="24" t="str">
        <f ca="1">IF(AND(L1216=1,L1215&lt;&gt;1),MAX($N$8:N1215)+1,"")</f>
        <v/>
      </c>
      <c r="O1216" s="24" t="str">
        <f ca="1">IF(AND(L1216&lt;&gt;1,L1215=1),MAX($O$8:O1215)+1,"")</f>
        <v/>
      </c>
      <c r="P1216" s="17" t="str">
        <f ca="1">IF(AND(L1216=-1,L1215&lt;&gt;-1),MAX($P$8:P1215)+1,"")</f>
        <v/>
      </c>
      <c r="Q1216" s="24" t="str">
        <f ca="1">IF(AND(L1216&lt;&gt;-1,L1215=-1),MAX($Q$8:Q1215)+1,"")</f>
        <v/>
      </c>
    </row>
    <row r="1217" spans="1:17" x14ac:dyDescent="0.3">
      <c r="A1217" s="3">
        <v>41970</v>
      </c>
      <c r="B1217" s="9">
        <v>15.584320999999999</v>
      </c>
      <c r="C1217" s="9">
        <v>13.034755000000001</v>
      </c>
      <c r="E1217" s="14">
        <f t="shared" si="130"/>
        <v>1.195597539040818</v>
      </c>
      <c r="F1217" s="18">
        <f t="shared" ca="1" si="129"/>
        <v>-0.94950740277989354</v>
      </c>
      <c r="G1217" s="15">
        <f t="shared" ca="1" si="134"/>
        <v>1.2086486130378407</v>
      </c>
      <c r="H1217" s="15">
        <f t="shared" ca="1" si="135"/>
        <v>1.3745099784175185E-2</v>
      </c>
      <c r="J1217" s="17">
        <f t="shared" ca="1" si="131"/>
        <v>0</v>
      </c>
      <c r="K1217" s="24">
        <f t="shared" ca="1" si="132"/>
        <v>-1</v>
      </c>
      <c r="L1217" s="17">
        <f t="shared" ca="1" si="133"/>
        <v>-1</v>
      </c>
      <c r="N1217" s="24" t="str">
        <f ca="1">IF(AND(L1217=1,L1216&lt;&gt;1),MAX($N$8:N1216)+1,"")</f>
        <v/>
      </c>
      <c r="O1217" s="24" t="str">
        <f ca="1">IF(AND(L1217&lt;&gt;1,L1216=1),MAX($O$8:O1216)+1,"")</f>
        <v/>
      </c>
      <c r="P1217" s="17" t="str">
        <f ca="1">IF(AND(L1217=-1,L1216&lt;&gt;-1),MAX($P$8:P1216)+1,"")</f>
        <v/>
      </c>
      <c r="Q1217" s="24" t="str">
        <f ca="1">IF(AND(L1217&lt;&gt;-1,L1216=-1),MAX($Q$8:Q1216)+1,"")</f>
        <v/>
      </c>
    </row>
    <row r="1218" spans="1:17" x14ac:dyDescent="0.3">
      <c r="A1218" s="3">
        <v>41971</v>
      </c>
      <c r="B1218" s="9">
        <v>15.568182999999999</v>
      </c>
      <c r="C1218" s="9">
        <v>12.998663000000001</v>
      </c>
      <c r="E1218" s="14">
        <f t="shared" si="130"/>
        <v>1.1976757148023607</v>
      </c>
      <c r="F1218" s="18">
        <f t="shared" ref="F1218:F1281" ca="1" si="136">IF(ISNUMBER(G1218),(E1218-G1218)/H1218,"")</f>
        <v>-0.90507870346248409</v>
      </c>
      <c r="G1218" s="15">
        <f t="shared" ca="1" si="134"/>
        <v>1.2092990120253531</v>
      </c>
      <c r="H1218" s="15">
        <f t="shared" ca="1" si="135"/>
        <v>1.2842305512798059E-2</v>
      </c>
      <c r="J1218" s="17">
        <f t="shared" ca="1" si="131"/>
        <v>0</v>
      </c>
      <c r="K1218" s="24">
        <f t="shared" ca="1" si="132"/>
        <v>-1</v>
      </c>
      <c r="L1218" s="17">
        <f t="shared" ca="1" si="133"/>
        <v>-1</v>
      </c>
      <c r="N1218" s="24" t="str">
        <f ca="1">IF(AND(L1218=1,L1217&lt;&gt;1),MAX($N$8:N1217)+1,"")</f>
        <v/>
      </c>
      <c r="O1218" s="24" t="str">
        <f ca="1">IF(AND(L1218&lt;&gt;1,L1217=1),MAX($O$8:O1217)+1,"")</f>
        <v/>
      </c>
      <c r="P1218" s="17" t="str">
        <f ca="1">IF(AND(L1218=-1,L1217&lt;&gt;-1),MAX($P$8:P1217)+1,"")</f>
        <v/>
      </c>
      <c r="Q1218" s="24" t="str">
        <f ca="1">IF(AND(L1218&lt;&gt;-1,L1217=-1),MAX($Q$8:Q1217)+1,"")</f>
        <v/>
      </c>
    </row>
    <row r="1219" spans="1:17" x14ac:dyDescent="0.3">
      <c r="A1219" s="3">
        <v>41974</v>
      </c>
      <c r="B1219" s="9">
        <v>14.850538999999999</v>
      </c>
      <c r="C1219" s="9">
        <v>12.332792</v>
      </c>
      <c r="E1219" s="14">
        <f t="shared" ref="E1219:E1282" si="137">IF(ISNUMBER(B1219),B1219/C1219,"")</f>
        <v>1.2041506092051175</v>
      </c>
      <c r="F1219" s="18">
        <f t="shared" ca="1" si="136"/>
        <v>-0.43664250758749706</v>
      </c>
      <c r="G1219" s="15">
        <f t="shared" ca="1" si="134"/>
        <v>1.2096482197677683</v>
      </c>
      <c r="H1219" s="15">
        <f t="shared" ca="1" si="135"/>
        <v>1.2590644445099292E-2</v>
      </c>
      <c r="J1219" s="17">
        <f t="shared" ca="1" si="131"/>
        <v>0</v>
      </c>
      <c r="K1219" s="24">
        <f t="shared" ca="1" si="132"/>
        <v>-1</v>
      </c>
      <c r="L1219" s="17">
        <f t="shared" ca="1" si="133"/>
        <v>-1</v>
      </c>
      <c r="N1219" s="24" t="str">
        <f ca="1">IF(AND(L1219=1,L1218&lt;&gt;1),MAX($N$8:N1218)+1,"")</f>
        <v/>
      </c>
      <c r="O1219" s="24" t="str">
        <f ca="1">IF(AND(L1219&lt;&gt;1,L1218=1),MAX($O$8:O1218)+1,"")</f>
        <v/>
      </c>
      <c r="P1219" s="17" t="str">
        <f ca="1">IF(AND(L1219=-1,L1218&lt;&gt;-1),MAX($P$8:P1218)+1,"")</f>
        <v/>
      </c>
      <c r="Q1219" s="24" t="str">
        <f ca="1">IF(AND(L1219&lt;&gt;-1,L1218=-1),MAX($Q$8:Q1218)+1,"")</f>
        <v/>
      </c>
    </row>
    <row r="1220" spans="1:17" x14ac:dyDescent="0.3">
      <c r="A1220" s="3">
        <v>41975</v>
      </c>
      <c r="B1220" s="9">
        <v>14.725743</v>
      </c>
      <c r="C1220" s="9">
        <v>12.163240999999999</v>
      </c>
      <c r="E1220" s="14">
        <f t="shared" si="137"/>
        <v>1.2106759209983589</v>
      </c>
      <c r="F1220" s="18">
        <f t="shared" ca="1" si="136"/>
        <v>8.2808360340664036E-2</v>
      </c>
      <c r="G1220" s="15">
        <f t="shared" ca="1" si="134"/>
        <v>1.2096334269211722</v>
      </c>
      <c r="H1220" s="15">
        <f t="shared" ca="1" si="135"/>
        <v>1.2589237039569509E-2</v>
      </c>
      <c r="J1220" s="17">
        <f t="shared" ca="1" si="131"/>
        <v>0</v>
      </c>
      <c r="K1220" s="24">
        <f t="shared" ca="1" si="132"/>
        <v>0</v>
      </c>
      <c r="L1220" s="17">
        <f t="shared" ca="1" si="133"/>
        <v>0</v>
      </c>
      <c r="N1220" s="24" t="str">
        <f ca="1">IF(AND(L1220=1,L1219&lt;&gt;1),MAX($N$8:N1219)+1,"")</f>
        <v/>
      </c>
      <c r="O1220" s="24" t="str">
        <f ca="1">IF(AND(L1220&lt;&gt;1,L1219=1),MAX($O$8:O1219)+1,"")</f>
        <v/>
      </c>
      <c r="P1220" s="17" t="str">
        <f ca="1">IF(AND(L1220=-1,L1219&lt;&gt;-1),MAX($P$8:P1219)+1,"")</f>
        <v/>
      </c>
      <c r="Q1220" s="24">
        <f ca="1">IF(AND(L1220&lt;&gt;-1,L1219=-1),MAX($Q$8:Q1219)+1,"")</f>
        <v>47</v>
      </c>
    </row>
    <row r="1221" spans="1:17" x14ac:dyDescent="0.3">
      <c r="A1221" s="3">
        <v>41976</v>
      </c>
      <c r="B1221" s="9">
        <v>14.850538999999999</v>
      </c>
      <c r="C1221" s="9">
        <v>12.297896</v>
      </c>
      <c r="E1221" s="14">
        <f t="shared" si="137"/>
        <v>1.2075674570674528</v>
      </c>
      <c r="F1221" s="18">
        <f t="shared" ca="1" si="136"/>
        <v>-0.16396396615316278</v>
      </c>
      <c r="G1221" s="15">
        <f t="shared" ca="1" si="134"/>
        <v>1.2096316847262403</v>
      </c>
      <c r="H1221" s="15">
        <f t="shared" ca="1" si="135"/>
        <v>1.2589520168469195E-2</v>
      </c>
      <c r="J1221" s="17">
        <f t="shared" ca="1" si="131"/>
        <v>0</v>
      </c>
      <c r="K1221" s="24">
        <f t="shared" ca="1" si="132"/>
        <v>0</v>
      </c>
      <c r="L1221" s="17">
        <f t="shared" ca="1" si="133"/>
        <v>0</v>
      </c>
      <c r="N1221" s="24" t="str">
        <f ca="1">IF(AND(L1221=1,L1220&lt;&gt;1),MAX($N$8:N1220)+1,"")</f>
        <v/>
      </c>
      <c r="O1221" s="24" t="str">
        <f ca="1">IF(AND(L1221&lt;&gt;1,L1220=1),MAX($O$8:O1220)+1,"")</f>
        <v/>
      </c>
      <c r="P1221" s="17" t="str">
        <f ca="1">IF(AND(L1221=-1,L1220&lt;&gt;-1),MAX($P$8:P1220)+1,"")</f>
        <v/>
      </c>
      <c r="Q1221" s="24" t="str">
        <f ca="1">IF(AND(L1221&lt;&gt;-1,L1220=-1),MAX($Q$8:Q1220)+1,"")</f>
        <v/>
      </c>
    </row>
    <row r="1222" spans="1:17" x14ac:dyDescent="0.3">
      <c r="A1222" s="3">
        <v>41977</v>
      </c>
      <c r="B1222" s="9">
        <v>14.629082</v>
      </c>
      <c r="C1222" s="9">
        <v>12.035159</v>
      </c>
      <c r="E1222" s="14">
        <f t="shared" si="137"/>
        <v>1.2155287686685319</v>
      </c>
      <c r="F1222" s="18">
        <f t="shared" ca="1" si="136"/>
        <v>0.48929413677878103</v>
      </c>
      <c r="G1222" s="15">
        <f t="shared" ca="1" si="134"/>
        <v>1.2094325026233219</v>
      </c>
      <c r="H1222" s="15">
        <f t="shared" ca="1" si="135"/>
        <v>1.245930737152119E-2</v>
      </c>
      <c r="J1222" s="17">
        <f t="shared" ca="1" si="131"/>
        <v>0</v>
      </c>
      <c r="K1222" s="24">
        <f t="shared" ca="1" si="132"/>
        <v>0</v>
      </c>
      <c r="L1222" s="17">
        <f t="shared" ca="1" si="133"/>
        <v>0</v>
      </c>
      <c r="N1222" s="24" t="str">
        <f ca="1">IF(AND(L1222=1,L1221&lt;&gt;1),MAX($N$8:N1221)+1,"")</f>
        <v/>
      </c>
      <c r="O1222" s="24" t="str">
        <f ca="1">IF(AND(L1222&lt;&gt;1,L1221=1),MAX($O$8:O1221)+1,"")</f>
        <v/>
      </c>
      <c r="P1222" s="17" t="str">
        <f ca="1">IF(AND(L1222=-1,L1221&lt;&gt;-1),MAX($P$8:P1221)+1,"")</f>
        <v/>
      </c>
      <c r="Q1222" s="24" t="str">
        <f ca="1">IF(AND(L1222&lt;&gt;-1,L1221=-1),MAX($Q$8:Q1221)+1,"")</f>
        <v/>
      </c>
    </row>
    <row r="1223" spans="1:17" x14ac:dyDescent="0.3">
      <c r="A1223" s="3">
        <v>41978</v>
      </c>
      <c r="B1223" s="9">
        <v>14.906877</v>
      </c>
      <c r="C1223" s="9">
        <v>12.301148</v>
      </c>
      <c r="E1223" s="14">
        <f t="shared" si="137"/>
        <v>1.2118281155547435</v>
      </c>
      <c r="F1223" s="18">
        <f t="shared" ca="1" si="136"/>
        <v>0.25870995282342296</v>
      </c>
      <c r="G1223" s="15">
        <f t="shared" ca="1" si="134"/>
        <v>1.2087524227649984</v>
      </c>
      <c r="H1223" s="15">
        <f t="shared" ca="1" si="135"/>
        <v>1.1888575434298483E-2</v>
      </c>
      <c r="J1223" s="17">
        <f t="shared" ca="1" si="131"/>
        <v>0</v>
      </c>
      <c r="K1223" s="24">
        <f t="shared" ca="1" si="132"/>
        <v>0</v>
      </c>
      <c r="L1223" s="17">
        <f t="shared" ca="1" si="133"/>
        <v>0</v>
      </c>
      <c r="N1223" s="24" t="str">
        <f ca="1">IF(AND(L1223=1,L1222&lt;&gt;1),MAX($N$8:N1222)+1,"")</f>
        <v/>
      </c>
      <c r="O1223" s="24" t="str">
        <f ca="1">IF(AND(L1223&lt;&gt;1,L1222=1),MAX($O$8:O1222)+1,"")</f>
        <v/>
      </c>
      <c r="P1223" s="17" t="str">
        <f ca="1">IF(AND(L1223=-1,L1222&lt;&gt;-1),MAX($P$8:P1222)+1,"")</f>
        <v/>
      </c>
      <c r="Q1223" s="24" t="str">
        <f ca="1">IF(AND(L1223&lt;&gt;-1,L1222=-1),MAX($Q$8:Q1222)+1,"")</f>
        <v/>
      </c>
    </row>
    <row r="1224" spans="1:17" x14ac:dyDescent="0.3">
      <c r="A1224" s="3">
        <v>41981</v>
      </c>
      <c r="B1224" s="9">
        <v>14.351353</v>
      </c>
      <c r="C1224" s="9">
        <v>11.683797999999999</v>
      </c>
      <c r="E1224" s="14">
        <f t="shared" si="137"/>
        <v>1.2283123176213762</v>
      </c>
      <c r="F1224" s="18">
        <f t="shared" ca="1" si="136"/>
        <v>1.6942116187510232</v>
      </c>
      <c r="G1224" s="15">
        <f t="shared" ca="1" si="134"/>
        <v>1.2086089573412608</v>
      </c>
      <c r="H1224" s="15">
        <f t="shared" ca="1" si="135"/>
        <v>1.1629810622264937E-2</v>
      </c>
      <c r="J1224" s="17">
        <f t="shared" ref="J1224:J1287" ca="1" si="138">IF(ISNUMBER(F1224),IF(AND(J1223&lt;&gt;1,F1224&gt;$L$1),1,IF(AND(J1223=1,F1224&gt;$N$1),1,0)),"")</f>
        <v>1</v>
      </c>
      <c r="K1224" s="24">
        <f t="shared" ca="1" si="132"/>
        <v>0</v>
      </c>
      <c r="L1224" s="17">
        <f t="shared" ca="1" si="133"/>
        <v>1</v>
      </c>
      <c r="N1224" s="24">
        <f ca="1">IF(AND(L1224=1,L1223&lt;&gt;1),MAX($N$8:N1223)+1,"")</f>
        <v>36</v>
      </c>
      <c r="O1224" s="24" t="str">
        <f ca="1">IF(AND(L1224&lt;&gt;1,L1223=1),MAX($O$8:O1223)+1,"")</f>
        <v/>
      </c>
      <c r="P1224" s="17" t="str">
        <f ca="1">IF(AND(L1224=-1,L1223&lt;&gt;-1),MAX($P$8:P1223)+1,"")</f>
        <v/>
      </c>
      <c r="Q1224" s="24" t="str">
        <f ca="1">IF(AND(L1224&lt;&gt;-1,L1223=-1),MAX($Q$8:Q1223)+1,"")</f>
        <v/>
      </c>
    </row>
    <row r="1225" spans="1:17" x14ac:dyDescent="0.3">
      <c r="A1225" s="3">
        <v>41982</v>
      </c>
      <c r="B1225" s="9">
        <v>14.407692000000001</v>
      </c>
      <c r="C1225" s="9">
        <v>11.956367999999999</v>
      </c>
      <c r="E1225" s="14">
        <f t="shared" si="137"/>
        <v>1.2050224616706346</v>
      </c>
      <c r="F1225" s="18">
        <f t="shared" ca="1" si="136"/>
        <v>-0.27828868058597628</v>
      </c>
      <c r="G1225" s="15">
        <f t="shared" ca="1" si="134"/>
        <v>1.2082547802223016</v>
      </c>
      <c r="H1225" s="15">
        <f t="shared" ca="1" si="135"/>
        <v>1.1614983925543939E-2</v>
      </c>
      <c r="J1225" s="17">
        <f t="shared" ca="1" si="138"/>
        <v>0</v>
      </c>
      <c r="K1225" s="24">
        <f t="shared" ref="K1225:K1288" ca="1" si="139">IF(ISNUMBER(F1225),IF(AND(K1224&lt;&gt;-1,F1225&lt;$P$1),-1,IF(AND(K1224=-1,F1225&lt;R1218),-1,0)),"")</f>
        <v>0</v>
      </c>
      <c r="L1225" s="17">
        <f t="shared" ref="L1225:L1288" ca="1" si="140">IF(ISNUMBER(F1225),IF(J1225=1,1,IF(K1225=-1,-1,0)),"")</f>
        <v>0</v>
      </c>
      <c r="N1225" s="24" t="str">
        <f ca="1">IF(AND(L1225=1,L1224&lt;&gt;1),MAX($N$8:N1224)+1,"")</f>
        <v/>
      </c>
      <c r="O1225" s="24">
        <f ca="1">IF(AND(L1225&lt;&gt;1,L1224=1),MAX($O$8:O1224)+1,"")</f>
        <v>36</v>
      </c>
      <c r="P1225" s="17" t="str">
        <f ca="1">IF(AND(L1225=-1,L1224&lt;&gt;-1),MAX($P$8:P1224)+1,"")</f>
        <v/>
      </c>
      <c r="Q1225" s="24" t="str">
        <f ca="1">IF(AND(L1225&lt;&gt;-1,L1224=-1),MAX($Q$8:Q1224)+1,"")</f>
        <v/>
      </c>
    </row>
    <row r="1226" spans="1:17" x14ac:dyDescent="0.3">
      <c r="A1226" s="3">
        <v>41983</v>
      </c>
      <c r="B1226" s="9">
        <v>14.190317</v>
      </c>
      <c r="C1226" s="9">
        <v>11.608271999999999</v>
      </c>
      <c r="E1226" s="14">
        <f t="shared" si="137"/>
        <v>1.2224314695589491</v>
      </c>
      <c r="F1226" s="18">
        <f t="shared" ca="1" si="136"/>
        <v>1.2862972874884406</v>
      </c>
      <c r="G1226" s="15">
        <f t="shared" ca="1" si="134"/>
        <v>1.2079945134381234</v>
      </c>
      <c r="H1226" s="15">
        <f t="shared" ca="1" si="135"/>
        <v>1.1223654330341171E-2</v>
      </c>
      <c r="J1226" s="17">
        <f t="shared" ca="1" si="138"/>
        <v>1</v>
      </c>
      <c r="K1226" s="24">
        <f t="shared" ca="1" si="139"/>
        <v>0</v>
      </c>
      <c r="L1226" s="17">
        <f t="shared" ca="1" si="140"/>
        <v>1</v>
      </c>
      <c r="N1226" s="24">
        <f ca="1">IF(AND(L1226=1,L1225&lt;&gt;1),MAX($N$8:N1225)+1,"")</f>
        <v>37</v>
      </c>
      <c r="O1226" s="24" t="str">
        <f ca="1">IF(AND(L1226&lt;&gt;1,L1225=1),MAX($O$8:O1225)+1,"")</f>
        <v/>
      </c>
      <c r="P1226" s="17" t="str">
        <f ca="1">IF(AND(L1226=-1,L1225&lt;&gt;-1),MAX($P$8:P1225)+1,"")</f>
        <v/>
      </c>
      <c r="Q1226" s="24" t="str">
        <f ca="1">IF(AND(L1226&lt;&gt;-1,L1225=-1),MAX($Q$8:Q1225)+1,"")</f>
        <v/>
      </c>
    </row>
    <row r="1227" spans="1:17" x14ac:dyDescent="0.3">
      <c r="A1227" s="3">
        <v>41984</v>
      </c>
      <c r="B1227" s="9">
        <v>14.351353</v>
      </c>
      <c r="C1227" s="9">
        <v>11.887413</v>
      </c>
      <c r="E1227" s="14">
        <f t="shared" si="137"/>
        <v>1.2072730206311499</v>
      </c>
      <c r="F1227" s="18">
        <f t="shared" ca="1" si="136"/>
        <v>-1.9833322848469292E-2</v>
      </c>
      <c r="G1227" s="15">
        <f t="shared" ca="1" si="134"/>
        <v>1.207491067566959</v>
      </c>
      <c r="H1227" s="15">
        <f t="shared" ca="1" si="135"/>
        <v>1.0993968961983453E-2</v>
      </c>
      <c r="J1227" s="17">
        <f t="shared" ca="1" si="138"/>
        <v>0</v>
      </c>
      <c r="K1227" s="24">
        <f t="shared" ca="1" si="139"/>
        <v>0</v>
      </c>
      <c r="L1227" s="17">
        <f t="shared" ca="1" si="140"/>
        <v>0</v>
      </c>
      <c r="N1227" s="24" t="str">
        <f ca="1">IF(AND(L1227=1,L1226&lt;&gt;1),MAX($N$8:N1226)+1,"")</f>
        <v/>
      </c>
      <c r="O1227" s="24">
        <f ca="1">IF(AND(L1227&lt;&gt;1,L1226=1),MAX($O$8:O1226)+1,"")</f>
        <v>37</v>
      </c>
      <c r="P1227" s="17" t="str">
        <f ca="1">IF(AND(L1227=-1,L1226&lt;&gt;-1),MAX($P$8:P1226)+1,"")</f>
        <v/>
      </c>
      <c r="Q1227" s="24" t="str">
        <f ca="1">IF(AND(L1227&lt;&gt;-1,L1226=-1),MAX($Q$8:Q1226)+1,"")</f>
        <v/>
      </c>
    </row>
    <row r="1228" spans="1:17" x14ac:dyDescent="0.3">
      <c r="A1228" s="3">
        <v>41985</v>
      </c>
      <c r="B1228" s="9">
        <v>13.586436000000001</v>
      </c>
      <c r="C1228" s="9">
        <v>11.191208</v>
      </c>
      <c r="E1228" s="14">
        <f t="shared" si="137"/>
        <v>1.2140276545659772</v>
      </c>
      <c r="F1228" s="18">
        <f t="shared" ca="1" si="136"/>
        <v>0.57562194815805723</v>
      </c>
      <c r="G1228" s="15">
        <f t="shared" ca="1" si="134"/>
        <v>1.2076589300625387</v>
      </c>
      <c r="H1228" s="15">
        <f t="shared" ca="1" si="135"/>
        <v>1.1064075169159027E-2</v>
      </c>
      <c r="J1228" s="17">
        <f t="shared" ca="1" si="138"/>
        <v>0</v>
      </c>
      <c r="K1228" s="24">
        <f t="shared" ca="1" si="139"/>
        <v>0</v>
      </c>
      <c r="L1228" s="17">
        <f t="shared" ca="1" si="140"/>
        <v>0</v>
      </c>
      <c r="N1228" s="24" t="str">
        <f ca="1">IF(AND(L1228=1,L1227&lt;&gt;1),MAX($N$8:N1227)+1,"")</f>
        <v/>
      </c>
      <c r="O1228" s="24" t="str">
        <f ca="1">IF(AND(L1228&lt;&gt;1,L1227=1),MAX($O$8:O1227)+1,"")</f>
        <v/>
      </c>
      <c r="P1228" s="17" t="str">
        <f ca="1">IF(AND(L1228=-1,L1227&lt;&gt;-1),MAX($P$8:P1227)+1,"")</f>
        <v/>
      </c>
      <c r="Q1228" s="24" t="str">
        <f ca="1">IF(AND(L1228&lt;&gt;-1,L1227=-1),MAX($Q$8:Q1227)+1,"")</f>
        <v/>
      </c>
    </row>
    <row r="1229" spans="1:17" x14ac:dyDescent="0.3">
      <c r="A1229" s="3">
        <v>41988</v>
      </c>
      <c r="B1229" s="9">
        <v>13.296590999999999</v>
      </c>
      <c r="C1229" s="9">
        <v>10.875991000000001</v>
      </c>
      <c r="E1229" s="14">
        <f t="shared" si="137"/>
        <v>1.2225636266157263</v>
      </c>
      <c r="F1229" s="18">
        <f t="shared" ca="1" si="136"/>
        <v>1.2852637117501624</v>
      </c>
      <c r="G1229" s="15">
        <f t="shared" ca="1" si="134"/>
        <v>1.207954064839126</v>
      </c>
      <c r="H1229" s="15">
        <f t="shared" ca="1" si="135"/>
        <v>1.1366976008920509E-2</v>
      </c>
      <c r="J1229" s="17">
        <f t="shared" ca="1" si="138"/>
        <v>1</v>
      </c>
      <c r="K1229" s="24">
        <f t="shared" ca="1" si="139"/>
        <v>0</v>
      </c>
      <c r="L1229" s="17">
        <f t="shared" ca="1" si="140"/>
        <v>1</v>
      </c>
      <c r="N1229" s="24">
        <f ca="1">IF(AND(L1229=1,L1228&lt;&gt;1),MAX($N$8:N1228)+1,"")</f>
        <v>38</v>
      </c>
      <c r="O1229" s="24" t="str">
        <f ca="1">IF(AND(L1229&lt;&gt;1,L1228=1),MAX($O$8:O1228)+1,"")</f>
        <v/>
      </c>
      <c r="P1229" s="17" t="str">
        <f ca="1">IF(AND(L1229=-1,L1228&lt;&gt;-1),MAX($P$8:P1228)+1,"")</f>
        <v/>
      </c>
      <c r="Q1229" s="24" t="str">
        <f ca="1">IF(AND(L1229&lt;&gt;-1,L1228=-1),MAX($Q$8:Q1228)+1,"")</f>
        <v/>
      </c>
    </row>
    <row r="1230" spans="1:17" x14ac:dyDescent="0.3">
      <c r="A1230" s="3">
        <v>41989</v>
      </c>
      <c r="B1230" s="9">
        <v>13.232215999999999</v>
      </c>
      <c r="C1230" s="9">
        <v>10.931794</v>
      </c>
      <c r="E1230" s="14">
        <f t="shared" si="137"/>
        <v>1.2104340787980454</v>
      </c>
      <c r="F1230" s="18">
        <f t="shared" ca="1" si="136"/>
        <v>0.2118828053204721</v>
      </c>
      <c r="G1230" s="15">
        <f t="shared" ca="1" si="134"/>
        <v>1.2080234376870602</v>
      </c>
      <c r="H1230" s="15">
        <f t="shared" ca="1" si="135"/>
        <v>1.1377238031840878E-2</v>
      </c>
      <c r="J1230" s="17">
        <f t="shared" ca="1" si="138"/>
        <v>1</v>
      </c>
      <c r="K1230" s="24">
        <f t="shared" ca="1" si="139"/>
        <v>0</v>
      </c>
      <c r="L1230" s="17">
        <f t="shared" ca="1" si="140"/>
        <v>1</v>
      </c>
      <c r="N1230" s="24" t="str">
        <f ca="1">IF(AND(L1230=1,L1229&lt;&gt;1),MAX($N$8:N1229)+1,"")</f>
        <v/>
      </c>
      <c r="O1230" s="24" t="str">
        <f ca="1">IF(AND(L1230&lt;&gt;1,L1229=1),MAX($O$8:O1229)+1,"")</f>
        <v/>
      </c>
      <c r="P1230" s="17" t="str">
        <f ca="1">IF(AND(L1230=-1,L1229&lt;&gt;-1),MAX($P$8:P1229)+1,"")</f>
        <v/>
      </c>
      <c r="Q1230" s="24" t="str">
        <f ca="1">IF(AND(L1230&lt;&gt;-1,L1229=-1),MAX($Q$8:Q1229)+1,"")</f>
        <v/>
      </c>
    </row>
    <row r="1231" spans="1:17" x14ac:dyDescent="0.3">
      <c r="A1231" s="3">
        <v>41990</v>
      </c>
      <c r="B1231" s="9">
        <v>13.900467000000001</v>
      </c>
      <c r="C1231" s="9">
        <v>11.467101</v>
      </c>
      <c r="E1231" s="14">
        <f t="shared" si="137"/>
        <v>1.2122041133151267</v>
      </c>
      <c r="F1231" s="18">
        <f t="shared" ca="1" si="136"/>
        <v>0.3607163997502974</v>
      </c>
      <c r="G1231" s="15">
        <f t="shared" ca="1" si="134"/>
        <v>1.2080927297483124</v>
      </c>
      <c r="H1231" s="15">
        <f t="shared" ca="1" si="135"/>
        <v>1.1397828237530518E-2</v>
      </c>
      <c r="J1231" s="17">
        <f t="shared" ca="1" si="138"/>
        <v>1</v>
      </c>
      <c r="K1231" s="24">
        <f t="shared" ca="1" si="139"/>
        <v>0</v>
      </c>
      <c r="L1231" s="17">
        <f t="shared" ca="1" si="140"/>
        <v>1</v>
      </c>
      <c r="N1231" s="24" t="str">
        <f ca="1">IF(AND(L1231=1,L1230&lt;&gt;1),MAX($N$8:N1230)+1,"")</f>
        <v/>
      </c>
      <c r="O1231" s="24" t="str">
        <f ca="1">IF(AND(L1231&lt;&gt;1,L1230=1),MAX($O$8:O1230)+1,"")</f>
        <v/>
      </c>
      <c r="P1231" s="17" t="str">
        <f ca="1">IF(AND(L1231=-1,L1230&lt;&gt;-1),MAX($P$8:P1230)+1,"")</f>
        <v/>
      </c>
      <c r="Q1231" s="24" t="str">
        <f ca="1">IF(AND(L1231&lt;&gt;-1,L1230=-1),MAX($Q$8:Q1230)+1,"")</f>
        <v/>
      </c>
    </row>
    <row r="1232" spans="1:17" x14ac:dyDescent="0.3">
      <c r="A1232" s="3">
        <v>41991</v>
      </c>
      <c r="B1232" s="9">
        <v>13.795769999999999</v>
      </c>
      <c r="C1232" s="9">
        <v>11.398142999999999</v>
      </c>
      <c r="E1232" s="14">
        <f t="shared" si="137"/>
        <v>1.2103524231973577</v>
      </c>
      <c r="F1232" s="18">
        <f t="shared" ca="1" si="136"/>
        <v>0.29872138199231146</v>
      </c>
      <c r="G1232" s="15">
        <f t="shared" ca="1" si="134"/>
        <v>1.2072331986312759</v>
      </c>
      <c r="H1232" s="15">
        <f t="shared" ca="1" si="135"/>
        <v>1.0441919307142557E-2</v>
      </c>
      <c r="J1232" s="17">
        <f t="shared" ca="1" si="138"/>
        <v>1</v>
      </c>
      <c r="K1232" s="24">
        <f t="shared" ca="1" si="139"/>
        <v>0</v>
      </c>
      <c r="L1232" s="17">
        <f t="shared" ca="1" si="140"/>
        <v>1</v>
      </c>
      <c r="N1232" s="24" t="str">
        <f ca="1">IF(AND(L1232=1,L1231&lt;&gt;1),MAX($N$8:N1231)+1,"")</f>
        <v/>
      </c>
      <c r="O1232" s="24" t="str">
        <f ca="1">IF(AND(L1232&lt;&gt;1,L1231=1),MAX($O$8:O1231)+1,"")</f>
        <v/>
      </c>
      <c r="P1232" s="17" t="str">
        <f ca="1">IF(AND(L1232=-1,L1231&lt;&gt;-1),MAX($P$8:P1231)+1,"")</f>
        <v/>
      </c>
      <c r="Q1232" s="24" t="str">
        <f ca="1">IF(AND(L1232&lt;&gt;-1,L1231=-1),MAX($Q$8:Q1231)+1,"")</f>
        <v/>
      </c>
    </row>
    <row r="1233" spans="1:17" x14ac:dyDescent="0.3">
      <c r="A1233" s="3">
        <v>41992</v>
      </c>
      <c r="B1233" s="9">
        <v>14.009192000000001</v>
      </c>
      <c r="C1233" s="9">
        <v>11.690375</v>
      </c>
      <c r="E1233" s="14">
        <f t="shared" si="137"/>
        <v>1.198352661912043</v>
      </c>
      <c r="F1233" s="18">
        <f t="shared" ca="1" si="136"/>
        <v>-0.7870061327607617</v>
      </c>
      <c r="G1233" s="15">
        <f t="shared" ca="1" si="134"/>
        <v>1.2066727544618334</v>
      </c>
      <c r="H1233" s="15">
        <f t="shared" ca="1" si="135"/>
        <v>1.0571826830121497E-2</v>
      </c>
      <c r="J1233" s="17">
        <f t="shared" ca="1" si="138"/>
        <v>0</v>
      </c>
      <c r="K1233" s="24">
        <f t="shared" ca="1" si="139"/>
        <v>0</v>
      </c>
      <c r="L1233" s="17">
        <f t="shared" ca="1" si="140"/>
        <v>0</v>
      </c>
      <c r="N1233" s="24" t="str">
        <f ca="1">IF(AND(L1233=1,L1232&lt;&gt;1),MAX($N$8:N1232)+1,"")</f>
        <v/>
      </c>
      <c r="O1233" s="24">
        <f ca="1">IF(AND(L1233&lt;&gt;1,L1232=1),MAX($O$8:O1232)+1,"")</f>
        <v>38</v>
      </c>
      <c r="P1233" s="17" t="str">
        <f ca="1">IF(AND(L1233=-1,L1232&lt;&gt;-1),MAX($P$8:P1232)+1,"")</f>
        <v/>
      </c>
      <c r="Q1233" s="24" t="str">
        <f ca="1">IF(AND(L1233&lt;&gt;-1,L1232=-1),MAX($Q$8:Q1232)+1,"")</f>
        <v/>
      </c>
    </row>
    <row r="1234" spans="1:17" x14ac:dyDescent="0.3">
      <c r="A1234" s="3">
        <v>41995</v>
      </c>
      <c r="B1234" s="9">
        <v>14.105784999999999</v>
      </c>
      <c r="C1234" s="9">
        <v>11.788897</v>
      </c>
      <c r="E1234" s="14">
        <f t="shared" si="137"/>
        <v>1.1965313633667338</v>
      </c>
      <c r="F1234" s="18">
        <f t="shared" ca="1" si="136"/>
        <v>-0.89482229307214767</v>
      </c>
      <c r="G1234" s="15">
        <f t="shared" ca="1" si="134"/>
        <v>1.2061756456878374</v>
      </c>
      <c r="H1234" s="15">
        <f t="shared" ca="1" si="135"/>
        <v>1.0777874440289558E-2</v>
      </c>
      <c r="J1234" s="17">
        <f t="shared" ca="1" si="138"/>
        <v>0</v>
      </c>
      <c r="K1234" s="24">
        <f t="shared" ca="1" si="139"/>
        <v>0</v>
      </c>
      <c r="L1234" s="17">
        <f t="shared" ca="1" si="140"/>
        <v>0</v>
      </c>
      <c r="N1234" s="24" t="str">
        <f ca="1">IF(AND(L1234=1,L1233&lt;&gt;1),MAX($N$8:N1233)+1,"")</f>
        <v/>
      </c>
      <c r="O1234" s="24" t="str">
        <f ca="1">IF(AND(L1234&lt;&gt;1,L1233=1),MAX($O$8:O1233)+1,"")</f>
        <v/>
      </c>
      <c r="P1234" s="17" t="str">
        <f ca="1">IF(AND(L1234=-1,L1233&lt;&gt;-1),MAX($P$8:P1233)+1,"")</f>
        <v/>
      </c>
      <c r="Q1234" s="24" t="str">
        <f ca="1">IF(AND(L1234&lt;&gt;-1,L1233=-1),MAX($Q$8:Q1233)+1,"")</f>
        <v/>
      </c>
    </row>
    <row r="1235" spans="1:17" x14ac:dyDescent="0.3">
      <c r="A1235" s="3">
        <v>41996</v>
      </c>
      <c r="B1235" s="9">
        <v>14.170153000000001</v>
      </c>
      <c r="C1235" s="9">
        <v>12.229041</v>
      </c>
      <c r="E1235" s="14">
        <f t="shared" si="137"/>
        <v>1.158729699246245</v>
      </c>
      <c r="F1235" s="18">
        <f t="shared" ca="1" si="136"/>
        <v>-3.1508621352473041</v>
      </c>
      <c r="G1235" s="15">
        <f t="shared" ca="1" si="134"/>
        <v>1.2044840942127599</v>
      </c>
      <c r="H1235" s="15">
        <f t="shared" ca="1" si="135"/>
        <v>1.4521230381577372E-2</v>
      </c>
      <c r="J1235" s="17">
        <f t="shared" ca="1" si="138"/>
        <v>0</v>
      </c>
      <c r="K1235" s="24">
        <f t="shared" ca="1" si="139"/>
        <v>-1</v>
      </c>
      <c r="L1235" s="17">
        <f t="shared" ca="1" si="140"/>
        <v>-1</v>
      </c>
      <c r="N1235" s="24" t="str">
        <f ca="1">IF(AND(L1235=1,L1234&lt;&gt;1),MAX($N$8:N1234)+1,"")</f>
        <v/>
      </c>
      <c r="O1235" s="24" t="str">
        <f ca="1">IF(AND(L1235&lt;&gt;1,L1234=1),MAX($O$8:O1234)+1,"")</f>
        <v/>
      </c>
      <c r="P1235" s="17">
        <f ca="1">IF(AND(L1235=-1,L1234&lt;&gt;-1),MAX($P$8:P1234)+1,"")</f>
        <v>48</v>
      </c>
      <c r="Q1235" s="24" t="str">
        <f ca="1">IF(AND(L1235&lt;&gt;-1,L1234=-1),MAX($Q$8:Q1234)+1,"")</f>
        <v/>
      </c>
    </row>
    <row r="1236" spans="1:17" x14ac:dyDescent="0.3">
      <c r="A1236" s="3">
        <v>41999</v>
      </c>
      <c r="B1236" s="9">
        <v>13.968932000000001</v>
      </c>
      <c r="C1236" s="9">
        <v>11.969566</v>
      </c>
      <c r="E1236" s="14">
        <f t="shared" si="137"/>
        <v>1.1670374681922469</v>
      </c>
      <c r="F1236" s="18">
        <f t="shared" ca="1" si="136"/>
        <v>-2.2383600927112726</v>
      </c>
      <c r="G1236" s="15">
        <f t="shared" ca="1" si="134"/>
        <v>1.2034278958753326</v>
      </c>
      <c r="H1236" s="15">
        <f t="shared" ca="1" si="135"/>
        <v>1.6257628878205605E-2</v>
      </c>
      <c r="J1236" s="17">
        <f t="shared" ca="1" si="138"/>
        <v>0</v>
      </c>
      <c r="K1236" s="24">
        <f t="shared" ca="1" si="139"/>
        <v>-1</v>
      </c>
      <c r="L1236" s="17">
        <f t="shared" ca="1" si="140"/>
        <v>-1</v>
      </c>
      <c r="N1236" s="24" t="str">
        <f ca="1">IF(AND(L1236=1,L1235&lt;&gt;1),MAX($N$8:N1235)+1,"")</f>
        <v/>
      </c>
      <c r="O1236" s="24" t="str">
        <f ca="1">IF(AND(L1236&lt;&gt;1,L1235=1),MAX($O$8:O1235)+1,"")</f>
        <v/>
      </c>
      <c r="P1236" s="17" t="str">
        <f ca="1">IF(AND(L1236=-1,L1235&lt;&gt;-1),MAX($P$8:P1235)+1,"")</f>
        <v/>
      </c>
      <c r="Q1236" s="24" t="str">
        <f ca="1">IF(AND(L1236&lt;&gt;-1,L1235=-1),MAX($Q$8:Q1235)+1,"")</f>
        <v/>
      </c>
    </row>
    <row r="1237" spans="1:17" x14ac:dyDescent="0.3">
      <c r="A1237" s="3">
        <v>42002</v>
      </c>
      <c r="B1237" s="9">
        <v>14.009192000000001</v>
      </c>
      <c r="C1237" s="9">
        <v>12.051474000000001</v>
      </c>
      <c r="E1237" s="14">
        <f t="shared" si="137"/>
        <v>1.1624463530353217</v>
      </c>
      <c r="F1237" s="18">
        <f t="shared" ca="1" si="136"/>
        <v>-2.1944307061373505</v>
      </c>
      <c r="G1237" s="15">
        <f t="shared" ca="1" si="134"/>
        <v>1.2022486172674929</v>
      </c>
      <c r="H1237" s="15">
        <f t="shared" ca="1" si="135"/>
        <v>1.8137854214695767E-2</v>
      </c>
      <c r="J1237" s="17">
        <f t="shared" ca="1" si="138"/>
        <v>0</v>
      </c>
      <c r="K1237" s="24">
        <f t="shared" ca="1" si="139"/>
        <v>-1</v>
      </c>
      <c r="L1237" s="17">
        <f t="shared" ca="1" si="140"/>
        <v>-1</v>
      </c>
      <c r="N1237" s="24" t="str">
        <f ca="1">IF(AND(L1237=1,L1236&lt;&gt;1),MAX($N$8:N1236)+1,"")</f>
        <v/>
      </c>
      <c r="O1237" s="24" t="str">
        <f ca="1">IF(AND(L1237&lt;&gt;1,L1236=1),MAX($O$8:O1236)+1,"")</f>
        <v/>
      </c>
      <c r="P1237" s="17" t="str">
        <f ca="1">IF(AND(L1237=-1,L1236&lt;&gt;-1),MAX($P$8:P1236)+1,"")</f>
        <v/>
      </c>
      <c r="Q1237" s="24" t="str">
        <f ca="1">IF(AND(L1237&lt;&gt;-1,L1236=-1),MAX($Q$8:Q1236)+1,"")</f>
        <v/>
      </c>
    </row>
    <row r="1238" spans="1:17" x14ac:dyDescent="0.3">
      <c r="A1238" s="3">
        <v>42003</v>
      </c>
      <c r="B1238" s="9">
        <v>13.928678</v>
      </c>
      <c r="C1238" s="9">
        <v>11.969566</v>
      </c>
      <c r="E1238" s="14">
        <f t="shared" si="137"/>
        <v>1.1636744389896843</v>
      </c>
      <c r="F1238" s="18">
        <f t="shared" ca="1" si="136"/>
        <v>-1.8932715810594354</v>
      </c>
      <c r="G1238" s="15">
        <f t="shared" ca="1" si="134"/>
        <v>1.2010189670933635</v>
      </c>
      <c r="H1238" s="15">
        <f t="shared" ca="1" si="135"/>
        <v>1.9724865929050737E-2</v>
      </c>
      <c r="J1238" s="17">
        <f t="shared" ca="1" si="138"/>
        <v>0</v>
      </c>
      <c r="K1238" s="24">
        <f t="shared" ca="1" si="139"/>
        <v>-1</v>
      </c>
      <c r="L1238" s="17">
        <f t="shared" ca="1" si="140"/>
        <v>-1</v>
      </c>
      <c r="N1238" s="24" t="str">
        <f ca="1">IF(AND(L1238=1,L1237&lt;&gt;1),MAX($N$8:N1237)+1,"")</f>
        <v/>
      </c>
      <c r="O1238" s="24" t="str">
        <f ca="1">IF(AND(L1238&lt;&gt;1,L1237=1),MAX($O$8:O1237)+1,"")</f>
        <v/>
      </c>
      <c r="P1238" s="17" t="str">
        <f ca="1">IF(AND(L1238=-1,L1237&lt;&gt;-1),MAX($P$8:P1237)+1,"")</f>
        <v/>
      </c>
      <c r="Q1238" s="24" t="str">
        <f ca="1">IF(AND(L1238&lt;&gt;-1,L1237=-1),MAX($Q$8:Q1237)+1,"")</f>
        <v/>
      </c>
    </row>
    <row r="1239" spans="1:17" x14ac:dyDescent="0.3">
      <c r="A1239" s="3">
        <v>42006</v>
      </c>
      <c r="B1239" s="9">
        <v>13.629384999999999</v>
      </c>
      <c r="C1239" s="9">
        <v>11.710079</v>
      </c>
      <c r="E1239" s="14">
        <f t="shared" si="137"/>
        <v>1.1639020539485685</v>
      </c>
      <c r="F1239" s="18">
        <f t="shared" ca="1" si="136"/>
        <v>-1.6850162308325842</v>
      </c>
      <c r="G1239" s="15">
        <f t="shared" ca="1" si="134"/>
        <v>1.1995782632255341</v>
      </c>
      <c r="H1239" s="15">
        <f t="shared" ca="1" si="135"/>
        <v>2.117262055056739E-2</v>
      </c>
      <c r="J1239" s="17">
        <f t="shared" ca="1" si="138"/>
        <v>0</v>
      </c>
      <c r="K1239" s="24">
        <f t="shared" ca="1" si="139"/>
        <v>-1</v>
      </c>
      <c r="L1239" s="17">
        <f t="shared" ca="1" si="140"/>
        <v>-1</v>
      </c>
      <c r="N1239" s="24" t="str">
        <f ca="1">IF(AND(L1239=1,L1238&lt;&gt;1),MAX($N$8:N1238)+1,"")</f>
        <v/>
      </c>
      <c r="O1239" s="24" t="str">
        <f ca="1">IF(AND(L1239&lt;&gt;1,L1238=1),MAX($O$8:O1238)+1,"")</f>
        <v/>
      </c>
      <c r="P1239" s="17" t="str">
        <f ca="1">IF(AND(L1239=-1,L1238&lt;&gt;-1),MAX($P$8:P1238)+1,"")</f>
        <v/>
      </c>
      <c r="Q1239" s="24" t="str">
        <f ca="1">IF(AND(L1239&lt;&gt;-1,L1238=-1),MAX($Q$8:Q1238)+1,"")</f>
        <v/>
      </c>
    </row>
    <row r="1240" spans="1:17" x14ac:dyDescent="0.3">
      <c r="A1240" s="3">
        <v>42009</v>
      </c>
      <c r="B1240" s="9">
        <v>13.697903999999999</v>
      </c>
      <c r="C1240" s="9">
        <v>11.742084</v>
      </c>
      <c r="E1240" s="14">
        <f t="shared" si="137"/>
        <v>1.1665649811396341</v>
      </c>
      <c r="F1240" s="18">
        <f t="shared" ca="1" si="136"/>
        <v>-1.4193371528541883</v>
      </c>
      <c r="G1240" s="15">
        <f t="shared" ca="1" si="134"/>
        <v>1.1981641389681372</v>
      </c>
      <c r="H1240" s="15">
        <f t="shared" ca="1" si="135"/>
        <v>2.2263320427397662E-2</v>
      </c>
      <c r="J1240" s="17">
        <f t="shared" ca="1" si="138"/>
        <v>0</v>
      </c>
      <c r="K1240" s="24">
        <f t="shared" ca="1" si="139"/>
        <v>-1</v>
      </c>
      <c r="L1240" s="17">
        <f t="shared" ca="1" si="140"/>
        <v>-1</v>
      </c>
      <c r="N1240" s="24" t="str">
        <f ca="1">IF(AND(L1240=1,L1239&lt;&gt;1),MAX($N$8:N1239)+1,"")</f>
        <v/>
      </c>
      <c r="O1240" s="24" t="str">
        <f ca="1">IF(AND(L1240&lt;&gt;1,L1239=1),MAX($O$8:O1239)+1,"")</f>
        <v/>
      </c>
      <c r="P1240" s="17" t="str">
        <f ca="1">IF(AND(L1240=-1,L1239&lt;&gt;-1),MAX($P$8:P1239)+1,"")</f>
        <v/>
      </c>
      <c r="Q1240" s="24" t="str">
        <f ca="1">IF(AND(L1240&lt;&gt;-1,L1239=-1),MAX($Q$8:Q1239)+1,"")</f>
        <v/>
      </c>
    </row>
    <row r="1241" spans="1:17" x14ac:dyDescent="0.3">
      <c r="A1241" s="3">
        <v>42010</v>
      </c>
      <c r="B1241" s="9">
        <v>13.919464</v>
      </c>
      <c r="C1241" s="9">
        <v>12.128375</v>
      </c>
      <c r="E1241" s="14">
        <f t="shared" si="137"/>
        <v>1.1476775742834469</v>
      </c>
      <c r="F1241" s="18">
        <f t="shared" ca="1" si="136"/>
        <v>-1.9509585931703946</v>
      </c>
      <c r="G1241" s="15">
        <f t="shared" ca="1" si="134"/>
        <v>1.195597182835334</v>
      </c>
      <c r="H1241" s="15">
        <f t="shared" ca="1" si="135"/>
        <v>2.4562083849260816E-2</v>
      </c>
      <c r="J1241" s="17">
        <f t="shared" ca="1" si="138"/>
        <v>0</v>
      </c>
      <c r="K1241" s="24">
        <f t="shared" ca="1" si="139"/>
        <v>-1</v>
      </c>
      <c r="L1241" s="17">
        <f t="shared" ca="1" si="140"/>
        <v>-1</v>
      </c>
      <c r="N1241" s="24" t="str">
        <f ca="1">IF(AND(L1241=1,L1240&lt;&gt;1),MAX($N$8:N1240)+1,"")</f>
        <v/>
      </c>
      <c r="O1241" s="24" t="str">
        <f ca="1">IF(AND(L1241&lt;&gt;1,L1240=1),MAX($O$8:O1240)+1,"")</f>
        <v/>
      </c>
      <c r="P1241" s="17" t="str">
        <f ca="1">IF(AND(L1241=-1,L1240&lt;&gt;-1),MAX($P$8:P1240)+1,"")</f>
        <v/>
      </c>
      <c r="Q1241" s="24" t="str">
        <f ca="1">IF(AND(L1241&lt;&gt;-1,L1240=-1),MAX($Q$8:Q1240)+1,"")</f>
        <v/>
      </c>
    </row>
    <row r="1242" spans="1:17" x14ac:dyDescent="0.3">
      <c r="A1242" s="3">
        <v>42011</v>
      </c>
      <c r="B1242" s="9">
        <v>14.423063000000001</v>
      </c>
      <c r="C1242" s="9">
        <v>12.610376</v>
      </c>
      <c r="E1242" s="14">
        <f t="shared" si="137"/>
        <v>1.143745674197185</v>
      </c>
      <c r="F1242" s="18">
        <f t="shared" ca="1" si="136"/>
        <v>-1.8370717123980729</v>
      </c>
      <c r="G1242" s="15">
        <f t="shared" ca="1" si="134"/>
        <v>1.1925548988898262</v>
      </c>
      <c r="H1242" s="15">
        <f t="shared" ca="1" si="135"/>
        <v>2.6569036125936956E-2</v>
      </c>
      <c r="J1242" s="17">
        <f t="shared" ca="1" si="138"/>
        <v>0</v>
      </c>
      <c r="K1242" s="24">
        <f t="shared" ca="1" si="139"/>
        <v>-1</v>
      </c>
      <c r="L1242" s="17">
        <f t="shared" ca="1" si="140"/>
        <v>-1</v>
      </c>
      <c r="N1242" s="24" t="str">
        <f ca="1">IF(AND(L1242=1,L1241&lt;&gt;1),MAX($N$8:N1241)+1,"")</f>
        <v/>
      </c>
      <c r="O1242" s="24" t="str">
        <f ca="1">IF(AND(L1242&lt;&gt;1,L1241=1),MAX($O$8:O1241)+1,"")</f>
        <v/>
      </c>
      <c r="P1242" s="17" t="str">
        <f ca="1">IF(AND(L1242=-1,L1241&lt;&gt;-1),MAX($P$8:P1241)+1,"")</f>
        <v/>
      </c>
      <c r="Q1242" s="24" t="str">
        <f ca="1">IF(AND(L1242&lt;&gt;-1,L1241=-1),MAX($Q$8:Q1241)+1,"")</f>
        <v/>
      </c>
    </row>
    <row r="1243" spans="1:17" x14ac:dyDescent="0.3">
      <c r="A1243" s="3">
        <v>42012</v>
      </c>
      <c r="B1243" s="9">
        <v>14.648716</v>
      </c>
      <c r="C1243" s="9">
        <v>12.675312999999999</v>
      </c>
      <c r="E1243" s="14">
        <f t="shared" si="137"/>
        <v>1.1556886997583413</v>
      </c>
      <c r="F1243" s="18">
        <f t="shared" ca="1" si="136"/>
        <v>-1.2584749059937901</v>
      </c>
      <c r="G1243" s="15">
        <f t="shared" ca="1" si="134"/>
        <v>1.1901967735575938</v>
      </c>
      <c r="H1243" s="15">
        <f t="shared" ca="1" si="135"/>
        <v>2.7420549774095179E-2</v>
      </c>
      <c r="J1243" s="17">
        <f t="shared" ca="1" si="138"/>
        <v>0</v>
      </c>
      <c r="K1243" s="24">
        <f t="shared" ca="1" si="139"/>
        <v>-1</v>
      </c>
      <c r="L1243" s="17">
        <f t="shared" ca="1" si="140"/>
        <v>-1</v>
      </c>
      <c r="N1243" s="24" t="str">
        <f ca="1">IF(AND(L1243=1,L1242&lt;&gt;1),MAX($N$8:N1242)+1,"")</f>
        <v/>
      </c>
      <c r="O1243" s="24" t="str">
        <f ca="1">IF(AND(L1243&lt;&gt;1,L1242=1),MAX($O$8:O1242)+1,"")</f>
        <v/>
      </c>
      <c r="P1243" s="17" t="str">
        <f ca="1">IF(AND(L1243=-1,L1242&lt;&gt;-1),MAX($P$8:P1242)+1,"")</f>
        <v/>
      </c>
      <c r="Q1243" s="24" t="str">
        <f ca="1">IF(AND(L1243&lt;&gt;-1,L1242=-1),MAX($Q$8:Q1242)+1,"")</f>
        <v/>
      </c>
    </row>
    <row r="1244" spans="1:17" x14ac:dyDescent="0.3">
      <c r="A1244" s="3">
        <v>42013</v>
      </c>
      <c r="B1244" s="9">
        <v>14.008093000000001</v>
      </c>
      <c r="C1244" s="9">
        <v>12.124917</v>
      </c>
      <c r="E1244" s="14">
        <f t="shared" si="137"/>
        <v>1.1553145477202029</v>
      </c>
      <c r="F1244" s="18">
        <f t="shared" ca="1" si="136"/>
        <v>-1.1580313814730596</v>
      </c>
      <c r="G1244" s="15">
        <f t="shared" ca="1" si="134"/>
        <v>1.1874597635144879</v>
      </c>
      <c r="H1244" s="15">
        <f t="shared" ca="1" si="135"/>
        <v>2.7758501460811061E-2</v>
      </c>
      <c r="J1244" s="17">
        <f t="shared" ca="1" si="138"/>
        <v>0</v>
      </c>
      <c r="K1244" s="24">
        <f t="shared" ca="1" si="139"/>
        <v>-1</v>
      </c>
      <c r="L1244" s="17">
        <f t="shared" ca="1" si="140"/>
        <v>-1</v>
      </c>
      <c r="N1244" s="24" t="str">
        <f ca="1">IF(AND(L1244=1,L1243&lt;&gt;1),MAX($N$8:N1243)+1,"")</f>
        <v/>
      </c>
      <c r="O1244" s="24" t="str">
        <f ca="1">IF(AND(L1244&lt;&gt;1,L1243=1),MAX($O$8:O1243)+1,"")</f>
        <v/>
      </c>
      <c r="P1244" s="17" t="str">
        <f ca="1">IF(AND(L1244=-1,L1243&lt;&gt;-1),MAX($P$8:P1243)+1,"")</f>
        <v/>
      </c>
      <c r="Q1244" s="24" t="str">
        <f ca="1">IF(AND(L1244&lt;&gt;-1,L1243=-1),MAX($Q$8:Q1243)+1,"")</f>
        <v/>
      </c>
    </row>
    <row r="1245" spans="1:17" x14ac:dyDescent="0.3">
      <c r="A1245" s="3">
        <v>42016</v>
      </c>
      <c r="B1245" s="9">
        <v>13.669681000000001</v>
      </c>
      <c r="C1245" s="9">
        <v>11.909573999999999</v>
      </c>
      <c r="E1245" s="14">
        <f t="shared" si="137"/>
        <v>1.147789249220837</v>
      </c>
      <c r="F1245" s="18">
        <f t="shared" ca="1" si="136"/>
        <v>-1.2943190261228741</v>
      </c>
      <c r="G1245" s="15">
        <f t="shared" ca="1" si="134"/>
        <v>1.1845489059538556</v>
      </c>
      <c r="H1245" s="15">
        <f t="shared" ca="1" si="135"/>
        <v>2.840076981880733E-2</v>
      </c>
      <c r="J1245" s="17">
        <f t="shared" ca="1" si="138"/>
        <v>0</v>
      </c>
      <c r="K1245" s="24">
        <f t="shared" ca="1" si="139"/>
        <v>-1</v>
      </c>
      <c r="L1245" s="17">
        <f t="shared" ca="1" si="140"/>
        <v>-1</v>
      </c>
      <c r="N1245" s="24" t="str">
        <f ca="1">IF(AND(L1245=1,L1244&lt;&gt;1),MAX($N$8:N1244)+1,"")</f>
        <v/>
      </c>
      <c r="O1245" s="24" t="str">
        <f ca="1">IF(AND(L1245&lt;&gt;1,L1244=1),MAX($O$8:O1244)+1,"")</f>
        <v/>
      </c>
      <c r="P1245" s="17" t="str">
        <f ca="1">IF(AND(L1245=-1,L1244&lt;&gt;-1),MAX($P$8:P1244)+1,"")</f>
        <v/>
      </c>
      <c r="Q1245" s="24" t="str">
        <f ca="1">IF(AND(L1245&lt;&gt;-1,L1244=-1),MAX($Q$8:Q1244)+1,"")</f>
        <v/>
      </c>
    </row>
    <row r="1246" spans="1:17" x14ac:dyDescent="0.3">
      <c r="A1246" s="3">
        <v>42017</v>
      </c>
      <c r="B1246" s="9">
        <v>13.653589999999999</v>
      </c>
      <c r="C1246" s="9">
        <v>11.947190000000001</v>
      </c>
      <c r="E1246" s="14">
        <f t="shared" si="137"/>
        <v>1.1428285647085212</v>
      </c>
      <c r="F1246" s="18">
        <f t="shared" ca="1" si="136"/>
        <v>-1.3516131252949555</v>
      </c>
      <c r="G1246" s="15">
        <f t="shared" ca="1" si="134"/>
        <v>1.1806632808214532</v>
      </c>
      <c r="H1246" s="15">
        <f t="shared" ca="1" si="135"/>
        <v>2.7992267465348501E-2</v>
      </c>
      <c r="J1246" s="17">
        <f t="shared" ca="1" si="138"/>
        <v>0</v>
      </c>
      <c r="K1246" s="24">
        <f t="shared" ca="1" si="139"/>
        <v>-1</v>
      </c>
      <c r="L1246" s="17">
        <f t="shared" ca="1" si="140"/>
        <v>-1</v>
      </c>
      <c r="N1246" s="24" t="str">
        <f ca="1">IF(AND(L1246=1,L1245&lt;&gt;1),MAX($N$8:N1245)+1,"")</f>
        <v/>
      </c>
      <c r="O1246" s="24" t="str">
        <f ca="1">IF(AND(L1246&lt;&gt;1,L1245=1),MAX($O$8:O1245)+1,"")</f>
        <v/>
      </c>
      <c r="P1246" s="17" t="str">
        <f ca="1">IF(AND(L1246=-1,L1245&lt;&gt;-1),MAX($P$8:P1245)+1,"")</f>
        <v/>
      </c>
      <c r="Q1246" s="24" t="str">
        <f ca="1">IF(AND(L1246&lt;&gt;-1,L1245=-1),MAX($Q$8:Q1245)+1,"")</f>
        <v/>
      </c>
    </row>
    <row r="1247" spans="1:17" x14ac:dyDescent="0.3">
      <c r="A1247" s="3">
        <v>42018</v>
      </c>
      <c r="B1247" s="9">
        <v>13.746235</v>
      </c>
      <c r="C1247" s="9">
        <v>12.073670999999999</v>
      </c>
      <c r="E1247" s="14">
        <f t="shared" si="137"/>
        <v>1.1385298638665904</v>
      </c>
      <c r="F1247" s="18">
        <f t="shared" ca="1" si="136"/>
        <v>-1.3590766544772075</v>
      </c>
      <c r="G1247" s="15">
        <f t="shared" ref="G1247:G1310" ca="1" si="141">IF(ISNUMBER(E1247),IF(ROW(E1247)&gt;$J$1,AVERAGE(OFFSET(E1247,0,0,-$J$1)),""),"")</f>
        <v>1.1776408900121784</v>
      </c>
      <c r="H1247" s="15">
        <f t="shared" ref="H1247:H1310" ca="1" si="142">IF(ISNUMBER(E1247),IF(ROW(E1247)&gt;$J$1,_xlfn.STDEV.P(OFFSET(E1247,0,0,-$J$1)),""),"")</f>
        <v>2.8777645482132699E-2</v>
      </c>
      <c r="J1247" s="17">
        <f t="shared" ca="1" si="138"/>
        <v>0</v>
      </c>
      <c r="K1247" s="24">
        <f t="shared" ca="1" si="139"/>
        <v>-1</v>
      </c>
      <c r="L1247" s="17">
        <f t="shared" ca="1" si="140"/>
        <v>-1</v>
      </c>
      <c r="N1247" s="24" t="str">
        <f ca="1">IF(AND(L1247=1,L1246&lt;&gt;1),MAX($N$8:N1246)+1,"")</f>
        <v/>
      </c>
      <c r="O1247" s="24" t="str">
        <f ca="1">IF(AND(L1247&lt;&gt;1,L1246=1),MAX($O$8:O1246)+1,"")</f>
        <v/>
      </c>
      <c r="P1247" s="17" t="str">
        <f ca="1">IF(AND(L1247=-1,L1246&lt;&gt;-1),MAX($P$8:P1246)+1,"")</f>
        <v/>
      </c>
      <c r="Q1247" s="24" t="str">
        <f ca="1">IF(AND(L1247&lt;&gt;-1,L1246=-1),MAX($Q$8:Q1246)+1,"")</f>
        <v/>
      </c>
    </row>
    <row r="1248" spans="1:17" x14ac:dyDescent="0.3">
      <c r="A1248" s="3">
        <v>42019</v>
      </c>
      <c r="B1248" s="9">
        <v>13.625368</v>
      </c>
      <c r="C1248" s="9">
        <v>11.950646000000001</v>
      </c>
      <c r="E1248" s="14">
        <f t="shared" si="137"/>
        <v>1.1401365248372346</v>
      </c>
      <c r="F1248" s="18">
        <f t="shared" ca="1" si="136"/>
        <v>-1.2036182163217271</v>
      </c>
      <c r="G1248" s="15">
        <f t="shared" ca="1" si="141"/>
        <v>1.1739002107066461</v>
      </c>
      <c r="H1248" s="15">
        <f t="shared" ca="1" si="142"/>
        <v>2.8051823586214688E-2</v>
      </c>
      <c r="J1248" s="17">
        <f t="shared" ca="1" si="138"/>
        <v>0</v>
      </c>
      <c r="K1248" s="24">
        <f t="shared" ca="1" si="139"/>
        <v>-1</v>
      </c>
      <c r="L1248" s="17">
        <f t="shared" ca="1" si="140"/>
        <v>-1</v>
      </c>
      <c r="N1248" s="24" t="str">
        <f ca="1">IF(AND(L1248=1,L1247&lt;&gt;1),MAX($N$8:N1247)+1,"")</f>
        <v/>
      </c>
      <c r="O1248" s="24" t="str">
        <f ca="1">IF(AND(L1248&lt;&gt;1,L1247=1),MAX($O$8:O1247)+1,"")</f>
        <v/>
      </c>
      <c r="P1248" s="17" t="str">
        <f ca="1">IF(AND(L1248=-1,L1247&lt;&gt;-1),MAX($P$8:P1247)+1,"")</f>
        <v/>
      </c>
      <c r="Q1248" s="24" t="str">
        <f ca="1">IF(AND(L1248&lt;&gt;-1,L1247=-1),MAX($Q$8:Q1247)+1,"")</f>
        <v/>
      </c>
    </row>
    <row r="1249" spans="1:17" x14ac:dyDescent="0.3">
      <c r="A1249" s="3">
        <v>42020</v>
      </c>
      <c r="B1249" s="9">
        <v>13.834861</v>
      </c>
      <c r="C1249" s="9">
        <v>12.066822999999999</v>
      </c>
      <c r="E1249" s="14">
        <f t="shared" si="137"/>
        <v>1.1465205878962508</v>
      </c>
      <c r="F1249" s="18">
        <f t="shared" ca="1" si="136"/>
        <v>-0.89139511390274428</v>
      </c>
      <c r="G1249" s="15">
        <f t="shared" ca="1" si="141"/>
        <v>1.1711387364914234</v>
      </c>
      <c r="H1249" s="15">
        <f t="shared" ca="1" si="142"/>
        <v>2.7617549402294127E-2</v>
      </c>
      <c r="J1249" s="17">
        <f t="shared" ca="1" si="138"/>
        <v>0</v>
      </c>
      <c r="K1249" s="24">
        <f t="shared" ca="1" si="139"/>
        <v>-1</v>
      </c>
      <c r="L1249" s="17">
        <f t="shared" ca="1" si="140"/>
        <v>-1</v>
      </c>
      <c r="N1249" s="24" t="str">
        <f ca="1">IF(AND(L1249=1,L1248&lt;&gt;1),MAX($N$8:N1248)+1,"")</f>
        <v/>
      </c>
      <c r="O1249" s="24" t="str">
        <f ca="1">IF(AND(L1249&lt;&gt;1,L1248=1),MAX($O$8:O1248)+1,"")</f>
        <v/>
      </c>
      <c r="P1249" s="17" t="str">
        <f ca="1">IF(AND(L1249=-1,L1248&lt;&gt;-1),MAX($P$8:P1248)+1,"")</f>
        <v/>
      </c>
      <c r="Q1249" s="24" t="str">
        <f ca="1">IF(AND(L1249&lt;&gt;-1,L1248=-1),MAX($Q$8:Q1248)+1,"")</f>
        <v/>
      </c>
    </row>
    <row r="1250" spans="1:17" x14ac:dyDescent="0.3">
      <c r="A1250" s="3">
        <v>42023</v>
      </c>
      <c r="B1250" s="9">
        <v>13.335288</v>
      </c>
      <c r="C1250" s="9">
        <v>11.813857</v>
      </c>
      <c r="E1250" s="14">
        <f t="shared" si="137"/>
        <v>1.1287835970928037</v>
      </c>
      <c r="F1250" s="18">
        <f t="shared" ca="1" si="136"/>
        <v>-1.4092010998726427</v>
      </c>
      <c r="G1250" s="15">
        <f t="shared" ca="1" si="141"/>
        <v>1.1672640066062792</v>
      </c>
      <c r="H1250" s="15">
        <f t="shared" ca="1" si="142"/>
        <v>2.7306542350096878E-2</v>
      </c>
      <c r="J1250" s="17">
        <f t="shared" ca="1" si="138"/>
        <v>0</v>
      </c>
      <c r="K1250" s="24">
        <f t="shared" ca="1" si="139"/>
        <v>-1</v>
      </c>
      <c r="L1250" s="17">
        <f t="shared" ca="1" si="140"/>
        <v>-1</v>
      </c>
      <c r="N1250" s="24" t="str">
        <f ca="1">IF(AND(L1250=1,L1249&lt;&gt;1),MAX($N$8:N1249)+1,"")</f>
        <v/>
      </c>
      <c r="O1250" s="24" t="str">
        <f ca="1">IF(AND(L1250&lt;&gt;1,L1249=1),MAX($O$8:O1249)+1,"")</f>
        <v/>
      </c>
      <c r="P1250" s="17" t="str">
        <f ca="1">IF(AND(L1250=-1,L1249&lt;&gt;-1),MAX($P$8:P1249)+1,"")</f>
        <v/>
      </c>
      <c r="Q1250" s="24" t="str">
        <f ca="1">IF(AND(L1250&lt;&gt;-1,L1249=-1),MAX($Q$8:Q1249)+1,"")</f>
        <v/>
      </c>
    </row>
    <row r="1251" spans="1:17" x14ac:dyDescent="0.3">
      <c r="A1251" s="3">
        <v>42024</v>
      </c>
      <c r="B1251" s="9">
        <v>13.379599000000001</v>
      </c>
      <c r="C1251" s="9">
        <v>11.776308</v>
      </c>
      <c r="E1251" s="14">
        <f t="shared" si="137"/>
        <v>1.1361454710593508</v>
      </c>
      <c r="F1251" s="18">
        <f t="shared" ca="1" si="136"/>
        <v>-1.0788228549505616</v>
      </c>
      <c r="G1251" s="15">
        <f t="shared" ca="1" si="141"/>
        <v>1.1633359086264439</v>
      </c>
      <c r="H1251" s="15">
        <f t="shared" ca="1" si="142"/>
        <v>2.5203801942385702E-2</v>
      </c>
      <c r="J1251" s="17">
        <f t="shared" ca="1" si="138"/>
        <v>0</v>
      </c>
      <c r="K1251" s="24">
        <f t="shared" ca="1" si="139"/>
        <v>-1</v>
      </c>
      <c r="L1251" s="17">
        <f t="shared" ca="1" si="140"/>
        <v>-1</v>
      </c>
      <c r="N1251" s="24" t="str">
        <f ca="1">IF(AND(L1251=1,L1250&lt;&gt;1),MAX($N$8:N1250)+1,"")</f>
        <v/>
      </c>
      <c r="O1251" s="24" t="str">
        <f ca="1">IF(AND(L1251&lt;&gt;1,L1250=1),MAX($O$8:O1250)+1,"")</f>
        <v/>
      </c>
      <c r="P1251" s="17" t="str">
        <f ca="1">IF(AND(L1251=-1,L1250&lt;&gt;-1),MAX($P$8:P1250)+1,"")</f>
        <v/>
      </c>
      <c r="Q1251" s="24" t="str">
        <f ca="1">IF(AND(L1251&lt;&gt;-1,L1250=-1),MAX($Q$8:Q1250)+1,"")</f>
        <v/>
      </c>
    </row>
    <row r="1252" spans="1:17" x14ac:dyDescent="0.3">
      <c r="A1252" s="3">
        <v>42025</v>
      </c>
      <c r="B1252" s="9">
        <v>13.774462</v>
      </c>
      <c r="C1252" s="9">
        <v>12.063437</v>
      </c>
      <c r="E1252" s="14">
        <f t="shared" si="137"/>
        <v>1.1418356145101931</v>
      </c>
      <c r="F1252" s="18">
        <f t="shared" ca="1" si="136"/>
        <v>-0.78690677524134811</v>
      </c>
      <c r="G1252" s="15">
        <f t="shared" ca="1" si="141"/>
        <v>1.1602177966133598</v>
      </c>
      <c r="H1252" s="15">
        <f t="shared" ca="1" si="142"/>
        <v>2.3360050620391166E-2</v>
      </c>
      <c r="J1252" s="17">
        <f t="shared" ca="1" si="138"/>
        <v>0</v>
      </c>
      <c r="K1252" s="24">
        <f t="shared" ca="1" si="139"/>
        <v>-1</v>
      </c>
      <c r="L1252" s="17">
        <f t="shared" ca="1" si="140"/>
        <v>-1</v>
      </c>
      <c r="N1252" s="24" t="str">
        <f ca="1">IF(AND(L1252=1,L1251&lt;&gt;1),MAX($N$8:N1251)+1,"")</f>
        <v/>
      </c>
      <c r="O1252" s="24" t="str">
        <f ca="1">IF(AND(L1252&lt;&gt;1,L1251=1),MAX($O$8:O1251)+1,"")</f>
        <v/>
      </c>
      <c r="P1252" s="17" t="str">
        <f ca="1">IF(AND(L1252=-1,L1251&lt;&gt;-1),MAX($P$8:P1251)+1,"")</f>
        <v/>
      </c>
      <c r="Q1252" s="24" t="str">
        <f ca="1">IF(AND(L1252&lt;&gt;-1,L1251=-1),MAX($Q$8:Q1251)+1,"")</f>
        <v/>
      </c>
    </row>
    <row r="1253" spans="1:17" x14ac:dyDescent="0.3">
      <c r="A1253" s="3">
        <v>42026</v>
      </c>
      <c r="B1253" s="9">
        <v>13.842904000000001</v>
      </c>
      <c r="C1253" s="9">
        <v>12.196762</v>
      </c>
      <c r="E1253" s="14">
        <f t="shared" si="137"/>
        <v>1.134965493300599</v>
      </c>
      <c r="F1253" s="18">
        <f t="shared" ca="1" si="136"/>
        <v>-1.0370645536875864</v>
      </c>
      <c r="G1253" s="15">
        <f t="shared" ca="1" si="141"/>
        <v>1.156706950249063</v>
      </c>
      <c r="H1253" s="15">
        <f t="shared" ca="1" si="142"/>
        <v>2.096442007506269E-2</v>
      </c>
      <c r="J1253" s="17">
        <f t="shared" ca="1" si="138"/>
        <v>0</v>
      </c>
      <c r="K1253" s="24">
        <f t="shared" ca="1" si="139"/>
        <v>-1</v>
      </c>
      <c r="L1253" s="17">
        <f t="shared" ca="1" si="140"/>
        <v>-1</v>
      </c>
      <c r="N1253" s="24" t="str">
        <f ca="1">IF(AND(L1253=1,L1252&lt;&gt;1),MAX($N$8:N1252)+1,"")</f>
        <v/>
      </c>
      <c r="O1253" s="24" t="str">
        <f ca="1">IF(AND(L1253&lt;&gt;1,L1252=1),MAX($O$8:O1252)+1,"")</f>
        <v/>
      </c>
      <c r="P1253" s="17" t="str">
        <f ca="1">IF(AND(L1253=-1,L1252&lt;&gt;-1),MAX($P$8:P1252)+1,"")</f>
        <v/>
      </c>
      <c r="Q1253" s="24" t="str">
        <f ca="1">IF(AND(L1253&lt;&gt;-1,L1252=-1),MAX($Q$8:Q1252)+1,"")</f>
        <v/>
      </c>
    </row>
    <row r="1254" spans="1:17" x14ac:dyDescent="0.3">
      <c r="A1254" s="3">
        <v>42027</v>
      </c>
      <c r="B1254" s="9">
        <v>13.709968999999999</v>
      </c>
      <c r="C1254" s="9">
        <v>12.090752</v>
      </c>
      <c r="E1254" s="14">
        <f t="shared" si="137"/>
        <v>1.1339219429858456</v>
      </c>
      <c r="F1254" s="18">
        <f t="shared" ca="1" si="136"/>
        <v>-1.0791329896223729</v>
      </c>
      <c r="G1254" s="15">
        <f t="shared" ca="1" si="141"/>
        <v>1.1532328375121763</v>
      </c>
      <c r="H1254" s="15">
        <f t="shared" ca="1" si="142"/>
        <v>1.7894823633450678E-2</v>
      </c>
      <c r="J1254" s="17">
        <f t="shared" ca="1" si="138"/>
        <v>0</v>
      </c>
      <c r="K1254" s="24">
        <f t="shared" ca="1" si="139"/>
        <v>-1</v>
      </c>
      <c r="L1254" s="17">
        <f t="shared" ca="1" si="140"/>
        <v>-1</v>
      </c>
      <c r="N1254" s="24" t="str">
        <f ca="1">IF(AND(L1254=1,L1253&lt;&gt;1),MAX($N$8:N1253)+1,"")</f>
        <v/>
      </c>
      <c r="O1254" s="24" t="str">
        <f ca="1">IF(AND(L1254&lt;&gt;1,L1253=1),MAX($O$8:O1253)+1,"")</f>
        <v/>
      </c>
      <c r="P1254" s="17" t="str">
        <f ca="1">IF(AND(L1254=-1,L1253&lt;&gt;-1),MAX($P$8:P1253)+1,"")</f>
        <v/>
      </c>
      <c r="Q1254" s="24" t="str">
        <f ca="1">IF(AND(L1254&lt;&gt;-1,L1253=-1),MAX($Q$8:Q1253)+1,"")</f>
        <v/>
      </c>
    </row>
    <row r="1255" spans="1:17" x14ac:dyDescent="0.3">
      <c r="A1255" s="3">
        <v>42030</v>
      </c>
      <c r="B1255" s="9">
        <v>13.871130000000001</v>
      </c>
      <c r="C1255" s="9">
        <v>12.285634</v>
      </c>
      <c r="E1255" s="14">
        <f t="shared" si="137"/>
        <v>1.1290528433453253</v>
      </c>
      <c r="F1255" s="18">
        <f t="shared" ca="1" si="136"/>
        <v>-1.3453654949298455</v>
      </c>
      <c r="G1255" s="15">
        <f t="shared" ca="1" si="141"/>
        <v>1.1500828457591437</v>
      </c>
      <c r="H1255" s="15">
        <f t="shared" ca="1" si="142"/>
        <v>1.5631441785204234E-2</v>
      </c>
      <c r="J1255" s="17">
        <f t="shared" ca="1" si="138"/>
        <v>0</v>
      </c>
      <c r="K1255" s="24">
        <f t="shared" ca="1" si="139"/>
        <v>-1</v>
      </c>
      <c r="L1255" s="17">
        <f t="shared" ca="1" si="140"/>
        <v>-1</v>
      </c>
      <c r="N1255" s="24" t="str">
        <f ca="1">IF(AND(L1255=1,L1254&lt;&gt;1),MAX($N$8:N1254)+1,"")</f>
        <v/>
      </c>
      <c r="O1255" s="24" t="str">
        <f ca="1">IF(AND(L1255&lt;&gt;1,L1254=1),MAX($O$8:O1254)+1,"")</f>
        <v/>
      </c>
      <c r="P1255" s="17" t="str">
        <f ca="1">IF(AND(L1255=-1,L1254&lt;&gt;-1),MAX($P$8:P1254)+1,"")</f>
        <v/>
      </c>
      <c r="Q1255" s="24" t="str">
        <f ca="1">IF(AND(L1255&lt;&gt;-1,L1254=-1),MAX($Q$8:Q1254)+1,"")</f>
        <v/>
      </c>
    </row>
    <row r="1256" spans="1:17" x14ac:dyDescent="0.3">
      <c r="A1256" s="3">
        <v>42031</v>
      </c>
      <c r="B1256" s="9">
        <v>13.818773999999999</v>
      </c>
      <c r="C1256" s="9">
        <v>12.306096</v>
      </c>
      <c r="E1256" s="14">
        <f t="shared" si="137"/>
        <v>1.1229210303576374</v>
      </c>
      <c r="F1256" s="18">
        <f t="shared" ca="1" si="136"/>
        <v>-1.8340823765635597</v>
      </c>
      <c r="G1256" s="15">
        <f t="shared" ca="1" si="141"/>
        <v>1.1467369215314573</v>
      </c>
      <c r="H1256" s="15">
        <f t="shared" ca="1" si="142"/>
        <v>1.2985180752046041E-2</v>
      </c>
      <c r="J1256" s="17">
        <f t="shared" ca="1" si="138"/>
        <v>0</v>
      </c>
      <c r="K1256" s="24">
        <f t="shared" ca="1" si="139"/>
        <v>-1</v>
      </c>
      <c r="L1256" s="17">
        <f t="shared" ca="1" si="140"/>
        <v>-1</v>
      </c>
      <c r="N1256" s="24" t="str">
        <f ca="1">IF(AND(L1256=1,L1255&lt;&gt;1),MAX($N$8:N1255)+1,"")</f>
        <v/>
      </c>
      <c r="O1256" s="24" t="str">
        <f ca="1">IF(AND(L1256&lt;&gt;1,L1255=1),MAX($O$8:O1255)+1,"")</f>
        <v/>
      </c>
      <c r="P1256" s="17" t="str">
        <f ca="1">IF(AND(L1256=-1,L1255&lt;&gt;-1),MAX($P$8:P1255)+1,"")</f>
        <v/>
      </c>
      <c r="Q1256" s="24" t="str">
        <f ca="1">IF(AND(L1256&lt;&gt;-1,L1255=-1),MAX($Q$8:Q1255)+1,"")</f>
        <v/>
      </c>
    </row>
    <row r="1257" spans="1:17" x14ac:dyDescent="0.3">
      <c r="A1257" s="3">
        <v>42032</v>
      </c>
      <c r="B1257" s="9">
        <v>13.536738</v>
      </c>
      <c r="C1257" s="9">
        <v>12.049745</v>
      </c>
      <c r="E1257" s="14">
        <f t="shared" si="137"/>
        <v>1.1234045201786429</v>
      </c>
      <c r="F1257" s="18">
        <f t="shared" ca="1" si="136"/>
        <v>-1.6006508624850333</v>
      </c>
      <c r="G1257" s="15">
        <f t="shared" ca="1" si="141"/>
        <v>1.1451312315738391</v>
      </c>
      <c r="H1257" s="15">
        <f t="shared" ca="1" si="142"/>
        <v>1.3573673000410088E-2</v>
      </c>
      <c r="J1257" s="17">
        <f t="shared" ca="1" si="138"/>
        <v>0</v>
      </c>
      <c r="K1257" s="24">
        <f t="shared" ca="1" si="139"/>
        <v>-1</v>
      </c>
      <c r="L1257" s="17">
        <f t="shared" ca="1" si="140"/>
        <v>-1</v>
      </c>
      <c r="N1257" s="24" t="str">
        <f ca="1">IF(AND(L1257=1,L1256&lt;&gt;1),MAX($N$8:N1256)+1,"")</f>
        <v/>
      </c>
      <c r="O1257" s="24" t="str">
        <f ca="1">IF(AND(L1257&lt;&gt;1,L1256=1),MAX($O$8:O1256)+1,"")</f>
        <v/>
      </c>
      <c r="P1257" s="17" t="str">
        <f ca="1">IF(AND(L1257=-1,L1256&lt;&gt;-1),MAX($P$8:P1256)+1,"")</f>
        <v/>
      </c>
      <c r="Q1257" s="24" t="str">
        <f ca="1">IF(AND(L1257&lt;&gt;-1,L1256=-1),MAX($Q$8:Q1256)+1,"")</f>
        <v/>
      </c>
    </row>
    <row r="1258" spans="1:17" x14ac:dyDescent="0.3">
      <c r="A1258" s="3">
        <v>42033</v>
      </c>
      <c r="B1258" s="9">
        <v>13.444084999999999</v>
      </c>
      <c r="C1258" s="9">
        <v>11.885643</v>
      </c>
      <c r="E1258" s="14">
        <f t="shared" si="137"/>
        <v>1.1311197046722672</v>
      </c>
      <c r="F1258" s="18">
        <f t="shared" ca="1" si="136"/>
        <v>-0.95309764370071104</v>
      </c>
      <c r="G1258" s="15">
        <f t="shared" ca="1" si="141"/>
        <v>1.1434986059592946</v>
      </c>
      <c r="H1258" s="15">
        <f t="shared" ca="1" si="142"/>
        <v>1.298807249062368E-2</v>
      </c>
      <c r="J1258" s="17">
        <f t="shared" ca="1" si="138"/>
        <v>0</v>
      </c>
      <c r="K1258" s="24">
        <f t="shared" ca="1" si="139"/>
        <v>-1</v>
      </c>
      <c r="L1258" s="17">
        <f t="shared" ca="1" si="140"/>
        <v>-1</v>
      </c>
      <c r="N1258" s="24" t="str">
        <f ca="1">IF(AND(L1258=1,L1257&lt;&gt;1),MAX($N$8:N1257)+1,"")</f>
        <v/>
      </c>
      <c r="O1258" s="24" t="str">
        <f ca="1">IF(AND(L1258&lt;&gt;1,L1257=1),MAX($O$8:O1257)+1,"")</f>
        <v/>
      </c>
      <c r="P1258" s="17" t="str">
        <f ca="1">IF(AND(L1258=-1,L1257&lt;&gt;-1),MAX($P$8:P1257)+1,"")</f>
        <v/>
      </c>
      <c r="Q1258" s="24" t="str">
        <f ca="1">IF(AND(L1258&lt;&gt;-1,L1257=-1),MAX($Q$8:Q1257)+1,"")</f>
        <v/>
      </c>
    </row>
    <row r="1259" spans="1:17" x14ac:dyDescent="0.3">
      <c r="A1259" s="3">
        <v>42034</v>
      </c>
      <c r="B1259" s="9">
        <v>13.254706000000001</v>
      </c>
      <c r="C1259" s="9">
        <v>11.530125999999999</v>
      </c>
      <c r="E1259" s="14">
        <f t="shared" si="137"/>
        <v>1.1495716525560953</v>
      </c>
      <c r="F1259" s="18">
        <f t="shared" ca="1" si="136"/>
        <v>0.53705245966611836</v>
      </c>
      <c r="G1259" s="15">
        <f t="shared" ca="1" si="141"/>
        <v>1.1429133923011481</v>
      </c>
      <c r="H1259" s="15">
        <f t="shared" ca="1" si="142"/>
        <v>1.2397783745533153E-2</v>
      </c>
      <c r="J1259" s="17">
        <f t="shared" ca="1" si="138"/>
        <v>0</v>
      </c>
      <c r="K1259" s="24">
        <f t="shared" ca="1" si="139"/>
        <v>0</v>
      </c>
      <c r="L1259" s="17">
        <f t="shared" ca="1" si="140"/>
        <v>0</v>
      </c>
      <c r="N1259" s="24" t="str">
        <f ca="1">IF(AND(L1259=1,L1258&lt;&gt;1),MAX($N$8:N1258)+1,"")</f>
        <v/>
      </c>
      <c r="O1259" s="24" t="str">
        <f ca="1">IF(AND(L1259&lt;&gt;1,L1258=1),MAX($O$8:O1258)+1,"")</f>
        <v/>
      </c>
      <c r="P1259" s="17" t="str">
        <f ca="1">IF(AND(L1259=-1,L1258&lt;&gt;-1),MAX($P$8:P1258)+1,"")</f>
        <v/>
      </c>
      <c r="Q1259" s="24">
        <f ca="1">IF(AND(L1259&lt;&gt;-1,L1258=-1),MAX($Q$8:Q1258)+1,"")</f>
        <v>48</v>
      </c>
    </row>
    <row r="1260" spans="1:17" x14ac:dyDescent="0.3">
      <c r="A1260" s="3">
        <v>42037</v>
      </c>
      <c r="B1260" s="9">
        <v>13.435027</v>
      </c>
      <c r="C1260" s="9">
        <v>11.649759</v>
      </c>
      <c r="E1260" s="14">
        <f t="shared" si="137"/>
        <v>1.1532450585458462</v>
      </c>
      <c r="F1260" s="18">
        <f t="shared" ca="1" si="136"/>
        <v>0.91738700802361661</v>
      </c>
      <c r="G1260" s="15">
        <f t="shared" ca="1" si="141"/>
        <v>1.1424393295537008</v>
      </c>
      <c r="H1260" s="15">
        <f t="shared" ca="1" si="142"/>
        <v>1.1778811883792577E-2</v>
      </c>
      <c r="J1260" s="17">
        <f t="shared" ca="1" si="138"/>
        <v>0</v>
      </c>
      <c r="K1260" s="24">
        <f t="shared" ca="1" si="139"/>
        <v>0</v>
      </c>
      <c r="L1260" s="17">
        <f t="shared" ca="1" si="140"/>
        <v>0</v>
      </c>
      <c r="N1260" s="24" t="str">
        <f ca="1">IF(AND(L1260=1,L1259&lt;&gt;1),MAX($N$8:N1259)+1,"")</f>
        <v/>
      </c>
      <c r="O1260" s="24" t="str">
        <f ca="1">IF(AND(L1260&lt;&gt;1,L1259=1),MAX($O$8:O1259)+1,"")</f>
        <v/>
      </c>
      <c r="P1260" s="17" t="str">
        <f ca="1">IF(AND(L1260=-1,L1259&lt;&gt;-1),MAX($P$8:P1259)+1,"")</f>
        <v/>
      </c>
      <c r="Q1260" s="24" t="str">
        <f ca="1">IF(AND(L1260&lt;&gt;-1,L1259=-1),MAX($Q$8:Q1259)+1,"")</f>
        <v/>
      </c>
    </row>
    <row r="1261" spans="1:17" x14ac:dyDescent="0.3">
      <c r="A1261" s="3">
        <v>42038</v>
      </c>
      <c r="B1261" s="9">
        <v>13.810021000000001</v>
      </c>
      <c r="C1261" s="9">
        <v>12.089154000000001</v>
      </c>
      <c r="E1261" s="14">
        <f t="shared" si="137"/>
        <v>1.1423480088019393</v>
      </c>
      <c r="F1261" s="18">
        <f t="shared" ca="1" si="136"/>
        <v>8.2188792724400064E-2</v>
      </c>
      <c r="G1261" s="15">
        <f t="shared" ca="1" si="141"/>
        <v>1.141459600228854</v>
      </c>
      <c r="H1261" s="15">
        <f t="shared" ca="1" si="142"/>
        <v>1.0809363948980541E-2</v>
      </c>
      <c r="J1261" s="17">
        <f t="shared" ca="1" si="138"/>
        <v>0</v>
      </c>
      <c r="K1261" s="24">
        <f t="shared" ca="1" si="139"/>
        <v>0</v>
      </c>
      <c r="L1261" s="17">
        <f t="shared" ca="1" si="140"/>
        <v>0</v>
      </c>
      <c r="N1261" s="24" t="str">
        <f ca="1">IF(AND(L1261=1,L1260&lt;&gt;1),MAX($N$8:N1260)+1,"")</f>
        <v/>
      </c>
      <c r="O1261" s="24" t="str">
        <f ca="1">IF(AND(L1261&lt;&gt;1,L1260=1),MAX($O$8:O1260)+1,"")</f>
        <v/>
      </c>
      <c r="P1261" s="17" t="str">
        <f ca="1">IF(AND(L1261=-1,L1260&lt;&gt;-1),MAX($P$8:P1260)+1,"")</f>
        <v/>
      </c>
      <c r="Q1261" s="24" t="str">
        <f ca="1">IF(AND(L1261&lt;&gt;-1,L1260=-1),MAX($Q$8:Q1260)+1,"")</f>
        <v/>
      </c>
    </row>
    <row r="1262" spans="1:17" x14ac:dyDescent="0.3">
      <c r="A1262" s="3">
        <v>42039</v>
      </c>
      <c r="B1262" s="9">
        <v>14.318053000000001</v>
      </c>
      <c r="C1262" s="9">
        <v>12.393751</v>
      </c>
      <c r="E1262" s="14">
        <f t="shared" si="137"/>
        <v>1.1552638906494088</v>
      </c>
      <c r="F1262" s="18">
        <f t="shared" ca="1" si="136"/>
        <v>1.4568439294823117</v>
      </c>
      <c r="G1262" s="15">
        <f t="shared" ca="1" si="141"/>
        <v>1.1409459142974803</v>
      </c>
      <c r="H1262" s="15">
        <f t="shared" ca="1" si="142"/>
        <v>9.8280783975373629E-3</v>
      </c>
      <c r="J1262" s="17">
        <f t="shared" ca="1" si="138"/>
        <v>1</v>
      </c>
      <c r="K1262" s="24">
        <f t="shared" ca="1" si="139"/>
        <v>0</v>
      </c>
      <c r="L1262" s="17">
        <f t="shared" ca="1" si="140"/>
        <v>1</v>
      </c>
      <c r="N1262" s="24">
        <f ca="1">IF(AND(L1262=1,L1261&lt;&gt;1),MAX($N$8:N1261)+1,"")</f>
        <v>39</v>
      </c>
      <c r="O1262" s="24" t="str">
        <f ca="1">IF(AND(L1262&lt;&gt;1,L1261=1),MAX($O$8:O1261)+1,"")</f>
        <v/>
      </c>
      <c r="P1262" s="17" t="str">
        <f ca="1">IF(AND(L1262=-1,L1261&lt;&gt;-1),MAX($P$8:P1261)+1,"")</f>
        <v/>
      </c>
      <c r="Q1262" s="24" t="str">
        <f ca="1">IF(AND(L1262&lt;&gt;-1,L1261=-1),MAX($Q$8:Q1261)+1,"")</f>
        <v/>
      </c>
    </row>
    <row r="1263" spans="1:17" x14ac:dyDescent="0.3">
      <c r="A1263" s="3">
        <v>42040</v>
      </c>
      <c r="B1263" s="9">
        <v>14.197081000000001</v>
      </c>
      <c r="C1263" s="9">
        <v>12.195226999999999</v>
      </c>
      <c r="E1263" s="14">
        <f t="shared" si="137"/>
        <v>1.1641506140066111</v>
      </c>
      <c r="F1263" s="18">
        <f t="shared" ca="1" si="136"/>
        <v>2.0633393932778157</v>
      </c>
      <c r="G1263" s="15">
        <f t="shared" ca="1" si="141"/>
        <v>1.1416946888303512</v>
      </c>
      <c r="H1263" s="15">
        <f t="shared" ca="1" si="142"/>
        <v>1.0883292031073237E-2</v>
      </c>
      <c r="J1263" s="17">
        <f t="shared" ca="1" si="138"/>
        <v>1</v>
      </c>
      <c r="K1263" s="24">
        <f t="shared" ca="1" si="139"/>
        <v>0</v>
      </c>
      <c r="L1263" s="17">
        <f t="shared" ca="1" si="140"/>
        <v>1</v>
      </c>
      <c r="N1263" s="24" t="str">
        <f ca="1">IF(AND(L1263=1,L1262&lt;&gt;1),MAX($N$8:N1262)+1,"")</f>
        <v/>
      </c>
      <c r="O1263" s="24" t="str">
        <f ca="1">IF(AND(L1263&lt;&gt;1,L1262=1),MAX($O$8:O1262)+1,"")</f>
        <v/>
      </c>
      <c r="P1263" s="17" t="str">
        <f ca="1">IF(AND(L1263=-1,L1262&lt;&gt;-1),MAX($P$8:P1262)+1,"")</f>
        <v/>
      </c>
      <c r="Q1263" s="24" t="str">
        <f ca="1">IF(AND(L1263&lt;&gt;-1,L1262=-1),MAX($Q$8:Q1262)+1,"")</f>
        <v/>
      </c>
    </row>
    <row r="1264" spans="1:17" x14ac:dyDescent="0.3">
      <c r="A1264" s="3">
        <v>42041</v>
      </c>
      <c r="B1264" s="9">
        <v>14.164885</v>
      </c>
      <c r="C1264" s="9">
        <v>12.246611</v>
      </c>
      <c r="E1264" s="14">
        <f t="shared" si="137"/>
        <v>1.1566371300598999</v>
      </c>
      <c r="F1264" s="18">
        <f t="shared" ca="1" si="136"/>
        <v>1.2686449887019973</v>
      </c>
      <c r="G1264" s="15">
        <f t="shared" ca="1" si="141"/>
        <v>1.1422806640968384</v>
      </c>
      <c r="H1264" s="15">
        <f t="shared" ca="1" si="142"/>
        <v>1.1316377781738761E-2</v>
      </c>
      <c r="J1264" s="17">
        <f t="shared" ca="1" si="138"/>
        <v>1</v>
      </c>
      <c r="K1264" s="24">
        <f t="shared" ca="1" si="139"/>
        <v>0</v>
      </c>
      <c r="L1264" s="17">
        <f t="shared" ca="1" si="140"/>
        <v>1</v>
      </c>
      <c r="N1264" s="24" t="str">
        <f ca="1">IF(AND(L1264=1,L1263&lt;&gt;1),MAX($N$8:N1263)+1,"")</f>
        <v/>
      </c>
      <c r="O1264" s="24" t="str">
        <f ca="1">IF(AND(L1264&lt;&gt;1,L1263=1),MAX($O$8:O1263)+1,"")</f>
        <v/>
      </c>
      <c r="P1264" s="17" t="str">
        <f ca="1">IF(AND(L1264=-1,L1263&lt;&gt;-1),MAX($P$8:P1263)+1,"")</f>
        <v/>
      </c>
      <c r="Q1264" s="24" t="str">
        <f ca="1">IF(AND(L1264&lt;&gt;-1,L1263=-1),MAX($Q$8:Q1263)+1,"")</f>
        <v/>
      </c>
    </row>
    <row r="1265" spans="1:17" x14ac:dyDescent="0.3">
      <c r="A1265" s="3">
        <v>42044</v>
      </c>
      <c r="B1265" s="9">
        <v>14.253577999999999</v>
      </c>
      <c r="C1265" s="9">
        <v>12.373255</v>
      </c>
      <c r="E1265" s="14">
        <f t="shared" si="137"/>
        <v>1.1519667217720801</v>
      </c>
      <c r="F1265" s="18">
        <f t="shared" ca="1" si="136"/>
        <v>0.88458184439656329</v>
      </c>
      <c r="G1265" s="15">
        <f t="shared" ca="1" si="141"/>
        <v>1.1421114832792809</v>
      </c>
      <c r="H1265" s="15">
        <f t="shared" ca="1" si="142"/>
        <v>1.1141126799320869E-2</v>
      </c>
      <c r="J1265" s="17">
        <f t="shared" ca="1" si="138"/>
        <v>1</v>
      </c>
      <c r="K1265" s="24">
        <f t="shared" ca="1" si="139"/>
        <v>0</v>
      </c>
      <c r="L1265" s="17">
        <f t="shared" ca="1" si="140"/>
        <v>1</v>
      </c>
      <c r="N1265" s="24" t="str">
        <f ca="1">IF(AND(L1265=1,L1264&lt;&gt;1),MAX($N$8:N1264)+1,"")</f>
        <v/>
      </c>
      <c r="O1265" s="24" t="str">
        <f ca="1">IF(AND(L1265&lt;&gt;1,L1264=1),MAX($O$8:O1264)+1,"")</f>
        <v/>
      </c>
      <c r="P1265" s="17" t="str">
        <f ca="1">IF(AND(L1265=-1,L1264&lt;&gt;-1),MAX($P$8:P1264)+1,"")</f>
        <v/>
      </c>
      <c r="Q1265" s="24" t="str">
        <f ca="1">IF(AND(L1265&lt;&gt;-1,L1264=-1),MAX($Q$8:Q1264)+1,"")</f>
        <v/>
      </c>
    </row>
    <row r="1266" spans="1:17" x14ac:dyDescent="0.3">
      <c r="A1266" s="3">
        <v>42045</v>
      </c>
      <c r="B1266" s="9">
        <v>14.072087</v>
      </c>
      <c r="C1266" s="9">
        <v>12.173598999999999</v>
      </c>
      <c r="E1266" s="14">
        <f t="shared" si="137"/>
        <v>1.15595125155675</v>
      </c>
      <c r="F1266" s="18">
        <f t="shared" ca="1" si="136"/>
        <v>1.2357401032235815</v>
      </c>
      <c r="G1266" s="15">
        <f t="shared" ca="1" si="141"/>
        <v>1.1421404243627604</v>
      </c>
      <c r="H1266" s="15">
        <f t="shared" ca="1" si="142"/>
        <v>1.1176158447850295E-2</v>
      </c>
      <c r="J1266" s="17">
        <f t="shared" ca="1" si="138"/>
        <v>1</v>
      </c>
      <c r="K1266" s="24">
        <f t="shared" ca="1" si="139"/>
        <v>0</v>
      </c>
      <c r="L1266" s="17">
        <f t="shared" ca="1" si="140"/>
        <v>1</v>
      </c>
      <c r="N1266" s="24" t="str">
        <f ca="1">IF(AND(L1266=1,L1265&lt;&gt;1),MAX($N$8:N1265)+1,"")</f>
        <v/>
      </c>
      <c r="O1266" s="24" t="str">
        <f ca="1">IF(AND(L1266&lt;&gt;1,L1265=1),MAX($O$8:O1265)+1,"")</f>
        <v/>
      </c>
      <c r="P1266" s="17" t="str">
        <f ca="1">IF(AND(L1266=-1,L1265&lt;&gt;-1),MAX($P$8:P1265)+1,"")</f>
        <v/>
      </c>
      <c r="Q1266" s="24" t="str">
        <f ca="1">IF(AND(L1266&lt;&gt;-1,L1265=-1),MAX($Q$8:Q1265)+1,"")</f>
        <v/>
      </c>
    </row>
    <row r="1267" spans="1:17" x14ac:dyDescent="0.3">
      <c r="A1267" s="3">
        <v>42046</v>
      </c>
      <c r="B1267" s="9">
        <v>14.119540000000001</v>
      </c>
      <c r="C1267" s="9">
        <v>11.845428</v>
      </c>
      <c r="E1267" s="14">
        <f t="shared" si="137"/>
        <v>1.1919822567829546</v>
      </c>
      <c r="F1267" s="18">
        <f t="shared" ca="1" si="136"/>
        <v>3.1380990414737524</v>
      </c>
      <c r="G1267" s="15">
        <f t="shared" ca="1" si="141"/>
        <v>1.1441491974337656</v>
      </c>
      <c r="H1267" s="15">
        <f t="shared" ca="1" si="142"/>
        <v>1.5242686326026525E-2</v>
      </c>
      <c r="J1267" s="17">
        <f t="shared" ca="1" si="138"/>
        <v>1</v>
      </c>
      <c r="K1267" s="24">
        <f t="shared" ca="1" si="139"/>
        <v>0</v>
      </c>
      <c r="L1267" s="17">
        <f t="shared" ca="1" si="140"/>
        <v>1</v>
      </c>
      <c r="N1267" s="24" t="str">
        <f ca="1">IF(AND(L1267=1,L1266&lt;&gt;1),MAX($N$8:N1266)+1,"")</f>
        <v/>
      </c>
      <c r="O1267" s="24" t="str">
        <f ca="1">IF(AND(L1267&lt;&gt;1,L1266=1),MAX($O$8:O1266)+1,"")</f>
        <v/>
      </c>
      <c r="P1267" s="17" t="str">
        <f ca="1">IF(AND(L1267=-1,L1266&lt;&gt;-1),MAX($P$8:P1266)+1,"")</f>
        <v/>
      </c>
      <c r="Q1267" s="24" t="str">
        <f ca="1">IF(AND(L1267&lt;&gt;-1,L1266=-1),MAX($Q$8:Q1266)+1,"")</f>
        <v/>
      </c>
    </row>
    <row r="1268" spans="1:17" x14ac:dyDescent="0.3">
      <c r="A1268" s="3">
        <v>42047</v>
      </c>
      <c r="B1268" s="9">
        <v>14.490629999999999</v>
      </c>
      <c r="C1268" s="9">
        <v>12.315187</v>
      </c>
      <c r="E1268" s="14">
        <f t="shared" si="137"/>
        <v>1.1766471755564898</v>
      </c>
      <c r="F1268" s="18">
        <f t="shared" ca="1" si="136"/>
        <v>1.8572289195199818</v>
      </c>
      <c r="G1268" s="15">
        <f t="shared" ca="1" si="141"/>
        <v>1.1456864070177641</v>
      </c>
      <c r="H1268" s="15">
        <f t="shared" ca="1" si="142"/>
        <v>1.6670410531151834E-2</v>
      </c>
      <c r="J1268" s="17">
        <f t="shared" ca="1" si="138"/>
        <v>1</v>
      </c>
      <c r="K1268" s="24">
        <f t="shared" ca="1" si="139"/>
        <v>0</v>
      </c>
      <c r="L1268" s="17">
        <f t="shared" ca="1" si="140"/>
        <v>1</v>
      </c>
      <c r="N1268" s="24" t="str">
        <f ca="1">IF(AND(L1268=1,L1267&lt;&gt;1),MAX($N$8:N1267)+1,"")</f>
        <v/>
      </c>
      <c r="O1268" s="24" t="str">
        <f ca="1">IF(AND(L1268&lt;&gt;1,L1267=1),MAX($O$8:O1267)+1,"")</f>
        <v/>
      </c>
      <c r="P1268" s="17" t="str">
        <f ca="1">IF(AND(L1268=-1,L1267&lt;&gt;-1),MAX($P$8:P1267)+1,"")</f>
        <v/>
      </c>
      <c r="Q1268" s="24" t="str">
        <f ca="1">IF(AND(L1268&lt;&gt;-1,L1267=-1),MAX($Q$8:Q1267)+1,"")</f>
        <v/>
      </c>
    </row>
    <row r="1269" spans="1:17" x14ac:dyDescent="0.3">
      <c r="A1269" s="3">
        <v>42048</v>
      </c>
      <c r="B1269" s="9">
        <v>14.971398000000001</v>
      </c>
      <c r="C1269" s="9">
        <v>12.643366</v>
      </c>
      <c r="E1269" s="14">
        <f t="shared" si="137"/>
        <v>1.1841307132926469</v>
      </c>
      <c r="F1269" s="18">
        <f t="shared" ca="1" si="136"/>
        <v>1.9770107114805204</v>
      </c>
      <c r="G1269" s="15">
        <f t="shared" ca="1" si="141"/>
        <v>1.1477591729007668</v>
      </c>
      <c r="H1269" s="15">
        <f t="shared" ca="1" si="142"/>
        <v>1.839723992423014E-2</v>
      </c>
      <c r="J1269" s="17">
        <f t="shared" ca="1" si="138"/>
        <v>1</v>
      </c>
      <c r="K1269" s="24">
        <f t="shared" ca="1" si="139"/>
        <v>0</v>
      </c>
      <c r="L1269" s="17">
        <f t="shared" ca="1" si="140"/>
        <v>1</v>
      </c>
      <c r="N1269" s="24" t="str">
        <f ca="1">IF(AND(L1269=1,L1268&lt;&gt;1),MAX($N$8:N1268)+1,"")</f>
        <v/>
      </c>
      <c r="O1269" s="24" t="str">
        <f ca="1">IF(AND(L1269&lt;&gt;1,L1268=1),MAX($O$8:O1268)+1,"")</f>
        <v/>
      </c>
      <c r="P1269" s="17" t="str">
        <f ca="1">IF(AND(L1269=-1,L1268&lt;&gt;-1),MAX($P$8:P1268)+1,"")</f>
        <v/>
      </c>
      <c r="Q1269" s="24" t="str">
        <f ca="1">IF(AND(L1269&lt;&gt;-1,L1268=-1),MAX($Q$8:Q1268)+1,"")</f>
        <v/>
      </c>
    </row>
    <row r="1270" spans="1:17" x14ac:dyDescent="0.3">
      <c r="A1270" s="3">
        <v>42053</v>
      </c>
      <c r="B1270" s="9">
        <v>15.059964000000001</v>
      </c>
      <c r="C1270" s="9">
        <v>12.781597</v>
      </c>
      <c r="E1270" s="14">
        <f t="shared" si="137"/>
        <v>1.1782537033517799</v>
      </c>
      <c r="F1270" s="18">
        <f t="shared" ca="1" si="136"/>
        <v>1.4850927609648599</v>
      </c>
      <c r="G1270" s="15">
        <f t="shared" ca="1" si="141"/>
        <v>1.1494917719241551</v>
      </c>
      <c r="H1270" s="15">
        <f t="shared" ca="1" si="142"/>
        <v>1.9367094220389514E-2</v>
      </c>
      <c r="J1270" s="17">
        <f t="shared" ca="1" si="138"/>
        <v>1</v>
      </c>
      <c r="K1270" s="24">
        <f t="shared" ca="1" si="139"/>
        <v>0</v>
      </c>
      <c r="L1270" s="17">
        <f t="shared" ca="1" si="140"/>
        <v>1</v>
      </c>
      <c r="N1270" s="24" t="str">
        <f ca="1">IF(AND(L1270=1,L1269&lt;&gt;1),MAX($N$8:N1269)+1,"")</f>
        <v/>
      </c>
      <c r="O1270" s="24" t="str">
        <f ca="1">IF(AND(L1270&lt;&gt;1,L1269=1),MAX($O$8:O1269)+1,"")</f>
        <v/>
      </c>
      <c r="P1270" s="17" t="str">
        <f ca="1">IF(AND(L1270=-1,L1269&lt;&gt;-1),MAX($P$8:P1269)+1,"")</f>
        <v/>
      </c>
      <c r="Q1270" s="24" t="str">
        <f ca="1">IF(AND(L1270&lt;&gt;-1,L1269=-1),MAX($Q$8:Q1269)+1,"")</f>
        <v/>
      </c>
    </row>
    <row r="1271" spans="1:17" x14ac:dyDescent="0.3">
      <c r="A1271" s="3">
        <v>42054</v>
      </c>
      <c r="B1271" s="9">
        <v>15.055754</v>
      </c>
      <c r="C1271" s="9">
        <v>12.753921999999999</v>
      </c>
      <c r="E1271" s="14">
        <f t="shared" si="137"/>
        <v>1.1804803259734535</v>
      </c>
      <c r="F1271" s="18">
        <f t="shared" ca="1" si="136"/>
        <v>1.4437434572401702</v>
      </c>
      <c r="G1271" s="15">
        <f t="shared" ca="1" si="141"/>
        <v>1.1510353963822098</v>
      </c>
      <c r="H1271" s="15">
        <f t="shared" ca="1" si="142"/>
        <v>2.0394848851838329E-2</v>
      </c>
      <c r="J1271" s="17">
        <f t="shared" ca="1" si="138"/>
        <v>1</v>
      </c>
      <c r="K1271" s="24">
        <f t="shared" ca="1" si="139"/>
        <v>0</v>
      </c>
      <c r="L1271" s="17">
        <f t="shared" ca="1" si="140"/>
        <v>1</v>
      </c>
      <c r="N1271" s="24" t="str">
        <f ca="1">IF(AND(L1271=1,L1270&lt;&gt;1),MAX($N$8:N1270)+1,"")</f>
        <v/>
      </c>
      <c r="O1271" s="24" t="str">
        <f ca="1">IF(AND(L1271&lt;&gt;1,L1270=1),MAX($O$8:O1270)+1,"")</f>
        <v/>
      </c>
      <c r="P1271" s="17" t="str">
        <f ca="1">IF(AND(L1271=-1,L1270&lt;&gt;-1),MAX($P$8:P1270)+1,"")</f>
        <v/>
      </c>
      <c r="Q1271" s="24" t="str">
        <f ca="1">IF(AND(L1271&lt;&gt;-1,L1270=-1),MAX($Q$8:Q1270)+1,"")</f>
        <v/>
      </c>
    </row>
    <row r="1272" spans="1:17" x14ac:dyDescent="0.3">
      <c r="A1272" s="3">
        <v>42055</v>
      </c>
      <c r="B1272" s="9">
        <v>15.135894</v>
      </c>
      <c r="C1272" s="9">
        <v>12.785016000000001</v>
      </c>
      <c r="E1272" s="14">
        <f t="shared" si="137"/>
        <v>1.1838775954601855</v>
      </c>
      <c r="F1272" s="18">
        <f t="shared" ca="1" si="136"/>
        <v>1.4525904987735645</v>
      </c>
      <c r="G1272" s="15">
        <f t="shared" ca="1" si="141"/>
        <v>1.1535396690352724</v>
      </c>
      <c r="H1272" s="15">
        <f t="shared" ca="1" si="142"/>
        <v>2.08853950583648E-2</v>
      </c>
      <c r="J1272" s="17">
        <f t="shared" ca="1" si="138"/>
        <v>1</v>
      </c>
      <c r="K1272" s="24">
        <f t="shared" ca="1" si="139"/>
        <v>0</v>
      </c>
      <c r="L1272" s="17">
        <f t="shared" ca="1" si="140"/>
        <v>1</v>
      </c>
      <c r="N1272" s="24" t="str">
        <f ca="1">IF(AND(L1272=1,L1271&lt;&gt;1),MAX($N$8:N1271)+1,"")</f>
        <v/>
      </c>
      <c r="O1272" s="24" t="str">
        <f ca="1">IF(AND(L1272&lt;&gt;1,L1271=1),MAX($O$8:O1271)+1,"")</f>
        <v/>
      </c>
      <c r="P1272" s="17" t="str">
        <f ca="1">IF(AND(L1272=-1,L1271&lt;&gt;-1),MAX($P$8:P1271)+1,"")</f>
        <v/>
      </c>
      <c r="Q1272" s="24" t="str">
        <f ca="1">IF(AND(L1272&lt;&gt;-1,L1271=-1),MAX($Q$8:Q1271)+1,"")</f>
        <v/>
      </c>
    </row>
    <row r="1273" spans="1:17" x14ac:dyDescent="0.3">
      <c r="A1273" s="3">
        <v>42058</v>
      </c>
      <c r="B1273" s="9">
        <v>15.283467999999999</v>
      </c>
      <c r="C1273" s="9">
        <v>12.909341</v>
      </c>
      <c r="E1273" s="14">
        <f t="shared" si="137"/>
        <v>1.1839076835912847</v>
      </c>
      <c r="F1273" s="18">
        <f t="shared" ca="1" si="136"/>
        <v>1.3151886739728587</v>
      </c>
      <c r="G1273" s="15">
        <f t="shared" ca="1" si="141"/>
        <v>1.1557106786958149</v>
      </c>
      <c r="H1273" s="15">
        <f t="shared" ca="1" si="142"/>
        <v>2.1439513169082942E-2</v>
      </c>
      <c r="J1273" s="17">
        <f t="shared" ca="1" si="138"/>
        <v>1</v>
      </c>
      <c r="K1273" s="24">
        <f t="shared" ca="1" si="139"/>
        <v>0</v>
      </c>
      <c r="L1273" s="17">
        <f t="shared" ca="1" si="140"/>
        <v>1</v>
      </c>
      <c r="N1273" s="24" t="str">
        <f ca="1">IF(AND(L1273=1,L1272&lt;&gt;1),MAX($N$8:N1272)+1,"")</f>
        <v/>
      </c>
      <c r="O1273" s="24" t="str">
        <f ca="1">IF(AND(L1273&lt;&gt;1,L1272=1),MAX($O$8:O1272)+1,"")</f>
        <v/>
      </c>
      <c r="P1273" s="17" t="str">
        <f ca="1">IF(AND(L1273=-1,L1272&lt;&gt;-1),MAX($P$8:P1272)+1,"")</f>
        <v/>
      </c>
      <c r="Q1273" s="24" t="str">
        <f ca="1">IF(AND(L1273&lt;&gt;-1,L1272=-1),MAX($Q$8:Q1272)+1,"")</f>
        <v/>
      </c>
    </row>
    <row r="1274" spans="1:17" x14ac:dyDescent="0.3">
      <c r="A1274" s="3">
        <v>42059</v>
      </c>
      <c r="B1274" s="9">
        <v>15.443757</v>
      </c>
      <c r="C1274" s="9">
        <v>13.050993999999999</v>
      </c>
      <c r="E1274" s="14">
        <f t="shared" si="137"/>
        <v>1.1833395218785634</v>
      </c>
      <c r="F1274" s="18">
        <f t="shared" ca="1" si="136"/>
        <v>1.1724801515057157</v>
      </c>
      <c r="G1274" s="15">
        <f t="shared" ca="1" si="141"/>
        <v>1.1575972199398317</v>
      </c>
      <c r="H1274" s="15">
        <f t="shared" ca="1" si="142"/>
        <v>2.1955426627626142E-2</v>
      </c>
      <c r="J1274" s="17">
        <f t="shared" ca="1" si="138"/>
        <v>1</v>
      </c>
      <c r="K1274" s="24">
        <f t="shared" ca="1" si="139"/>
        <v>0</v>
      </c>
      <c r="L1274" s="17">
        <f t="shared" ca="1" si="140"/>
        <v>1</v>
      </c>
      <c r="N1274" s="24" t="str">
        <f ca="1">IF(AND(L1274=1,L1273&lt;&gt;1),MAX($N$8:N1273)+1,"")</f>
        <v/>
      </c>
      <c r="O1274" s="24" t="str">
        <f ca="1">IF(AND(L1274&lt;&gt;1,L1273=1),MAX($O$8:O1273)+1,"")</f>
        <v/>
      </c>
      <c r="P1274" s="17" t="str">
        <f ca="1">IF(AND(L1274=-1,L1273&lt;&gt;-1),MAX($P$8:P1273)+1,"")</f>
        <v/>
      </c>
      <c r="Q1274" s="24" t="str">
        <f ca="1">IF(AND(L1274&lt;&gt;-1,L1273=-1),MAX($Q$8:Q1273)+1,"")</f>
        <v/>
      </c>
    </row>
    <row r="1275" spans="1:17" x14ac:dyDescent="0.3">
      <c r="A1275" s="3">
        <v>42060</v>
      </c>
      <c r="B1275" s="9">
        <v>15.481723000000001</v>
      </c>
      <c r="C1275" s="9">
        <v>13.123531</v>
      </c>
      <c r="E1275" s="14">
        <f t="shared" si="137"/>
        <v>1.1796918832286829</v>
      </c>
      <c r="F1275" s="18">
        <f t="shared" ca="1" si="136"/>
        <v>0.91873711771413258</v>
      </c>
      <c r="G1275" s="15">
        <f t="shared" ca="1" si="141"/>
        <v>1.1596302376638357</v>
      </c>
      <c r="H1275" s="15">
        <f t="shared" ca="1" si="142"/>
        <v>2.1836110872239162E-2</v>
      </c>
      <c r="J1275" s="17">
        <f t="shared" ca="1" si="138"/>
        <v>1</v>
      </c>
      <c r="K1275" s="24">
        <f t="shared" ca="1" si="139"/>
        <v>0</v>
      </c>
      <c r="L1275" s="17">
        <f t="shared" ca="1" si="140"/>
        <v>1</v>
      </c>
      <c r="N1275" s="24" t="str">
        <f ca="1">IF(AND(L1275=1,L1274&lt;&gt;1),MAX($N$8:N1274)+1,"")</f>
        <v/>
      </c>
      <c r="O1275" s="24" t="str">
        <f ca="1">IF(AND(L1275&lt;&gt;1,L1274=1),MAX($O$8:O1274)+1,"")</f>
        <v/>
      </c>
      <c r="P1275" s="17" t="str">
        <f ca="1">IF(AND(L1275=-1,L1274&lt;&gt;-1),MAX($P$8:P1274)+1,"")</f>
        <v/>
      </c>
      <c r="Q1275" s="24" t="str">
        <f ca="1">IF(AND(L1275&lt;&gt;-1,L1274=-1),MAX($Q$8:Q1274)+1,"")</f>
        <v/>
      </c>
    </row>
    <row r="1276" spans="1:17" x14ac:dyDescent="0.3">
      <c r="A1276" s="3">
        <v>42061</v>
      </c>
      <c r="B1276" s="9">
        <v>15.557655</v>
      </c>
      <c r="C1276" s="9">
        <v>13.151209</v>
      </c>
      <c r="E1276" s="14">
        <f t="shared" si="137"/>
        <v>1.182982872525256</v>
      </c>
      <c r="F1276" s="18">
        <f t="shared" ca="1" si="136"/>
        <v>0.97786696660351613</v>
      </c>
      <c r="G1276" s="15">
        <f t="shared" ca="1" si="141"/>
        <v>1.161860279915627</v>
      </c>
      <c r="H1276" s="15">
        <f t="shared" ca="1" si="142"/>
        <v>2.1600681208196831E-2</v>
      </c>
      <c r="J1276" s="17">
        <f t="shared" ca="1" si="138"/>
        <v>1</v>
      </c>
      <c r="K1276" s="24">
        <f t="shared" ca="1" si="139"/>
        <v>0</v>
      </c>
      <c r="L1276" s="17">
        <f t="shared" ca="1" si="140"/>
        <v>1</v>
      </c>
      <c r="N1276" s="24" t="str">
        <f ca="1">IF(AND(L1276=1,L1275&lt;&gt;1),MAX($N$8:N1275)+1,"")</f>
        <v/>
      </c>
      <c r="O1276" s="24" t="str">
        <f ca="1">IF(AND(L1276&lt;&gt;1,L1275=1),MAX($O$8:O1275)+1,"")</f>
        <v/>
      </c>
      <c r="P1276" s="17" t="str">
        <f ca="1">IF(AND(L1276=-1,L1275&lt;&gt;-1),MAX($P$8:P1275)+1,"")</f>
        <v/>
      </c>
      <c r="Q1276" s="24" t="str">
        <f ca="1">IF(AND(L1276&lt;&gt;-1,L1275=-1),MAX($Q$8:Q1275)+1,"")</f>
        <v/>
      </c>
    </row>
    <row r="1277" spans="1:17" x14ac:dyDescent="0.3">
      <c r="A1277" s="3">
        <v>42062</v>
      </c>
      <c r="B1277" s="9">
        <v>15.393153</v>
      </c>
      <c r="C1277" s="9">
        <v>12.988794</v>
      </c>
      <c r="E1277" s="14">
        <f t="shared" si="137"/>
        <v>1.1851102573495276</v>
      </c>
      <c r="F1277" s="18">
        <f t="shared" ca="1" si="136"/>
        <v>0.99173327654856058</v>
      </c>
      <c r="G1277" s="15">
        <f t="shared" ca="1" si="141"/>
        <v>1.1644083441885453</v>
      </c>
      <c r="H1277" s="15">
        <f t="shared" ca="1" si="142"/>
        <v>2.0874476686946752E-2</v>
      </c>
      <c r="J1277" s="17">
        <f t="shared" ca="1" si="138"/>
        <v>1</v>
      </c>
      <c r="K1277" s="24">
        <f t="shared" ca="1" si="139"/>
        <v>0</v>
      </c>
      <c r="L1277" s="17">
        <f t="shared" ca="1" si="140"/>
        <v>1</v>
      </c>
      <c r="N1277" s="24" t="str">
        <f ca="1">IF(AND(L1277=1,L1276&lt;&gt;1),MAX($N$8:N1276)+1,"")</f>
        <v/>
      </c>
      <c r="O1277" s="24" t="str">
        <f ca="1">IF(AND(L1277&lt;&gt;1,L1276=1),MAX($O$8:O1276)+1,"")</f>
        <v/>
      </c>
      <c r="P1277" s="17" t="str">
        <f ca="1">IF(AND(L1277=-1,L1276&lt;&gt;-1),MAX($P$8:P1276)+1,"")</f>
        <v/>
      </c>
      <c r="Q1277" s="24" t="str">
        <f ca="1">IF(AND(L1277&lt;&gt;-1,L1276=-1),MAX($Q$8:Q1276)+1,"")</f>
        <v/>
      </c>
    </row>
    <row r="1278" spans="1:17" x14ac:dyDescent="0.3">
      <c r="A1278" s="3">
        <v>42065</v>
      </c>
      <c r="B1278" s="9">
        <v>15.328662</v>
      </c>
      <c r="C1278" s="9">
        <v>12.812621</v>
      </c>
      <c r="E1278" s="14">
        <f t="shared" si="137"/>
        <v>1.1963720771885784</v>
      </c>
      <c r="F1278" s="18">
        <f t="shared" ca="1" si="136"/>
        <v>1.4443089116123085</v>
      </c>
      <c r="G1278" s="15">
        <f t="shared" ca="1" si="141"/>
        <v>1.1677470281354063</v>
      </c>
      <c r="H1278" s="15">
        <f t="shared" ca="1" si="142"/>
        <v>1.9819201296222305E-2</v>
      </c>
      <c r="J1278" s="17">
        <f t="shared" ca="1" si="138"/>
        <v>1</v>
      </c>
      <c r="K1278" s="24">
        <f t="shared" ca="1" si="139"/>
        <v>0</v>
      </c>
      <c r="L1278" s="17">
        <f t="shared" ca="1" si="140"/>
        <v>1</v>
      </c>
      <c r="N1278" s="24" t="str">
        <f ca="1">IF(AND(L1278=1,L1277&lt;&gt;1),MAX($N$8:N1277)+1,"")</f>
        <v/>
      </c>
      <c r="O1278" s="24" t="str">
        <f ca="1">IF(AND(L1278&lt;&gt;1,L1277=1),MAX($O$8:O1277)+1,"")</f>
        <v/>
      </c>
      <c r="P1278" s="17" t="str">
        <f ca="1">IF(AND(L1278=-1,L1277&lt;&gt;-1),MAX($P$8:P1277)+1,"")</f>
        <v/>
      </c>
      <c r="Q1278" s="24" t="str">
        <f ca="1">IF(AND(L1278&lt;&gt;-1,L1277=-1),MAX($Q$8:Q1277)+1,"")</f>
        <v/>
      </c>
    </row>
    <row r="1279" spans="1:17" x14ac:dyDescent="0.3">
      <c r="A1279" s="3">
        <v>42066</v>
      </c>
      <c r="B1279" s="9">
        <v>15.446854999999999</v>
      </c>
      <c r="C1279" s="9">
        <v>12.848496000000001</v>
      </c>
      <c r="E1279" s="14">
        <f t="shared" si="137"/>
        <v>1.2022305957055206</v>
      </c>
      <c r="F1279" s="18">
        <f t="shared" ca="1" si="136"/>
        <v>1.6645034350498147</v>
      </c>
      <c r="G1279" s="15">
        <f t="shared" ca="1" si="141"/>
        <v>1.1713300315684463</v>
      </c>
      <c r="H1279" s="15">
        <f t="shared" ca="1" si="142"/>
        <v>1.8564433984571221E-2</v>
      </c>
      <c r="J1279" s="17">
        <f t="shared" ca="1" si="138"/>
        <v>1</v>
      </c>
      <c r="K1279" s="24">
        <f t="shared" ca="1" si="139"/>
        <v>0</v>
      </c>
      <c r="L1279" s="17">
        <f t="shared" ca="1" si="140"/>
        <v>1</v>
      </c>
      <c r="N1279" s="24" t="str">
        <f ca="1">IF(AND(L1279=1,L1278&lt;&gt;1),MAX($N$8:N1278)+1,"")</f>
        <v/>
      </c>
      <c r="O1279" s="24" t="str">
        <f ca="1">IF(AND(L1279&lt;&gt;1,L1278=1),MAX($O$8:O1278)+1,"")</f>
        <v/>
      </c>
      <c r="P1279" s="17" t="str">
        <f ca="1">IF(AND(L1279=-1,L1278&lt;&gt;-1),MAX($P$8:P1278)+1,"")</f>
        <v/>
      </c>
      <c r="Q1279" s="24" t="str">
        <f ca="1">IF(AND(L1279&lt;&gt;-1,L1278=-1),MAX($Q$8:Q1278)+1,"")</f>
        <v/>
      </c>
    </row>
    <row r="1280" spans="1:17" x14ac:dyDescent="0.3">
      <c r="A1280" s="3">
        <v>42067</v>
      </c>
      <c r="B1280" s="9">
        <v>15.311804</v>
      </c>
      <c r="C1280" s="9">
        <v>12.582202000000001</v>
      </c>
      <c r="E1280" s="14">
        <f t="shared" si="137"/>
        <v>1.216941517867858</v>
      </c>
      <c r="F1280" s="18">
        <f t="shared" ca="1" si="136"/>
        <v>2.2279595838525141</v>
      </c>
      <c r="G1280" s="15">
        <f t="shared" ca="1" si="141"/>
        <v>1.1752310230773368</v>
      </c>
      <c r="H1280" s="15">
        <f t="shared" ca="1" si="142"/>
        <v>1.8721387538995087E-2</v>
      </c>
      <c r="J1280" s="17">
        <f t="shared" ca="1" si="138"/>
        <v>1</v>
      </c>
      <c r="K1280" s="24">
        <f t="shared" ca="1" si="139"/>
        <v>0</v>
      </c>
      <c r="L1280" s="17">
        <f t="shared" ca="1" si="140"/>
        <v>1</v>
      </c>
      <c r="N1280" s="24" t="str">
        <f ca="1">IF(AND(L1280=1,L1279&lt;&gt;1),MAX($N$8:N1279)+1,"")</f>
        <v/>
      </c>
      <c r="O1280" s="24" t="str">
        <f ca="1">IF(AND(L1280&lt;&gt;1,L1279=1),MAX($O$8:O1279)+1,"")</f>
        <v/>
      </c>
      <c r="P1280" s="17" t="str">
        <f ca="1">IF(AND(L1280=-1,L1279&lt;&gt;-1),MAX($P$8:P1279)+1,"")</f>
        <v/>
      </c>
      <c r="Q1280" s="24" t="str">
        <f ca="1">IF(AND(L1280&lt;&gt;-1,L1279=-1),MAX($Q$8:Q1279)+1,"")</f>
        <v/>
      </c>
    </row>
    <row r="1281" spans="1:17" x14ac:dyDescent="0.3">
      <c r="A1281" s="3">
        <v>42068</v>
      </c>
      <c r="B1281" s="9">
        <v>15.176765</v>
      </c>
      <c r="C1281" s="9">
        <v>12.561426000000001</v>
      </c>
      <c r="E1281" s="14">
        <f t="shared" si="137"/>
        <v>1.2082039889420197</v>
      </c>
      <c r="F1281" s="18">
        <f t="shared" ca="1" si="136"/>
        <v>1.5910151260039826</v>
      </c>
      <c r="G1281" s="15">
        <f t="shared" ca="1" si="141"/>
        <v>1.177896129276697</v>
      </c>
      <c r="H1281" s="15">
        <f t="shared" ca="1" si="142"/>
        <v>1.9049384993242938E-2</v>
      </c>
      <c r="J1281" s="17">
        <f t="shared" ca="1" si="138"/>
        <v>1</v>
      </c>
      <c r="K1281" s="24">
        <f t="shared" ca="1" si="139"/>
        <v>0</v>
      </c>
      <c r="L1281" s="17">
        <f t="shared" ca="1" si="140"/>
        <v>1</v>
      </c>
      <c r="N1281" s="24" t="str">
        <f ca="1">IF(AND(L1281=1,L1280&lt;&gt;1),MAX($N$8:N1280)+1,"")</f>
        <v/>
      </c>
      <c r="O1281" s="24" t="str">
        <f ca="1">IF(AND(L1281&lt;&gt;1,L1280=1),MAX($O$8:O1280)+1,"")</f>
        <v/>
      </c>
      <c r="P1281" s="17" t="str">
        <f ca="1">IF(AND(L1281=-1,L1280&lt;&gt;-1),MAX($P$8:P1280)+1,"")</f>
        <v/>
      </c>
      <c r="Q1281" s="24" t="str">
        <f ca="1">IF(AND(L1281&lt;&gt;-1,L1280=-1),MAX($Q$8:Q1280)+1,"")</f>
        <v/>
      </c>
    </row>
    <row r="1282" spans="1:17" x14ac:dyDescent="0.3">
      <c r="A1282" s="3">
        <v>42069</v>
      </c>
      <c r="B1282" s="9">
        <v>14.771544</v>
      </c>
      <c r="C1282" s="9">
        <v>12.409243</v>
      </c>
      <c r="E1282" s="14">
        <f t="shared" si="137"/>
        <v>1.1903662455477744</v>
      </c>
      <c r="F1282" s="18">
        <f t="shared" ref="F1282:F1345" ca="1" si="143">IF(ISNUMBER(G1282),(E1282-G1282)/H1282,"")</f>
        <v>0.58522764729375998</v>
      </c>
      <c r="G1282" s="15">
        <f t="shared" ca="1" si="141"/>
        <v>1.1795834559586031</v>
      </c>
      <c r="H1282" s="15">
        <f t="shared" ca="1" si="142"/>
        <v>1.8424949058769798E-2</v>
      </c>
      <c r="J1282" s="17">
        <f t="shared" ca="1" si="138"/>
        <v>1</v>
      </c>
      <c r="K1282" s="24">
        <f t="shared" ca="1" si="139"/>
        <v>0</v>
      </c>
      <c r="L1282" s="17">
        <f t="shared" ca="1" si="140"/>
        <v>1</v>
      </c>
      <c r="N1282" s="24" t="str">
        <f ca="1">IF(AND(L1282=1,L1281&lt;&gt;1),MAX($N$8:N1281)+1,"")</f>
        <v/>
      </c>
      <c r="O1282" s="24" t="str">
        <f ca="1">IF(AND(L1282&lt;&gt;1,L1281=1),MAX($O$8:O1281)+1,"")</f>
        <v/>
      </c>
      <c r="P1282" s="17" t="str">
        <f ca="1">IF(AND(L1282=-1,L1281&lt;&gt;-1),MAX($P$8:P1281)+1,"")</f>
        <v/>
      </c>
      <c r="Q1282" s="24" t="str">
        <f ca="1">IF(AND(L1282&lt;&gt;-1,L1281=-1),MAX($Q$8:Q1281)+1,"")</f>
        <v/>
      </c>
    </row>
    <row r="1283" spans="1:17" x14ac:dyDescent="0.3">
      <c r="A1283" s="3">
        <v>42072</v>
      </c>
      <c r="B1283" s="9">
        <v>14.387541000000001</v>
      </c>
      <c r="C1283" s="9">
        <v>12.053042</v>
      </c>
      <c r="E1283" s="14">
        <f t="shared" ref="E1283:E1346" si="144">IF(ISNUMBER(B1283),B1283/C1283,"")</f>
        <v>1.1936854613134178</v>
      </c>
      <c r="F1283" s="18">
        <f t="shared" ca="1" si="143"/>
        <v>0.70323735881739857</v>
      </c>
      <c r="G1283" s="15">
        <f t="shared" ca="1" si="141"/>
        <v>1.1819169765273065</v>
      </c>
      <c r="H1283" s="15">
        <f t="shared" ca="1" si="142"/>
        <v>1.6734726388685842E-2</v>
      </c>
      <c r="J1283" s="17">
        <f t="shared" ca="1" si="138"/>
        <v>1</v>
      </c>
      <c r="K1283" s="24">
        <f t="shared" ca="1" si="139"/>
        <v>0</v>
      </c>
      <c r="L1283" s="17">
        <f t="shared" ca="1" si="140"/>
        <v>1</v>
      </c>
      <c r="N1283" s="24" t="str">
        <f ca="1">IF(AND(L1283=1,L1282&lt;&gt;1),MAX($N$8:N1282)+1,"")</f>
        <v/>
      </c>
      <c r="O1283" s="24" t="str">
        <f ca="1">IF(AND(L1283&lt;&gt;1,L1282=1),MAX($O$8:O1282)+1,"")</f>
        <v/>
      </c>
      <c r="P1283" s="17" t="str">
        <f ca="1">IF(AND(L1283=-1,L1282&lt;&gt;-1),MAX($P$8:P1282)+1,"")</f>
        <v/>
      </c>
      <c r="Q1283" s="24" t="str">
        <f ca="1">IF(AND(L1283&lt;&gt;-1,L1282=-1),MAX($Q$8:Q1282)+1,"")</f>
        <v/>
      </c>
    </row>
    <row r="1284" spans="1:17" x14ac:dyDescent="0.3">
      <c r="A1284" s="3">
        <v>42073</v>
      </c>
      <c r="B1284" s="9">
        <v>13.821997</v>
      </c>
      <c r="C1284" s="9">
        <v>11.651859999999999</v>
      </c>
      <c r="E1284" s="14">
        <f t="shared" si="144"/>
        <v>1.1862481183261728</v>
      </c>
      <c r="F1284" s="18">
        <f t="shared" ca="1" si="143"/>
        <v>0.18611074541608191</v>
      </c>
      <c r="G1284" s="15">
        <f t="shared" ca="1" si="141"/>
        <v>1.1833253505126142</v>
      </c>
      <c r="H1284" s="15">
        <f t="shared" ca="1" si="142"/>
        <v>1.5704454930983498E-2</v>
      </c>
      <c r="J1284" s="17">
        <f t="shared" ca="1" si="138"/>
        <v>1</v>
      </c>
      <c r="K1284" s="24">
        <f t="shared" ca="1" si="139"/>
        <v>0</v>
      </c>
      <c r="L1284" s="17">
        <f t="shared" ca="1" si="140"/>
        <v>1</v>
      </c>
      <c r="N1284" s="24" t="str">
        <f ca="1">IF(AND(L1284=1,L1283&lt;&gt;1),MAX($N$8:N1283)+1,"")</f>
        <v/>
      </c>
      <c r="O1284" s="24" t="str">
        <f ca="1">IF(AND(L1284&lt;&gt;1,L1283=1),MAX($O$8:O1283)+1,"")</f>
        <v/>
      </c>
      <c r="P1284" s="17" t="str">
        <f ca="1">IF(AND(L1284=-1,L1283&lt;&gt;-1),MAX($P$8:P1283)+1,"")</f>
        <v/>
      </c>
      <c r="Q1284" s="24" t="str">
        <f ca="1">IF(AND(L1284&lt;&gt;-1,L1283=-1),MAX($Q$8:Q1283)+1,"")</f>
        <v/>
      </c>
    </row>
    <row r="1285" spans="1:17" x14ac:dyDescent="0.3">
      <c r="A1285" s="3">
        <v>42074</v>
      </c>
      <c r="B1285" s="9">
        <v>14.290412</v>
      </c>
      <c r="C1285" s="9">
        <v>12.001129000000001</v>
      </c>
      <c r="E1285" s="14">
        <f t="shared" si="144"/>
        <v>1.1907556364072081</v>
      </c>
      <c r="F1285" s="18">
        <f t="shared" ca="1" si="143"/>
        <v>0.40934086932342956</v>
      </c>
      <c r="G1285" s="15">
        <f t="shared" ca="1" si="141"/>
        <v>1.1845346697126411</v>
      </c>
      <c r="H1285" s="15">
        <f t="shared" ca="1" si="142"/>
        <v>1.5197521578651915E-2</v>
      </c>
      <c r="J1285" s="17">
        <f t="shared" ca="1" si="138"/>
        <v>1</v>
      </c>
      <c r="K1285" s="24">
        <f t="shared" ca="1" si="139"/>
        <v>0</v>
      </c>
      <c r="L1285" s="17">
        <f t="shared" ca="1" si="140"/>
        <v>1</v>
      </c>
      <c r="N1285" s="24" t="str">
        <f ca="1">IF(AND(L1285=1,L1284&lt;&gt;1),MAX($N$8:N1284)+1,"")</f>
        <v/>
      </c>
      <c r="O1285" s="24" t="str">
        <f ca="1">IF(AND(L1285&lt;&gt;1,L1284=1),MAX($O$8:O1284)+1,"")</f>
        <v/>
      </c>
      <c r="P1285" s="17" t="str">
        <f ca="1">IF(AND(L1285=-1,L1284&lt;&gt;-1),MAX($P$8:P1284)+1,"")</f>
        <v/>
      </c>
      <c r="Q1285" s="24" t="str">
        <f ca="1">IF(AND(L1285&lt;&gt;-1,L1284=-1),MAX($Q$8:Q1284)+1,"")</f>
        <v/>
      </c>
    </row>
    <row r="1286" spans="1:17" x14ac:dyDescent="0.3">
      <c r="A1286" s="3">
        <v>42075</v>
      </c>
      <c r="B1286" s="9">
        <v>14.349546999999999</v>
      </c>
      <c r="C1286" s="9">
        <v>11.786683999999999</v>
      </c>
      <c r="E1286" s="14">
        <f t="shared" si="144"/>
        <v>1.2174371519589395</v>
      </c>
      <c r="F1286" s="18">
        <f t="shared" ca="1" si="143"/>
        <v>1.957072730903985</v>
      </c>
      <c r="G1286" s="15">
        <f t="shared" ca="1" si="141"/>
        <v>1.1872983070716887</v>
      </c>
      <c r="H1286" s="15">
        <f t="shared" ca="1" si="142"/>
        <v>1.5399961591273867E-2</v>
      </c>
      <c r="J1286" s="17">
        <f t="shared" ca="1" si="138"/>
        <v>1</v>
      </c>
      <c r="K1286" s="24">
        <f t="shared" ca="1" si="139"/>
        <v>0</v>
      </c>
      <c r="L1286" s="17">
        <f t="shared" ca="1" si="140"/>
        <v>1</v>
      </c>
      <c r="N1286" s="24" t="str">
        <f ca="1">IF(AND(L1286=1,L1285&lt;&gt;1),MAX($N$8:N1285)+1,"")</f>
        <v/>
      </c>
      <c r="O1286" s="24" t="str">
        <f ca="1">IF(AND(L1286&lt;&gt;1,L1285=1),MAX($O$8:O1285)+1,"")</f>
        <v/>
      </c>
      <c r="P1286" s="17" t="str">
        <f ca="1">IF(AND(L1286=-1,L1285&lt;&gt;-1),MAX($P$8:P1285)+1,"")</f>
        <v/>
      </c>
      <c r="Q1286" s="24" t="str">
        <f ca="1">IF(AND(L1286&lt;&gt;-1,L1285=-1),MAX($Q$8:Q1285)+1,"")</f>
        <v/>
      </c>
    </row>
    <row r="1287" spans="1:17" x14ac:dyDescent="0.3">
      <c r="A1287" s="3">
        <v>42076</v>
      </c>
      <c r="B1287" s="9">
        <v>14.277768999999999</v>
      </c>
      <c r="C1287" s="9">
        <v>11.641434</v>
      </c>
      <c r="E1287" s="14">
        <f t="shared" si="144"/>
        <v>1.2264613620624401</v>
      </c>
      <c r="F1287" s="18">
        <f t="shared" ca="1" si="143"/>
        <v>2.3158322858738671</v>
      </c>
      <c r="G1287" s="15">
        <f t="shared" ca="1" si="141"/>
        <v>1.1906844270848866</v>
      </c>
      <c r="H1287" s="15">
        <f t="shared" ca="1" si="142"/>
        <v>1.5448845408964134E-2</v>
      </c>
      <c r="J1287" s="17">
        <f t="shared" ca="1" si="138"/>
        <v>1</v>
      </c>
      <c r="K1287" s="24">
        <f t="shared" ca="1" si="139"/>
        <v>0</v>
      </c>
      <c r="L1287" s="17">
        <f t="shared" ca="1" si="140"/>
        <v>1</v>
      </c>
      <c r="N1287" s="24" t="str">
        <f ca="1">IF(AND(L1287=1,L1286&lt;&gt;1),MAX($N$8:N1286)+1,"")</f>
        <v/>
      </c>
      <c r="O1287" s="24" t="str">
        <f ca="1">IF(AND(L1287&lt;&gt;1,L1286=1),MAX($O$8:O1286)+1,"")</f>
        <v/>
      </c>
      <c r="P1287" s="17" t="str">
        <f ca="1">IF(AND(L1287=-1,L1286&lt;&gt;-1),MAX($P$8:P1286)+1,"")</f>
        <v/>
      </c>
      <c r="Q1287" s="24" t="str">
        <f ca="1">IF(AND(L1287&lt;&gt;-1,L1286=-1),MAX($Q$8:Q1286)+1,"")</f>
        <v/>
      </c>
    </row>
    <row r="1288" spans="1:17" x14ac:dyDescent="0.3">
      <c r="A1288" s="3">
        <v>42079</v>
      </c>
      <c r="B1288" s="9">
        <v>14.277768999999999</v>
      </c>
      <c r="C1288" s="9">
        <v>11.814391000000001</v>
      </c>
      <c r="E1288" s="14">
        <f t="shared" si="144"/>
        <v>1.2085065578073384</v>
      </c>
      <c r="F1288" s="18">
        <f t="shared" ca="1" si="143"/>
        <v>1.1121735312172956</v>
      </c>
      <c r="G1288" s="15">
        <f t="shared" ca="1" si="141"/>
        <v>1.1930733046417317</v>
      </c>
      <c r="H1288" s="15">
        <f t="shared" ca="1" si="142"/>
        <v>1.3876659291391997E-2</v>
      </c>
      <c r="J1288" s="17">
        <f t="shared" ref="J1288:J1351" ca="1" si="145">IF(ISNUMBER(F1288),IF(AND(J1287&lt;&gt;1,F1288&gt;$L$1),1,IF(AND(J1287=1,F1288&gt;$N$1),1,0)),"")</f>
        <v>1</v>
      </c>
      <c r="K1288" s="24">
        <f t="shared" ca="1" si="139"/>
        <v>0</v>
      </c>
      <c r="L1288" s="17">
        <f t="shared" ca="1" si="140"/>
        <v>1</v>
      </c>
      <c r="N1288" s="24" t="str">
        <f ca="1">IF(AND(L1288=1,L1287&lt;&gt;1),MAX($N$8:N1287)+1,"")</f>
        <v/>
      </c>
      <c r="O1288" s="24" t="str">
        <f ca="1">IF(AND(L1288&lt;&gt;1,L1287=1),MAX($O$8:O1287)+1,"")</f>
        <v/>
      </c>
      <c r="P1288" s="17" t="str">
        <f ca="1">IF(AND(L1288=-1,L1287&lt;&gt;-1),MAX($P$8:P1287)+1,"")</f>
        <v/>
      </c>
      <c r="Q1288" s="24" t="str">
        <f ca="1">IF(AND(L1288&lt;&gt;-1,L1287=-1),MAX($Q$8:Q1287)+1,"")</f>
        <v/>
      </c>
    </row>
    <row r="1289" spans="1:17" x14ac:dyDescent="0.3">
      <c r="A1289" s="3">
        <v>42080</v>
      </c>
      <c r="B1289" s="9">
        <v>14.687201</v>
      </c>
      <c r="C1289" s="9">
        <v>12.277851999999999</v>
      </c>
      <c r="E1289" s="14">
        <f t="shared" si="144"/>
        <v>1.1962353838440145</v>
      </c>
      <c r="F1289" s="18">
        <f t="shared" ca="1" si="143"/>
        <v>0.21373738969377432</v>
      </c>
      <c r="G1289" s="15">
        <f t="shared" ca="1" si="141"/>
        <v>1.1932666285990527</v>
      </c>
      <c r="H1289" s="15">
        <f t="shared" ca="1" si="142"/>
        <v>1.3889732859632822E-2</v>
      </c>
      <c r="J1289" s="17">
        <f t="shared" ca="1" si="145"/>
        <v>1</v>
      </c>
      <c r="K1289" s="24">
        <f t="shared" ref="K1289:K1352" ca="1" si="146">IF(ISNUMBER(F1289),IF(AND(K1288&lt;&gt;-1,F1289&lt;$P$1),-1,IF(AND(K1288=-1,F1289&lt;R1282),-1,0)),"")</f>
        <v>0</v>
      </c>
      <c r="L1289" s="17">
        <f t="shared" ref="L1289:L1352" ca="1" si="147">IF(ISNUMBER(F1289),IF(J1289=1,1,IF(K1289=-1,-1,0)),"")</f>
        <v>1</v>
      </c>
      <c r="N1289" s="24" t="str">
        <f ca="1">IF(AND(L1289=1,L1288&lt;&gt;1),MAX($N$8:N1288)+1,"")</f>
        <v/>
      </c>
      <c r="O1289" s="24" t="str">
        <f ca="1">IF(AND(L1289&lt;&gt;1,L1288=1),MAX($O$8:O1288)+1,"")</f>
        <v/>
      </c>
      <c r="P1289" s="17" t="str">
        <f ca="1">IF(AND(L1289=-1,L1288&lt;&gt;-1),MAX($P$8:P1288)+1,"")</f>
        <v/>
      </c>
      <c r="Q1289" s="24" t="str">
        <f ca="1">IF(AND(L1289&lt;&gt;-1,L1288=-1),MAX($Q$8:Q1288)+1,"")</f>
        <v/>
      </c>
    </row>
    <row r="1290" spans="1:17" x14ac:dyDescent="0.3">
      <c r="A1290" s="3">
        <v>42081</v>
      </c>
      <c r="B1290" s="9">
        <v>15.130343</v>
      </c>
      <c r="C1290" s="9">
        <v>12.762014000000001</v>
      </c>
      <c r="E1290" s="14">
        <f t="shared" si="144"/>
        <v>1.18557643017787</v>
      </c>
      <c r="F1290" s="18">
        <f t="shared" ca="1" si="143"/>
        <v>-0.59865360144698343</v>
      </c>
      <c r="G1290" s="15">
        <f t="shared" ca="1" si="141"/>
        <v>1.1936725038091154</v>
      </c>
      <c r="H1290" s="15">
        <f t="shared" ca="1" si="142"/>
        <v>1.3523803434367898E-2</v>
      </c>
      <c r="J1290" s="17">
        <f t="shared" ca="1" si="145"/>
        <v>0</v>
      </c>
      <c r="K1290" s="24">
        <f t="shared" ca="1" si="146"/>
        <v>0</v>
      </c>
      <c r="L1290" s="17">
        <f t="shared" ca="1" si="147"/>
        <v>0</v>
      </c>
      <c r="N1290" s="24" t="str">
        <f ca="1">IF(AND(L1290=1,L1289&lt;&gt;1),MAX($N$8:N1289)+1,"")</f>
        <v/>
      </c>
      <c r="O1290" s="24">
        <f ca="1">IF(AND(L1290&lt;&gt;1,L1289=1),MAX($O$8:O1289)+1,"")</f>
        <v>39</v>
      </c>
      <c r="P1290" s="17" t="str">
        <f ca="1">IF(AND(L1290=-1,L1289&lt;&gt;-1),MAX($P$8:P1289)+1,"")</f>
        <v/>
      </c>
      <c r="Q1290" s="24" t="str">
        <f ca="1">IF(AND(L1290&lt;&gt;-1,L1289=-1),MAX($Q$8:Q1289)+1,"")</f>
        <v/>
      </c>
    </row>
    <row r="1291" spans="1:17" x14ac:dyDescent="0.3">
      <c r="A1291" s="3">
        <v>42082</v>
      </c>
      <c r="B1291" s="9">
        <v>15.037501000000001</v>
      </c>
      <c r="C1291" s="9">
        <v>12.547563999999999</v>
      </c>
      <c r="E1291" s="14">
        <f t="shared" si="144"/>
        <v>1.1984398724724576</v>
      </c>
      <c r="F1291" s="18">
        <f t="shared" ca="1" si="143"/>
        <v>0.30740233530956829</v>
      </c>
      <c r="G1291" s="15">
        <f t="shared" ca="1" si="141"/>
        <v>1.1943229201354704</v>
      </c>
      <c r="H1291" s="15">
        <f t="shared" ca="1" si="142"/>
        <v>1.3392716528458764E-2</v>
      </c>
      <c r="J1291" s="17">
        <f t="shared" ca="1" si="145"/>
        <v>0</v>
      </c>
      <c r="K1291" s="24">
        <f t="shared" ca="1" si="146"/>
        <v>0</v>
      </c>
      <c r="L1291" s="17">
        <f t="shared" ca="1" si="147"/>
        <v>0</v>
      </c>
      <c r="N1291" s="24" t="str">
        <f ca="1">IF(AND(L1291=1,L1290&lt;&gt;1),MAX($N$8:N1290)+1,"")</f>
        <v/>
      </c>
      <c r="O1291" s="24" t="str">
        <f ca="1">IF(AND(L1291&lt;&gt;1,L1290=1),MAX($O$8:O1290)+1,"")</f>
        <v/>
      </c>
      <c r="P1291" s="17" t="str">
        <f ca="1">IF(AND(L1291=-1,L1290&lt;&gt;-1),MAX($P$8:P1290)+1,"")</f>
        <v/>
      </c>
      <c r="Q1291" s="24" t="str">
        <f ca="1">IF(AND(L1291&lt;&gt;-1,L1290=-1),MAX($Q$8:Q1290)+1,"")</f>
        <v/>
      </c>
    </row>
    <row r="1292" spans="1:17" x14ac:dyDescent="0.3">
      <c r="A1292" s="3">
        <v>42083</v>
      </c>
      <c r="B1292" s="9">
        <v>15.164047</v>
      </c>
      <c r="C1292" s="9">
        <v>12.741313</v>
      </c>
      <c r="E1292" s="14">
        <f t="shared" si="144"/>
        <v>1.1901479070485121</v>
      </c>
      <c r="F1292" s="18">
        <f t="shared" ca="1" si="143"/>
        <v>-0.36368287699944479</v>
      </c>
      <c r="G1292" s="15">
        <f t="shared" ca="1" si="141"/>
        <v>1.1948635657580493</v>
      </c>
      <c r="H1292" s="15">
        <f t="shared" ca="1" si="142"/>
        <v>1.2966402895961368E-2</v>
      </c>
      <c r="J1292" s="17">
        <f t="shared" ca="1" si="145"/>
        <v>0</v>
      </c>
      <c r="K1292" s="24">
        <f t="shared" ca="1" si="146"/>
        <v>0</v>
      </c>
      <c r="L1292" s="17">
        <f t="shared" ca="1" si="147"/>
        <v>0</v>
      </c>
      <c r="N1292" s="24" t="str">
        <f ca="1">IF(AND(L1292=1,L1291&lt;&gt;1),MAX($N$8:N1291)+1,"")</f>
        <v/>
      </c>
      <c r="O1292" s="24" t="str">
        <f ca="1">IF(AND(L1292&lt;&gt;1,L1291=1),MAX($O$8:O1291)+1,"")</f>
        <v/>
      </c>
      <c r="P1292" s="17" t="str">
        <f ca="1">IF(AND(L1292=-1,L1291&lt;&gt;-1),MAX($P$8:P1291)+1,"")</f>
        <v/>
      </c>
      <c r="Q1292" s="24" t="str">
        <f ca="1">IF(AND(L1292&lt;&gt;-1,L1291=-1),MAX($Q$8:Q1291)+1,"")</f>
        <v/>
      </c>
    </row>
    <row r="1293" spans="1:17" x14ac:dyDescent="0.3">
      <c r="A1293" s="3">
        <v>42086</v>
      </c>
      <c r="B1293" s="9">
        <v>15.066996</v>
      </c>
      <c r="C1293" s="9">
        <v>12.710177</v>
      </c>
      <c r="E1293" s="14">
        <f t="shared" si="144"/>
        <v>1.1854277088352114</v>
      </c>
      <c r="F1293" s="18">
        <f t="shared" ca="1" si="143"/>
        <v>-0.75733682544044911</v>
      </c>
      <c r="G1293" s="15">
        <f t="shared" ca="1" si="141"/>
        <v>1.19508844679722</v>
      </c>
      <c r="H1293" s="15">
        <f t="shared" ca="1" si="142"/>
        <v>1.2756197292255212E-2</v>
      </c>
      <c r="J1293" s="17">
        <f t="shared" ca="1" si="145"/>
        <v>0</v>
      </c>
      <c r="K1293" s="24">
        <f t="shared" ca="1" si="146"/>
        <v>0</v>
      </c>
      <c r="L1293" s="17">
        <f t="shared" ca="1" si="147"/>
        <v>0</v>
      </c>
      <c r="N1293" s="24" t="str">
        <f ca="1">IF(AND(L1293=1,L1292&lt;&gt;1),MAX($N$8:N1292)+1,"")</f>
        <v/>
      </c>
      <c r="O1293" s="24" t="str">
        <f ca="1">IF(AND(L1293&lt;&gt;1,L1292=1),MAX($O$8:O1292)+1,"")</f>
        <v/>
      </c>
      <c r="P1293" s="17" t="str">
        <f ca="1">IF(AND(L1293=-1,L1292&lt;&gt;-1),MAX($P$8:P1292)+1,"")</f>
        <v/>
      </c>
      <c r="Q1293" s="24" t="str">
        <f ca="1">IF(AND(L1293&lt;&gt;-1,L1292=-1),MAX($Q$8:Q1292)+1,"")</f>
        <v/>
      </c>
    </row>
    <row r="1294" spans="1:17" x14ac:dyDescent="0.3">
      <c r="A1294" s="3">
        <v>42087</v>
      </c>
      <c r="B1294" s="9">
        <v>14.974152</v>
      </c>
      <c r="C1294" s="9">
        <v>12.589131999999999</v>
      </c>
      <c r="E1294" s="14">
        <f t="shared" si="144"/>
        <v>1.1894507103428578</v>
      </c>
      <c r="F1294" s="18">
        <f t="shared" ca="1" si="143"/>
        <v>-0.46809278646726726</v>
      </c>
      <c r="G1294" s="15">
        <f t="shared" ca="1" si="141"/>
        <v>1.1953417702009779</v>
      </c>
      <c r="H1294" s="15">
        <f t="shared" ca="1" si="142"/>
        <v>1.258523956880514E-2</v>
      </c>
      <c r="J1294" s="17">
        <f t="shared" ca="1" si="145"/>
        <v>0</v>
      </c>
      <c r="K1294" s="24">
        <f t="shared" ca="1" si="146"/>
        <v>0</v>
      </c>
      <c r="L1294" s="17">
        <f t="shared" ca="1" si="147"/>
        <v>0</v>
      </c>
      <c r="N1294" s="24" t="str">
        <f ca="1">IF(AND(L1294=1,L1293&lt;&gt;1),MAX($N$8:N1293)+1,"")</f>
        <v/>
      </c>
      <c r="O1294" s="24" t="str">
        <f ca="1">IF(AND(L1294&lt;&gt;1,L1293=1),MAX($O$8:O1293)+1,"")</f>
        <v/>
      </c>
      <c r="P1294" s="17" t="str">
        <f ca="1">IF(AND(L1294=-1,L1293&lt;&gt;-1),MAX($P$8:P1293)+1,"")</f>
        <v/>
      </c>
      <c r="Q1294" s="24" t="str">
        <f ca="1">IF(AND(L1294&lt;&gt;-1,L1293=-1),MAX($Q$8:Q1293)+1,"")</f>
        <v/>
      </c>
    </row>
    <row r="1295" spans="1:17" x14ac:dyDescent="0.3">
      <c r="A1295" s="3">
        <v>42088</v>
      </c>
      <c r="B1295" s="9">
        <v>14.961513</v>
      </c>
      <c r="C1295" s="9">
        <v>12.595988</v>
      </c>
      <c r="E1295" s="14">
        <f t="shared" si="144"/>
        <v>1.1877998772307499</v>
      </c>
      <c r="F1295" s="18">
        <f t="shared" ca="1" si="143"/>
        <v>-0.6199902786292395</v>
      </c>
      <c r="G1295" s="15">
        <f t="shared" ca="1" si="141"/>
        <v>1.1955186880936806</v>
      </c>
      <c r="H1295" s="15">
        <f t="shared" ca="1" si="142"/>
        <v>1.2449890149885106E-2</v>
      </c>
      <c r="J1295" s="17">
        <f t="shared" ca="1" si="145"/>
        <v>0</v>
      </c>
      <c r="K1295" s="24">
        <f t="shared" ca="1" si="146"/>
        <v>0</v>
      </c>
      <c r="L1295" s="17">
        <f t="shared" ca="1" si="147"/>
        <v>0</v>
      </c>
      <c r="N1295" s="24" t="str">
        <f ca="1">IF(AND(L1295=1,L1294&lt;&gt;1),MAX($N$8:N1294)+1,"")</f>
        <v/>
      </c>
      <c r="O1295" s="24" t="str">
        <f ca="1">IF(AND(L1295&lt;&gt;1,L1294=1),MAX($O$8:O1294)+1,"")</f>
        <v/>
      </c>
      <c r="P1295" s="17" t="str">
        <f ca="1">IF(AND(L1295=-1,L1294&lt;&gt;-1),MAX($P$8:P1294)+1,"")</f>
        <v/>
      </c>
      <c r="Q1295" s="24" t="str">
        <f ca="1">IF(AND(L1295&lt;&gt;-1,L1294=-1),MAX($Q$8:Q1294)+1,"")</f>
        <v/>
      </c>
    </row>
    <row r="1296" spans="1:17" x14ac:dyDescent="0.3">
      <c r="A1296" s="3">
        <v>42089</v>
      </c>
      <c r="B1296" s="9">
        <v>14.539440000000001</v>
      </c>
      <c r="C1296" s="9">
        <v>12.208653</v>
      </c>
      <c r="E1296" s="14">
        <f t="shared" si="144"/>
        <v>1.1909127075689678</v>
      </c>
      <c r="F1296" s="18">
        <f t="shared" ca="1" si="143"/>
        <v>-0.40539712069980532</v>
      </c>
      <c r="G1296" s="15">
        <f t="shared" ca="1" si="141"/>
        <v>1.195862923806881</v>
      </c>
      <c r="H1296" s="15">
        <f t="shared" ca="1" si="142"/>
        <v>1.2210782921615156E-2</v>
      </c>
      <c r="J1296" s="17">
        <f t="shared" ca="1" si="145"/>
        <v>0</v>
      </c>
      <c r="K1296" s="24">
        <f t="shared" ca="1" si="146"/>
        <v>0</v>
      </c>
      <c r="L1296" s="17">
        <f t="shared" ca="1" si="147"/>
        <v>0</v>
      </c>
      <c r="N1296" s="24" t="str">
        <f ca="1">IF(AND(L1296=1,L1295&lt;&gt;1),MAX($N$8:N1295)+1,"")</f>
        <v/>
      </c>
      <c r="O1296" s="24" t="str">
        <f ca="1">IF(AND(L1296&lt;&gt;1,L1295=1),MAX($O$8:O1295)+1,"")</f>
        <v/>
      </c>
      <c r="P1296" s="17" t="str">
        <f ca="1">IF(AND(L1296=-1,L1295&lt;&gt;-1),MAX($P$8:P1295)+1,"")</f>
        <v/>
      </c>
      <c r="Q1296" s="24" t="str">
        <f ca="1">IF(AND(L1296&lt;&gt;-1,L1295=-1),MAX($Q$8:Q1295)+1,"")</f>
        <v/>
      </c>
    </row>
    <row r="1297" spans="1:17" x14ac:dyDescent="0.3">
      <c r="A1297" s="3">
        <v>42090</v>
      </c>
      <c r="B1297" s="9">
        <v>14.286199</v>
      </c>
      <c r="C1297" s="9">
        <v>11.869733</v>
      </c>
      <c r="E1297" s="14">
        <f t="shared" si="144"/>
        <v>1.2035821698769467</v>
      </c>
      <c r="F1297" s="18">
        <f t="shared" ca="1" si="143"/>
        <v>0.56314595417195445</v>
      </c>
      <c r="G1297" s="15">
        <f t="shared" ca="1" si="141"/>
        <v>1.1969488459272564</v>
      </c>
      <c r="H1297" s="15">
        <f t="shared" ca="1" si="142"/>
        <v>1.1779049286510253E-2</v>
      </c>
      <c r="J1297" s="17">
        <f t="shared" ca="1" si="145"/>
        <v>0</v>
      </c>
      <c r="K1297" s="24">
        <f t="shared" ca="1" si="146"/>
        <v>0</v>
      </c>
      <c r="L1297" s="17">
        <f t="shared" ca="1" si="147"/>
        <v>0</v>
      </c>
      <c r="N1297" s="24" t="str">
        <f ca="1">IF(AND(L1297=1,L1296&lt;&gt;1),MAX($N$8:N1296)+1,"")</f>
        <v/>
      </c>
      <c r="O1297" s="24" t="str">
        <f ca="1">IF(AND(L1297&lt;&gt;1,L1296=1),MAX($O$8:O1296)+1,"")</f>
        <v/>
      </c>
      <c r="P1297" s="17" t="str">
        <f ca="1">IF(AND(L1297=-1,L1296&lt;&gt;-1),MAX($P$8:P1296)+1,"")</f>
        <v/>
      </c>
      <c r="Q1297" s="24" t="str">
        <f ca="1">IF(AND(L1297&lt;&gt;-1,L1296=-1),MAX($Q$8:Q1296)+1,"")</f>
        <v/>
      </c>
    </row>
    <row r="1298" spans="1:17" x14ac:dyDescent="0.3">
      <c r="A1298" s="3">
        <v>42093</v>
      </c>
      <c r="B1298" s="9">
        <v>14.767331</v>
      </c>
      <c r="C1298" s="9">
        <v>12.118746</v>
      </c>
      <c r="E1298" s="14">
        <f t="shared" si="144"/>
        <v>1.2185527281453048</v>
      </c>
      <c r="F1298" s="18">
        <f t="shared" ca="1" si="143"/>
        <v>1.6402639156946801</v>
      </c>
      <c r="G1298" s="15">
        <f t="shared" ca="1" si="141"/>
        <v>1.1985656575463495</v>
      </c>
      <c r="H1298" s="15">
        <f t="shared" ca="1" si="142"/>
        <v>1.2185277264049582E-2</v>
      </c>
      <c r="J1298" s="17">
        <f t="shared" ca="1" si="145"/>
        <v>1</v>
      </c>
      <c r="K1298" s="24">
        <f t="shared" ca="1" si="146"/>
        <v>0</v>
      </c>
      <c r="L1298" s="17">
        <f t="shared" ca="1" si="147"/>
        <v>1</v>
      </c>
      <c r="N1298" s="24">
        <f ca="1">IF(AND(L1298=1,L1297&lt;&gt;1),MAX($N$8:N1297)+1,"")</f>
        <v>40</v>
      </c>
      <c r="O1298" s="24" t="str">
        <f ca="1">IF(AND(L1298&lt;&gt;1,L1297=1),MAX($O$8:O1297)+1,"")</f>
        <v/>
      </c>
      <c r="P1298" s="17" t="str">
        <f ca="1">IF(AND(L1298=-1,L1297&lt;&gt;-1),MAX($P$8:P1297)+1,"")</f>
        <v/>
      </c>
      <c r="Q1298" s="24" t="str">
        <f ca="1">IF(AND(L1298&lt;&gt;-1,L1297=-1),MAX($Q$8:Q1297)+1,"")</f>
        <v/>
      </c>
    </row>
    <row r="1299" spans="1:17" x14ac:dyDescent="0.3">
      <c r="A1299" s="3">
        <v>42094</v>
      </c>
      <c r="B1299" s="9">
        <v>14.902379</v>
      </c>
      <c r="C1299" s="9">
        <v>12.263997</v>
      </c>
      <c r="E1299" s="14">
        <f t="shared" si="144"/>
        <v>1.2151323096377145</v>
      </c>
      <c r="F1299" s="18">
        <f t="shared" ca="1" si="143"/>
        <v>1.2376778321618722</v>
      </c>
      <c r="G1299" s="15">
        <f t="shared" ca="1" si="141"/>
        <v>1.1999302962867213</v>
      </c>
      <c r="H1299" s="15">
        <f t="shared" ca="1" si="142"/>
        <v>1.2282690176683162E-2</v>
      </c>
      <c r="J1299" s="17">
        <f t="shared" ca="1" si="145"/>
        <v>1</v>
      </c>
      <c r="K1299" s="24">
        <f t="shared" ca="1" si="146"/>
        <v>0</v>
      </c>
      <c r="L1299" s="17">
        <f t="shared" ca="1" si="147"/>
        <v>1</v>
      </c>
      <c r="N1299" s="24" t="str">
        <f ca="1">IF(AND(L1299=1,L1298&lt;&gt;1),MAX($N$8:N1298)+1,"")</f>
        <v/>
      </c>
      <c r="O1299" s="24" t="str">
        <f ca="1">IF(AND(L1299&lt;&gt;1,L1298=1),MAX($O$8:O1298)+1,"")</f>
        <v/>
      </c>
      <c r="P1299" s="17" t="str">
        <f ca="1">IF(AND(L1299=-1,L1298&lt;&gt;-1),MAX($P$8:P1298)+1,"")</f>
        <v/>
      </c>
      <c r="Q1299" s="24" t="str">
        <f ca="1">IF(AND(L1299&lt;&gt;-1,L1298=-1),MAX($Q$8:Q1298)+1,"")</f>
        <v/>
      </c>
    </row>
    <row r="1300" spans="1:17" x14ac:dyDescent="0.3">
      <c r="A1300" s="3">
        <v>42095</v>
      </c>
      <c r="B1300" s="9">
        <v>15.416539999999999</v>
      </c>
      <c r="C1300" s="9">
        <v>12.662416</v>
      </c>
      <c r="E1300" s="14">
        <f t="shared" si="144"/>
        <v>1.2175038318121911</v>
      </c>
      <c r="F1300" s="18">
        <f t="shared" ca="1" si="143"/>
        <v>1.2996209298192805</v>
      </c>
      <c r="G1300" s="15">
        <f t="shared" ca="1" si="141"/>
        <v>1.2008908305877946</v>
      </c>
      <c r="H1300" s="15">
        <f t="shared" ca="1" si="142"/>
        <v>1.2782959125401823E-2</v>
      </c>
      <c r="J1300" s="17">
        <f t="shared" ca="1" si="145"/>
        <v>1</v>
      </c>
      <c r="K1300" s="24">
        <f t="shared" ca="1" si="146"/>
        <v>0</v>
      </c>
      <c r="L1300" s="17">
        <f t="shared" ca="1" si="147"/>
        <v>1</v>
      </c>
      <c r="N1300" s="24" t="str">
        <f ca="1">IF(AND(L1300=1,L1299&lt;&gt;1),MAX($N$8:N1299)+1,"")</f>
        <v/>
      </c>
      <c r="O1300" s="24" t="str">
        <f ca="1">IF(AND(L1300&lt;&gt;1,L1299=1),MAX($O$8:O1299)+1,"")</f>
        <v/>
      </c>
      <c r="P1300" s="17" t="str">
        <f ca="1">IF(AND(L1300=-1,L1299&lt;&gt;-1),MAX($P$8:P1299)+1,"")</f>
        <v/>
      </c>
      <c r="Q1300" s="24" t="str">
        <f ca="1">IF(AND(L1300&lt;&gt;-1,L1299=-1),MAX($Q$8:Q1299)+1,"")</f>
        <v/>
      </c>
    </row>
    <row r="1301" spans="1:17" x14ac:dyDescent="0.3">
      <c r="A1301" s="3">
        <v>42096</v>
      </c>
      <c r="B1301" s="9">
        <v>15.56434</v>
      </c>
      <c r="C1301" s="9">
        <v>12.800936999999999</v>
      </c>
      <c r="E1301" s="14">
        <f t="shared" si="144"/>
        <v>1.215875056646244</v>
      </c>
      <c r="F1301" s="18">
        <f t="shared" ca="1" si="143"/>
        <v>1.0916235788487811</v>
      </c>
      <c r="G1301" s="15">
        <f t="shared" ca="1" si="141"/>
        <v>1.2015110333578274</v>
      </c>
      <c r="H1301" s="15">
        <f t="shared" ca="1" si="142"/>
        <v>1.3158403287298698E-2</v>
      </c>
      <c r="J1301" s="17">
        <f t="shared" ca="1" si="145"/>
        <v>1</v>
      </c>
      <c r="K1301" s="24">
        <f t="shared" ca="1" si="146"/>
        <v>0</v>
      </c>
      <c r="L1301" s="17">
        <f t="shared" ca="1" si="147"/>
        <v>1</v>
      </c>
      <c r="N1301" s="24" t="str">
        <f ca="1">IF(AND(L1301=1,L1300&lt;&gt;1),MAX($N$8:N1300)+1,"")</f>
        <v/>
      </c>
      <c r="O1301" s="24" t="str">
        <f ca="1">IF(AND(L1301&lt;&gt;1,L1300=1),MAX($O$8:O1300)+1,"")</f>
        <v/>
      </c>
      <c r="P1301" s="17" t="str">
        <f ca="1">IF(AND(L1301=-1,L1300&lt;&gt;-1),MAX($P$8:P1300)+1,"")</f>
        <v/>
      </c>
      <c r="Q1301" s="24" t="str">
        <f ca="1">IF(AND(L1301&lt;&gt;-1,L1300=-1),MAX($Q$8:Q1300)+1,"")</f>
        <v/>
      </c>
    </row>
    <row r="1302" spans="1:17" x14ac:dyDescent="0.3">
      <c r="A1302" s="3">
        <v>42100</v>
      </c>
      <c r="B1302" s="9">
        <v>15.754458</v>
      </c>
      <c r="C1302" s="9">
        <v>12.925547</v>
      </c>
      <c r="E1302" s="14">
        <f t="shared" si="144"/>
        <v>1.2188619947767008</v>
      </c>
      <c r="F1302" s="18">
        <f t="shared" ca="1" si="143"/>
        <v>1.3013067597615926</v>
      </c>
      <c r="G1302" s="15">
        <f t="shared" ca="1" si="141"/>
        <v>1.2015983277627751</v>
      </c>
      <c r="H1302" s="15">
        <f t="shared" ca="1" si="142"/>
        <v>1.3266408465509307E-2</v>
      </c>
      <c r="J1302" s="17">
        <f t="shared" ca="1" si="145"/>
        <v>1</v>
      </c>
      <c r="K1302" s="24">
        <f t="shared" ca="1" si="146"/>
        <v>0</v>
      </c>
      <c r="L1302" s="17">
        <f t="shared" ca="1" si="147"/>
        <v>1</v>
      </c>
      <c r="N1302" s="24" t="str">
        <f ca="1">IF(AND(L1302=1,L1301&lt;&gt;1),MAX($N$8:N1301)+1,"")</f>
        <v/>
      </c>
      <c r="O1302" s="24" t="str">
        <f ca="1">IF(AND(L1302&lt;&gt;1,L1301=1),MAX($O$8:O1301)+1,"")</f>
        <v/>
      </c>
      <c r="P1302" s="17" t="str">
        <f ca="1">IF(AND(L1302=-1,L1301&lt;&gt;-1),MAX($P$8:P1301)+1,"")</f>
        <v/>
      </c>
      <c r="Q1302" s="24" t="str">
        <f ca="1">IF(AND(L1302&lt;&gt;-1,L1301=-1),MAX($Q$8:Q1301)+1,"")</f>
        <v/>
      </c>
    </row>
    <row r="1303" spans="1:17" x14ac:dyDescent="0.3">
      <c r="A1303" s="3">
        <v>42101</v>
      </c>
      <c r="B1303" s="9">
        <v>15.762884</v>
      </c>
      <c r="C1303" s="9">
        <v>12.996202</v>
      </c>
      <c r="E1303" s="14">
        <f t="shared" si="144"/>
        <v>1.2128838871541086</v>
      </c>
      <c r="F1303" s="18">
        <f t="shared" ca="1" si="143"/>
        <v>0.82587539765953999</v>
      </c>
      <c r="G1303" s="15">
        <f t="shared" ca="1" si="141"/>
        <v>1.2018110504087793</v>
      </c>
      <c r="H1303" s="15">
        <f t="shared" ca="1" si="142"/>
        <v>1.3407393871652656E-2</v>
      </c>
      <c r="J1303" s="17">
        <f t="shared" ca="1" si="145"/>
        <v>1</v>
      </c>
      <c r="K1303" s="24">
        <f t="shared" ca="1" si="146"/>
        <v>0</v>
      </c>
      <c r="L1303" s="17">
        <f t="shared" ca="1" si="147"/>
        <v>1</v>
      </c>
      <c r="N1303" s="24" t="str">
        <f ca="1">IF(AND(L1303=1,L1302&lt;&gt;1),MAX($N$8:N1302)+1,"")</f>
        <v/>
      </c>
      <c r="O1303" s="24" t="str">
        <f ca="1">IF(AND(L1303&lt;&gt;1,L1302=1),MAX($O$8:O1302)+1,"")</f>
        <v/>
      </c>
      <c r="P1303" s="17" t="str">
        <f ca="1">IF(AND(L1303=-1,L1302&lt;&gt;-1),MAX($P$8:P1302)+1,"")</f>
        <v/>
      </c>
      <c r="Q1303" s="24" t="str">
        <f ca="1">IF(AND(L1303&lt;&gt;-1,L1302=-1),MAX($Q$8:Q1302)+1,"")</f>
        <v/>
      </c>
    </row>
    <row r="1304" spans="1:17" x14ac:dyDescent="0.3">
      <c r="A1304" s="3">
        <v>42102</v>
      </c>
      <c r="B1304" s="9">
        <v>15.838934</v>
      </c>
      <c r="C1304" s="9">
        <v>12.992044999999999</v>
      </c>
      <c r="E1304" s="14">
        <f t="shared" si="144"/>
        <v>1.2191255495189557</v>
      </c>
      <c r="F1304" s="18">
        <f t="shared" ca="1" si="143"/>
        <v>1.1745858343719475</v>
      </c>
      <c r="G1304" s="15">
        <f t="shared" ca="1" si="141"/>
        <v>1.2031182914983782</v>
      </c>
      <c r="H1304" s="15">
        <f t="shared" ca="1" si="142"/>
        <v>1.3628001932388835E-2</v>
      </c>
      <c r="J1304" s="17">
        <f t="shared" ca="1" si="145"/>
        <v>1</v>
      </c>
      <c r="K1304" s="24">
        <f t="shared" ca="1" si="146"/>
        <v>0</v>
      </c>
      <c r="L1304" s="17">
        <f t="shared" ca="1" si="147"/>
        <v>1</v>
      </c>
      <c r="N1304" s="24" t="str">
        <f ca="1">IF(AND(L1304=1,L1303&lt;&gt;1),MAX($N$8:N1303)+1,"")</f>
        <v/>
      </c>
      <c r="O1304" s="24" t="str">
        <f ca="1">IF(AND(L1304&lt;&gt;1,L1303=1),MAX($O$8:O1303)+1,"")</f>
        <v/>
      </c>
      <c r="P1304" s="17" t="str">
        <f ca="1">IF(AND(L1304=-1,L1303&lt;&gt;-1),MAX($P$8:P1303)+1,"")</f>
        <v/>
      </c>
      <c r="Q1304" s="24" t="str">
        <f ca="1">IF(AND(L1304&lt;&gt;-1,L1303=-1),MAX($Q$8:Q1303)+1,"")</f>
        <v/>
      </c>
    </row>
    <row r="1305" spans="1:17" x14ac:dyDescent="0.3">
      <c r="A1305" s="3">
        <v>42103</v>
      </c>
      <c r="B1305" s="9">
        <v>15.522105</v>
      </c>
      <c r="C1305" s="9">
        <v>12.759399</v>
      </c>
      <c r="E1305" s="14">
        <f t="shared" si="144"/>
        <v>1.2165232077153476</v>
      </c>
      <c r="F1305" s="18">
        <f t="shared" ca="1" si="143"/>
        <v>0.90010722931516773</v>
      </c>
      <c r="G1305" s="15">
        <f t="shared" ca="1" si="141"/>
        <v>1.2041563708802843</v>
      </c>
      <c r="H1305" s="15">
        <f t="shared" ca="1" si="142"/>
        <v>1.3739292866775945E-2</v>
      </c>
      <c r="J1305" s="17">
        <f t="shared" ca="1" si="145"/>
        <v>1</v>
      </c>
      <c r="K1305" s="24">
        <f t="shared" ca="1" si="146"/>
        <v>0</v>
      </c>
      <c r="L1305" s="17">
        <f t="shared" ca="1" si="147"/>
        <v>1</v>
      </c>
      <c r="N1305" s="24" t="str">
        <f ca="1">IF(AND(L1305=1,L1304&lt;&gt;1),MAX($N$8:N1304)+1,"")</f>
        <v/>
      </c>
      <c r="O1305" s="24" t="str">
        <f ca="1">IF(AND(L1305&lt;&gt;1,L1304=1),MAX($O$8:O1304)+1,"")</f>
        <v/>
      </c>
      <c r="P1305" s="17" t="str">
        <f ca="1">IF(AND(L1305=-1,L1304&lt;&gt;-1),MAX($P$8:P1304)+1,"")</f>
        <v/>
      </c>
      <c r="Q1305" s="24" t="str">
        <f ca="1">IF(AND(L1305&lt;&gt;-1,L1304=-1),MAX($Q$8:Q1304)+1,"")</f>
        <v/>
      </c>
    </row>
    <row r="1306" spans="1:17" x14ac:dyDescent="0.3">
      <c r="A1306" s="3">
        <v>42104</v>
      </c>
      <c r="B1306" s="9">
        <v>15.636172</v>
      </c>
      <c r="C1306" s="9">
        <v>12.809265999999999</v>
      </c>
      <c r="E1306" s="14">
        <f t="shared" si="144"/>
        <v>1.2206922707358876</v>
      </c>
      <c r="F1306" s="18">
        <f t="shared" ca="1" si="143"/>
        <v>1.1031175306357217</v>
      </c>
      <c r="G1306" s="15">
        <f t="shared" ca="1" si="141"/>
        <v>1.2057220141716352</v>
      </c>
      <c r="H1306" s="15">
        <f t="shared" ca="1" si="142"/>
        <v>1.3570862712720325E-2</v>
      </c>
      <c r="J1306" s="17">
        <f t="shared" ca="1" si="145"/>
        <v>1</v>
      </c>
      <c r="K1306" s="24">
        <f t="shared" ca="1" si="146"/>
        <v>0</v>
      </c>
      <c r="L1306" s="17">
        <f t="shared" ca="1" si="147"/>
        <v>1</v>
      </c>
      <c r="N1306" s="24" t="str">
        <f ca="1">IF(AND(L1306=1,L1305&lt;&gt;1),MAX($N$8:N1305)+1,"")</f>
        <v/>
      </c>
      <c r="O1306" s="24" t="str">
        <f ca="1">IF(AND(L1306&lt;&gt;1,L1305=1),MAX($O$8:O1305)+1,"")</f>
        <v/>
      </c>
      <c r="P1306" s="17" t="str">
        <f ca="1">IF(AND(L1306=-1,L1305&lt;&gt;-1),MAX($P$8:P1305)+1,"")</f>
        <v/>
      </c>
      <c r="Q1306" s="24" t="str">
        <f ca="1">IF(AND(L1306&lt;&gt;-1,L1305=-1),MAX($Q$8:Q1305)+1,"")</f>
        <v/>
      </c>
    </row>
    <row r="1307" spans="1:17" x14ac:dyDescent="0.3">
      <c r="A1307" s="3">
        <v>42107</v>
      </c>
      <c r="B1307" s="9">
        <v>15.513669</v>
      </c>
      <c r="C1307" s="9">
        <v>12.842476</v>
      </c>
      <c r="E1307" s="14">
        <f t="shared" si="144"/>
        <v>1.2079967289796765</v>
      </c>
      <c r="F1307" s="18">
        <f t="shared" ca="1" si="143"/>
        <v>0.11316218382320463</v>
      </c>
      <c r="G1307" s="15">
        <f t="shared" ca="1" si="141"/>
        <v>1.2065057001976565</v>
      </c>
      <c r="H1307" s="15">
        <f t="shared" ca="1" si="142"/>
        <v>1.3176034003987334E-2</v>
      </c>
      <c r="J1307" s="17">
        <f t="shared" ca="1" si="145"/>
        <v>1</v>
      </c>
      <c r="K1307" s="24">
        <f t="shared" ca="1" si="146"/>
        <v>0</v>
      </c>
      <c r="L1307" s="17">
        <f t="shared" ca="1" si="147"/>
        <v>1</v>
      </c>
      <c r="N1307" s="24" t="str">
        <f ca="1">IF(AND(L1307=1,L1306&lt;&gt;1),MAX($N$8:N1306)+1,"")</f>
        <v/>
      </c>
      <c r="O1307" s="24" t="str">
        <f ca="1">IF(AND(L1307&lt;&gt;1,L1306=1),MAX($O$8:O1306)+1,"")</f>
        <v/>
      </c>
      <c r="P1307" s="17" t="str">
        <f ca="1">IF(AND(L1307=-1,L1306&lt;&gt;-1),MAX($P$8:P1306)+1,"")</f>
        <v/>
      </c>
      <c r="Q1307" s="24" t="str">
        <f ca="1">IF(AND(L1307&lt;&gt;-1,L1306=-1),MAX($Q$8:Q1306)+1,"")</f>
        <v/>
      </c>
    </row>
    <row r="1308" spans="1:17" x14ac:dyDescent="0.3">
      <c r="A1308" s="3">
        <v>42108</v>
      </c>
      <c r="B1308" s="9">
        <v>15.513669</v>
      </c>
      <c r="C1308" s="9">
        <v>13.021099</v>
      </c>
      <c r="E1308" s="14">
        <f t="shared" si="144"/>
        <v>1.1914254703078442</v>
      </c>
      <c r="F1308" s="18">
        <f t="shared" ca="1" si="143"/>
        <v>-1.0442888240073507</v>
      </c>
      <c r="G1308" s="15">
        <f t="shared" ca="1" si="141"/>
        <v>1.2053233510316976</v>
      </c>
      <c r="H1308" s="15">
        <f t="shared" ca="1" si="142"/>
        <v>1.330846448257654E-2</v>
      </c>
      <c r="J1308" s="17">
        <f t="shared" ca="1" si="145"/>
        <v>0</v>
      </c>
      <c r="K1308" s="24">
        <f t="shared" ca="1" si="146"/>
        <v>-1</v>
      </c>
      <c r="L1308" s="17">
        <f t="shared" ca="1" si="147"/>
        <v>-1</v>
      </c>
      <c r="N1308" s="24" t="str">
        <f ca="1">IF(AND(L1308=1,L1307&lt;&gt;1),MAX($N$8:N1307)+1,"")</f>
        <v/>
      </c>
      <c r="O1308" s="24">
        <f ca="1">IF(AND(L1308&lt;&gt;1,L1307=1),MAX($O$8:O1307)+1,"")</f>
        <v>40</v>
      </c>
      <c r="P1308" s="17">
        <f ca="1">IF(AND(L1308=-1,L1307&lt;&gt;-1),MAX($P$8:P1307)+1,"")</f>
        <v>49</v>
      </c>
      <c r="Q1308" s="24" t="str">
        <f ca="1">IF(AND(L1308&lt;&gt;-1,L1307=-1),MAX($Q$8:Q1307)+1,"")</f>
        <v/>
      </c>
    </row>
    <row r="1309" spans="1:17" x14ac:dyDescent="0.3">
      <c r="A1309" s="3">
        <v>42109</v>
      </c>
      <c r="B1309" s="9">
        <v>15.737517</v>
      </c>
      <c r="C1309" s="9">
        <v>13.162412</v>
      </c>
      <c r="E1309" s="14">
        <f t="shared" si="144"/>
        <v>1.1956408141608088</v>
      </c>
      <c r="F1309" s="18">
        <f t="shared" ca="1" si="143"/>
        <v>-0.65655862966285505</v>
      </c>
      <c r="G1309" s="15">
        <f t="shared" ca="1" si="141"/>
        <v>1.2039224170361689</v>
      </c>
      <c r="H1309" s="15">
        <f t="shared" ca="1" si="142"/>
        <v>1.2613653223342279E-2</v>
      </c>
      <c r="J1309" s="17">
        <f t="shared" ca="1" si="145"/>
        <v>0</v>
      </c>
      <c r="K1309" s="24">
        <f t="shared" ca="1" si="146"/>
        <v>-1</v>
      </c>
      <c r="L1309" s="17">
        <f t="shared" ca="1" si="147"/>
        <v>-1</v>
      </c>
      <c r="N1309" s="24" t="str">
        <f ca="1">IF(AND(L1309=1,L1308&lt;&gt;1),MAX($N$8:N1308)+1,"")</f>
        <v/>
      </c>
      <c r="O1309" s="24" t="str">
        <f ca="1">IF(AND(L1309&lt;&gt;1,L1308=1),MAX($O$8:O1308)+1,"")</f>
        <v/>
      </c>
      <c r="P1309" s="17" t="str">
        <f ca="1">IF(AND(L1309=-1,L1308&lt;&gt;-1),MAX($P$8:P1308)+1,"")</f>
        <v/>
      </c>
      <c r="Q1309" s="24" t="str">
        <f ca="1">IF(AND(L1309&lt;&gt;-1,L1308=-1),MAX($Q$8:Q1308)+1,"")</f>
        <v/>
      </c>
    </row>
    <row r="1310" spans="1:17" x14ac:dyDescent="0.3">
      <c r="A1310" s="3">
        <v>42110</v>
      </c>
      <c r="B1310" s="9">
        <v>15.619308</v>
      </c>
      <c r="C1310" s="9">
        <v>13.166577999999999</v>
      </c>
      <c r="E1310" s="14">
        <f t="shared" si="144"/>
        <v>1.1862845456123832</v>
      </c>
      <c r="F1310" s="18">
        <f t="shared" ca="1" si="143"/>
        <v>-1.2705575732862129</v>
      </c>
      <c r="G1310" s="15">
        <f t="shared" ca="1" si="141"/>
        <v>1.2029123255727618</v>
      </c>
      <c r="H1310" s="15">
        <f t="shared" ca="1" si="142"/>
        <v>1.3086994489649157E-2</v>
      </c>
      <c r="J1310" s="17">
        <f t="shared" ca="1" si="145"/>
        <v>0</v>
      </c>
      <c r="K1310" s="24">
        <f t="shared" ca="1" si="146"/>
        <v>-1</v>
      </c>
      <c r="L1310" s="17">
        <f t="shared" ca="1" si="147"/>
        <v>-1</v>
      </c>
      <c r="N1310" s="24" t="str">
        <f ca="1">IF(AND(L1310=1,L1309&lt;&gt;1),MAX($N$8:N1309)+1,"")</f>
        <v/>
      </c>
      <c r="O1310" s="24" t="str">
        <f ca="1">IF(AND(L1310&lt;&gt;1,L1309=1),MAX($O$8:O1309)+1,"")</f>
        <v/>
      </c>
      <c r="P1310" s="17" t="str">
        <f ca="1">IF(AND(L1310=-1,L1309&lt;&gt;-1),MAX($P$8:P1309)+1,"")</f>
        <v/>
      </c>
      <c r="Q1310" s="24" t="str">
        <f ca="1">IF(AND(L1310&lt;&gt;-1,L1309=-1),MAX($Q$8:Q1309)+1,"")</f>
        <v/>
      </c>
    </row>
    <row r="1311" spans="1:17" x14ac:dyDescent="0.3">
      <c r="A1311" s="3">
        <v>42111</v>
      </c>
      <c r="B1311" s="9">
        <v>15.420749000000001</v>
      </c>
      <c r="C1311" s="9">
        <v>12.775975000000001</v>
      </c>
      <c r="E1311" s="14">
        <f t="shared" si="144"/>
        <v>1.2070115196687532</v>
      </c>
      <c r="F1311" s="18">
        <f t="shared" ca="1" si="143"/>
        <v>0.27701604442755084</v>
      </c>
      <c r="G1311" s="15">
        <f t="shared" ref="G1311:G1374" ca="1" si="148">IF(ISNUMBER(E1311),IF(ROW(E1311)&gt;$J$1,AVERAGE(OFFSET(E1311,0,0,-$J$1)),""),"")</f>
        <v>1.2034021499284318</v>
      </c>
      <c r="H1311" s="15">
        <f t="shared" ref="H1311:H1374" ca="1" si="149">IF(ISNUMBER(E1311),IF(ROW(E1311)&gt;$J$1,_xlfn.STDEV.P(OFFSET(E1311,0,0,-$J$1)),""),"")</f>
        <v>1.3029460975013733E-2</v>
      </c>
      <c r="J1311" s="17">
        <f t="shared" ca="1" si="145"/>
        <v>0</v>
      </c>
      <c r="K1311" s="24">
        <f t="shared" ca="1" si="146"/>
        <v>0</v>
      </c>
      <c r="L1311" s="17">
        <f t="shared" ca="1" si="147"/>
        <v>0</v>
      </c>
      <c r="N1311" s="24" t="str">
        <f ca="1">IF(AND(L1311=1,L1310&lt;&gt;1),MAX($N$8:N1310)+1,"")</f>
        <v/>
      </c>
      <c r="O1311" s="24" t="str">
        <f ca="1">IF(AND(L1311&lt;&gt;1,L1310=1),MAX($O$8:O1310)+1,"")</f>
        <v/>
      </c>
      <c r="P1311" s="17" t="str">
        <f ca="1">IF(AND(L1311=-1,L1310&lt;&gt;-1),MAX($P$8:P1310)+1,"")</f>
        <v/>
      </c>
      <c r="Q1311" s="24">
        <f ca="1">IF(AND(L1311&lt;&gt;-1,L1310=-1),MAX($Q$8:Q1310)+1,"")</f>
        <v>49</v>
      </c>
    </row>
    <row r="1312" spans="1:17" x14ac:dyDescent="0.3">
      <c r="A1312" s="3">
        <v>42114</v>
      </c>
      <c r="B1312" s="9">
        <v>15.163095999999999</v>
      </c>
      <c r="C1312" s="9">
        <v>12.705386000000001</v>
      </c>
      <c r="E1312" s="14">
        <f t="shared" si="144"/>
        <v>1.1934384362663204</v>
      </c>
      <c r="F1312" s="18">
        <f t="shared" ca="1" si="143"/>
        <v>-0.8166978830019288</v>
      </c>
      <c r="G1312" s="15">
        <f t="shared" ca="1" si="148"/>
        <v>1.2037595138415431</v>
      </c>
      <c r="H1312" s="15">
        <f t="shared" ca="1" si="149"/>
        <v>1.2637571114162346E-2</v>
      </c>
      <c r="J1312" s="17">
        <f t="shared" ca="1" si="145"/>
        <v>0</v>
      </c>
      <c r="K1312" s="24">
        <f t="shared" ca="1" si="146"/>
        <v>0</v>
      </c>
      <c r="L1312" s="17">
        <f t="shared" ca="1" si="147"/>
        <v>0</v>
      </c>
      <c r="N1312" s="24" t="str">
        <f ca="1">IF(AND(L1312=1,L1311&lt;&gt;1),MAX($N$8:N1311)+1,"")</f>
        <v/>
      </c>
      <c r="O1312" s="24" t="str">
        <f ca="1">IF(AND(L1312&lt;&gt;1,L1311=1),MAX($O$8:O1311)+1,"")</f>
        <v/>
      </c>
      <c r="P1312" s="17" t="str">
        <f ca="1">IF(AND(L1312=-1,L1311&lt;&gt;-1),MAX($P$8:P1311)+1,"")</f>
        <v/>
      </c>
      <c r="Q1312" s="24" t="str">
        <f ca="1">IF(AND(L1312&lt;&gt;-1,L1311=-1),MAX($Q$8:Q1311)+1,"")</f>
        <v/>
      </c>
    </row>
    <row r="1313" spans="1:17" x14ac:dyDescent="0.3">
      <c r="A1313" s="3">
        <v>42116</v>
      </c>
      <c r="B1313" s="9">
        <v>15.585497999999999</v>
      </c>
      <c r="C1313" s="9">
        <v>12.809265999999999</v>
      </c>
      <c r="E1313" s="14">
        <f t="shared" si="144"/>
        <v>1.2167362282897396</v>
      </c>
      <c r="F1313" s="18">
        <f t="shared" ca="1" si="143"/>
        <v>0.94439183384709668</v>
      </c>
      <c r="G1313" s="15">
        <f t="shared" ca="1" si="148"/>
        <v>1.2045911663786921</v>
      </c>
      <c r="H1313" s="15">
        <f t="shared" ca="1" si="149"/>
        <v>1.2860193699021161E-2</v>
      </c>
      <c r="J1313" s="17">
        <f t="shared" ca="1" si="145"/>
        <v>0</v>
      </c>
      <c r="K1313" s="24">
        <f t="shared" ca="1" si="146"/>
        <v>0</v>
      </c>
      <c r="L1313" s="17">
        <f t="shared" ca="1" si="147"/>
        <v>0</v>
      </c>
      <c r="N1313" s="24" t="str">
        <f ca="1">IF(AND(L1313=1,L1312&lt;&gt;1),MAX($N$8:N1312)+1,"")</f>
        <v/>
      </c>
      <c r="O1313" s="24" t="str">
        <f ca="1">IF(AND(L1313&lt;&gt;1,L1312=1),MAX($O$8:O1312)+1,"")</f>
        <v/>
      </c>
      <c r="P1313" s="17" t="str">
        <f ca="1">IF(AND(L1313=-1,L1312&lt;&gt;-1),MAX($P$8:P1312)+1,"")</f>
        <v/>
      </c>
      <c r="Q1313" s="24" t="str">
        <f ca="1">IF(AND(L1313&lt;&gt;-1,L1312=-1),MAX($Q$8:Q1312)+1,"")</f>
        <v/>
      </c>
    </row>
    <row r="1314" spans="1:17" x14ac:dyDescent="0.3">
      <c r="A1314" s="3">
        <v>42117</v>
      </c>
      <c r="B1314" s="9">
        <v>16.007812999999999</v>
      </c>
      <c r="C1314" s="9">
        <v>13.137453000000001</v>
      </c>
      <c r="E1314" s="14">
        <f t="shared" si="144"/>
        <v>1.2184867949670304</v>
      </c>
      <c r="F1314" s="18">
        <f t="shared" ca="1" si="143"/>
        <v>0.98743519024838322</v>
      </c>
      <c r="G1314" s="15">
        <f t="shared" ca="1" si="148"/>
        <v>1.2058792976477157</v>
      </c>
      <c r="H1314" s="15">
        <f t="shared" ca="1" si="149"/>
        <v>1.2767923853456464E-2</v>
      </c>
      <c r="J1314" s="17">
        <f t="shared" ca="1" si="145"/>
        <v>0</v>
      </c>
      <c r="K1314" s="24">
        <f t="shared" ca="1" si="146"/>
        <v>0</v>
      </c>
      <c r="L1314" s="17">
        <f t="shared" ca="1" si="147"/>
        <v>0</v>
      </c>
      <c r="N1314" s="24" t="str">
        <f ca="1">IF(AND(L1314=1,L1313&lt;&gt;1),MAX($N$8:N1313)+1,"")</f>
        <v/>
      </c>
      <c r="O1314" s="24" t="str">
        <f ca="1">IF(AND(L1314&lt;&gt;1,L1313=1),MAX($O$8:O1313)+1,"")</f>
        <v/>
      </c>
      <c r="P1314" s="17" t="str">
        <f ca="1">IF(AND(L1314=-1,L1313&lt;&gt;-1),MAX($P$8:P1313)+1,"")</f>
        <v/>
      </c>
      <c r="Q1314" s="24" t="str">
        <f ca="1">IF(AND(L1314&lt;&gt;-1,L1313=-1),MAX($Q$8:Q1313)+1,"")</f>
        <v/>
      </c>
    </row>
    <row r="1315" spans="1:17" x14ac:dyDescent="0.3">
      <c r="A1315" s="3">
        <v>42118</v>
      </c>
      <c r="B1315" s="9">
        <v>16.527346000000001</v>
      </c>
      <c r="C1315" s="9">
        <v>13.503085</v>
      </c>
      <c r="E1315" s="14">
        <f t="shared" si="144"/>
        <v>1.2239681524629373</v>
      </c>
      <c r="F1315" s="18">
        <f t="shared" ca="1" si="143"/>
        <v>1.3087977962788617</v>
      </c>
      <c r="G1315" s="15">
        <f t="shared" ca="1" si="148"/>
        <v>1.2076311359944305</v>
      </c>
      <c r="H1315" s="15">
        <f t="shared" ca="1" si="149"/>
        <v>1.2482460250892679E-2</v>
      </c>
      <c r="J1315" s="17">
        <f t="shared" ca="1" si="145"/>
        <v>1</v>
      </c>
      <c r="K1315" s="24">
        <f t="shared" ca="1" si="146"/>
        <v>0</v>
      </c>
      <c r="L1315" s="17">
        <f t="shared" ca="1" si="147"/>
        <v>1</v>
      </c>
      <c r="N1315" s="24">
        <f ca="1">IF(AND(L1315=1,L1314&lt;&gt;1),MAX($N$8:N1314)+1,"")</f>
        <v>41</v>
      </c>
      <c r="O1315" s="24" t="str">
        <f ca="1">IF(AND(L1315&lt;&gt;1,L1314=1),MAX($O$8:O1314)+1,"")</f>
        <v/>
      </c>
      <c r="P1315" s="17" t="str">
        <f ca="1">IF(AND(L1315=-1,L1314&lt;&gt;-1),MAX($P$8:P1314)+1,"")</f>
        <v/>
      </c>
      <c r="Q1315" s="24" t="str">
        <f ca="1">IF(AND(L1315&lt;&gt;-1,L1314=-1),MAX($Q$8:Q1314)+1,"")</f>
        <v/>
      </c>
    </row>
    <row r="1316" spans="1:17" x14ac:dyDescent="0.3">
      <c r="A1316" s="3">
        <v>42121</v>
      </c>
      <c r="B1316" s="9">
        <v>16.219017000000001</v>
      </c>
      <c r="C1316" s="9">
        <v>13.249650000000001</v>
      </c>
      <c r="E1316" s="14">
        <f t="shared" si="144"/>
        <v>1.224109089674067</v>
      </c>
      <c r="F1316" s="18">
        <f t="shared" ca="1" si="143"/>
        <v>1.2141704053286815</v>
      </c>
      <c r="G1316" s="15">
        <f t="shared" ca="1" si="148"/>
        <v>1.2092065168731219</v>
      </c>
      <c r="H1316" s="15">
        <f t="shared" ca="1" si="149"/>
        <v>1.2273872543377383E-2</v>
      </c>
      <c r="J1316" s="17">
        <f t="shared" ca="1" si="145"/>
        <v>1</v>
      </c>
      <c r="K1316" s="24">
        <f t="shared" ca="1" si="146"/>
        <v>0</v>
      </c>
      <c r="L1316" s="17">
        <f t="shared" ca="1" si="147"/>
        <v>1</v>
      </c>
      <c r="N1316" s="24" t="str">
        <f ca="1">IF(AND(L1316=1,L1315&lt;&gt;1),MAX($N$8:N1315)+1,"")</f>
        <v/>
      </c>
      <c r="O1316" s="24" t="str">
        <f ca="1">IF(AND(L1316&lt;&gt;1,L1315=1),MAX($O$8:O1315)+1,"")</f>
        <v/>
      </c>
      <c r="P1316" s="17" t="str">
        <f ca="1">IF(AND(L1316=-1,L1315&lt;&gt;-1),MAX($P$8:P1315)+1,"")</f>
        <v/>
      </c>
      <c r="Q1316" s="24" t="str">
        <f ca="1">IF(AND(L1316&lt;&gt;-1,L1315=-1),MAX($Q$8:Q1315)+1,"")</f>
        <v/>
      </c>
    </row>
    <row r="1317" spans="1:17" x14ac:dyDescent="0.3">
      <c r="A1317" s="3">
        <v>42122</v>
      </c>
      <c r="B1317" s="9">
        <v>16.383759000000001</v>
      </c>
      <c r="C1317" s="9">
        <v>13.503085</v>
      </c>
      <c r="E1317" s="14">
        <f t="shared" si="144"/>
        <v>1.213334508373457</v>
      </c>
      <c r="F1317" s="18">
        <f t="shared" ca="1" si="143"/>
        <v>0.26100969324212808</v>
      </c>
      <c r="G1317" s="15">
        <f t="shared" ca="1" si="148"/>
        <v>1.210367181925063</v>
      </c>
      <c r="H1317" s="15">
        <f t="shared" ca="1" si="149"/>
        <v>1.1368644633597451E-2</v>
      </c>
      <c r="J1317" s="17">
        <f t="shared" ca="1" si="145"/>
        <v>1</v>
      </c>
      <c r="K1317" s="24">
        <f t="shared" ca="1" si="146"/>
        <v>0</v>
      </c>
      <c r="L1317" s="17">
        <f t="shared" ca="1" si="147"/>
        <v>1</v>
      </c>
      <c r="N1317" s="24" t="str">
        <f ca="1">IF(AND(L1317=1,L1316&lt;&gt;1),MAX($N$8:N1316)+1,"")</f>
        <v/>
      </c>
      <c r="O1317" s="24" t="str">
        <f ca="1">IF(AND(L1317&lt;&gt;1,L1316=1),MAX($O$8:O1316)+1,"")</f>
        <v/>
      </c>
      <c r="P1317" s="17" t="str">
        <f ca="1">IF(AND(L1317=-1,L1316&lt;&gt;-1),MAX($P$8:P1316)+1,"")</f>
        <v/>
      </c>
      <c r="Q1317" s="24" t="str">
        <f ca="1">IF(AND(L1317&lt;&gt;-1,L1316=-1),MAX($Q$8:Q1316)+1,"")</f>
        <v/>
      </c>
    </row>
    <row r="1318" spans="1:17" x14ac:dyDescent="0.3">
      <c r="A1318" s="3">
        <v>42123</v>
      </c>
      <c r="B1318" s="9">
        <v>16.159918000000001</v>
      </c>
      <c r="C1318" s="9">
        <v>13.100078999999999</v>
      </c>
      <c r="E1318" s="14">
        <f t="shared" si="144"/>
        <v>1.2335740876066474</v>
      </c>
      <c r="F1318" s="18">
        <f t="shared" ca="1" si="143"/>
        <v>1.845798108559584</v>
      </c>
      <c r="G1318" s="15">
        <f t="shared" ca="1" si="148"/>
        <v>1.2123063355631396</v>
      </c>
      <c r="H1318" s="15">
        <f t="shared" ca="1" si="149"/>
        <v>1.152225259354322E-2</v>
      </c>
      <c r="J1318" s="17">
        <f t="shared" ca="1" si="145"/>
        <v>1</v>
      </c>
      <c r="K1318" s="24">
        <f t="shared" ca="1" si="146"/>
        <v>0</v>
      </c>
      <c r="L1318" s="17">
        <f t="shared" ca="1" si="147"/>
        <v>1</v>
      </c>
      <c r="N1318" s="24" t="str">
        <f ca="1">IF(AND(L1318=1,L1317&lt;&gt;1),MAX($N$8:N1317)+1,"")</f>
        <v/>
      </c>
      <c r="O1318" s="24" t="str">
        <f ca="1">IF(AND(L1318&lt;&gt;1,L1317=1),MAX($O$8:O1317)+1,"")</f>
        <v/>
      </c>
      <c r="P1318" s="17" t="str">
        <f ca="1">IF(AND(L1318=-1,L1317&lt;&gt;-1),MAX($P$8:P1317)+1,"")</f>
        <v/>
      </c>
      <c r="Q1318" s="24" t="str">
        <f ca="1">IF(AND(L1318&lt;&gt;-1,L1317=-1),MAX($Q$8:Q1317)+1,"")</f>
        <v/>
      </c>
    </row>
    <row r="1319" spans="1:17" x14ac:dyDescent="0.3">
      <c r="A1319" s="3">
        <v>42124</v>
      </c>
      <c r="B1319" s="9">
        <v>16.273911999999999</v>
      </c>
      <c r="C1319" s="9">
        <v>13.370096</v>
      </c>
      <c r="E1319" s="14">
        <f t="shared" si="144"/>
        <v>1.2171873709807319</v>
      </c>
      <c r="F1319" s="18">
        <f t="shared" ca="1" si="143"/>
        <v>0.37385165464107695</v>
      </c>
      <c r="G1319" s="15">
        <f t="shared" ca="1" si="148"/>
        <v>1.2129247537951295</v>
      </c>
      <c r="H1319" s="15">
        <f t="shared" ca="1" si="149"/>
        <v>1.1401894662455871E-2</v>
      </c>
      <c r="J1319" s="17">
        <f t="shared" ca="1" si="145"/>
        <v>1</v>
      </c>
      <c r="K1319" s="24">
        <f t="shared" ca="1" si="146"/>
        <v>0</v>
      </c>
      <c r="L1319" s="17">
        <f t="shared" ca="1" si="147"/>
        <v>1</v>
      </c>
      <c r="N1319" s="24" t="str">
        <f ca="1">IF(AND(L1319=1,L1318&lt;&gt;1),MAX($N$8:N1318)+1,"")</f>
        <v/>
      </c>
      <c r="O1319" s="24" t="str">
        <f ca="1">IF(AND(L1319&lt;&gt;1,L1318=1),MAX($O$8:O1318)+1,"")</f>
        <v/>
      </c>
      <c r="P1319" s="17" t="str">
        <f ca="1">IF(AND(L1319=-1,L1318&lt;&gt;-1),MAX($P$8:P1318)+1,"")</f>
        <v/>
      </c>
      <c r="Q1319" s="24" t="str">
        <f ca="1">IF(AND(L1319&lt;&gt;-1,L1318=-1),MAX($Q$8:Q1318)+1,"")</f>
        <v/>
      </c>
    </row>
    <row r="1320" spans="1:17" x14ac:dyDescent="0.3">
      <c r="A1320" s="3">
        <v>42128</v>
      </c>
      <c r="B1320" s="9">
        <v>16.463011000000002</v>
      </c>
      <c r="C1320" s="9">
        <v>13.436590000000001</v>
      </c>
      <c r="E1320" s="14">
        <f t="shared" si="144"/>
        <v>1.2252372811851817</v>
      </c>
      <c r="F1320" s="18">
        <f t="shared" ca="1" si="143"/>
        <v>1.0321600979866714</v>
      </c>
      <c r="G1320" s="15">
        <f t="shared" ca="1" si="148"/>
        <v>1.213228597115124</v>
      </c>
      <c r="H1320" s="15">
        <f t="shared" ca="1" si="149"/>
        <v>1.1634516867569125E-2</v>
      </c>
      <c r="J1320" s="17">
        <f t="shared" ca="1" si="145"/>
        <v>1</v>
      </c>
      <c r="K1320" s="24">
        <f t="shared" ca="1" si="146"/>
        <v>0</v>
      </c>
      <c r="L1320" s="17">
        <f t="shared" ca="1" si="147"/>
        <v>1</v>
      </c>
      <c r="N1320" s="24" t="str">
        <f ca="1">IF(AND(L1320=1,L1319&lt;&gt;1),MAX($N$8:N1319)+1,"")</f>
        <v/>
      </c>
      <c r="O1320" s="24" t="str">
        <f ca="1">IF(AND(L1320&lt;&gt;1,L1319=1),MAX($O$8:O1319)+1,"")</f>
        <v/>
      </c>
      <c r="P1320" s="17" t="str">
        <f ca="1">IF(AND(L1320=-1,L1319&lt;&gt;-1),MAX($P$8:P1319)+1,"")</f>
        <v/>
      </c>
      <c r="Q1320" s="24" t="str">
        <f ca="1">IF(AND(L1320&lt;&gt;-1,L1319=-1),MAX($Q$8:Q1319)+1,"")</f>
        <v/>
      </c>
    </row>
    <row r="1321" spans="1:17" x14ac:dyDescent="0.3">
      <c r="A1321" s="3">
        <v>42129</v>
      </c>
      <c r="B1321" s="9">
        <v>16.302365999999999</v>
      </c>
      <c r="C1321" s="9">
        <v>13.494930999999999</v>
      </c>
      <c r="E1321" s="14">
        <f t="shared" si="144"/>
        <v>1.2080362619119727</v>
      </c>
      <c r="F1321" s="18">
        <f t="shared" ca="1" si="143"/>
        <v>-0.41709244804798956</v>
      </c>
      <c r="G1321" s="15">
        <f t="shared" ca="1" si="148"/>
        <v>1.2129060494912267</v>
      </c>
      <c r="H1321" s="15">
        <f t="shared" ca="1" si="149"/>
        <v>1.167555922444739E-2</v>
      </c>
      <c r="J1321" s="17">
        <f t="shared" ca="1" si="145"/>
        <v>0</v>
      </c>
      <c r="K1321" s="24">
        <f t="shared" ca="1" si="146"/>
        <v>0</v>
      </c>
      <c r="L1321" s="17">
        <f t="shared" ca="1" si="147"/>
        <v>0</v>
      </c>
      <c r="N1321" s="24" t="str">
        <f ca="1">IF(AND(L1321=1,L1320&lt;&gt;1),MAX($N$8:N1320)+1,"")</f>
        <v/>
      </c>
      <c r="O1321" s="24">
        <f ca="1">IF(AND(L1321&lt;&gt;1,L1320=1),MAX($O$8:O1320)+1,"")</f>
        <v>41</v>
      </c>
      <c r="P1321" s="17" t="str">
        <f ca="1">IF(AND(L1321=-1,L1320&lt;&gt;-1),MAX($P$8:P1320)+1,"")</f>
        <v/>
      </c>
      <c r="Q1321" s="24" t="str">
        <f ca="1">IF(AND(L1321&lt;&gt;-1,L1320=-1),MAX($Q$8:Q1320)+1,"")</f>
        <v/>
      </c>
    </row>
    <row r="1322" spans="1:17" x14ac:dyDescent="0.3">
      <c r="A1322" s="3">
        <v>42130</v>
      </c>
      <c r="B1322" s="9">
        <v>15.892405</v>
      </c>
      <c r="C1322" s="9">
        <v>13.162269</v>
      </c>
      <c r="E1322" s="14">
        <f t="shared" si="144"/>
        <v>1.207421380006745</v>
      </c>
      <c r="F1322" s="18">
        <f t="shared" ca="1" si="143"/>
        <v>-0.43019428688925015</v>
      </c>
      <c r="G1322" s="15">
        <f t="shared" ca="1" si="148"/>
        <v>1.2124477562273428</v>
      </c>
      <c r="H1322" s="15">
        <f t="shared" ca="1" si="149"/>
        <v>1.1683967857740889E-2</v>
      </c>
      <c r="J1322" s="17">
        <f t="shared" ca="1" si="145"/>
        <v>0</v>
      </c>
      <c r="K1322" s="24">
        <f t="shared" ca="1" si="146"/>
        <v>0</v>
      </c>
      <c r="L1322" s="17">
        <f t="shared" ca="1" si="147"/>
        <v>0</v>
      </c>
      <c r="N1322" s="24" t="str">
        <f ca="1">IF(AND(L1322=1,L1321&lt;&gt;1),MAX($N$8:N1321)+1,"")</f>
        <v/>
      </c>
      <c r="O1322" s="24" t="str">
        <f ca="1">IF(AND(L1322&lt;&gt;1,L1321=1),MAX($O$8:O1321)+1,"")</f>
        <v/>
      </c>
      <c r="P1322" s="17" t="str">
        <f ca="1">IF(AND(L1322=-1,L1321&lt;&gt;-1),MAX($P$8:P1321)+1,"")</f>
        <v/>
      </c>
      <c r="Q1322" s="24" t="str">
        <f ca="1">IF(AND(L1322&lt;&gt;-1,L1321=-1),MAX($Q$8:Q1321)+1,"")</f>
        <v/>
      </c>
    </row>
    <row r="1323" spans="1:17" x14ac:dyDescent="0.3">
      <c r="A1323" s="3">
        <v>42131</v>
      </c>
      <c r="B1323" s="9">
        <v>15.955774999999999</v>
      </c>
      <c r="C1323" s="9">
        <v>13.112368</v>
      </c>
      <c r="E1323" s="14">
        <f t="shared" si="144"/>
        <v>1.2168492373002344</v>
      </c>
      <c r="F1323" s="18">
        <f t="shared" ca="1" si="143"/>
        <v>0.37245134086868631</v>
      </c>
      <c r="G1323" s="15">
        <f t="shared" ca="1" si="148"/>
        <v>1.2124920371661607</v>
      </c>
      <c r="H1323" s="15">
        <f t="shared" ca="1" si="149"/>
        <v>1.16987097533632E-2</v>
      </c>
      <c r="J1323" s="17">
        <f t="shared" ca="1" si="145"/>
        <v>0</v>
      </c>
      <c r="K1323" s="24">
        <f t="shared" ca="1" si="146"/>
        <v>0</v>
      </c>
      <c r="L1323" s="17">
        <f t="shared" ca="1" si="147"/>
        <v>0</v>
      </c>
      <c r="N1323" s="24" t="str">
        <f ca="1">IF(AND(L1323=1,L1322&lt;&gt;1),MAX($N$8:N1322)+1,"")</f>
        <v/>
      </c>
      <c r="O1323" s="24" t="str">
        <f ca="1">IF(AND(L1323&lt;&gt;1,L1322=1),MAX($O$8:O1322)+1,"")</f>
        <v/>
      </c>
      <c r="P1323" s="17" t="str">
        <f ca="1">IF(AND(L1323=-1,L1322&lt;&gt;-1),MAX($P$8:P1322)+1,"")</f>
        <v/>
      </c>
      <c r="Q1323" s="24" t="str">
        <f ca="1">IF(AND(L1323&lt;&gt;-1,L1322=-1),MAX($Q$8:Q1322)+1,"")</f>
        <v/>
      </c>
    </row>
    <row r="1324" spans="1:17" x14ac:dyDescent="0.3">
      <c r="A1324" s="3">
        <v>42132</v>
      </c>
      <c r="B1324" s="9">
        <v>16.167120000000001</v>
      </c>
      <c r="C1324" s="9">
        <v>13.162269</v>
      </c>
      <c r="E1324" s="14">
        <f t="shared" si="144"/>
        <v>1.2282927814345688</v>
      </c>
      <c r="F1324" s="18">
        <f t="shared" ca="1" si="143"/>
        <v>1.2714181816360635</v>
      </c>
      <c r="G1324" s="15">
        <f t="shared" ca="1" si="148"/>
        <v>1.2129207092869727</v>
      </c>
      <c r="H1324" s="15">
        <f t="shared" ca="1" si="149"/>
        <v>1.209049262439778E-2</v>
      </c>
      <c r="J1324" s="17">
        <f t="shared" ca="1" si="145"/>
        <v>1</v>
      </c>
      <c r="K1324" s="24">
        <f t="shared" ca="1" si="146"/>
        <v>0</v>
      </c>
      <c r="L1324" s="17">
        <f t="shared" ca="1" si="147"/>
        <v>1</v>
      </c>
      <c r="N1324" s="24">
        <f ca="1">IF(AND(L1324=1,L1323&lt;&gt;1),MAX($N$8:N1323)+1,"")</f>
        <v>42</v>
      </c>
      <c r="O1324" s="24" t="str">
        <f ca="1">IF(AND(L1324&lt;&gt;1,L1323=1),MAX($O$8:O1323)+1,"")</f>
        <v/>
      </c>
      <c r="P1324" s="17" t="str">
        <f ca="1">IF(AND(L1324=-1,L1323&lt;&gt;-1),MAX($P$8:P1323)+1,"")</f>
        <v/>
      </c>
      <c r="Q1324" s="24" t="str">
        <f ca="1">IF(AND(L1324&lt;&gt;-1,L1323=-1),MAX($Q$8:Q1323)+1,"")</f>
        <v/>
      </c>
    </row>
    <row r="1325" spans="1:17" x14ac:dyDescent="0.3">
      <c r="A1325" s="3">
        <v>42135</v>
      </c>
      <c r="B1325" s="9">
        <v>16.091025999999999</v>
      </c>
      <c r="C1325" s="9">
        <v>13.120697</v>
      </c>
      <c r="E1325" s="14">
        <f t="shared" si="144"/>
        <v>1.2263850007358603</v>
      </c>
      <c r="F1325" s="18">
        <f t="shared" ca="1" si="143"/>
        <v>1.0353844483965839</v>
      </c>
      <c r="G1325" s="15">
        <f t="shared" ca="1" si="148"/>
        <v>1.2135343962679614</v>
      </c>
      <c r="H1325" s="15">
        <f t="shared" ca="1" si="149"/>
        <v>1.2411432765674203E-2</v>
      </c>
      <c r="J1325" s="17">
        <f t="shared" ca="1" si="145"/>
        <v>1</v>
      </c>
      <c r="K1325" s="24">
        <f t="shared" ca="1" si="146"/>
        <v>0</v>
      </c>
      <c r="L1325" s="17">
        <f t="shared" ca="1" si="147"/>
        <v>1</v>
      </c>
      <c r="N1325" s="24" t="str">
        <f ca="1">IF(AND(L1325=1,L1324&lt;&gt;1),MAX($N$8:N1324)+1,"")</f>
        <v/>
      </c>
      <c r="O1325" s="24" t="str">
        <f ca="1">IF(AND(L1325&lt;&gt;1,L1324=1),MAX($O$8:O1324)+1,"")</f>
        <v/>
      </c>
      <c r="P1325" s="17" t="str">
        <f ca="1">IF(AND(L1325=-1,L1324&lt;&gt;-1),MAX($P$8:P1324)+1,"")</f>
        <v/>
      </c>
      <c r="Q1325" s="24" t="str">
        <f ca="1">IF(AND(L1325&lt;&gt;-1,L1324=-1),MAX($Q$8:Q1324)+1,"")</f>
        <v/>
      </c>
    </row>
    <row r="1326" spans="1:17" x14ac:dyDescent="0.3">
      <c r="A1326" s="3">
        <v>42136</v>
      </c>
      <c r="B1326" s="9">
        <v>16.01914</v>
      </c>
      <c r="C1326" s="9">
        <v>12.987575</v>
      </c>
      <c r="E1326" s="14">
        <f t="shared" si="144"/>
        <v>1.2334204037320284</v>
      </c>
      <c r="F1326" s="18">
        <f t="shared" ca="1" si="143"/>
        <v>1.4745907063970298</v>
      </c>
      <c r="G1326" s="15">
        <f t="shared" ca="1" si="148"/>
        <v>1.2141841623685556</v>
      </c>
      <c r="H1326" s="15">
        <f t="shared" ca="1" si="149"/>
        <v>1.3045139427518868E-2</v>
      </c>
      <c r="J1326" s="17">
        <f t="shared" ca="1" si="145"/>
        <v>1</v>
      </c>
      <c r="K1326" s="24">
        <f t="shared" ca="1" si="146"/>
        <v>0</v>
      </c>
      <c r="L1326" s="17">
        <f t="shared" ca="1" si="147"/>
        <v>1</v>
      </c>
      <c r="N1326" s="24" t="str">
        <f ca="1">IF(AND(L1326=1,L1325&lt;&gt;1),MAX($N$8:N1325)+1,"")</f>
        <v/>
      </c>
      <c r="O1326" s="24" t="str">
        <f ca="1">IF(AND(L1326&lt;&gt;1,L1325=1),MAX($O$8:O1325)+1,"")</f>
        <v/>
      </c>
      <c r="P1326" s="17" t="str">
        <f ca="1">IF(AND(L1326=-1,L1325&lt;&gt;-1),MAX($P$8:P1325)+1,"")</f>
        <v/>
      </c>
      <c r="Q1326" s="24" t="str">
        <f ca="1">IF(AND(L1326&lt;&gt;-1,L1325=-1),MAX($Q$8:Q1325)+1,"")</f>
        <v/>
      </c>
    </row>
    <row r="1327" spans="1:17" x14ac:dyDescent="0.3">
      <c r="A1327" s="3">
        <v>42137</v>
      </c>
      <c r="B1327" s="9">
        <v>15.909288999999999</v>
      </c>
      <c r="C1327" s="9">
        <v>12.858688000000001</v>
      </c>
      <c r="E1327" s="14">
        <f t="shared" si="144"/>
        <v>1.2372404556359091</v>
      </c>
      <c r="F1327" s="18">
        <f t="shared" ca="1" si="143"/>
        <v>1.5910052273045552</v>
      </c>
      <c r="G1327" s="15">
        <f t="shared" ca="1" si="148"/>
        <v>1.2151258554558539</v>
      </c>
      <c r="H1327" s="15">
        <f t="shared" ca="1" si="149"/>
        <v>1.3899765884189601E-2</v>
      </c>
      <c r="J1327" s="17">
        <f t="shared" ca="1" si="145"/>
        <v>1</v>
      </c>
      <c r="K1327" s="24">
        <f t="shared" ca="1" si="146"/>
        <v>0</v>
      </c>
      <c r="L1327" s="17">
        <f t="shared" ca="1" si="147"/>
        <v>1</v>
      </c>
      <c r="N1327" s="24" t="str">
        <f ca="1">IF(AND(L1327=1,L1326&lt;&gt;1),MAX($N$8:N1326)+1,"")</f>
        <v/>
      </c>
      <c r="O1327" s="24" t="str">
        <f ca="1">IF(AND(L1327&lt;&gt;1,L1326=1),MAX($O$8:O1326)+1,"")</f>
        <v/>
      </c>
      <c r="P1327" s="17" t="str">
        <f ca="1">IF(AND(L1327=-1,L1326&lt;&gt;-1),MAX($P$8:P1326)+1,"")</f>
        <v/>
      </c>
      <c r="Q1327" s="24" t="str">
        <f ca="1">IF(AND(L1327&lt;&gt;-1,L1326=-1),MAX($Q$8:Q1326)+1,"")</f>
        <v/>
      </c>
    </row>
    <row r="1328" spans="1:17" x14ac:dyDescent="0.3">
      <c r="A1328" s="3">
        <v>42138</v>
      </c>
      <c r="B1328" s="9">
        <v>16.065629999999999</v>
      </c>
      <c r="C1328" s="9">
        <v>13.153942000000001</v>
      </c>
      <c r="E1328" s="14">
        <f t="shared" si="144"/>
        <v>1.2213547847481765</v>
      </c>
      <c r="F1328" s="18">
        <f t="shared" ca="1" si="143"/>
        <v>0.44555707668281835</v>
      </c>
      <c r="G1328" s="15">
        <f t="shared" ca="1" si="148"/>
        <v>1.2151559697291399</v>
      </c>
      <c r="H1328" s="15">
        <f t="shared" ca="1" si="149"/>
        <v>1.3912504914492517E-2</v>
      </c>
      <c r="J1328" s="17">
        <f t="shared" ca="1" si="145"/>
        <v>1</v>
      </c>
      <c r="K1328" s="24">
        <f t="shared" ca="1" si="146"/>
        <v>0</v>
      </c>
      <c r="L1328" s="17">
        <f t="shared" ca="1" si="147"/>
        <v>1</v>
      </c>
      <c r="N1328" s="24" t="str">
        <f ca="1">IF(AND(L1328=1,L1327&lt;&gt;1),MAX($N$8:N1327)+1,"")</f>
        <v/>
      </c>
      <c r="O1328" s="24" t="str">
        <f ca="1">IF(AND(L1328&lt;&gt;1,L1327=1),MAX($O$8:O1327)+1,"")</f>
        <v/>
      </c>
      <c r="P1328" s="17" t="str">
        <f ca="1">IF(AND(L1328=-1,L1327&lt;&gt;-1),MAX($P$8:P1327)+1,"")</f>
        <v/>
      </c>
      <c r="Q1328" s="24" t="str">
        <f ca="1">IF(AND(L1328&lt;&gt;-1,L1327=-1),MAX($Q$8:Q1327)+1,"")</f>
        <v/>
      </c>
    </row>
    <row r="1329" spans="1:17" x14ac:dyDescent="0.3">
      <c r="A1329" s="3">
        <v>42139</v>
      </c>
      <c r="B1329" s="9">
        <v>16.365738</v>
      </c>
      <c r="C1329" s="9">
        <v>13.382638</v>
      </c>
      <c r="E1329" s="14">
        <f t="shared" si="144"/>
        <v>1.2229082188429516</v>
      </c>
      <c r="F1329" s="18">
        <f t="shared" ca="1" si="143"/>
        <v>0.50857157729089708</v>
      </c>
      <c r="G1329" s="15">
        <f t="shared" ca="1" si="148"/>
        <v>1.2158337647229251</v>
      </c>
      <c r="H1329" s="15">
        <f t="shared" ca="1" si="149"/>
        <v>1.3910439426661057E-2</v>
      </c>
      <c r="J1329" s="17">
        <f t="shared" ca="1" si="145"/>
        <v>1</v>
      </c>
      <c r="K1329" s="24">
        <f t="shared" ca="1" si="146"/>
        <v>0</v>
      </c>
      <c r="L1329" s="17">
        <f t="shared" ca="1" si="147"/>
        <v>1</v>
      </c>
      <c r="N1329" s="24" t="str">
        <f ca="1">IF(AND(L1329=1,L1328&lt;&gt;1),MAX($N$8:N1328)+1,"")</f>
        <v/>
      </c>
      <c r="O1329" s="24" t="str">
        <f ca="1">IF(AND(L1329&lt;&gt;1,L1328=1),MAX($O$8:O1328)+1,"")</f>
        <v/>
      </c>
      <c r="P1329" s="17" t="str">
        <f ca="1">IF(AND(L1329=-1,L1328&lt;&gt;-1),MAX($P$8:P1328)+1,"")</f>
        <v/>
      </c>
      <c r="Q1329" s="24" t="str">
        <f ca="1">IF(AND(L1329&lt;&gt;-1,L1328=-1),MAX($Q$8:Q1328)+1,"")</f>
        <v/>
      </c>
    </row>
    <row r="1330" spans="1:17" x14ac:dyDescent="0.3">
      <c r="A1330" s="3">
        <v>42142</v>
      </c>
      <c r="B1330" s="9">
        <v>15.930381000000001</v>
      </c>
      <c r="C1330" s="9">
        <v>13.041639</v>
      </c>
      <c r="E1330" s="14">
        <f t="shared" si="144"/>
        <v>1.2215014539200173</v>
      </c>
      <c r="F1330" s="18">
        <f t="shared" ca="1" si="143"/>
        <v>0.33377986721630865</v>
      </c>
      <c r="G1330" s="15">
        <f t="shared" ca="1" si="148"/>
        <v>1.2172008548871147</v>
      </c>
      <c r="H1330" s="15">
        <f t="shared" ca="1" si="149"/>
        <v>1.2884536951761529E-2</v>
      </c>
      <c r="J1330" s="17">
        <f t="shared" ca="1" si="145"/>
        <v>1</v>
      </c>
      <c r="K1330" s="24">
        <f t="shared" ca="1" si="146"/>
        <v>0</v>
      </c>
      <c r="L1330" s="17">
        <f t="shared" ca="1" si="147"/>
        <v>1</v>
      </c>
      <c r="N1330" s="24" t="str">
        <f ca="1">IF(AND(L1330=1,L1329&lt;&gt;1),MAX($N$8:N1329)+1,"")</f>
        <v/>
      </c>
      <c r="O1330" s="24" t="str">
        <f ca="1">IF(AND(L1330&lt;&gt;1,L1329=1),MAX($O$8:O1329)+1,"")</f>
        <v/>
      </c>
      <c r="P1330" s="17" t="str">
        <f ca="1">IF(AND(L1330=-1,L1329&lt;&gt;-1),MAX($P$8:P1329)+1,"")</f>
        <v/>
      </c>
      <c r="Q1330" s="24" t="str">
        <f ca="1">IF(AND(L1330&lt;&gt;-1,L1329=-1),MAX($Q$8:Q1329)+1,"")</f>
        <v/>
      </c>
    </row>
    <row r="1331" spans="1:17" x14ac:dyDescent="0.3">
      <c r="A1331" s="3">
        <v>42143</v>
      </c>
      <c r="B1331" s="9">
        <v>15.706374</v>
      </c>
      <c r="C1331" s="9">
        <v>12.925249000000001</v>
      </c>
      <c r="E1331" s="14">
        <f t="shared" si="144"/>
        <v>1.215169935991175</v>
      </c>
      <c r="F1331" s="18">
        <f t="shared" ca="1" si="143"/>
        <v>-0.24297946497357586</v>
      </c>
      <c r="G1331" s="15">
        <f t="shared" ca="1" si="148"/>
        <v>1.2180885422430403</v>
      </c>
      <c r="H1331" s="15">
        <f t="shared" ca="1" si="149"/>
        <v>1.2011740383833474E-2</v>
      </c>
      <c r="J1331" s="17">
        <f t="shared" ca="1" si="145"/>
        <v>0</v>
      </c>
      <c r="K1331" s="24">
        <f t="shared" ca="1" si="146"/>
        <v>0</v>
      </c>
      <c r="L1331" s="17">
        <f t="shared" ca="1" si="147"/>
        <v>0</v>
      </c>
      <c r="N1331" s="24" t="str">
        <f ca="1">IF(AND(L1331=1,L1330&lt;&gt;1),MAX($N$8:N1330)+1,"")</f>
        <v/>
      </c>
      <c r="O1331" s="24">
        <f ca="1">IF(AND(L1331&lt;&gt;1,L1330=1),MAX($O$8:O1330)+1,"")</f>
        <v>42</v>
      </c>
      <c r="P1331" s="17" t="str">
        <f ca="1">IF(AND(L1331=-1,L1330&lt;&gt;-1),MAX($P$8:P1330)+1,"")</f>
        <v/>
      </c>
      <c r="Q1331" s="24" t="str">
        <f ca="1">IF(AND(L1331&lt;&gt;-1,L1330=-1),MAX($Q$8:Q1330)+1,"")</f>
        <v/>
      </c>
    </row>
    <row r="1332" spans="1:17" x14ac:dyDescent="0.3">
      <c r="A1332" s="3">
        <v>42144</v>
      </c>
      <c r="B1332" s="9">
        <v>15.427441999999999</v>
      </c>
      <c r="C1332" s="9">
        <v>12.559267</v>
      </c>
      <c r="E1332" s="14">
        <f t="shared" si="144"/>
        <v>1.2283712098803217</v>
      </c>
      <c r="F1332" s="18">
        <f t="shared" ca="1" si="143"/>
        <v>0.83926957237976274</v>
      </c>
      <c r="G1332" s="15">
        <f t="shared" ca="1" si="148"/>
        <v>1.2200015724370377</v>
      </c>
      <c r="H1332" s="15">
        <f t="shared" ca="1" si="149"/>
        <v>9.9725257756596141E-3</v>
      </c>
      <c r="J1332" s="17">
        <f t="shared" ca="1" si="145"/>
        <v>0</v>
      </c>
      <c r="K1332" s="24">
        <f t="shared" ca="1" si="146"/>
        <v>0</v>
      </c>
      <c r="L1332" s="17">
        <f t="shared" ca="1" si="147"/>
        <v>0</v>
      </c>
      <c r="N1332" s="24" t="str">
        <f ca="1">IF(AND(L1332=1,L1331&lt;&gt;1),MAX($N$8:N1331)+1,"")</f>
        <v/>
      </c>
      <c r="O1332" s="24" t="str">
        <f ca="1">IF(AND(L1332&lt;&gt;1,L1331=1),MAX($O$8:O1331)+1,"")</f>
        <v/>
      </c>
      <c r="P1332" s="17" t="str">
        <f ca="1">IF(AND(L1332=-1,L1331&lt;&gt;-1),MAX($P$8:P1331)+1,"")</f>
        <v/>
      </c>
      <c r="Q1332" s="24" t="str">
        <f ca="1">IF(AND(L1332&lt;&gt;-1,L1331=-1),MAX($Q$8:Q1331)+1,"")</f>
        <v/>
      </c>
    </row>
    <row r="1333" spans="1:17" x14ac:dyDescent="0.3">
      <c r="A1333" s="3">
        <v>42145</v>
      </c>
      <c r="B1333" s="9">
        <v>15.241488</v>
      </c>
      <c r="C1333" s="9">
        <v>12.409559</v>
      </c>
      <c r="E1333" s="14">
        <f t="shared" si="144"/>
        <v>1.2282054503306685</v>
      </c>
      <c r="F1333" s="18">
        <f t="shared" ca="1" si="143"/>
        <v>0.74715058966328451</v>
      </c>
      <c r="G1333" s="15">
        <f t="shared" ca="1" si="148"/>
        <v>1.2209649329216701</v>
      </c>
      <c r="H1333" s="15">
        <f t="shared" ca="1" si="149"/>
        <v>9.6908407878812004E-3</v>
      </c>
      <c r="J1333" s="17">
        <f t="shared" ca="1" si="145"/>
        <v>0</v>
      </c>
      <c r="K1333" s="24">
        <f t="shared" ca="1" si="146"/>
        <v>0</v>
      </c>
      <c r="L1333" s="17">
        <f t="shared" ca="1" si="147"/>
        <v>0</v>
      </c>
      <c r="N1333" s="24" t="str">
        <f ca="1">IF(AND(L1333=1,L1332&lt;&gt;1),MAX($N$8:N1332)+1,"")</f>
        <v/>
      </c>
      <c r="O1333" s="24" t="str">
        <f ca="1">IF(AND(L1333&lt;&gt;1,L1332=1),MAX($O$8:O1332)+1,"")</f>
        <v/>
      </c>
      <c r="P1333" s="17" t="str">
        <f ca="1">IF(AND(L1333=-1,L1332&lt;&gt;-1),MAX($P$8:P1332)+1,"")</f>
        <v/>
      </c>
      <c r="Q1333" s="24" t="str">
        <f ca="1">IF(AND(L1333&lt;&gt;-1,L1332=-1),MAX($Q$8:Q1332)+1,"")</f>
        <v/>
      </c>
    </row>
    <row r="1334" spans="1:17" x14ac:dyDescent="0.3">
      <c r="A1334" s="3">
        <v>42146</v>
      </c>
      <c r="B1334" s="9">
        <v>14.920202</v>
      </c>
      <c r="C1334" s="9">
        <v>12.060233</v>
      </c>
      <c r="E1334" s="14">
        <f t="shared" si="144"/>
        <v>1.2371404433065265</v>
      </c>
      <c r="F1334" s="18">
        <f t="shared" ca="1" si="143"/>
        <v>1.7280846280951339</v>
      </c>
      <c r="G1334" s="15">
        <f t="shared" ca="1" si="148"/>
        <v>1.2229513877871339</v>
      </c>
      <c r="H1334" s="15">
        <f t="shared" ca="1" si="149"/>
        <v>8.2108568577646743E-3</v>
      </c>
      <c r="J1334" s="17">
        <f t="shared" ca="1" si="145"/>
        <v>1</v>
      </c>
      <c r="K1334" s="24">
        <f t="shared" ca="1" si="146"/>
        <v>0</v>
      </c>
      <c r="L1334" s="17">
        <f t="shared" ca="1" si="147"/>
        <v>1</v>
      </c>
      <c r="N1334" s="24">
        <f ca="1">IF(AND(L1334=1,L1333&lt;&gt;1),MAX($N$8:N1333)+1,"")</f>
        <v>43</v>
      </c>
      <c r="O1334" s="24" t="str">
        <f ca="1">IF(AND(L1334&lt;&gt;1,L1333=1),MAX($O$8:O1333)+1,"")</f>
        <v/>
      </c>
      <c r="P1334" s="17" t="str">
        <f ca="1">IF(AND(L1334=-1,L1333&lt;&gt;-1),MAX($P$8:P1333)+1,"")</f>
        <v/>
      </c>
      <c r="Q1334" s="24" t="str">
        <f ca="1">IF(AND(L1334&lt;&gt;-1,L1333=-1),MAX($Q$8:Q1333)+1,"")</f>
        <v/>
      </c>
    </row>
    <row r="1335" spans="1:17" x14ac:dyDescent="0.3">
      <c r="A1335" s="3">
        <v>42149</v>
      </c>
      <c r="B1335" s="9">
        <v>14.975204</v>
      </c>
      <c r="C1335" s="9">
        <v>12.184955</v>
      </c>
      <c r="E1335" s="14">
        <f t="shared" si="144"/>
        <v>1.2289913257783882</v>
      </c>
      <c r="F1335" s="18">
        <f t="shared" ca="1" si="143"/>
        <v>0.66979011811901334</v>
      </c>
      <c r="G1335" s="15">
        <f t="shared" ca="1" si="148"/>
        <v>1.2235084376729815</v>
      </c>
      <c r="H1335" s="15">
        <f t="shared" ca="1" si="149"/>
        <v>8.1859793942682755E-3</v>
      </c>
      <c r="J1335" s="17">
        <f t="shared" ca="1" si="145"/>
        <v>1</v>
      </c>
      <c r="K1335" s="24">
        <f t="shared" ca="1" si="146"/>
        <v>0</v>
      </c>
      <c r="L1335" s="17">
        <f t="shared" ca="1" si="147"/>
        <v>1</v>
      </c>
      <c r="N1335" s="24" t="str">
        <f ca="1">IF(AND(L1335=1,L1334&lt;&gt;1),MAX($N$8:N1334)+1,"")</f>
        <v/>
      </c>
      <c r="O1335" s="24" t="str">
        <f ca="1">IF(AND(L1335&lt;&gt;1,L1334=1),MAX($O$8:O1334)+1,"")</f>
        <v/>
      </c>
      <c r="P1335" s="17" t="str">
        <f ca="1">IF(AND(L1335=-1,L1334&lt;&gt;-1),MAX($P$8:P1334)+1,"")</f>
        <v/>
      </c>
      <c r="Q1335" s="24" t="str">
        <f ca="1">IF(AND(L1335&lt;&gt;-1,L1334=-1),MAX($Q$8:Q1334)+1,"")</f>
        <v/>
      </c>
    </row>
    <row r="1336" spans="1:17" x14ac:dyDescent="0.3">
      <c r="A1336" s="3">
        <v>42150</v>
      </c>
      <c r="B1336" s="9">
        <v>14.755423</v>
      </c>
      <c r="C1336" s="9">
        <v>11.748316000000001</v>
      </c>
      <c r="E1336" s="14">
        <f t="shared" si="144"/>
        <v>1.2559606840674016</v>
      </c>
      <c r="F1336" s="18">
        <f t="shared" ca="1" si="143"/>
        <v>2.9207534695314017</v>
      </c>
      <c r="G1336" s="15">
        <f t="shared" ca="1" si="148"/>
        <v>1.2252117962684528</v>
      </c>
      <c r="H1336" s="15">
        <f t="shared" ca="1" si="149"/>
        <v>1.0527724479218738E-2</v>
      </c>
      <c r="J1336" s="17">
        <f t="shared" ca="1" si="145"/>
        <v>1</v>
      </c>
      <c r="K1336" s="24">
        <f t="shared" ca="1" si="146"/>
        <v>0</v>
      </c>
      <c r="L1336" s="17">
        <f t="shared" ca="1" si="147"/>
        <v>1</v>
      </c>
      <c r="N1336" s="24" t="str">
        <f ca="1">IF(AND(L1336=1,L1335&lt;&gt;1),MAX($N$8:N1335)+1,"")</f>
        <v/>
      </c>
      <c r="O1336" s="24" t="str">
        <f ca="1">IF(AND(L1336&lt;&gt;1,L1335=1),MAX($O$8:O1335)+1,"")</f>
        <v/>
      </c>
      <c r="P1336" s="17" t="str">
        <f ca="1">IF(AND(L1336=-1,L1335&lt;&gt;-1),MAX($P$8:P1335)+1,"")</f>
        <v/>
      </c>
      <c r="Q1336" s="24" t="str">
        <f ca="1">IF(AND(L1336&lt;&gt;-1,L1335=-1),MAX($Q$8:Q1335)+1,"")</f>
        <v/>
      </c>
    </row>
    <row r="1337" spans="1:17" x14ac:dyDescent="0.3">
      <c r="A1337" s="3">
        <v>42151</v>
      </c>
      <c r="B1337" s="9">
        <v>15.055451</v>
      </c>
      <c r="C1337" s="9">
        <v>12.176627</v>
      </c>
      <c r="E1337" s="14">
        <f t="shared" si="144"/>
        <v>1.236422122481045</v>
      </c>
      <c r="F1337" s="18">
        <f t="shared" ca="1" si="143"/>
        <v>0.98763481335061698</v>
      </c>
      <c r="G1337" s="15">
        <f t="shared" ca="1" si="148"/>
        <v>1.2257778858147306</v>
      </c>
      <c r="H1337" s="15">
        <f t="shared" ca="1" si="149"/>
        <v>1.0777502496295305E-2</v>
      </c>
      <c r="J1337" s="17">
        <f t="shared" ca="1" si="145"/>
        <v>1</v>
      </c>
      <c r="K1337" s="24">
        <f t="shared" ca="1" si="146"/>
        <v>0</v>
      </c>
      <c r="L1337" s="17">
        <f t="shared" ca="1" si="147"/>
        <v>1</v>
      </c>
      <c r="N1337" s="24" t="str">
        <f ca="1">IF(AND(L1337=1,L1336&lt;&gt;1),MAX($N$8:N1336)+1,"")</f>
        <v/>
      </c>
      <c r="O1337" s="24" t="str">
        <f ca="1">IF(AND(L1337&lt;&gt;1,L1336=1),MAX($O$8:O1336)+1,"")</f>
        <v/>
      </c>
      <c r="P1337" s="17" t="str">
        <f ca="1">IF(AND(L1337=-1,L1336&lt;&gt;-1),MAX($P$8:P1336)+1,"")</f>
        <v/>
      </c>
      <c r="Q1337" s="24" t="str">
        <f ca="1">IF(AND(L1337&lt;&gt;-1,L1336=-1),MAX($Q$8:Q1336)+1,"")</f>
        <v/>
      </c>
    </row>
    <row r="1338" spans="1:17" x14ac:dyDescent="0.3">
      <c r="A1338" s="3">
        <v>42152</v>
      </c>
      <c r="B1338" s="9">
        <v>14.877935000000001</v>
      </c>
      <c r="C1338" s="9">
        <v>12.035244</v>
      </c>
      <c r="E1338" s="14">
        <f t="shared" si="144"/>
        <v>1.236197205474189</v>
      </c>
      <c r="F1338" s="18">
        <f t="shared" ca="1" si="143"/>
        <v>0.8985206004608467</v>
      </c>
      <c r="G1338" s="15">
        <f t="shared" ca="1" si="148"/>
        <v>1.2263273456238271</v>
      </c>
      <c r="H1338" s="15">
        <f t="shared" ca="1" si="149"/>
        <v>1.0984567126563071E-2</v>
      </c>
      <c r="J1338" s="17">
        <f t="shared" ca="1" si="145"/>
        <v>1</v>
      </c>
      <c r="K1338" s="24">
        <f t="shared" ca="1" si="146"/>
        <v>0</v>
      </c>
      <c r="L1338" s="17">
        <f t="shared" ca="1" si="147"/>
        <v>1</v>
      </c>
      <c r="N1338" s="24" t="str">
        <f ca="1">IF(AND(L1338=1,L1337&lt;&gt;1),MAX($N$8:N1337)+1,"")</f>
        <v/>
      </c>
      <c r="O1338" s="24" t="str">
        <f ca="1">IF(AND(L1338&lt;&gt;1,L1337=1),MAX($O$8:O1337)+1,"")</f>
        <v/>
      </c>
      <c r="P1338" s="17" t="str">
        <f ca="1">IF(AND(L1338=-1,L1337&lt;&gt;-1),MAX($P$8:P1337)+1,"")</f>
        <v/>
      </c>
      <c r="Q1338" s="24" t="str">
        <f ca="1">IF(AND(L1338&lt;&gt;-1,L1337=-1),MAX($Q$8:Q1337)+1,"")</f>
        <v/>
      </c>
    </row>
    <row r="1339" spans="1:17" x14ac:dyDescent="0.3">
      <c r="A1339" s="3">
        <v>42153</v>
      </c>
      <c r="B1339" s="9">
        <v>14.510236000000001</v>
      </c>
      <c r="C1339" s="9">
        <v>11.727496</v>
      </c>
      <c r="E1339" s="14">
        <f t="shared" si="144"/>
        <v>1.237283389395315</v>
      </c>
      <c r="F1339" s="18">
        <f t="shared" ca="1" si="143"/>
        <v>0.91124085280941514</v>
      </c>
      <c r="G1339" s="15">
        <f t="shared" ca="1" si="148"/>
        <v>1.2274159311248207</v>
      </c>
      <c r="H1339" s="15">
        <f t="shared" ca="1" si="149"/>
        <v>1.0828595140431062E-2</v>
      </c>
      <c r="J1339" s="17">
        <f t="shared" ca="1" si="145"/>
        <v>1</v>
      </c>
      <c r="K1339" s="24">
        <f t="shared" ca="1" si="146"/>
        <v>0</v>
      </c>
      <c r="L1339" s="17">
        <f t="shared" ca="1" si="147"/>
        <v>1</v>
      </c>
      <c r="N1339" s="24" t="str">
        <f ca="1">IF(AND(L1339=1,L1338&lt;&gt;1),MAX($N$8:N1338)+1,"")</f>
        <v/>
      </c>
      <c r="O1339" s="24" t="str">
        <f ca="1">IF(AND(L1339&lt;&gt;1,L1338=1),MAX($O$8:O1338)+1,"")</f>
        <v/>
      </c>
      <c r="P1339" s="17" t="str">
        <f ca="1">IF(AND(L1339=-1,L1338&lt;&gt;-1),MAX($P$8:P1338)+1,"")</f>
        <v/>
      </c>
      <c r="Q1339" s="24" t="str">
        <f ca="1">IF(AND(L1339&lt;&gt;-1,L1338=-1),MAX($Q$8:Q1338)+1,"")</f>
        <v/>
      </c>
    </row>
    <row r="1340" spans="1:17" x14ac:dyDescent="0.3">
      <c r="A1340" s="3">
        <v>42156</v>
      </c>
      <c r="B1340" s="9">
        <v>14.416041</v>
      </c>
      <c r="C1340" s="9">
        <v>11.656841</v>
      </c>
      <c r="E1340" s="14">
        <f t="shared" si="144"/>
        <v>1.2367022077422176</v>
      </c>
      <c r="F1340" s="18">
        <f t="shared" ca="1" si="143"/>
        <v>0.83671201167727316</v>
      </c>
      <c r="G1340" s="15">
        <f t="shared" ca="1" si="148"/>
        <v>1.2275581184037103</v>
      </c>
      <c r="H1340" s="15">
        <f t="shared" ca="1" si="149"/>
        <v>1.0928598144751209E-2</v>
      </c>
      <c r="J1340" s="17">
        <f t="shared" ca="1" si="145"/>
        <v>1</v>
      </c>
      <c r="K1340" s="24">
        <f t="shared" ca="1" si="146"/>
        <v>0</v>
      </c>
      <c r="L1340" s="17">
        <f t="shared" ca="1" si="147"/>
        <v>1</v>
      </c>
      <c r="N1340" s="24" t="str">
        <f ca="1">IF(AND(L1340=1,L1339&lt;&gt;1),MAX($N$8:N1339)+1,"")</f>
        <v/>
      </c>
      <c r="O1340" s="24" t="str">
        <f ca="1">IF(AND(L1340&lt;&gt;1,L1339=1),MAX($O$8:O1339)+1,"")</f>
        <v/>
      </c>
      <c r="P1340" s="17" t="str">
        <f ca="1">IF(AND(L1340=-1,L1339&lt;&gt;-1),MAX($P$8:P1339)+1,"")</f>
        <v/>
      </c>
      <c r="Q1340" s="24" t="str">
        <f ca="1">IF(AND(L1340&lt;&gt;-1,L1339=-1),MAX($Q$8:Q1339)+1,"")</f>
        <v/>
      </c>
    </row>
    <row r="1341" spans="1:17" x14ac:dyDescent="0.3">
      <c r="A1341" s="3">
        <v>42157</v>
      </c>
      <c r="B1341" s="9">
        <v>14.737494</v>
      </c>
      <c r="C1341" s="9">
        <v>12.062087999999999</v>
      </c>
      <c r="E1341" s="14">
        <f t="shared" si="144"/>
        <v>1.2218028918376322</v>
      </c>
      <c r="F1341" s="18">
        <f t="shared" ca="1" si="143"/>
        <v>-0.55382159802663</v>
      </c>
      <c r="G1341" s="15">
        <f t="shared" ca="1" si="148"/>
        <v>1.2277679148062968</v>
      </c>
      <c r="H1341" s="15">
        <f t="shared" ca="1" si="149"/>
        <v>1.0770657897631687E-2</v>
      </c>
      <c r="J1341" s="17">
        <f t="shared" ca="1" si="145"/>
        <v>0</v>
      </c>
      <c r="K1341" s="24">
        <f t="shared" ca="1" si="146"/>
        <v>0</v>
      </c>
      <c r="L1341" s="17">
        <f t="shared" ca="1" si="147"/>
        <v>0</v>
      </c>
      <c r="N1341" s="24" t="str">
        <f ca="1">IF(AND(L1341=1,L1340&lt;&gt;1),MAX($N$8:N1340)+1,"")</f>
        <v/>
      </c>
      <c r="O1341" s="24">
        <f ca="1">IF(AND(L1341&lt;&gt;1,L1340=1),MAX($O$8:O1340)+1,"")</f>
        <v>43</v>
      </c>
      <c r="P1341" s="17" t="str">
        <f ca="1">IF(AND(L1341=-1,L1340&lt;&gt;-1),MAX($P$8:P1340)+1,"")</f>
        <v/>
      </c>
      <c r="Q1341" s="24" t="str">
        <f ca="1">IF(AND(L1341&lt;&gt;-1,L1340=-1),MAX($Q$8:Q1340)+1,"")</f>
        <v/>
      </c>
    </row>
    <row r="1342" spans="1:17" x14ac:dyDescent="0.3">
      <c r="A1342" s="3">
        <v>42158</v>
      </c>
      <c r="B1342" s="9">
        <v>14.365208000000001</v>
      </c>
      <c r="C1342" s="9">
        <v>11.737291000000001</v>
      </c>
      <c r="E1342" s="14">
        <f t="shared" si="144"/>
        <v>1.2238946789340062</v>
      </c>
      <c r="F1342" s="18">
        <f t="shared" ca="1" si="143"/>
        <v>-0.35335484666068001</v>
      </c>
      <c r="G1342" s="15">
        <f t="shared" ca="1" si="148"/>
        <v>1.2277068874312431</v>
      </c>
      <c r="H1342" s="15">
        <f t="shared" ca="1" si="149"/>
        <v>1.0788612447978531E-2</v>
      </c>
      <c r="J1342" s="17">
        <f t="shared" ca="1" si="145"/>
        <v>0</v>
      </c>
      <c r="K1342" s="24">
        <f t="shared" ca="1" si="146"/>
        <v>0</v>
      </c>
      <c r="L1342" s="17">
        <f t="shared" ca="1" si="147"/>
        <v>0</v>
      </c>
      <c r="N1342" s="24" t="str">
        <f ca="1">IF(AND(L1342=1,L1341&lt;&gt;1),MAX($N$8:N1341)+1,"")</f>
        <v/>
      </c>
      <c r="O1342" s="24" t="str">
        <f ca="1">IF(AND(L1342&lt;&gt;1,L1341=1),MAX($O$8:O1341)+1,"")</f>
        <v/>
      </c>
      <c r="P1342" s="17" t="str">
        <f ca="1">IF(AND(L1342=-1,L1341&lt;&gt;-1),MAX($P$8:P1341)+1,"")</f>
        <v/>
      </c>
      <c r="Q1342" s="24" t="str">
        <f ca="1">IF(AND(L1342&lt;&gt;-1,L1341=-1),MAX($Q$8:Q1341)+1,"")</f>
        <v/>
      </c>
    </row>
    <row r="1343" spans="1:17" x14ac:dyDescent="0.3">
      <c r="A1343" s="3">
        <v>42160</v>
      </c>
      <c r="B1343" s="9">
        <v>14.022645000000001</v>
      </c>
      <c r="C1343" s="9">
        <v>11.487477</v>
      </c>
      <c r="E1343" s="14">
        <f t="shared" si="144"/>
        <v>1.2206897128063892</v>
      </c>
      <c r="F1343" s="18">
        <f t="shared" ca="1" si="143"/>
        <v>-0.75653830969903835</v>
      </c>
      <c r="G1343" s="15">
        <f t="shared" ca="1" si="148"/>
        <v>1.2282820442900804</v>
      </c>
      <c r="H1343" s="15">
        <f t="shared" ca="1" si="149"/>
        <v>1.0035620650475113E-2</v>
      </c>
      <c r="J1343" s="17">
        <f t="shared" ca="1" si="145"/>
        <v>0</v>
      </c>
      <c r="K1343" s="24">
        <f t="shared" ca="1" si="146"/>
        <v>0</v>
      </c>
      <c r="L1343" s="17">
        <f t="shared" ca="1" si="147"/>
        <v>0</v>
      </c>
      <c r="N1343" s="24" t="str">
        <f ca="1">IF(AND(L1343=1,L1342&lt;&gt;1),MAX($N$8:N1342)+1,"")</f>
        <v/>
      </c>
      <c r="O1343" s="24" t="str">
        <f ca="1">IF(AND(L1343&lt;&gt;1,L1342=1),MAX($O$8:O1342)+1,"")</f>
        <v/>
      </c>
      <c r="P1343" s="17" t="str">
        <f ca="1">IF(AND(L1343=-1,L1342&lt;&gt;-1),MAX($P$8:P1342)+1,"")</f>
        <v/>
      </c>
      <c r="Q1343" s="24" t="str">
        <f ca="1">IF(AND(L1343&lt;&gt;-1,L1342=-1),MAX($Q$8:Q1342)+1,"")</f>
        <v/>
      </c>
    </row>
    <row r="1344" spans="1:17" x14ac:dyDescent="0.3">
      <c r="A1344" s="3">
        <v>42163</v>
      </c>
      <c r="B1344" s="9">
        <v>13.963374999999999</v>
      </c>
      <c r="C1344" s="9">
        <v>11.474971999999999</v>
      </c>
      <c r="E1344" s="14">
        <f t="shared" si="144"/>
        <v>1.2168548210836594</v>
      </c>
      <c r="F1344" s="18">
        <f t="shared" ca="1" si="143"/>
        <v>-1.2734056870598691</v>
      </c>
      <c r="G1344" s="15">
        <f t="shared" ca="1" si="148"/>
        <v>1.228710837066304</v>
      </c>
      <c r="H1344" s="15">
        <f t="shared" ca="1" si="149"/>
        <v>9.3104782734390445E-3</v>
      </c>
      <c r="J1344" s="17">
        <f t="shared" ca="1" si="145"/>
        <v>0</v>
      </c>
      <c r="K1344" s="24">
        <f t="shared" ca="1" si="146"/>
        <v>-1</v>
      </c>
      <c r="L1344" s="17">
        <f t="shared" ca="1" si="147"/>
        <v>-1</v>
      </c>
      <c r="N1344" s="24" t="str">
        <f ca="1">IF(AND(L1344=1,L1343&lt;&gt;1),MAX($N$8:N1343)+1,"")</f>
        <v/>
      </c>
      <c r="O1344" s="24" t="str">
        <f ca="1">IF(AND(L1344&lt;&gt;1,L1343=1),MAX($O$8:O1343)+1,"")</f>
        <v/>
      </c>
      <c r="P1344" s="17">
        <f ca="1">IF(AND(L1344=-1,L1343&lt;&gt;-1),MAX($P$8:P1343)+1,"")</f>
        <v>50</v>
      </c>
      <c r="Q1344" s="24" t="str">
        <f ca="1">IF(AND(L1344&lt;&gt;-1,L1343=-1),MAX($Q$8:Q1343)+1,"")</f>
        <v/>
      </c>
    </row>
    <row r="1345" spans="1:17" x14ac:dyDescent="0.3">
      <c r="A1345" s="3">
        <v>42164</v>
      </c>
      <c r="B1345" s="9">
        <v>13.874537999999999</v>
      </c>
      <c r="C1345" s="9">
        <v>11.408397000000001</v>
      </c>
      <c r="E1345" s="14">
        <f t="shared" si="144"/>
        <v>1.2161689324100484</v>
      </c>
      <c r="F1345" s="18">
        <f t="shared" ca="1" si="143"/>
        <v>-1.3379491198488187</v>
      </c>
      <c r="G1345" s="15">
        <f t="shared" ca="1" si="148"/>
        <v>1.2286799141167499</v>
      </c>
      <c r="H1345" s="15">
        <f t="shared" ca="1" si="149"/>
        <v>9.3508650823098446E-3</v>
      </c>
      <c r="J1345" s="17">
        <f t="shared" ca="1" si="145"/>
        <v>0</v>
      </c>
      <c r="K1345" s="24">
        <f t="shared" ca="1" si="146"/>
        <v>-1</v>
      </c>
      <c r="L1345" s="17">
        <f t="shared" ca="1" si="147"/>
        <v>-1</v>
      </c>
      <c r="N1345" s="24" t="str">
        <f ca="1">IF(AND(L1345=1,L1344&lt;&gt;1),MAX($N$8:N1344)+1,"")</f>
        <v/>
      </c>
      <c r="O1345" s="24" t="str">
        <f ca="1">IF(AND(L1345&lt;&gt;1,L1344=1),MAX($O$8:O1344)+1,"")</f>
        <v/>
      </c>
      <c r="P1345" s="17" t="str">
        <f ca="1">IF(AND(L1345=-1,L1344&lt;&gt;-1),MAX($P$8:P1344)+1,"")</f>
        <v/>
      </c>
      <c r="Q1345" s="24" t="str">
        <f ca="1">IF(AND(L1345&lt;&gt;-1,L1344=-1),MAX($Q$8:Q1344)+1,"")</f>
        <v/>
      </c>
    </row>
    <row r="1346" spans="1:17" x14ac:dyDescent="0.3">
      <c r="A1346" s="3">
        <v>42165</v>
      </c>
      <c r="B1346" s="9">
        <v>14.280607</v>
      </c>
      <c r="C1346" s="9">
        <v>11.82471</v>
      </c>
      <c r="E1346" s="14">
        <f t="shared" si="144"/>
        <v>1.2076919433964977</v>
      </c>
      <c r="F1346" s="18">
        <f t="shared" ref="F1346:F1409" ca="1" si="150">IF(ISNUMBER(G1346),(E1346-G1346)/H1346,"")</f>
        <v>-1.9422966864506768</v>
      </c>
      <c r="G1346" s="15">
        <f t="shared" ca="1" si="148"/>
        <v>1.2277435123877467</v>
      </c>
      <c r="H1346" s="15">
        <f t="shared" ca="1" si="149"/>
        <v>1.0323638572380504E-2</v>
      </c>
      <c r="J1346" s="17">
        <f t="shared" ca="1" si="145"/>
        <v>0</v>
      </c>
      <c r="K1346" s="24">
        <f t="shared" ca="1" si="146"/>
        <v>-1</v>
      </c>
      <c r="L1346" s="17">
        <f t="shared" ca="1" si="147"/>
        <v>-1</v>
      </c>
      <c r="N1346" s="24" t="str">
        <f ca="1">IF(AND(L1346=1,L1345&lt;&gt;1),MAX($N$8:N1345)+1,"")</f>
        <v/>
      </c>
      <c r="O1346" s="24" t="str">
        <f ca="1">IF(AND(L1346&lt;&gt;1,L1345=1),MAX($O$8:O1345)+1,"")</f>
        <v/>
      </c>
      <c r="P1346" s="17" t="str">
        <f ca="1">IF(AND(L1346=-1,L1345&lt;&gt;-1),MAX($P$8:P1345)+1,"")</f>
        <v/>
      </c>
      <c r="Q1346" s="24" t="str">
        <f ca="1">IF(AND(L1346&lt;&gt;-1,L1345=-1),MAX($Q$8:Q1345)+1,"")</f>
        <v/>
      </c>
    </row>
    <row r="1347" spans="1:17" x14ac:dyDescent="0.3">
      <c r="A1347" s="3">
        <v>42166</v>
      </c>
      <c r="B1347" s="9">
        <v>14.191777999999999</v>
      </c>
      <c r="C1347" s="9">
        <v>11.808104999999999</v>
      </c>
      <c r="E1347" s="14">
        <f t="shared" ref="E1347:E1410" si="151">IF(ISNUMBER(B1347),B1347/C1347,"")</f>
        <v>1.201867530818874</v>
      </c>
      <c r="F1347" s="18">
        <f t="shared" ca="1" si="150"/>
        <v>-2.1257369205976882</v>
      </c>
      <c r="G1347" s="15">
        <f t="shared" ca="1" si="148"/>
        <v>1.2266290819369745</v>
      </c>
      <c r="H1347" s="15">
        <f t="shared" ca="1" si="149"/>
        <v>1.1648455120748611E-2</v>
      </c>
      <c r="J1347" s="17">
        <f t="shared" ca="1" si="145"/>
        <v>0</v>
      </c>
      <c r="K1347" s="24">
        <f t="shared" ca="1" si="146"/>
        <v>-1</v>
      </c>
      <c r="L1347" s="17">
        <f t="shared" ca="1" si="147"/>
        <v>-1</v>
      </c>
      <c r="N1347" s="24" t="str">
        <f ca="1">IF(AND(L1347=1,L1346&lt;&gt;1),MAX($N$8:N1346)+1,"")</f>
        <v/>
      </c>
      <c r="O1347" s="24" t="str">
        <f ca="1">IF(AND(L1347&lt;&gt;1,L1346=1),MAX($O$8:O1346)+1,"")</f>
        <v/>
      </c>
      <c r="P1347" s="17" t="str">
        <f ca="1">IF(AND(L1347=-1,L1346&lt;&gt;-1),MAX($P$8:P1346)+1,"")</f>
        <v/>
      </c>
      <c r="Q1347" s="24" t="str">
        <f ca="1">IF(AND(L1347&lt;&gt;-1,L1346=-1),MAX($Q$8:Q1346)+1,"")</f>
        <v/>
      </c>
    </row>
    <row r="1348" spans="1:17" x14ac:dyDescent="0.3">
      <c r="A1348" s="3">
        <v>42167</v>
      </c>
      <c r="B1348" s="9">
        <v>14.043756999999999</v>
      </c>
      <c r="C1348" s="9">
        <v>11.574892999999999</v>
      </c>
      <c r="E1348" s="14">
        <f t="shared" si="151"/>
        <v>1.2132947578867468</v>
      </c>
      <c r="F1348" s="18">
        <f t="shared" ca="1" si="150"/>
        <v>-1.0465242079125376</v>
      </c>
      <c r="G1348" s="15">
        <f t="shared" ca="1" si="148"/>
        <v>1.2257142798530982</v>
      </c>
      <c r="H1348" s="15">
        <f t="shared" ca="1" si="149"/>
        <v>1.1867400555524829E-2</v>
      </c>
      <c r="J1348" s="17">
        <f t="shared" ca="1" si="145"/>
        <v>0</v>
      </c>
      <c r="K1348" s="24">
        <f t="shared" ca="1" si="146"/>
        <v>-1</v>
      </c>
      <c r="L1348" s="17">
        <f t="shared" ca="1" si="147"/>
        <v>-1</v>
      </c>
      <c r="N1348" s="24" t="str">
        <f ca="1">IF(AND(L1348=1,L1347&lt;&gt;1),MAX($N$8:N1347)+1,"")</f>
        <v/>
      </c>
      <c r="O1348" s="24" t="str">
        <f ca="1">IF(AND(L1348&lt;&gt;1,L1347=1),MAX($O$8:O1347)+1,"")</f>
        <v/>
      </c>
      <c r="P1348" s="17" t="str">
        <f ca="1">IF(AND(L1348=-1,L1347&lt;&gt;-1),MAX($P$8:P1347)+1,"")</f>
        <v/>
      </c>
      <c r="Q1348" s="24" t="str">
        <f ca="1">IF(AND(L1348&lt;&gt;-1,L1347=-1),MAX($Q$8:Q1347)+1,"")</f>
        <v/>
      </c>
    </row>
    <row r="1349" spans="1:17" x14ac:dyDescent="0.3">
      <c r="A1349" s="3">
        <v>42170</v>
      </c>
      <c r="B1349" s="9">
        <v>14.115689</v>
      </c>
      <c r="C1349" s="9">
        <v>11.529099</v>
      </c>
      <c r="E1349" s="14">
        <f t="shared" si="151"/>
        <v>1.2243531779890171</v>
      </c>
      <c r="F1349" s="18">
        <f t="shared" ca="1" si="150"/>
        <v>-6.6843219420464547E-2</v>
      </c>
      <c r="G1349" s="15">
        <f t="shared" ca="1" si="148"/>
        <v>1.2251284945055121</v>
      </c>
      <c r="H1349" s="15">
        <f t="shared" ca="1" si="149"/>
        <v>1.1599030136744355E-2</v>
      </c>
      <c r="J1349" s="17">
        <f t="shared" ca="1" si="145"/>
        <v>0</v>
      </c>
      <c r="K1349" s="24">
        <f t="shared" ca="1" si="146"/>
        <v>-1</v>
      </c>
      <c r="L1349" s="17">
        <f t="shared" ca="1" si="147"/>
        <v>-1</v>
      </c>
      <c r="N1349" s="24" t="str">
        <f ca="1">IF(AND(L1349=1,L1348&lt;&gt;1),MAX($N$8:N1348)+1,"")</f>
        <v/>
      </c>
      <c r="O1349" s="24" t="str">
        <f ca="1">IF(AND(L1349&lt;&gt;1,L1348=1),MAX($O$8:O1348)+1,"")</f>
        <v/>
      </c>
      <c r="P1349" s="17" t="str">
        <f ca="1">IF(AND(L1349=-1,L1348&lt;&gt;-1),MAX($P$8:P1348)+1,"")</f>
        <v/>
      </c>
      <c r="Q1349" s="24" t="str">
        <f ca="1">IF(AND(L1349&lt;&gt;-1,L1348=-1),MAX($Q$8:Q1348)+1,"")</f>
        <v/>
      </c>
    </row>
    <row r="1350" spans="1:17" x14ac:dyDescent="0.3">
      <c r="A1350" s="3">
        <v>42171</v>
      </c>
      <c r="B1350" s="9">
        <v>14.614813</v>
      </c>
      <c r="C1350" s="9">
        <v>11.787250999999999</v>
      </c>
      <c r="E1350" s="14">
        <f t="shared" si="151"/>
        <v>1.2398830736700186</v>
      </c>
      <c r="F1350" s="18">
        <f t="shared" ca="1" si="150"/>
        <v>1.1631020008634003</v>
      </c>
      <c r="G1350" s="15">
        <f t="shared" ca="1" si="148"/>
        <v>1.2259706894565048</v>
      </c>
      <c r="H1350" s="15">
        <f t="shared" ca="1" si="149"/>
        <v>1.1961448095855995E-2</v>
      </c>
      <c r="J1350" s="17">
        <f t="shared" ca="1" si="145"/>
        <v>1</v>
      </c>
      <c r="K1350" s="24">
        <f t="shared" ca="1" si="146"/>
        <v>0</v>
      </c>
      <c r="L1350" s="17">
        <f t="shared" ca="1" si="147"/>
        <v>1</v>
      </c>
      <c r="N1350" s="24">
        <f ca="1">IF(AND(L1350=1,L1349&lt;&gt;1),MAX($N$8:N1349)+1,"")</f>
        <v>44</v>
      </c>
      <c r="O1350" s="24" t="str">
        <f ca="1">IF(AND(L1350&lt;&gt;1,L1349=1),MAX($O$8:O1349)+1,"")</f>
        <v/>
      </c>
      <c r="P1350" s="17" t="str">
        <f ca="1">IF(AND(L1350=-1,L1349&lt;&gt;-1),MAX($P$8:P1349)+1,"")</f>
        <v/>
      </c>
      <c r="Q1350" s="24">
        <f ca="1">IF(AND(L1350&lt;&gt;-1,L1349=-1),MAX($Q$8:Q1349)+1,"")</f>
        <v>50</v>
      </c>
    </row>
    <row r="1351" spans="1:17" x14ac:dyDescent="0.3">
      <c r="A1351" s="3">
        <v>42172</v>
      </c>
      <c r="B1351" s="9">
        <v>14.356764</v>
      </c>
      <c r="C1351" s="9">
        <v>11.53744</v>
      </c>
      <c r="E1351" s="14">
        <f t="shared" si="151"/>
        <v>1.2443630476084815</v>
      </c>
      <c r="F1351" s="18">
        <f t="shared" ca="1" si="150"/>
        <v>1.3897062444045318</v>
      </c>
      <c r="G1351" s="15">
        <f t="shared" ca="1" si="148"/>
        <v>1.2269459089458472</v>
      </c>
      <c r="H1351" s="15">
        <f t="shared" ca="1" si="149"/>
        <v>1.2532964238134556E-2</v>
      </c>
      <c r="J1351" s="17">
        <f t="shared" ca="1" si="145"/>
        <v>1</v>
      </c>
      <c r="K1351" s="24">
        <f t="shared" ca="1" si="146"/>
        <v>0</v>
      </c>
      <c r="L1351" s="17">
        <f t="shared" ca="1" si="147"/>
        <v>1</v>
      </c>
      <c r="N1351" s="24" t="str">
        <f ca="1">IF(AND(L1351=1,L1350&lt;&gt;1),MAX($N$8:N1350)+1,"")</f>
        <v/>
      </c>
      <c r="O1351" s="24" t="str">
        <f ca="1">IF(AND(L1351&lt;&gt;1,L1350=1),MAX($O$8:O1350)+1,"")</f>
        <v/>
      </c>
      <c r="P1351" s="17" t="str">
        <f ca="1">IF(AND(L1351=-1,L1350&lt;&gt;-1),MAX($P$8:P1350)+1,"")</f>
        <v/>
      </c>
      <c r="Q1351" s="24" t="str">
        <f ca="1">IF(AND(L1351&lt;&gt;-1,L1350=-1),MAX($Q$8:Q1350)+1,"")</f>
        <v/>
      </c>
    </row>
    <row r="1352" spans="1:17" x14ac:dyDescent="0.3">
      <c r="A1352" s="3">
        <v>42173</v>
      </c>
      <c r="B1352" s="9">
        <v>14.712085999999999</v>
      </c>
      <c r="C1352" s="9">
        <v>11.970501000000001</v>
      </c>
      <c r="E1352" s="14">
        <f t="shared" si="151"/>
        <v>1.2290284257943755</v>
      </c>
      <c r="F1352" s="18">
        <f t="shared" ca="1" si="150"/>
        <v>0.13942793264630887</v>
      </c>
      <c r="G1352" s="15">
        <f t="shared" ca="1" si="148"/>
        <v>1.2272880440310452</v>
      </c>
      <c r="H1352" s="15">
        <f t="shared" ca="1" si="149"/>
        <v>1.248230344019542E-2</v>
      </c>
      <c r="J1352" s="17">
        <f t="shared" ref="J1352:J1415" ca="1" si="152">IF(ISNUMBER(F1352),IF(AND(J1351&lt;&gt;1,F1352&gt;$L$1),1,IF(AND(J1351=1,F1352&gt;$N$1),1,0)),"")</f>
        <v>1</v>
      </c>
      <c r="K1352" s="24">
        <f t="shared" ca="1" si="146"/>
        <v>0</v>
      </c>
      <c r="L1352" s="17">
        <f t="shared" ca="1" si="147"/>
        <v>1</v>
      </c>
      <c r="N1352" s="24" t="str">
        <f ca="1">IF(AND(L1352=1,L1351&lt;&gt;1),MAX($N$8:N1351)+1,"")</f>
        <v/>
      </c>
      <c r="O1352" s="24" t="str">
        <f ca="1">IF(AND(L1352&lt;&gt;1,L1351=1),MAX($O$8:O1351)+1,"")</f>
        <v/>
      </c>
      <c r="P1352" s="17" t="str">
        <f ca="1">IF(AND(L1352=-1,L1351&lt;&gt;-1),MAX($P$8:P1351)+1,"")</f>
        <v/>
      </c>
      <c r="Q1352" s="24" t="str">
        <f ca="1">IF(AND(L1352&lt;&gt;-1,L1351=-1),MAX($Q$8:Q1351)+1,"")</f>
        <v/>
      </c>
    </row>
    <row r="1353" spans="1:17" x14ac:dyDescent="0.3">
      <c r="A1353" s="3">
        <v>42174</v>
      </c>
      <c r="B1353" s="9">
        <v>14.547166000000001</v>
      </c>
      <c r="C1353" s="9">
        <v>11.728951</v>
      </c>
      <c r="E1353" s="14">
        <f t="shared" si="151"/>
        <v>1.2402785210714922</v>
      </c>
      <c r="F1353" s="18">
        <f t="shared" ca="1" si="150"/>
        <v>0.95021452148045293</v>
      </c>
      <c r="G1353" s="15">
        <f t="shared" ca="1" si="148"/>
        <v>1.2284293433528777</v>
      </c>
      <c r="H1353" s="15">
        <f t="shared" ca="1" si="149"/>
        <v>1.2470002773850727E-2</v>
      </c>
      <c r="J1353" s="17">
        <f t="shared" ca="1" si="152"/>
        <v>1</v>
      </c>
      <c r="K1353" s="24">
        <f t="shared" ref="K1353:K1416" ca="1" si="153">IF(ISNUMBER(F1353),IF(AND(K1352&lt;&gt;-1,F1353&lt;$P$1),-1,IF(AND(K1352=-1,F1353&lt;R1346),-1,0)),"")</f>
        <v>0</v>
      </c>
      <c r="L1353" s="17">
        <f t="shared" ref="L1353:L1416" ca="1" si="154">IF(ISNUMBER(F1353),IF(J1353=1,1,IF(K1353=-1,-1,0)),"")</f>
        <v>1</v>
      </c>
      <c r="N1353" s="24" t="str">
        <f ca="1">IF(AND(L1353=1,L1352&lt;&gt;1),MAX($N$8:N1352)+1,"")</f>
        <v/>
      </c>
      <c r="O1353" s="24" t="str">
        <f ca="1">IF(AND(L1353&lt;&gt;1,L1352=1),MAX($O$8:O1352)+1,"")</f>
        <v/>
      </c>
      <c r="P1353" s="17" t="str">
        <f ca="1">IF(AND(L1353=-1,L1352&lt;&gt;-1),MAX($P$8:P1352)+1,"")</f>
        <v/>
      </c>
      <c r="Q1353" s="24" t="str">
        <f ca="1">IF(AND(L1353&lt;&gt;-1,L1352=-1),MAX($Q$8:Q1352)+1,"")</f>
        <v/>
      </c>
    </row>
    <row r="1354" spans="1:17" x14ac:dyDescent="0.3">
      <c r="A1354" s="3">
        <v>42177</v>
      </c>
      <c r="B1354" s="9">
        <v>14.589467000000001</v>
      </c>
      <c r="C1354" s="9">
        <v>11.841386999999999</v>
      </c>
      <c r="E1354" s="14">
        <f t="shared" si="151"/>
        <v>1.2320741649605744</v>
      </c>
      <c r="F1354" s="18">
        <f t="shared" ca="1" si="150"/>
        <v>0.2782751244764472</v>
      </c>
      <c r="G1354" s="15">
        <f t="shared" ca="1" si="148"/>
        <v>1.2285976594928891</v>
      </c>
      <c r="H1354" s="15">
        <f t="shared" ca="1" si="149"/>
        <v>1.2493051523114291E-2</v>
      </c>
      <c r="J1354" s="17">
        <f t="shared" ca="1" si="152"/>
        <v>1</v>
      </c>
      <c r="K1354" s="24">
        <f t="shared" ca="1" si="153"/>
        <v>0</v>
      </c>
      <c r="L1354" s="17">
        <f t="shared" ca="1" si="154"/>
        <v>1</v>
      </c>
      <c r="N1354" s="24" t="str">
        <f ca="1">IF(AND(L1354=1,L1353&lt;&gt;1),MAX($N$8:N1353)+1,"")</f>
        <v/>
      </c>
      <c r="O1354" s="24" t="str">
        <f ca="1">IF(AND(L1354&lt;&gt;1,L1353=1),MAX($O$8:O1353)+1,"")</f>
        <v/>
      </c>
      <c r="P1354" s="17" t="str">
        <f ca="1">IF(AND(L1354=-1,L1353&lt;&gt;-1),MAX($P$8:P1353)+1,"")</f>
        <v/>
      </c>
      <c r="Q1354" s="24" t="str">
        <f ca="1">IF(AND(L1354&lt;&gt;-1,L1353=-1),MAX($Q$8:Q1353)+1,"")</f>
        <v/>
      </c>
    </row>
    <row r="1355" spans="1:17" x14ac:dyDescent="0.3">
      <c r="A1355" s="3">
        <v>42178</v>
      </c>
      <c r="B1355" s="9">
        <v>14.733271</v>
      </c>
      <c r="C1355" s="9">
        <v>12.057812999999999</v>
      </c>
      <c r="E1355" s="14">
        <f t="shared" si="151"/>
        <v>1.2218858428141157</v>
      </c>
      <c r="F1355" s="18">
        <f t="shared" ca="1" si="150"/>
        <v>-0.51105492140318365</v>
      </c>
      <c r="G1355" s="15">
        <f t="shared" ca="1" si="148"/>
        <v>1.2283104046057731</v>
      </c>
      <c r="H1355" s="15">
        <f t="shared" ca="1" si="149"/>
        <v>1.257117683950236E-2</v>
      </c>
      <c r="J1355" s="17">
        <f t="shared" ca="1" si="152"/>
        <v>0</v>
      </c>
      <c r="K1355" s="24">
        <f t="shared" ca="1" si="153"/>
        <v>0</v>
      </c>
      <c r="L1355" s="17">
        <f t="shared" ca="1" si="154"/>
        <v>0</v>
      </c>
      <c r="N1355" s="24" t="str">
        <f ca="1">IF(AND(L1355=1,L1354&lt;&gt;1),MAX($N$8:N1354)+1,"")</f>
        <v/>
      </c>
      <c r="O1355" s="24">
        <f ca="1">IF(AND(L1355&lt;&gt;1,L1354=1),MAX($O$8:O1354)+1,"")</f>
        <v>44</v>
      </c>
      <c r="P1355" s="17" t="str">
        <f ca="1">IF(AND(L1355=-1,L1354&lt;&gt;-1),MAX($P$8:P1354)+1,"")</f>
        <v/>
      </c>
      <c r="Q1355" s="24" t="str">
        <f ca="1">IF(AND(L1355&lt;&gt;-1,L1354=-1),MAX($Q$8:Q1354)+1,"")</f>
        <v/>
      </c>
    </row>
    <row r="1356" spans="1:17" x14ac:dyDescent="0.3">
      <c r="A1356" s="3">
        <v>42179</v>
      </c>
      <c r="B1356" s="9">
        <v>14.784027999999999</v>
      </c>
      <c r="C1356" s="9">
        <v>12.133608000000001</v>
      </c>
      <c r="E1356" s="14">
        <f t="shared" si="151"/>
        <v>1.2184362639702879</v>
      </c>
      <c r="F1356" s="18">
        <f t="shared" ca="1" si="150"/>
        <v>-0.71745450369029806</v>
      </c>
      <c r="G1356" s="15">
        <f t="shared" ca="1" si="148"/>
        <v>1.2274602146359441</v>
      </c>
      <c r="H1356" s="15">
        <f t="shared" ca="1" si="149"/>
        <v>1.2577732273253034E-2</v>
      </c>
      <c r="J1356" s="17">
        <f t="shared" ca="1" si="152"/>
        <v>0</v>
      </c>
      <c r="K1356" s="24">
        <f t="shared" ca="1" si="153"/>
        <v>0</v>
      </c>
      <c r="L1356" s="17">
        <f t="shared" ca="1" si="154"/>
        <v>0</v>
      </c>
      <c r="N1356" s="24" t="str">
        <f ca="1">IF(AND(L1356=1,L1355&lt;&gt;1),MAX($N$8:N1355)+1,"")</f>
        <v/>
      </c>
      <c r="O1356" s="24" t="str">
        <f ca="1">IF(AND(L1356&lt;&gt;1,L1355=1),MAX($O$8:O1355)+1,"")</f>
        <v/>
      </c>
      <c r="P1356" s="17" t="str">
        <f ca="1">IF(AND(L1356=-1,L1355&lt;&gt;-1),MAX($P$8:P1355)+1,"")</f>
        <v/>
      </c>
      <c r="Q1356" s="24" t="str">
        <f ca="1">IF(AND(L1356&lt;&gt;-1,L1355=-1),MAX($Q$8:Q1355)+1,"")</f>
        <v/>
      </c>
    </row>
    <row r="1357" spans="1:17" x14ac:dyDescent="0.3">
      <c r="A1357" s="3">
        <v>42180</v>
      </c>
      <c r="B1357" s="9">
        <v>14.530196</v>
      </c>
      <c r="C1357" s="9">
        <v>12.091495</v>
      </c>
      <c r="E1357" s="14">
        <f t="shared" si="151"/>
        <v>1.2016873016942902</v>
      </c>
      <c r="F1357" s="18">
        <f t="shared" ca="1" si="150"/>
        <v>-1.7951671490894689</v>
      </c>
      <c r="G1357" s="15">
        <f t="shared" ca="1" si="148"/>
        <v>1.2262191226321215</v>
      </c>
      <c r="H1357" s="15">
        <f t="shared" ca="1" si="149"/>
        <v>1.3665480092076214E-2</v>
      </c>
      <c r="J1357" s="17">
        <f t="shared" ca="1" si="152"/>
        <v>0</v>
      </c>
      <c r="K1357" s="24">
        <f t="shared" ca="1" si="153"/>
        <v>-1</v>
      </c>
      <c r="L1357" s="17">
        <f t="shared" ca="1" si="154"/>
        <v>-1</v>
      </c>
      <c r="N1357" s="24" t="str">
        <f ca="1">IF(AND(L1357=1,L1356&lt;&gt;1),MAX($N$8:N1356)+1,"")</f>
        <v/>
      </c>
      <c r="O1357" s="24" t="str">
        <f ca="1">IF(AND(L1357&lt;&gt;1,L1356=1),MAX($O$8:O1356)+1,"")</f>
        <v/>
      </c>
      <c r="P1357" s="17">
        <f ca="1">IF(AND(L1357=-1,L1356&lt;&gt;-1),MAX($P$8:P1356)+1,"")</f>
        <v>51</v>
      </c>
      <c r="Q1357" s="24" t="str">
        <f ca="1">IF(AND(L1357&lt;&gt;-1,L1356=-1),MAX($Q$8:Q1356)+1,"")</f>
        <v/>
      </c>
    </row>
    <row r="1358" spans="1:17" x14ac:dyDescent="0.3">
      <c r="A1358" s="3">
        <v>42181</v>
      </c>
      <c r="B1358" s="9">
        <v>14.657109</v>
      </c>
      <c r="C1358" s="9">
        <v>12.268476</v>
      </c>
      <c r="E1358" s="14">
        <f t="shared" si="151"/>
        <v>1.1946967985265653</v>
      </c>
      <c r="F1358" s="18">
        <f t="shared" ca="1" si="150"/>
        <v>-2.1188543505385553</v>
      </c>
      <c r="G1358" s="15">
        <f t="shared" ca="1" si="148"/>
        <v>1.2234344005620836</v>
      </c>
      <c r="H1358" s="15">
        <f t="shared" ca="1" si="149"/>
        <v>1.3562802005816972E-2</v>
      </c>
      <c r="J1358" s="17">
        <f t="shared" ca="1" si="152"/>
        <v>0</v>
      </c>
      <c r="K1358" s="24">
        <f t="shared" ca="1" si="153"/>
        <v>-1</v>
      </c>
      <c r="L1358" s="17">
        <f t="shared" ca="1" si="154"/>
        <v>-1</v>
      </c>
      <c r="N1358" s="24" t="str">
        <f ca="1">IF(AND(L1358=1,L1357&lt;&gt;1),MAX($N$8:N1357)+1,"")</f>
        <v/>
      </c>
      <c r="O1358" s="24" t="str">
        <f ca="1">IF(AND(L1358&lt;&gt;1,L1357=1),MAX($O$8:O1357)+1,"")</f>
        <v/>
      </c>
      <c r="P1358" s="17" t="str">
        <f ca="1">IF(AND(L1358=-1,L1357&lt;&gt;-1),MAX($P$8:P1357)+1,"")</f>
        <v/>
      </c>
      <c r="Q1358" s="24" t="str">
        <f ca="1">IF(AND(L1358&lt;&gt;-1,L1357=-1),MAX($Q$8:Q1357)+1,"")</f>
        <v/>
      </c>
    </row>
    <row r="1359" spans="1:17" x14ac:dyDescent="0.3">
      <c r="A1359" s="3">
        <v>42184</v>
      </c>
      <c r="B1359" s="9">
        <v>14.471003</v>
      </c>
      <c r="C1359" s="9">
        <v>11.939828</v>
      </c>
      <c r="E1359" s="14">
        <f t="shared" si="151"/>
        <v>1.2119942598838107</v>
      </c>
      <c r="F1359" s="18">
        <f t="shared" ca="1" si="150"/>
        <v>-0.7678102734049328</v>
      </c>
      <c r="G1359" s="15">
        <f t="shared" ca="1" si="148"/>
        <v>1.2223240431713001</v>
      </c>
      <c r="H1359" s="15">
        <f t="shared" ca="1" si="149"/>
        <v>1.3453562221407733E-2</v>
      </c>
      <c r="J1359" s="17">
        <f t="shared" ca="1" si="152"/>
        <v>0</v>
      </c>
      <c r="K1359" s="24">
        <f t="shared" ca="1" si="153"/>
        <v>-1</v>
      </c>
      <c r="L1359" s="17">
        <f t="shared" ca="1" si="154"/>
        <v>-1</v>
      </c>
      <c r="N1359" s="24" t="str">
        <f ca="1">IF(AND(L1359=1,L1358&lt;&gt;1),MAX($N$8:N1358)+1,"")</f>
        <v/>
      </c>
      <c r="O1359" s="24" t="str">
        <f ca="1">IF(AND(L1359&lt;&gt;1,L1358=1),MAX($O$8:O1358)+1,"")</f>
        <v/>
      </c>
      <c r="P1359" s="17" t="str">
        <f ca="1">IF(AND(L1359=-1,L1358&lt;&gt;-1),MAX($P$8:P1358)+1,"")</f>
        <v/>
      </c>
      <c r="Q1359" s="24" t="str">
        <f ca="1">IF(AND(L1359&lt;&gt;-1,L1358=-1),MAX($Q$8:Q1358)+1,"")</f>
        <v/>
      </c>
    </row>
    <row r="1360" spans="1:17" x14ac:dyDescent="0.3">
      <c r="A1360" s="3">
        <v>42185</v>
      </c>
      <c r="B1360" s="9">
        <v>14.475236000000001</v>
      </c>
      <c r="C1360" s="9">
        <v>11.977726000000001</v>
      </c>
      <c r="E1360" s="14">
        <f t="shared" si="151"/>
        <v>1.2085128679684274</v>
      </c>
      <c r="F1360" s="18">
        <f t="shared" ca="1" si="150"/>
        <v>-0.93735856471637147</v>
      </c>
      <c r="G1360" s="15">
        <f t="shared" ca="1" si="148"/>
        <v>1.2210656641937654</v>
      </c>
      <c r="H1360" s="15">
        <f t="shared" ca="1" si="149"/>
        <v>1.3391669631926031E-2</v>
      </c>
      <c r="J1360" s="17">
        <f t="shared" ca="1" si="152"/>
        <v>0</v>
      </c>
      <c r="K1360" s="24">
        <f t="shared" ca="1" si="153"/>
        <v>-1</v>
      </c>
      <c r="L1360" s="17">
        <f t="shared" ca="1" si="154"/>
        <v>-1</v>
      </c>
      <c r="N1360" s="24" t="str">
        <f ca="1">IF(AND(L1360=1,L1359&lt;&gt;1),MAX($N$8:N1359)+1,"")</f>
        <v/>
      </c>
      <c r="O1360" s="24" t="str">
        <f ca="1">IF(AND(L1360&lt;&gt;1,L1359=1),MAX($O$8:O1359)+1,"")</f>
        <v/>
      </c>
      <c r="P1360" s="17" t="str">
        <f ca="1">IF(AND(L1360=-1,L1359&lt;&gt;-1),MAX($P$8:P1359)+1,"")</f>
        <v/>
      </c>
      <c r="Q1360" s="24" t="str">
        <f ca="1">IF(AND(L1360&lt;&gt;-1,L1359=-1),MAX($Q$8:Q1359)+1,"")</f>
        <v/>
      </c>
    </row>
    <row r="1361" spans="1:17" x14ac:dyDescent="0.3">
      <c r="A1361" s="3">
        <v>42186</v>
      </c>
      <c r="B1361" s="9">
        <v>14.562977</v>
      </c>
      <c r="C1361" s="9">
        <v>11.939828</v>
      </c>
      <c r="E1361" s="14">
        <f t="shared" si="151"/>
        <v>1.2196973859254923</v>
      </c>
      <c r="F1361" s="18">
        <f t="shared" ca="1" si="150"/>
        <v>-4.4046648867199722E-2</v>
      </c>
      <c r="G1361" s="15">
        <f t="shared" ca="1" si="148"/>
        <v>1.2202663003996825</v>
      </c>
      <c r="H1361" s="15">
        <f t="shared" ca="1" si="149"/>
        <v>1.2916180658954248E-2</v>
      </c>
      <c r="J1361" s="17">
        <f t="shared" ca="1" si="152"/>
        <v>0</v>
      </c>
      <c r="K1361" s="24">
        <f t="shared" ca="1" si="153"/>
        <v>-1</v>
      </c>
      <c r="L1361" s="17">
        <f t="shared" ca="1" si="154"/>
        <v>-1</v>
      </c>
      <c r="N1361" s="24" t="str">
        <f ca="1">IF(AND(L1361=1,L1360&lt;&gt;1),MAX($N$8:N1360)+1,"")</f>
        <v/>
      </c>
      <c r="O1361" s="24" t="str">
        <f ca="1">IF(AND(L1361&lt;&gt;1,L1360=1),MAX($O$8:O1360)+1,"")</f>
        <v/>
      </c>
      <c r="P1361" s="17" t="str">
        <f ca="1">IF(AND(L1361=-1,L1360&lt;&gt;-1),MAX($P$8:P1360)+1,"")</f>
        <v/>
      </c>
      <c r="Q1361" s="24" t="str">
        <f ca="1">IF(AND(L1361&lt;&gt;-1,L1360=-1),MAX($Q$8:Q1360)+1,"")</f>
        <v/>
      </c>
    </row>
    <row r="1362" spans="1:17" x14ac:dyDescent="0.3">
      <c r="A1362" s="3">
        <v>42187</v>
      </c>
      <c r="B1362" s="9">
        <v>14.757678</v>
      </c>
      <c r="C1362" s="9">
        <v>12.190072000000001</v>
      </c>
      <c r="E1362" s="14">
        <f t="shared" si="151"/>
        <v>1.210630913418723</v>
      </c>
      <c r="F1362" s="18">
        <f t="shared" ca="1" si="150"/>
        <v>-0.67362843232473235</v>
      </c>
      <c r="G1362" s="15">
        <f t="shared" ca="1" si="148"/>
        <v>1.2190812415667962</v>
      </c>
      <c r="H1362" s="15">
        <f t="shared" ca="1" si="149"/>
        <v>1.2544494475850187E-2</v>
      </c>
      <c r="J1362" s="17">
        <f t="shared" ca="1" si="152"/>
        <v>0</v>
      </c>
      <c r="K1362" s="24">
        <f t="shared" ca="1" si="153"/>
        <v>-1</v>
      </c>
      <c r="L1362" s="17">
        <f t="shared" ca="1" si="154"/>
        <v>-1</v>
      </c>
      <c r="N1362" s="24" t="str">
        <f ca="1">IF(AND(L1362=1,L1361&lt;&gt;1),MAX($N$8:N1361)+1,"")</f>
        <v/>
      </c>
      <c r="O1362" s="24" t="str">
        <f ca="1">IF(AND(L1362&lt;&gt;1,L1361=1),MAX($O$8:O1361)+1,"")</f>
        <v/>
      </c>
      <c r="P1362" s="17" t="str">
        <f ca="1">IF(AND(L1362=-1,L1361&lt;&gt;-1),MAX($P$8:P1361)+1,"")</f>
        <v/>
      </c>
      <c r="Q1362" s="24" t="str">
        <f ca="1">IF(AND(L1362&lt;&gt;-1,L1361=-1),MAX($Q$8:Q1361)+1,"")</f>
        <v/>
      </c>
    </row>
    <row r="1363" spans="1:17" x14ac:dyDescent="0.3">
      <c r="A1363" s="3">
        <v>42188</v>
      </c>
      <c r="B1363" s="9">
        <v>14.609541</v>
      </c>
      <c r="C1363" s="9">
        <v>12.050897000000001</v>
      </c>
      <c r="E1363" s="14">
        <f t="shared" si="151"/>
        <v>1.2123197966093311</v>
      </c>
      <c r="F1363" s="18">
        <f t="shared" ca="1" si="150"/>
        <v>-0.50215951163031147</v>
      </c>
      <c r="G1363" s="15">
        <f t="shared" ca="1" si="148"/>
        <v>1.2186501917836916</v>
      </c>
      <c r="H1363" s="15">
        <f t="shared" ca="1" si="149"/>
        <v>1.260634325895421E-2</v>
      </c>
      <c r="J1363" s="17">
        <f t="shared" ca="1" si="152"/>
        <v>0</v>
      </c>
      <c r="K1363" s="24">
        <f t="shared" ca="1" si="153"/>
        <v>-1</v>
      </c>
      <c r="L1363" s="17">
        <f t="shared" ca="1" si="154"/>
        <v>-1</v>
      </c>
      <c r="N1363" s="24" t="str">
        <f ca="1">IF(AND(L1363=1,L1362&lt;&gt;1),MAX($N$8:N1362)+1,"")</f>
        <v/>
      </c>
      <c r="O1363" s="24" t="str">
        <f ca="1">IF(AND(L1363&lt;&gt;1,L1362=1),MAX($O$8:O1362)+1,"")</f>
        <v/>
      </c>
      <c r="P1363" s="17" t="str">
        <f ca="1">IF(AND(L1363=-1,L1362&lt;&gt;-1),MAX($P$8:P1362)+1,"")</f>
        <v/>
      </c>
      <c r="Q1363" s="24" t="str">
        <f ca="1">IF(AND(L1363&lt;&gt;-1,L1362=-1),MAX($Q$8:Q1362)+1,"")</f>
        <v/>
      </c>
    </row>
    <row r="1364" spans="1:17" x14ac:dyDescent="0.3">
      <c r="A1364" s="3">
        <v>42191</v>
      </c>
      <c r="B1364" s="9">
        <v>14.359748</v>
      </c>
      <c r="C1364" s="9">
        <v>11.814715</v>
      </c>
      <c r="E1364" s="14">
        <f t="shared" si="151"/>
        <v>1.215412136475573</v>
      </c>
      <c r="F1364" s="18">
        <f t="shared" ca="1" si="150"/>
        <v>-0.22693325690954885</v>
      </c>
      <c r="G1364" s="15">
        <f t="shared" ca="1" si="148"/>
        <v>1.218264621671945</v>
      </c>
      <c r="H1364" s="15">
        <f t="shared" ca="1" si="149"/>
        <v>1.2569709857506651E-2</v>
      </c>
      <c r="J1364" s="17">
        <f t="shared" ca="1" si="152"/>
        <v>0</v>
      </c>
      <c r="K1364" s="24">
        <f t="shared" ca="1" si="153"/>
        <v>-1</v>
      </c>
      <c r="L1364" s="17">
        <f t="shared" ca="1" si="154"/>
        <v>-1</v>
      </c>
      <c r="N1364" s="24" t="str">
        <f ca="1">IF(AND(L1364=1,L1363&lt;&gt;1),MAX($N$8:N1363)+1,"")</f>
        <v/>
      </c>
      <c r="O1364" s="24" t="str">
        <f ca="1">IF(AND(L1364&lt;&gt;1,L1363=1),MAX($O$8:O1363)+1,"")</f>
        <v/>
      </c>
      <c r="P1364" s="17" t="str">
        <f ca="1">IF(AND(L1364=-1,L1363&lt;&gt;-1),MAX($P$8:P1363)+1,"")</f>
        <v/>
      </c>
      <c r="Q1364" s="24" t="str">
        <f ca="1">IF(AND(L1364&lt;&gt;-1,L1363=-1),MAX($Q$8:Q1363)+1,"")</f>
        <v/>
      </c>
    </row>
    <row r="1365" spans="1:17" x14ac:dyDescent="0.3">
      <c r="A1365" s="3">
        <v>42192</v>
      </c>
      <c r="B1365" s="9">
        <v>14.414758000000001</v>
      </c>
      <c r="C1365" s="9">
        <v>11.709258999999999</v>
      </c>
      <c r="E1365" s="14">
        <f t="shared" si="151"/>
        <v>1.2310563802542929</v>
      </c>
      <c r="F1365" s="18">
        <f t="shared" ca="1" si="150"/>
        <v>0.9593104340489369</v>
      </c>
      <c r="G1365" s="15">
        <f t="shared" ca="1" si="148"/>
        <v>1.218735833828668</v>
      </c>
      <c r="H1365" s="15">
        <f t="shared" ca="1" si="149"/>
        <v>1.2843127717921135E-2</v>
      </c>
      <c r="J1365" s="17">
        <f t="shared" ca="1" si="152"/>
        <v>0</v>
      </c>
      <c r="K1365" s="24">
        <f t="shared" ca="1" si="153"/>
        <v>0</v>
      </c>
      <c r="L1365" s="17">
        <f t="shared" ca="1" si="154"/>
        <v>0</v>
      </c>
      <c r="N1365" s="24" t="str">
        <f ca="1">IF(AND(L1365=1,L1364&lt;&gt;1),MAX($N$8:N1364)+1,"")</f>
        <v/>
      </c>
      <c r="O1365" s="24" t="str">
        <f ca="1">IF(AND(L1365&lt;&gt;1,L1364=1),MAX($O$8:O1364)+1,"")</f>
        <v/>
      </c>
      <c r="P1365" s="17" t="str">
        <f ca="1">IF(AND(L1365=-1,L1364&lt;&gt;-1),MAX($P$8:P1364)+1,"")</f>
        <v/>
      </c>
      <c r="Q1365" s="24">
        <f ca="1">IF(AND(L1365&lt;&gt;-1,L1364=-1),MAX($Q$8:Q1364)+1,"")</f>
        <v>51</v>
      </c>
    </row>
    <row r="1366" spans="1:17" x14ac:dyDescent="0.3">
      <c r="A1366" s="3">
        <v>42193</v>
      </c>
      <c r="B1366" s="9">
        <v>14.249720999999999</v>
      </c>
      <c r="C1366" s="9">
        <v>11.527844999999999</v>
      </c>
      <c r="E1366" s="14">
        <f t="shared" si="151"/>
        <v>1.2361131677256243</v>
      </c>
      <c r="F1366" s="18">
        <f t="shared" ca="1" si="150"/>
        <v>1.2377613930728273</v>
      </c>
      <c r="G1366" s="15">
        <f t="shared" ca="1" si="148"/>
        <v>1.2196112132214845</v>
      </c>
      <c r="H1366" s="15">
        <f t="shared" ca="1" si="149"/>
        <v>1.3332096635501448E-2</v>
      </c>
      <c r="J1366" s="17">
        <f t="shared" ca="1" si="152"/>
        <v>1</v>
      </c>
      <c r="K1366" s="24">
        <f t="shared" ca="1" si="153"/>
        <v>0</v>
      </c>
      <c r="L1366" s="17">
        <f t="shared" ca="1" si="154"/>
        <v>1</v>
      </c>
      <c r="N1366" s="24">
        <f ca="1">IF(AND(L1366=1,L1365&lt;&gt;1),MAX($N$8:N1365)+1,"")</f>
        <v>45</v>
      </c>
      <c r="O1366" s="24" t="str">
        <f ca="1">IF(AND(L1366&lt;&gt;1,L1365=1),MAX($O$8:O1365)+1,"")</f>
        <v/>
      </c>
      <c r="P1366" s="17" t="str">
        <f ca="1">IF(AND(L1366=-1,L1365&lt;&gt;-1),MAX($P$8:P1365)+1,"")</f>
        <v/>
      </c>
      <c r="Q1366" s="24" t="str">
        <f ca="1">IF(AND(L1366&lt;&gt;-1,L1365=-1),MAX($Q$8:Q1365)+1,"")</f>
        <v/>
      </c>
    </row>
    <row r="1367" spans="1:17" x14ac:dyDescent="0.3">
      <c r="A1367" s="3">
        <v>42195</v>
      </c>
      <c r="B1367" s="9">
        <v>14.68146</v>
      </c>
      <c r="C1367" s="9">
        <v>12.0214</v>
      </c>
      <c r="E1367" s="14">
        <f t="shared" si="151"/>
        <v>1.2212770559169481</v>
      </c>
      <c r="F1367" s="18">
        <f t="shared" ca="1" si="150"/>
        <v>0.10767547430195654</v>
      </c>
      <c r="G1367" s="15">
        <f t="shared" ca="1" si="148"/>
        <v>1.2198434006536163</v>
      </c>
      <c r="H1367" s="15">
        <f t="shared" ca="1" si="149"/>
        <v>1.3314594364464145E-2</v>
      </c>
      <c r="J1367" s="17">
        <f t="shared" ca="1" si="152"/>
        <v>1</v>
      </c>
      <c r="K1367" s="24">
        <f t="shared" ca="1" si="153"/>
        <v>0</v>
      </c>
      <c r="L1367" s="17">
        <f t="shared" ca="1" si="154"/>
        <v>1</v>
      </c>
      <c r="N1367" s="24" t="str">
        <f ca="1">IF(AND(L1367=1,L1366&lt;&gt;1),MAX($N$8:N1366)+1,"")</f>
        <v/>
      </c>
      <c r="O1367" s="24" t="str">
        <f ca="1">IF(AND(L1367&lt;&gt;1,L1366=1),MAX($O$8:O1366)+1,"")</f>
        <v/>
      </c>
      <c r="P1367" s="17" t="str">
        <f ca="1">IF(AND(L1367=-1,L1366&lt;&gt;-1),MAX($P$8:P1366)+1,"")</f>
        <v/>
      </c>
      <c r="Q1367" s="24" t="str">
        <f ca="1">IF(AND(L1367&lt;&gt;-1,L1366=-1),MAX($Q$8:Q1366)+1,"")</f>
        <v/>
      </c>
    </row>
    <row r="1368" spans="1:17" x14ac:dyDescent="0.3">
      <c r="A1368" s="3">
        <v>42198</v>
      </c>
      <c r="B1368" s="9">
        <v>14.816919</v>
      </c>
      <c r="C1368" s="9">
        <v>12.232307</v>
      </c>
      <c r="E1368" s="14">
        <f t="shared" si="151"/>
        <v>1.211293912096876</v>
      </c>
      <c r="F1368" s="18">
        <f t="shared" ca="1" si="150"/>
        <v>-0.66080853609743884</v>
      </c>
      <c r="G1368" s="15">
        <f t="shared" ca="1" si="148"/>
        <v>1.2200071265036336</v>
      </c>
      <c r="H1368" s="15">
        <f t="shared" ca="1" si="149"/>
        <v>1.3185686822715096E-2</v>
      </c>
      <c r="J1368" s="17">
        <f t="shared" ca="1" si="152"/>
        <v>0</v>
      </c>
      <c r="K1368" s="24">
        <f t="shared" ca="1" si="153"/>
        <v>0</v>
      </c>
      <c r="L1368" s="17">
        <f t="shared" ca="1" si="154"/>
        <v>0</v>
      </c>
      <c r="N1368" s="24" t="str">
        <f ca="1">IF(AND(L1368=1,L1367&lt;&gt;1),MAX($N$8:N1367)+1,"")</f>
        <v/>
      </c>
      <c r="O1368" s="24">
        <f ca="1">IF(AND(L1368&lt;&gt;1,L1367=1),MAX($O$8:O1367)+1,"")</f>
        <v>45</v>
      </c>
      <c r="P1368" s="17" t="str">
        <f ca="1">IF(AND(L1368=-1,L1367&lt;&gt;-1),MAX($P$8:P1367)+1,"")</f>
        <v/>
      </c>
      <c r="Q1368" s="24" t="str">
        <f ca="1">IF(AND(L1368&lt;&gt;-1,L1367=-1),MAX($Q$8:Q1367)+1,"")</f>
        <v/>
      </c>
    </row>
    <row r="1369" spans="1:17" x14ac:dyDescent="0.3">
      <c r="A1369" s="3">
        <v>42199</v>
      </c>
      <c r="B1369" s="9">
        <v>14.827138</v>
      </c>
      <c r="C1369" s="9">
        <v>12.308198000000001</v>
      </c>
      <c r="E1369" s="14">
        <f t="shared" si="151"/>
        <v>1.2046554662185316</v>
      </c>
      <c r="F1369" s="18">
        <f t="shared" ca="1" si="150"/>
        <v>-1.1885295802890803</v>
      </c>
      <c r="G1369" s="15">
        <f t="shared" ca="1" si="148"/>
        <v>1.2201338508399819</v>
      </c>
      <c r="H1369" s="15">
        <f t="shared" ca="1" si="149"/>
        <v>1.3023137899256673E-2</v>
      </c>
      <c r="J1369" s="17">
        <f t="shared" ca="1" si="152"/>
        <v>0</v>
      </c>
      <c r="K1369" s="24">
        <f t="shared" ca="1" si="153"/>
        <v>-1</v>
      </c>
      <c r="L1369" s="17">
        <f t="shared" ca="1" si="154"/>
        <v>-1</v>
      </c>
      <c r="N1369" s="24" t="str">
        <f ca="1">IF(AND(L1369=1,L1368&lt;&gt;1),MAX($N$8:N1368)+1,"")</f>
        <v/>
      </c>
      <c r="O1369" s="24" t="str">
        <f ca="1">IF(AND(L1369&lt;&gt;1,L1368=1),MAX($O$8:O1368)+1,"")</f>
        <v/>
      </c>
      <c r="P1369" s="17">
        <f ca="1">IF(AND(L1369=-1,L1368&lt;&gt;-1),MAX($P$8:P1368)+1,"")</f>
        <v>52</v>
      </c>
      <c r="Q1369" s="24" t="str">
        <f ca="1">IF(AND(L1369&lt;&gt;-1,L1368=-1),MAX($Q$8:Q1368)+1,"")</f>
        <v/>
      </c>
    </row>
    <row r="1370" spans="1:17" x14ac:dyDescent="0.3">
      <c r="A1370" s="3">
        <v>42200</v>
      </c>
      <c r="B1370" s="9">
        <v>14.570971999999999</v>
      </c>
      <c r="C1370" s="9">
        <v>12.249131999999999</v>
      </c>
      <c r="E1370" s="14">
        <f t="shared" si="151"/>
        <v>1.1895513902536115</v>
      </c>
      <c r="F1370" s="18">
        <f t="shared" ca="1" si="150"/>
        <v>-2.0416383239736584</v>
      </c>
      <c r="G1370" s="15">
        <f t="shared" ca="1" si="148"/>
        <v>1.2190546068566577</v>
      </c>
      <c r="H1370" s="15">
        <f t="shared" ca="1" si="149"/>
        <v>1.4450755678226032E-2</v>
      </c>
      <c r="J1370" s="17">
        <f t="shared" ca="1" si="152"/>
        <v>0</v>
      </c>
      <c r="K1370" s="24">
        <f t="shared" ca="1" si="153"/>
        <v>-1</v>
      </c>
      <c r="L1370" s="17">
        <f t="shared" ca="1" si="154"/>
        <v>-1</v>
      </c>
      <c r="N1370" s="24" t="str">
        <f ca="1">IF(AND(L1370=1,L1369&lt;&gt;1),MAX($N$8:N1369)+1,"")</f>
        <v/>
      </c>
      <c r="O1370" s="24" t="str">
        <f ca="1">IF(AND(L1370&lt;&gt;1,L1369=1),MAX($O$8:O1369)+1,"")</f>
        <v/>
      </c>
      <c r="P1370" s="17" t="str">
        <f ca="1">IF(AND(L1370=-1,L1369&lt;&gt;-1),MAX($P$8:P1369)+1,"")</f>
        <v/>
      </c>
      <c r="Q1370" s="24" t="str">
        <f ca="1">IF(AND(L1370&lt;&gt;-1,L1369=-1),MAX($Q$8:Q1369)+1,"")</f>
        <v/>
      </c>
    </row>
    <row r="1371" spans="1:17" x14ac:dyDescent="0.3">
      <c r="A1371" s="3">
        <v>42201</v>
      </c>
      <c r="B1371" s="9">
        <v>14.612909999999999</v>
      </c>
      <c r="C1371" s="9">
        <v>12.190072000000001</v>
      </c>
      <c r="E1371" s="14">
        <f t="shared" si="151"/>
        <v>1.1987550196586205</v>
      </c>
      <c r="F1371" s="18">
        <f t="shared" ca="1" si="150"/>
        <v>-1.2759484344234142</v>
      </c>
      <c r="G1371" s="15">
        <f t="shared" ca="1" si="148"/>
        <v>1.2178910542052761</v>
      </c>
      <c r="H1371" s="15">
        <f t="shared" ca="1" si="149"/>
        <v>1.4997498355255181E-2</v>
      </c>
      <c r="J1371" s="17">
        <f t="shared" ca="1" si="152"/>
        <v>0</v>
      </c>
      <c r="K1371" s="24">
        <f t="shared" ca="1" si="153"/>
        <v>-1</v>
      </c>
      <c r="L1371" s="17">
        <f t="shared" ca="1" si="154"/>
        <v>-1</v>
      </c>
      <c r="N1371" s="24" t="str">
        <f ca="1">IF(AND(L1371=1,L1370&lt;&gt;1),MAX($N$8:N1370)+1,"")</f>
        <v/>
      </c>
      <c r="O1371" s="24" t="str">
        <f ca="1">IF(AND(L1371&lt;&gt;1,L1370=1),MAX($O$8:O1370)+1,"")</f>
        <v/>
      </c>
      <c r="P1371" s="17" t="str">
        <f ca="1">IF(AND(L1371=-1,L1370&lt;&gt;-1),MAX($P$8:P1370)+1,"")</f>
        <v/>
      </c>
      <c r="Q1371" s="24" t="str">
        <f ca="1">IF(AND(L1371&lt;&gt;-1,L1370=-1),MAX($Q$8:Q1370)+1,"")</f>
        <v/>
      </c>
    </row>
    <row r="1372" spans="1:17" x14ac:dyDescent="0.3">
      <c r="A1372" s="3">
        <v>42202</v>
      </c>
      <c r="B1372" s="9">
        <v>14.524416</v>
      </c>
      <c r="C1372" s="9">
        <v>12.156349000000001</v>
      </c>
      <c r="E1372" s="14">
        <f t="shared" si="151"/>
        <v>1.1948008402851875</v>
      </c>
      <c r="F1372" s="18">
        <f t="shared" ca="1" si="150"/>
        <v>-1.409086277280087</v>
      </c>
      <c r="G1372" s="15">
        <f t="shared" ca="1" si="148"/>
        <v>1.2158418617786926</v>
      </c>
      <c r="H1372" s="15">
        <f t="shared" ca="1" si="149"/>
        <v>1.4932386918223246E-2</v>
      </c>
      <c r="J1372" s="17">
        <f t="shared" ca="1" si="152"/>
        <v>0</v>
      </c>
      <c r="K1372" s="24">
        <f t="shared" ca="1" si="153"/>
        <v>-1</v>
      </c>
      <c r="L1372" s="17">
        <f t="shared" ca="1" si="154"/>
        <v>-1</v>
      </c>
      <c r="N1372" s="24" t="str">
        <f ca="1">IF(AND(L1372=1,L1371&lt;&gt;1),MAX($N$8:N1371)+1,"")</f>
        <v/>
      </c>
      <c r="O1372" s="24" t="str">
        <f ca="1">IF(AND(L1372&lt;&gt;1,L1371=1),MAX($O$8:O1371)+1,"")</f>
        <v/>
      </c>
      <c r="P1372" s="17" t="str">
        <f ca="1">IF(AND(L1372=-1,L1371&lt;&gt;-1),MAX($P$8:P1371)+1,"")</f>
        <v/>
      </c>
      <c r="Q1372" s="24" t="str">
        <f ca="1">IF(AND(L1372&lt;&gt;-1,L1371=-1),MAX($Q$8:Q1371)+1,"")</f>
        <v/>
      </c>
    </row>
    <row r="1373" spans="1:17" x14ac:dyDescent="0.3">
      <c r="A1373" s="3">
        <v>42205</v>
      </c>
      <c r="B1373" s="9">
        <v>14.435964999999999</v>
      </c>
      <c r="C1373" s="9">
        <v>11.920172000000001</v>
      </c>
      <c r="E1373" s="14">
        <f t="shared" si="151"/>
        <v>1.2110534143299274</v>
      </c>
      <c r="F1373" s="18">
        <f t="shared" ca="1" si="150"/>
        <v>-0.24089912008811704</v>
      </c>
      <c r="G1373" s="15">
        <f t="shared" ca="1" si="148"/>
        <v>1.2143277875387584</v>
      </c>
      <c r="H1373" s="15">
        <f t="shared" ca="1" si="149"/>
        <v>1.3592300410367778E-2</v>
      </c>
      <c r="J1373" s="17">
        <f t="shared" ca="1" si="152"/>
        <v>0</v>
      </c>
      <c r="K1373" s="24">
        <f t="shared" ca="1" si="153"/>
        <v>-1</v>
      </c>
      <c r="L1373" s="17">
        <f t="shared" ca="1" si="154"/>
        <v>-1</v>
      </c>
      <c r="N1373" s="24" t="str">
        <f ca="1">IF(AND(L1373=1,L1372&lt;&gt;1),MAX($N$8:N1372)+1,"")</f>
        <v/>
      </c>
      <c r="O1373" s="24" t="str">
        <f ca="1">IF(AND(L1373&lt;&gt;1,L1372=1),MAX($O$8:O1372)+1,"")</f>
        <v/>
      </c>
      <c r="P1373" s="17" t="str">
        <f ca="1">IF(AND(L1373=-1,L1372&lt;&gt;-1),MAX($P$8:P1372)+1,"")</f>
        <v/>
      </c>
      <c r="Q1373" s="24" t="str">
        <f ca="1">IF(AND(L1373&lt;&gt;-1,L1372=-1),MAX($Q$8:Q1372)+1,"")</f>
        <v/>
      </c>
    </row>
    <row r="1374" spans="1:17" x14ac:dyDescent="0.3">
      <c r="A1374" s="3">
        <v>42206</v>
      </c>
      <c r="B1374" s="9">
        <v>14.314873</v>
      </c>
      <c r="C1374" s="9">
        <v>11.768326</v>
      </c>
      <c r="E1374" s="14">
        <f t="shared" si="151"/>
        <v>1.2163899096608983</v>
      </c>
      <c r="F1374" s="18">
        <f t="shared" ca="1" si="150"/>
        <v>0.19942748997233989</v>
      </c>
      <c r="G1374" s="15">
        <f t="shared" ca="1" si="148"/>
        <v>1.2137533095326909</v>
      </c>
      <c r="H1374" s="15">
        <f t="shared" ca="1" si="149"/>
        <v>1.3220845975512823E-2</v>
      </c>
      <c r="J1374" s="17">
        <f t="shared" ca="1" si="152"/>
        <v>0</v>
      </c>
      <c r="K1374" s="24">
        <f t="shared" ca="1" si="153"/>
        <v>0</v>
      </c>
      <c r="L1374" s="17">
        <f t="shared" ca="1" si="154"/>
        <v>0</v>
      </c>
      <c r="N1374" s="24" t="str">
        <f ca="1">IF(AND(L1374=1,L1373&lt;&gt;1),MAX($N$8:N1373)+1,"")</f>
        <v/>
      </c>
      <c r="O1374" s="24" t="str">
        <f ca="1">IF(AND(L1374&lt;&gt;1,L1373=1),MAX($O$8:O1373)+1,"")</f>
        <v/>
      </c>
      <c r="P1374" s="17" t="str">
        <f ca="1">IF(AND(L1374=-1,L1373&lt;&gt;-1),MAX($P$8:P1373)+1,"")</f>
        <v/>
      </c>
      <c r="Q1374" s="24">
        <f ca="1">IF(AND(L1374&lt;&gt;-1,L1373=-1),MAX($Q$8:Q1373)+1,"")</f>
        <v>52</v>
      </c>
    </row>
    <row r="1375" spans="1:17" x14ac:dyDescent="0.3">
      <c r="A1375" s="3">
        <v>42207</v>
      </c>
      <c r="B1375" s="9">
        <v>14.091355</v>
      </c>
      <c r="C1375" s="9">
        <v>11.620702</v>
      </c>
      <c r="E1375" s="14">
        <f t="shared" si="151"/>
        <v>1.212607895805262</v>
      </c>
      <c r="F1375" s="18">
        <f t="shared" ca="1" si="150"/>
        <v>9.451278499958405E-3</v>
      </c>
      <c r="G1375" s="15">
        <f t="shared" ref="G1375:G1438" ca="1" si="155">IF(ISNUMBER(E1375),IF(ROW(E1375)&gt;$J$1,AVERAGE(OFFSET(E1375,0,0,-$J$1)),""),"")</f>
        <v>1.2124955538387716</v>
      </c>
      <c r="H1375" s="15">
        <f t="shared" ref="H1375:H1438" ca="1" si="156">IF(ISNUMBER(E1375),IF(ROW(E1375)&gt;$J$1,_xlfn.STDEV.P(OFFSET(E1375,0,0,-$J$1)),""),"")</f>
        <v>1.1886430654947096E-2</v>
      </c>
      <c r="J1375" s="17">
        <f t="shared" ca="1" si="152"/>
        <v>0</v>
      </c>
      <c r="K1375" s="24">
        <f t="shared" ca="1" si="153"/>
        <v>0</v>
      </c>
      <c r="L1375" s="17">
        <f t="shared" ca="1" si="154"/>
        <v>0</v>
      </c>
      <c r="N1375" s="24" t="str">
        <f ca="1">IF(AND(L1375=1,L1374&lt;&gt;1),MAX($N$8:N1374)+1,"")</f>
        <v/>
      </c>
      <c r="O1375" s="24" t="str">
        <f ca="1">IF(AND(L1375&lt;&gt;1,L1374=1),MAX($O$8:O1374)+1,"")</f>
        <v/>
      </c>
      <c r="P1375" s="17" t="str">
        <f ca="1">IF(AND(L1375=-1,L1374&lt;&gt;-1),MAX($P$8:P1374)+1,"")</f>
        <v/>
      </c>
      <c r="Q1375" s="24" t="str">
        <f ca="1">IF(AND(L1375&lt;&gt;-1,L1374=-1),MAX($Q$8:Q1374)+1,"")</f>
        <v/>
      </c>
    </row>
    <row r="1376" spans="1:17" x14ac:dyDescent="0.3">
      <c r="A1376" s="3">
        <v>42208</v>
      </c>
      <c r="B1376" s="9">
        <v>13.504631</v>
      </c>
      <c r="C1376" s="9">
        <v>11.173539999999999</v>
      </c>
      <c r="E1376" s="14">
        <f t="shared" si="151"/>
        <v>1.2086260039342949</v>
      </c>
      <c r="F1376" s="18">
        <f t="shared" ca="1" si="150"/>
        <v>-0.25238493787247807</v>
      </c>
      <c r="G1376" s="15">
        <f t="shared" ca="1" si="155"/>
        <v>1.2114297283375768</v>
      </c>
      <c r="H1376" s="15">
        <f t="shared" ca="1" si="156"/>
        <v>1.1108921264939141E-2</v>
      </c>
      <c r="J1376" s="17">
        <f t="shared" ca="1" si="152"/>
        <v>0</v>
      </c>
      <c r="K1376" s="24">
        <f t="shared" ca="1" si="153"/>
        <v>0</v>
      </c>
      <c r="L1376" s="17">
        <f t="shared" ca="1" si="154"/>
        <v>0</v>
      </c>
      <c r="N1376" s="24" t="str">
        <f ca="1">IF(AND(L1376=1,L1375&lt;&gt;1),MAX($N$8:N1375)+1,"")</f>
        <v/>
      </c>
      <c r="O1376" s="24" t="str">
        <f ca="1">IF(AND(L1376&lt;&gt;1,L1375=1),MAX($O$8:O1375)+1,"")</f>
        <v/>
      </c>
      <c r="P1376" s="17" t="str">
        <f ca="1">IF(AND(L1376=-1,L1375&lt;&gt;-1),MAX($P$8:P1375)+1,"")</f>
        <v/>
      </c>
      <c r="Q1376" s="24" t="str">
        <f ca="1">IF(AND(L1376&lt;&gt;-1,L1375=-1),MAX($Q$8:Q1375)+1,"")</f>
        <v/>
      </c>
    </row>
    <row r="1377" spans="1:17" x14ac:dyDescent="0.3">
      <c r="A1377" s="3">
        <v>42209</v>
      </c>
      <c r="B1377" s="9">
        <v>13.444082999999999</v>
      </c>
      <c r="C1377" s="9">
        <v>11.274768999999999</v>
      </c>
      <c r="E1377" s="14">
        <f t="shared" si="151"/>
        <v>1.1924042967088728</v>
      </c>
      <c r="F1377" s="18">
        <f t="shared" ca="1" si="150"/>
        <v>-1.5329631404405524</v>
      </c>
      <c r="G1377" s="15">
        <f t="shared" ca="1" si="155"/>
        <v>1.210089658060066</v>
      </c>
      <c r="H1377" s="15">
        <f t="shared" ca="1" si="156"/>
        <v>1.1536716627192101E-2</v>
      </c>
      <c r="J1377" s="17">
        <f t="shared" ca="1" si="152"/>
        <v>0</v>
      </c>
      <c r="K1377" s="24">
        <f t="shared" ca="1" si="153"/>
        <v>-1</v>
      </c>
      <c r="L1377" s="17">
        <f t="shared" ca="1" si="154"/>
        <v>-1</v>
      </c>
      <c r="N1377" s="24" t="str">
        <f ca="1">IF(AND(L1377=1,L1376&lt;&gt;1),MAX($N$8:N1376)+1,"")</f>
        <v/>
      </c>
      <c r="O1377" s="24" t="str">
        <f ca="1">IF(AND(L1377&lt;&gt;1,L1376=1),MAX($O$8:O1376)+1,"")</f>
        <v/>
      </c>
      <c r="P1377" s="17">
        <f ca="1">IF(AND(L1377=-1,L1376&lt;&gt;-1),MAX($P$8:P1376)+1,"")</f>
        <v>53</v>
      </c>
      <c r="Q1377" s="24" t="str">
        <f ca="1">IF(AND(L1377&lt;&gt;-1,L1376=-1),MAX($Q$8:Q1376)+1,"")</f>
        <v/>
      </c>
    </row>
    <row r="1378" spans="1:17" x14ac:dyDescent="0.3">
      <c r="A1378" s="3">
        <v>42212</v>
      </c>
      <c r="B1378" s="9">
        <v>13.416115</v>
      </c>
      <c r="C1378" s="9">
        <v>11.430839000000001</v>
      </c>
      <c r="E1378" s="14">
        <f t="shared" si="151"/>
        <v>1.1736771902744845</v>
      </c>
      <c r="F1378" s="18">
        <f t="shared" ca="1" si="150"/>
        <v>-2.5203304217091556</v>
      </c>
      <c r="G1378" s="15">
        <f t="shared" ca="1" si="155"/>
        <v>1.2080551547102567</v>
      </c>
      <c r="H1378" s="15">
        <f t="shared" ca="1" si="156"/>
        <v>1.3640260872008562E-2</v>
      </c>
      <c r="J1378" s="17">
        <f t="shared" ca="1" si="152"/>
        <v>0</v>
      </c>
      <c r="K1378" s="24">
        <f t="shared" ca="1" si="153"/>
        <v>-1</v>
      </c>
      <c r="L1378" s="17">
        <f t="shared" ca="1" si="154"/>
        <v>-1</v>
      </c>
      <c r="N1378" s="24" t="str">
        <f ca="1">IF(AND(L1378=1,L1377&lt;&gt;1),MAX($N$8:N1377)+1,"")</f>
        <v/>
      </c>
      <c r="O1378" s="24" t="str">
        <f ca="1">IF(AND(L1378&lt;&gt;1,L1377=1),MAX($O$8:O1377)+1,"")</f>
        <v/>
      </c>
      <c r="P1378" s="17" t="str">
        <f ca="1">IF(AND(L1378=-1,L1377&lt;&gt;-1),MAX($P$8:P1377)+1,"")</f>
        <v/>
      </c>
      <c r="Q1378" s="24" t="str">
        <f ca="1">IF(AND(L1378&lt;&gt;-1,L1377=-1),MAX($Q$8:Q1377)+1,"")</f>
        <v/>
      </c>
    </row>
    <row r="1379" spans="1:17" x14ac:dyDescent="0.3">
      <c r="A1379" s="3">
        <v>42213</v>
      </c>
      <c r="B1379" s="9">
        <v>13.662917</v>
      </c>
      <c r="C1379" s="9">
        <v>11.548966999999999</v>
      </c>
      <c r="E1379" s="14">
        <f t="shared" si="151"/>
        <v>1.1830423448261651</v>
      </c>
      <c r="F1379" s="18">
        <f t="shared" ca="1" si="150"/>
        <v>-1.6599407415120948</v>
      </c>
      <c r="G1379" s="15">
        <f t="shared" ca="1" si="155"/>
        <v>1.2072076566707965</v>
      </c>
      <c r="H1379" s="15">
        <f t="shared" ca="1" si="156"/>
        <v>1.4557936461405522E-2</v>
      </c>
      <c r="J1379" s="17">
        <f t="shared" ca="1" si="152"/>
        <v>0</v>
      </c>
      <c r="K1379" s="24">
        <f t="shared" ca="1" si="153"/>
        <v>-1</v>
      </c>
      <c r="L1379" s="17">
        <f t="shared" ca="1" si="154"/>
        <v>-1</v>
      </c>
      <c r="N1379" s="24" t="str">
        <f ca="1">IF(AND(L1379=1,L1378&lt;&gt;1),MAX($N$8:N1378)+1,"")</f>
        <v/>
      </c>
      <c r="O1379" s="24" t="str">
        <f ca="1">IF(AND(L1379&lt;&gt;1,L1378=1),MAX($O$8:O1378)+1,"")</f>
        <v/>
      </c>
      <c r="P1379" s="17" t="str">
        <f ca="1">IF(AND(L1379=-1,L1378&lt;&gt;-1),MAX($P$8:P1378)+1,"")</f>
        <v/>
      </c>
      <c r="Q1379" s="24" t="str">
        <f ca="1">IF(AND(L1379&lt;&gt;-1,L1378=-1),MAX($Q$8:Q1378)+1,"")</f>
        <v/>
      </c>
    </row>
    <row r="1380" spans="1:17" x14ac:dyDescent="0.3">
      <c r="A1380" s="3">
        <v>42214</v>
      </c>
      <c r="B1380" s="9">
        <v>13.797991</v>
      </c>
      <c r="C1380" s="9">
        <v>11.645972</v>
      </c>
      <c r="E1380" s="14">
        <f t="shared" si="151"/>
        <v>1.1847865510925151</v>
      </c>
      <c r="F1380" s="18">
        <f t="shared" ca="1" si="150"/>
        <v>-1.4567472955107492</v>
      </c>
      <c r="G1380" s="15">
        <f t="shared" ca="1" si="155"/>
        <v>1.2067571908783394</v>
      </c>
      <c r="H1380" s="15">
        <f t="shared" ca="1" si="156"/>
        <v>1.5081984262837607E-2</v>
      </c>
      <c r="J1380" s="17">
        <f t="shared" ca="1" si="152"/>
        <v>0</v>
      </c>
      <c r="K1380" s="24">
        <f t="shared" ca="1" si="153"/>
        <v>-1</v>
      </c>
      <c r="L1380" s="17">
        <f t="shared" ca="1" si="154"/>
        <v>-1</v>
      </c>
      <c r="N1380" s="24" t="str">
        <f ca="1">IF(AND(L1380=1,L1379&lt;&gt;1),MAX($N$8:N1379)+1,"")</f>
        <v/>
      </c>
      <c r="O1380" s="24" t="str">
        <f ca="1">IF(AND(L1380&lt;&gt;1,L1379=1),MAX($O$8:O1379)+1,"")</f>
        <v/>
      </c>
      <c r="P1380" s="17" t="str">
        <f ca="1">IF(AND(L1380=-1,L1379&lt;&gt;-1),MAX($P$8:P1379)+1,"")</f>
        <v/>
      </c>
      <c r="Q1380" s="24" t="str">
        <f ca="1">IF(AND(L1380&lt;&gt;-1,L1379=-1),MAX($Q$8:Q1379)+1,"")</f>
        <v/>
      </c>
    </row>
    <row r="1381" spans="1:17" x14ac:dyDescent="0.3">
      <c r="A1381" s="3">
        <v>42215</v>
      </c>
      <c r="B1381" s="9">
        <v>13.625645</v>
      </c>
      <c r="C1381" s="9">
        <v>11.346505000000001</v>
      </c>
      <c r="E1381" s="14">
        <f t="shared" si="151"/>
        <v>1.2008671392644696</v>
      </c>
      <c r="F1381" s="18">
        <f t="shared" ca="1" si="150"/>
        <v>-0.35694192180662876</v>
      </c>
      <c r="G1381" s="15">
        <f t="shared" ca="1" si="155"/>
        <v>1.2062514126683697</v>
      </c>
      <c r="H1381" s="15">
        <f t="shared" ca="1" si="156"/>
        <v>1.5084452329521885E-2</v>
      </c>
      <c r="J1381" s="17">
        <f t="shared" ca="1" si="152"/>
        <v>0</v>
      </c>
      <c r="K1381" s="24">
        <f t="shared" ca="1" si="153"/>
        <v>-1</v>
      </c>
      <c r="L1381" s="17">
        <f t="shared" ca="1" si="154"/>
        <v>-1</v>
      </c>
      <c r="N1381" s="24" t="str">
        <f ca="1">IF(AND(L1381=1,L1380&lt;&gt;1),MAX($N$8:N1380)+1,"")</f>
        <v/>
      </c>
      <c r="O1381" s="24" t="str">
        <f ca="1">IF(AND(L1381&lt;&gt;1,L1380=1),MAX($O$8:O1380)+1,"")</f>
        <v/>
      </c>
      <c r="P1381" s="17" t="str">
        <f ca="1">IF(AND(L1381=-1,L1380&lt;&gt;-1),MAX($P$8:P1380)+1,"")</f>
        <v/>
      </c>
      <c r="Q1381" s="24" t="str">
        <f ca="1">IF(AND(L1381&lt;&gt;-1,L1380=-1),MAX($Q$8:Q1380)+1,"")</f>
        <v/>
      </c>
    </row>
    <row r="1382" spans="1:17" x14ac:dyDescent="0.3">
      <c r="A1382" s="3">
        <v>42216</v>
      </c>
      <c r="B1382" s="9">
        <v>14.007529</v>
      </c>
      <c r="C1382" s="9">
        <v>11.591135</v>
      </c>
      <c r="E1382" s="14">
        <f t="shared" si="151"/>
        <v>1.20846914473863</v>
      </c>
      <c r="F1382" s="18">
        <f t="shared" ca="1" si="150"/>
        <v>0.1471556860430607</v>
      </c>
      <c r="G1382" s="15">
        <f t="shared" ca="1" si="155"/>
        <v>1.2062494252488334</v>
      </c>
      <c r="H1382" s="15">
        <f t="shared" ca="1" si="156"/>
        <v>1.5084157122865552E-2</v>
      </c>
      <c r="J1382" s="17">
        <f t="shared" ca="1" si="152"/>
        <v>0</v>
      </c>
      <c r="K1382" s="24">
        <f t="shared" ca="1" si="153"/>
        <v>0</v>
      </c>
      <c r="L1382" s="17">
        <f t="shared" ca="1" si="154"/>
        <v>0</v>
      </c>
      <c r="N1382" s="24" t="str">
        <f ca="1">IF(AND(L1382=1,L1381&lt;&gt;1),MAX($N$8:N1381)+1,"")</f>
        <v/>
      </c>
      <c r="O1382" s="24" t="str">
        <f ca="1">IF(AND(L1382&lt;&gt;1,L1381=1),MAX($O$8:O1381)+1,"")</f>
        <v/>
      </c>
      <c r="P1382" s="17" t="str">
        <f ca="1">IF(AND(L1382=-1,L1381&lt;&gt;-1),MAX($P$8:P1381)+1,"")</f>
        <v/>
      </c>
      <c r="Q1382" s="24">
        <f ca="1">IF(AND(L1382&lt;&gt;-1,L1381=-1),MAX($Q$8:Q1381)+1,"")</f>
        <v>53</v>
      </c>
    </row>
    <row r="1383" spans="1:17" x14ac:dyDescent="0.3">
      <c r="A1383" s="3">
        <v>42219</v>
      </c>
      <c r="B1383" s="9">
        <v>13.944471</v>
      </c>
      <c r="C1383" s="9">
        <v>11.097651000000001</v>
      </c>
      <c r="E1383" s="14">
        <f t="shared" si="151"/>
        <v>1.256524556412884</v>
      </c>
      <c r="F1383" s="18">
        <f t="shared" ca="1" si="150"/>
        <v>2.6697503935006259</v>
      </c>
      <c r="G1383" s="15">
        <f t="shared" ca="1" si="155"/>
        <v>1.2079233875437148</v>
      </c>
      <c r="H1383" s="15">
        <f t="shared" ca="1" si="156"/>
        <v>1.8204386817391741E-2</v>
      </c>
      <c r="J1383" s="17">
        <f t="shared" ca="1" si="152"/>
        <v>1</v>
      </c>
      <c r="K1383" s="24">
        <f t="shared" ca="1" si="153"/>
        <v>0</v>
      </c>
      <c r="L1383" s="17">
        <f t="shared" ca="1" si="154"/>
        <v>1</v>
      </c>
      <c r="N1383" s="24">
        <f ca="1">IF(AND(L1383=1,L1382&lt;&gt;1),MAX($N$8:N1382)+1,"")</f>
        <v>46</v>
      </c>
      <c r="O1383" s="24" t="str">
        <f ca="1">IF(AND(L1383&lt;&gt;1,L1382=1),MAX($O$8:O1382)+1,"")</f>
        <v/>
      </c>
      <c r="P1383" s="17" t="str">
        <f ca="1">IF(AND(L1383=-1,L1382&lt;&gt;-1),MAX($P$8:P1382)+1,"")</f>
        <v/>
      </c>
      <c r="Q1383" s="24" t="str">
        <f ca="1">IF(AND(L1383&lt;&gt;-1,L1382=-1),MAX($Q$8:Q1382)+1,"")</f>
        <v/>
      </c>
    </row>
    <row r="1384" spans="1:17" x14ac:dyDescent="0.3">
      <c r="A1384" s="3">
        <v>42220</v>
      </c>
      <c r="B1384" s="9">
        <v>13.608955</v>
      </c>
      <c r="C1384" s="9">
        <v>11.001913999999999</v>
      </c>
      <c r="E1384" s="14">
        <f t="shared" si="151"/>
        <v>1.2369624957984584</v>
      </c>
      <c r="F1384" s="18">
        <f t="shared" ca="1" si="150"/>
        <v>1.4514461861974013</v>
      </c>
      <c r="G1384" s="15">
        <f t="shared" ca="1" si="155"/>
        <v>1.2091202776518843</v>
      </c>
      <c r="H1384" s="15">
        <f t="shared" ca="1" si="156"/>
        <v>1.9182397812155215E-2</v>
      </c>
      <c r="J1384" s="17">
        <f t="shared" ca="1" si="152"/>
        <v>1</v>
      </c>
      <c r="K1384" s="24">
        <f t="shared" ca="1" si="153"/>
        <v>0</v>
      </c>
      <c r="L1384" s="17">
        <f t="shared" ca="1" si="154"/>
        <v>1</v>
      </c>
      <c r="N1384" s="24" t="str">
        <f ca="1">IF(AND(L1384=1,L1383&lt;&gt;1),MAX($N$8:N1383)+1,"")</f>
        <v/>
      </c>
      <c r="O1384" s="24" t="str">
        <f ca="1">IF(AND(L1384&lt;&gt;1,L1383=1),MAX($O$8:O1383)+1,"")</f>
        <v/>
      </c>
      <c r="P1384" s="17" t="str">
        <f ca="1">IF(AND(L1384=-1,L1383&lt;&gt;-1),MAX($P$8:P1383)+1,"")</f>
        <v/>
      </c>
      <c r="Q1384" s="24" t="str">
        <f ca="1">IF(AND(L1384&lt;&gt;-1,L1383=-1),MAX($Q$8:Q1383)+1,"")</f>
        <v/>
      </c>
    </row>
    <row r="1385" spans="1:17" x14ac:dyDescent="0.3">
      <c r="A1385" s="3">
        <v>42221</v>
      </c>
      <c r="B1385" s="9">
        <v>13.585654</v>
      </c>
      <c r="C1385" s="9">
        <v>10.955465999999999</v>
      </c>
      <c r="E1385" s="14">
        <f t="shared" si="151"/>
        <v>1.2400799746902598</v>
      </c>
      <c r="F1385" s="18">
        <f t="shared" ca="1" si="150"/>
        <v>1.4676129103889111</v>
      </c>
      <c r="G1385" s="15">
        <f t="shared" ca="1" si="155"/>
        <v>1.2103821039282905</v>
      </c>
      <c r="H1385" s="15">
        <f t="shared" ca="1" si="156"/>
        <v>2.023549299119989E-2</v>
      </c>
      <c r="J1385" s="17">
        <f t="shared" ca="1" si="152"/>
        <v>1</v>
      </c>
      <c r="K1385" s="24">
        <f t="shared" ca="1" si="153"/>
        <v>0</v>
      </c>
      <c r="L1385" s="17">
        <f t="shared" ca="1" si="154"/>
        <v>1</v>
      </c>
      <c r="N1385" s="24" t="str">
        <f ca="1">IF(AND(L1385=1,L1384&lt;&gt;1),MAX($N$8:N1384)+1,"")</f>
        <v/>
      </c>
      <c r="O1385" s="24" t="str">
        <f ca="1">IF(AND(L1385&lt;&gt;1,L1384=1),MAX($O$8:O1384)+1,"")</f>
        <v/>
      </c>
      <c r="P1385" s="17" t="str">
        <f ca="1">IF(AND(L1385=-1,L1384&lt;&gt;-1),MAX($P$8:P1384)+1,"")</f>
        <v/>
      </c>
      <c r="Q1385" s="24" t="str">
        <f ca="1">IF(AND(L1385&lt;&gt;-1,L1384=-1),MAX($Q$8:Q1384)+1,"")</f>
        <v/>
      </c>
    </row>
    <row r="1386" spans="1:17" x14ac:dyDescent="0.3">
      <c r="A1386" s="3">
        <v>42222</v>
      </c>
      <c r="B1386" s="9">
        <v>13.534361000000001</v>
      </c>
      <c r="C1386" s="9">
        <v>11.001913999999999</v>
      </c>
      <c r="E1386" s="14">
        <f t="shared" si="151"/>
        <v>1.2301824028073662</v>
      </c>
      <c r="F1386" s="18">
        <f t="shared" ca="1" si="150"/>
        <v>0.92713140362132174</v>
      </c>
      <c r="G1386" s="15">
        <f t="shared" ca="1" si="155"/>
        <v>1.2110534796706447</v>
      </c>
      <c r="H1386" s="15">
        <f t="shared" ca="1" si="156"/>
        <v>2.0632375369882924E-2</v>
      </c>
      <c r="J1386" s="17">
        <f t="shared" ca="1" si="152"/>
        <v>1</v>
      </c>
      <c r="K1386" s="24">
        <f t="shared" ca="1" si="153"/>
        <v>0</v>
      </c>
      <c r="L1386" s="17">
        <f t="shared" ca="1" si="154"/>
        <v>1</v>
      </c>
      <c r="N1386" s="24" t="str">
        <f ca="1">IF(AND(L1386=1,L1385&lt;&gt;1),MAX($N$8:N1385)+1,"")</f>
        <v/>
      </c>
      <c r="O1386" s="24" t="str">
        <f ca="1">IF(AND(L1386&lt;&gt;1,L1385=1),MAX($O$8:O1385)+1,"")</f>
        <v/>
      </c>
      <c r="P1386" s="17" t="str">
        <f ca="1">IF(AND(L1386=-1,L1385&lt;&gt;-1),MAX($P$8:P1385)+1,"")</f>
        <v/>
      </c>
      <c r="Q1386" s="24" t="str">
        <f ca="1">IF(AND(L1386&lt;&gt;-1,L1385=-1),MAX($Q$8:Q1385)+1,"")</f>
        <v/>
      </c>
    </row>
    <row r="1387" spans="1:17" x14ac:dyDescent="0.3">
      <c r="A1387" s="3">
        <v>42223</v>
      </c>
      <c r="B1387" s="9">
        <v>13.138173999999999</v>
      </c>
      <c r="C1387" s="9">
        <v>10.693604000000001</v>
      </c>
      <c r="E1387" s="14">
        <f t="shared" si="151"/>
        <v>1.2286011339114482</v>
      </c>
      <c r="F1387" s="18">
        <f t="shared" ca="1" si="150"/>
        <v>0.86015729757834236</v>
      </c>
      <c r="G1387" s="15">
        <f t="shared" ca="1" si="155"/>
        <v>1.2109418775641514</v>
      </c>
      <c r="H1387" s="15">
        <f t="shared" ca="1" si="156"/>
        <v>2.0530263937786827E-2</v>
      </c>
      <c r="J1387" s="17">
        <f t="shared" ca="1" si="152"/>
        <v>1</v>
      </c>
      <c r="K1387" s="24">
        <f t="shared" ca="1" si="153"/>
        <v>0</v>
      </c>
      <c r="L1387" s="17">
        <f t="shared" ca="1" si="154"/>
        <v>1</v>
      </c>
      <c r="N1387" s="24" t="str">
        <f ca="1">IF(AND(L1387=1,L1386&lt;&gt;1),MAX($N$8:N1386)+1,"")</f>
        <v/>
      </c>
      <c r="O1387" s="24" t="str">
        <f ca="1">IF(AND(L1387&lt;&gt;1,L1386=1),MAX($O$8:O1386)+1,"")</f>
        <v/>
      </c>
      <c r="P1387" s="17" t="str">
        <f ca="1">IF(AND(L1387=-1,L1386&lt;&gt;-1),MAX($P$8:P1386)+1,"")</f>
        <v/>
      </c>
      <c r="Q1387" s="24" t="str">
        <f ca="1">IF(AND(L1387&lt;&gt;-1,L1386=-1),MAX($Q$8:Q1386)+1,"")</f>
        <v/>
      </c>
    </row>
    <row r="1388" spans="1:17" x14ac:dyDescent="0.3">
      <c r="A1388" s="3">
        <v>42226</v>
      </c>
      <c r="B1388" s="9">
        <v>13.310665999999999</v>
      </c>
      <c r="C1388" s="9">
        <v>10.832959000000001</v>
      </c>
      <c r="E1388" s="14">
        <f t="shared" si="151"/>
        <v>1.2287193185167598</v>
      </c>
      <c r="F1388" s="18">
        <f t="shared" ca="1" si="150"/>
        <v>0.89791543311539668</v>
      </c>
      <c r="G1388" s="15">
        <f t="shared" ca="1" si="155"/>
        <v>1.2106057935092032</v>
      </c>
      <c r="H1388" s="15">
        <f t="shared" ca="1" si="156"/>
        <v>2.0172862988566881E-2</v>
      </c>
      <c r="J1388" s="17">
        <f t="shared" ca="1" si="152"/>
        <v>1</v>
      </c>
      <c r="K1388" s="24">
        <f t="shared" ca="1" si="153"/>
        <v>0</v>
      </c>
      <c r="L1388" s="17">
        <f t="shared" ca="1" si="154"/>
        <v>1</v>
      </c>
      <c r="N1388" s="24" t="str">
        <f ca="1">IF(AND(L1388=1,L1387&lt;&gt;1),MAX($N$8:N1387)+1,"")</f>
        <v/>
      </c>
      <c r="O1388" s="24" t="str">
        <f ca="1">IF(AND(L1388&lt;&gt;1,L1387=1),MAX($O$8:O1387)+1,"")</f>
        <v/>
      </c>
      <c r="P1388" s="17" t="str">
        <f ca="1">IF(AND(L1388=-1,L1387&lt;&gt;-1),MAX($P$8:P1387)+1,"")</f>
        <v/>
      </c>
      <c r="Q1388" s="24" t="str">
        <f ca="1">IF(AND(L1388&lt;&gt;-1,L1387=-1),MAX($Q$8:Q1387)+1,"")</f>
        <v/>
      </c>
    </row>
    <row r="1389" spans="1:17" x14ac:dyDescent="0.3">
      <c r="A1389" s="3">
        <v>42227</v>
      </c>
      <c r="B1389" s="9">
        <v>13.282669</v>
      </c>
      <c r="C1389" s="9">
        <v>11.014599</v>
      </c>
      <c r="E1389" s="14">
        <f t="shared" si="151"/>
        <v>1.2059148953130294</v>
      </c>
      <c r="F1389" s="18">
        <f t="shared" ca="1" si="150"/>
        <v>-0.19906417394640916</v>
      </c>
      <c r="G1389" s="15">
        <f t="shared" ca="1" si="155"/>
        <v>1.2099075134817523</v>
      </c>
      <c r="H1389" s="15">
        <f t="shared" ca="1" si="156"/>
        <v>2.0056939878080427E-2</v>
      </c>
      <c r="J1389" s="17">
        <f t="shared" ca="1" si="152"/>
        <v>0</v>
      </c>
      <c r="K1389" s="24">
        <f t="shared" ca="1" si="153"/>
        <v>0</v>
      </c>
      <c r="L1389" s="17">
        <f t="shared" ca="1" si="154"/>
        <v>0</v>
      </c>
      <c r="N1389" s="24" t="str">
        <f ca="1">IF(AND(L1389=1,L1388&lt;&gt;1),MAX($N$8:N1388)+1,"")</f>
        <v/>
      </c>
      <c r="O1389" s="24">
        <f ca="1">IF(AND(L1389&lt;&gt;1,L1388=1),MAX($O$8:O1388)+1,"")</f>
        <v>46</v>
      </c>
      <c r="P1389" s="17" t="str">
        <f ca="1">IF(AND(L1389=-1,L1388&lt;&gt;-1),MAX($P$8:P1388)+1,"")</f>
        <v/>
      </c>
      <c r="Q1389" s="24" t="str">
        <f ca="1">IF(AND(L1389&lt;&gt;-1,L1388=-1),MAX($Q$8:Q1388)+1,"")</f>
        <v/>
      </c>
    </row>
    <row r="1390" spans="1:17" x14ac:dyDescent="0.3">
      <c r="A1390" s="3">
        <v>42228</v>
      </c>
      <c r="B1390" s="9">
        <v>12.900556999999999</v>
      </c>
      <c r="C1390" s="9">
        <v>10.511965</v>
      </c>
      <c r="E1390" s="14">
        <f t="shared" si="151"/>
        <v>1.2272260229176941</v>
      </c>
      <c r="F1390" s="18">
        <f t="shared" ca="1" si="150"/>
        <v>0.81428679455033892</v>
      </c>
      <c r="G1390" s="15">
        <f t="shared" ca="1" si="155"/>
        <v>1.2106317003372438</v>
      </c>
      <c r="H1390" s="15">
        <f t="shared" ca="1" si="156"/>
        <v>2.0378965607091758E-2</v>
      </c>
      <c r="J1390" s="17">
        <f t="shared" ca="1" si="152"/>
        <v>0</v>
      </c>
      <c r="K1390" s="24">
        <f t="shared" ca="1" si="153"/>
        <v>0</v>
      </c>
      <c r="L1390" s="17">
        <f t="shared" ca="1" si="154"/>
        <v>0</v>
      </c>
      <c r="N1390" s="24" t="str">
        <f ca="1">IF(AND(L1390=1,L1389&lt;&gt;1),MAX($N$8:N1389)+1,"")</f>
        <v/>
      </c>
      <c r="O1390" s="24" t="str">
        <f ca="1">IF(AND(L1390&lt;&gt;1,L1389=1),MAX($O$8:O1389)+1,"")</f>
        <v/>
      </c>
      <c r="P1390" s="17" t="str">
        <f ca="1">IF(AND(L1390=-1,L1389&lt;&gt;-1),MAX($P$8:P1389)+1,"")</f>
        <v/>
      </c>
      <c r="Q1390" s="24" t="str">
        <f ca="1">IF(AND(L1390&lt;&gt;-1,L1389=-1),MAX($Q$8:Q1389)+1,"")</f>
        <v/>
      </c>
    </row>
    <row r="1391" spans="1:17" x14ac:dyDescent="0.3">
      <c r="A1391" s="3">
        <v>42229</v>
      </c>
      <c r="B1391" s="9">
        <v>12.705831</v>
      </c>
      <c r="C1391" s="9">
        <v>10.262794</v>
      </c>
      <c r="E1391" s="14">
        <f t="shared" si="151"/>
        <v>1.2380479428896265</v>
      </c>
      <c r="F1391" s="18">
        <f t="shared" ca="1" si="150"/>
        <v>1.2269565698037854</v>
      </c>
      <c r="G1391" s="15">
        <f t="shared" ca="1" si="155"/>
        <v>1.2121495401859301</v>
      </c>
      <c r="H1391" s="15">
        <f t="shared" ca="1" si="156"/>
        <v>2.1107839789176915E-2</v>
      </c>
      <c r="J1391" s="17">
        <f t="shared" ca="1" si="152"/>
        <v>1</v>
      </c>
      <c r="K1391" s="24">
        <f t="shared" ca="1" si="153"/>
        <v>0</v>
      </c>
      <c r="L1391" s="17">
        <f t="shared" ca="1" si="154"/>
        <v>1</v>
      </c>
      <c r="N1391" s="24">
        <f ca="1">IF(AND(L1391=1,L1390&lt;&gt;1),MAX($N$8:N1390)+1,"")</f>
        <v>47</v>
      </c>
      <c r="O1391" s="24" t="str">
        <f ca="1">IF(AND(L1391&lt;&gt;1,L1390=1),MAX($O$8:O1390)+1,"")</f>
        <v/>
      </c>
      <c r="P1391" s="17" t="str">
        <f ca="1">IF(AND(L1391=-1,L1390&lt;&gt;-1),MAX($P$8:P1390)+1,"")</f>
        <v/>
      </c>
      <c r="Q1391" s="24" t="str">
        <f ca="1">IF(AND(L1391&lt;&gt;-1,L1390=-1),MAX($Q$8:Q1390)+1,"")</f>
        <v/>
      </c>
    </row>
    <row r="1392" spans="1:17" x14ac:dyDescent="0.3">
      <c r="A1392" s="3">
        <v>42230</v>
      </c>
      <c r="B1392" s="9">
        <v>12.691535</v>
      </c>
      <c r="C1392" s="9">
        <v>10.207882</v>
      </c>
      <c r="E1392" s="14">
        <f t="shared" si="151"/>
        <v>1.2433073775735262</v>
      </c>
      <c r="F1392" s="18">
        <f t="shared" ca="1" si="150"/>
        <v>1.3381088760155995</v>
      </c>
      <c r="G1392" s="15">
        <f t="shared" ca="1" si="155"/>
        <v>1.2145929941550171</v>
      </c>
      <c r="H1392" s="15">
        <f t="shared" ca="1" si="156"/>
        <v>2.1458929040221331E-2</v>
      </c>
      <c r="J1392" s="17">
        <f t="shared" ca="1" si="152"/>
        <v>1</v>
      </c>
      <c r="K1392" s="24">
        <f t="shared" ca="1" si="153"/>
        <v>0</v>
      </c>
      <c r="L1392" s="17">
        <f t="shared" ca="1" si="154"/>
        <v>1</v>
      </c>
      <c r="N1392" s="24" t="str">
        <f ca="1">IF(AND(L1392=1,L1391&lt;&gt;1),MAX($N$8:N1391)+1,"")</f>
        <v/>
      </c>
      <c r="O1392" s="24" t="str">
        <f ca="1">IF(AND(L1392&lt;&gt;1,L1391=1),MAX($O$8:O1391)+1,"")</f>
        <v/>
      </c>
      <c r="P1392" s="17" t="str">
        <f ca="1">IF(AND(L1392=-1,L1391&lt;&gt;-1),MAX($P$8:P1391)+1,"")</f>
        <v/>
      </c>
      <c r="Q1392" s="24" t="str">
        <f ca="1">IF(AND(L1392&lt;&gt;-1,L1391=-1),MAX($Q$8:Q1391)+1,"")</f>
        <v/>
      </c>
    </row>
    <row r="1393" spans="1:17" x14ac:dyDescent="0.3">
      <c r="A1393" s="3">
        <v>42233</v>
      </c>
      <c r="B1393" s="9">
        <v>12.55829</v>
      </c>
      <c r="C1393" s="9">
        <v>10.034772999999999</v>
      </c>
      <c r="E1393" s="14">
        <f t="shared" si="151"/>
        <v>1.2514772381996084</v>
      </c>
      <c r="F1393" s="18">
        <f t="shared" ca="1" si="150"/>
        <v>1.5344137806808822</v>
      </c>
      <c r="G1393" s="15">
        <f t="shared" ca="1" si="155"/>
        <v>1.216989458634153</v>
      </c>
      <c r="H1393" s="15">
        <f t="shared" ca="1" si="156"/>
        <v>2.2476192536638857E-2</v>
      </c>
      <c r="J1393" s="17">
        <f t="shared" ca="1" si="152"/>
        <v>1</v>
      </c>
      <c r="K1393" s="24">
        <f t="shared" ca="1" si="153"/>
        <v>0</v>
      </c>
      <c r="L1393" s="17">
        <f t="shared" ca="1" si="154"/>
        <v>1</v>
      </c>
      <c r="N1393" s="24" t="str">
        <f ca="1">IF(AND(L1393=1,L1392&lt;&gt;1),MAX($N$8:N1392)+1,"")</f>
        <v/>
      </c>
      <c r="O1393" s="24" t="str">
        <f ca="1">IF(AND(L1393&lt;&gt;1,L1392=1),MAX($O$8:O1392)+1,"")</f>
        <v/>
      </c>
      <c r="P1393" s="17" t="str">
        <f ca="1">IF(AND(L1393=-1,L1392&lt;&gt;-1),MAX($P$8:P1392)+1,"")</f>
        <v/>
      </c>
      <c r="Q1393" s="24" t="str">
        <f ca="1">IF(AND(L1393&lt;&gt;-1,L1392=-1),MAX($Q$8:Q1392)+1,"")</f>
        <v/>
      </c>
    </row>
    <row r="1394" spans="1:17" x14ac:dyDescent="0.3">
      <c r="A1394" s="3">
        <v>42234</v>
      </c>
      <c r="B1394" s="9">
        <v>12.767702</v>
      </c>
      <c r="C1394" s="9">
        <v>10.237491</v>
      </c>
      <c r="E1394" s="14">
        <f t="shared" si="151"/>
        <v>1.2471514749072794</v>
      </c>
      <c r="F1394" s="18">
        <f t="shared" ca="1" si="150"/>
        <v>1.2201132988580312</v>
      </c>
      <c r="G1394" s="15">
        <f t="shared" ca="1" si="155"/>
        <v>1.2193690329351572</v>
      </c>
      <c r="H1394" s="15">
        <f t="shared" ca="1" si="156"/>
        <v>2.277037878213873E-2</v>
      </c>
      <c r="J1394" s="17">
        <f t="shared" ca="1" si="152"/>
        <v>1</v>
      </c>
      <c r="K1394" s="24">
        <f t="shared" ca="1" si="153"/>
        <v>0</v>
      </c>
      <c r="L1394" s="17">
        <f t="shared" ca="1" si="154"/>
        <v>1</v>
      </c>
      <c r="N1394" s="24" t="str">
        <f ca="1">IF(AND(L1394=1,L1393&lt;&gt;1),MAX($N$8:N1393)+1,"")</f>
        <v/>
      </c>
      <c r="O1394" s="24" t="str">
        <f ca="1">IF(AND(L1394&lt;&gt;1,L1393=1),MAX($O$8:O1393)+1,"")</f>
        <v/>
      </c>
      <c r="P1394" s="17" t="str">
        <f ca="1">IF(AND(L1394=-1,L1393&lt;&gt;-1),MAX($P$8:P1393)+1,"")</f>
        <v/>
      </c>
      <c r="Q1394" s="24" t="str">
        <f ca="1">IF(AND(L1394&lt;&gt;-1,L1393=-1),MAX($Q$8:Q1393)+1,"")</f>
        <v/>
      </c>
    </row>
    <row r="1395" spans="1:17" x14ac:dyDescent="0.3">
      <c r="A1395" s="3">
        <v>42235</v>
      </c>
      <c r="B1395" s="9">
        <v>12.505990000000001</v>
      </c>
      <c r="C1395" s="9">
        <v>9.9291889999999992</v>
      </c>
      <c r="E1395" s="14">
        <f t="shared" si="151"/>
        <v>1.2595177712902839</v>
      </c>
      <c r="F1395" s="18">
        <f t="shared" ca="1" si="150"/>
        <v>1.570527282076015</v>
      </c>
      <c r="G1395" s="15">
        <f t="shared" ca="1" si="155"/>
        <v>1.221571958251537</v>
      </c>
      <c r="H1395" s="15">
        <f t="shared" ca="1" si="156"/>
        <v>2.4161193168569406E-2</v>
      </c>
      <c r="J1395" s="17">
        <f t="shared" ca="1" si="152"/>
        <v>1</v>
      </c>
      <c r="K1395" s="24">
        <f t="shared" ca="1" si="153"/>
        <v>0</v>
      </c>
      <c r="L1395" s="17">
        <f t="shared" ca="1" si="154"/>
        <v>1</v>
      </c>
      <c r="N1395" s="24" t="str">
        <f ca="1">IF(AND(L1395=1,L1394&lt;&gt;1),MAX($N$8:N1394)+1,"")</f>
        <v/>
      </c>
      <c r="O1395" s="24" t="str">
        <f ca="1">IF(AND(L1395&lt;&gt;1,L1394=1),MAX($O$8:O1394)+1,"")</f>
        <v/>
      </c>
      <c r="P1395" s="17" t="str">
        <f ca="1">IF(AND(L1395=-1,L1394&lt;&gt;-1),MAX($P$8:P1394)+1,"")</f>
        <v/>
      </c>
      <c r="Q1395" s="24" t="str">
        <f ca="1">IF(AND(L1395&lt;&gt;-1,L1394=-1),MAX($Q$8:Q1394)+1,"")</f>
        <v/>
      </c>
    </row>
    <row r="1396" spans="1:17" x14ac:dyDescent="0.3">
      <c r="A1396" s="3">
        <v>42236</v>
      </c>
      <c r="B1396" s="9">
        <v>12.5345</v>
      </c>
      <c r="C1396" s="9">
        <v>9.8742750000000008</v>
      </c>
      <c r="E1396" s="14">
        <f t="shared" si="151"/>
        <v>1.2694096528605896</v>
      </c>
      <c r="F1396" s="18">
        <f t="shared" ca="1" si="150"/>
        <v>1.7411069393990495</v>
      </c>
      <c r="G1396" s="15">
        <f t="shared" ca="1" si="155"/>
        <v>1.2239819465787958</v>
      </c>
      <c r="H1396" s="15">
        <f t="shared" ca="1" si="156"/>
        <v>2.6091278630750499E-2</v>
      </c>
      <c r="J1396" s="17">
        <f t="shared" ca="1" si="152"/>
        <v>1</v>
      </c>
      <c r="K1396" s="24">
        <f t="shared" ca="1" si="153"/>
        <v>0</v>
      </c>
      <c r="L1396" s="17">
        <f t="shared" ca="1" si="154"/>
        <v>1</v>
      </c>
      <c r="N1396" s="24" t="str">
        <f ca="1">IF(AND(L1396=1,L1395&lt;&gt;1),MAX($N$8:N1395)+1,"")</f>
        <v/>
      </c>
      <c r="O1396" s="24" t="str">
        <f ca="1">IF(AND(L1396&lt;&gt;1,L1395=1),MAX($O$8:O1395)+1,"")</f>
        <v/>
      </c>
      <c r="P1396" s="17" t="str">
        <f ca="1">IF(AND(L1396=-1,L1395&lt;&gt;-1),MAX($P$8:P1395)+1,"")</f>
        <v/>
      </c>
      <c r="Q1396" s="24" t="str">
        <f ca="1">IF(AND(L1396&lt;&gt;-1,L1395=-1),MAX($Q$8:Q1395)+1,"")</f>
        <v/>
      </c>
    </row>
    <row r="1397" spans="1:17" x14ac:dyDescent="0.3">
      <c r="A1397" s="3">
        <v>42237</v>
      </c>
      <c r="B1397" s="9">
        <v>12.563078000000001</v>
      </c>
      <c r="C1397" s="9">
        <v>9.7644610000000007</v>
      </c>
      <c r="E1397" s="14">
        <f t="shared" si="151"/>
        <v>1.2866125431808269</v>
      </c>
      <c r="F1397" s="18">
        <f t="shared" ca="1" si="150"/>
        <v>2.0426386226925231</v>
      </c>
      <c r="G1397" s="15">
        <f t="shared" ca="1" si="155"/>
        <v>1.227345794186776</v>
      </c>
      <c r="H1397" s="15">
        <f t="shared" ca="1" si="156"/>
        <v>2.9014798964257224E-2</v>
      </c>
      <c r="J1397" s="17">
        <f t="shared" ca="1" si="152"/>
        <v>1</v>
      </c>
      <c r="K1397" s="24">
        <f t="shared" ca="1" si="153"/>
        <v>0</v>
      </c>
      <c r="L1397" s="17">
        <f t="shared" ca="1" si="154"/>
        <v>1</v>
      </c>
      <c r="N1397" s="24" t="str">
        <f ca="1">IF(AND(L1397=1,L1396&lt;&gt;1),MAX($N$8:N1396)+1,"")</f>
        <v/>
      </c>
      <c r="O1397" s="24" t="str">
        <f ca="1">IF(AND(L1397&lt;&gt;1,L1396=1),MAX($O$8:O1396)+1,"")</f>
        <v/>
      </c>
      <c r="P1397" s="17" t="str">
        <f ca="1">IF(AND(L1397=-1,L1396&lt;&gt;-1),MAX($P$8:P1396)+1,"")</f>
        <v/>
      </c>
      <c r="Q1397" s="24" t="str">
        <f ca="1">IF(AND(L1397&lt;&gt;-1,L1396=-1),MAX($Q$8:Q1396)+1,"")</f>
        <v/>
      </c>
    </row>
    <row r="1398" spans="1:17" x14ac:dyDescent="0.3">
      <c r="A1398" s="3">
        <v>42240</v>
      </c>
      <c r="B1398" s="9">
        <v>12.306084999999999</v>
      </c>
      <c r="C1398" s="9">
        <v>9.7222360000000005</v>
      </c>
      <c r="E1398" s="14">
        <f t="shared" si="151"/>
        <v>1.265766949084552</v>
      </c>
      <c r="F1398" s="18">
        <f t="shared" ca="1" si="150"/>
        <v>1.2033331329915116</v>
      </c>
      <c r="G1398" s="15">
        <f t="shared" ca="1" si="155"/>
        <v>1.2299431098754239</v>
      </c>
      <c r="H1398" s="15">
        <f t="shared" ca="1" si="156"/>
        <v>2.9770508454354038E-2</v>
      </c>
      <c r="J1398" s="17">
        <f t="shared" ca="1" si="152"/>
        <v>1</v>
      </c>
      <c r="K1398" s="24">
        <f t="shared" ca="1" si="153"/>
        <v>0</v>
      </c>
      <c r="L1398" s="17">
        <f t="shared" ca="1" si="154"/>
        <v>1</v>
      </c>
      <c r="N1398" s="24" t="str">
        <f ca="1">IF(AND(L1398=1,L1397&lt;&gt;1),MAX($N$8:N1397)+1,"")</f>
        <v/>
      </c>
      <c r="O1398" s="24" t="str">
        <f ca="1">IF(AND(L1398&lt;&gt;1,L1397=1),MAX($O$8:O1397)+1,"")</f>
        <v/>
      </c>
      <c r="P1398" s="17" t="str">
        <f ca="1">IF(AND(L1398=-1,L1397&lt;&gt;-1),MAX($P$8:P1397)+1,"")</f>
        <v/>
      </c>
      <c r="Q1398" s="24" t="str">
        <f ca="1">IF(AND(L1398&lt;&gt;-1,L1397=-1),MAX($Q$8:Q1397)+1,"")</f>
        <v/>
      </c>
    </row>
    <row r="1399" spans="1:17" x14ac:dyDescent="0.3">
      <c r="A1399" s="3">
        <v>42241</v>
      </c>
      <c r="B1399" s="9">
        <v>12.282297</v>
      </c>
      <c r="C1399" s="9">
        <v>9.5490499999999994</v>
      </c>
      <c r="E1399" s="14">
        <f t="shared" si="151"/>
        <v>1.286232347720454</v>
      </c>
      <c r="F1399" s="18">
        <f t="shared" ca="1" si="150"/>
        <v>1.6896157834145724</v>
      </c>
      <c r="G1399" s="15">
        <f t="shared" ca="1" si="155"/>
        <v>1.2342080212850413</v>
      </c>
      <c r="H1399" s="15">
        <f t="shared" ca="1" si="156"/>
        <v>3.0790625268826474E-2</v>
      </c>
      <c r="J1399" s="17">
        <f t="shared" ca="1" si="152"/>
        <v>1</v>
      </c>
      <c r="K1399" s="24">
        <f t="shared" ca="1" si="153"/>
        <v>0</v>
      </c>
      <c r="L1399" s="17">
        <f t="shared" ca="1" si="154"/>
        <v>1</v>
      </c>
      <c r="N1399" s="24" t="str">
        <f ca="1">IF(AND(L1399=1,L1398&lt;&gt;1),MAX($N$8:N1398)+1,"")</f>
        <v/>
      </c>
      <c r="O1399" s="24" t="str">
        <f ca="1">IF(AND(L1399&lt;&gt;1,L1398=1),MAX($O$8:O1398)+1,"")</f>
        <v/>
      </c>
      <c r="P1399" s="17" t="str">
        <f ca="1">IF(AND(L1399=-1,L1398&lt;&gt;-1),MAX($P$8:P1398)+1,"")</f>
        <v/>
      </c>
      <c r="Q1399" s="24" t="str">
        <f ca="1">IF(AND(L1399&lt;&gt;-1,L1398=-1),MAX($Q$8:Q1398)+1,"")</f>
        <v/>
      </c>
    </row>
    <row r="1400" spans="1:17" x14ac:dyDescent="0.3">
      <c r="A1400" s="3">
        <v>42242</v>
      </c>
      <c r="B1400" s="9">
        <v>13.024694999999999</v>
      </c>
      <c r="C1400" s="9">
        <v>10.169893</v>
      </c>
      <c r="E1400" s="14">
        <f t="shared" si="151"/>
        <v>1.2807111146597117</v>
      </c>
      <c r="F1400" s="18">
        <f t="shared" ca="1" si="150"/>
        <v>1.4230339509906358</v>
      </c>
      <c r="G1400" s="15">
        <f t="shared" ca="1" si="155"/>
        <v>1.2390731996661879</v>
      </c>
      <c r="H1400" s="15">
        <f t="shared" ca="1" si="156"/>
        <v>2.9259958952165405E-2</v>
      </c>
      <c r="J1400" s="17">
        <f t="shared" ca="1" si="152"/>
        <v>1</v>
      </c>
      <c r="K1400" s="24">
        <f t="shared" ca="1" si="153"/>
        <v>0</v>
      </c>
      <c r="L1400" s="17">
        <f t="shared" ca="1" si="154"/>
        <v>1</v>
      </c>
      <c r="N1400" s="24" t="str">
        <f ca="1">IF(AND(L1400=1,L1399&lt;&gt;1),MAX($N$8:N1399)+1,"")</f>
        <v/>
      </c>
      <c r="O1400" s="24" t="str">
        <f ca="1">IF(AND(L1400&lt;&gt;1,L1399=1),MAX($O$8:O1399)+1,"")</f>
        <v/>
      </c>
      <c r="P1400" s="17" t="str">
        <f ca="1">IF(AND(L1400=-1,L1399&lt;&gt;-1),MAX($P$8:P1399)+1,"")</f>
        <v/>
      </c>
      <c r="Q1400" s="24" t="str">
        <f ca="1">IF(AND(L1400&lt;&gt;-1,L1399=-1),MAX($Q$8:Q1399)+1,"")</f>
        <v/>
      </c>
    </row>
    <row r="1401" spans="1:17" x14ac:dyDescent="0.3">
      <c r="A1401" s="3">
        <v>42243</v>
      </c>
      <c r="B1401" s="9">
        <v>13.486312</v>
      </c>
      <c r="C1401" s="9">
        <v>10.457051999999999</v>
      </c>
      <c r="E1401" s="14">
        <f t="shared" si="151"/>
        <v>1.2896858502759669</v>
      </c>
      <c r="F1401" s="18">
        <f t="shared" ca="1" si="150"/>
        <v>1.6116279800278197</v>
      </c>
      <c r="G1401" s="15">
        <f t="shared" ca="1" si="155"/>
        <v>1.2439206317320879</v>
      </c>
      <c r="H1401" s="15">
        <f t="shared" ca="1" si="156"/>
        <v>2.8396887564020236E-2</v>
      </c>
      <c r="J1401" s="17">
        <f t="shared" ca="1" si="152"/>
        <v>1</v>
      </c>
      <c r="K1401" s="24">
        <f t="shared" ca="1" si="153"/>
        <v>0</v>
      </c>
      <c r="L1401" s="17">
        <f t="shared" ca="1" si="154"/>
        <v>1</v>
      </c>
      <c r="N1401" s="24" t="str">
        <f ca="1">IF(AND(L1401=1,L1400&lt;&gt;1),MAX($N$8:N1400)+1,"")</f>
        <v/>
      </c>
      <c r="O1401" s="24" t="str">
        <f ca="1">IF(AND(L1401&lt;&gt;1,L1400=1),MAX($O$8:O1400)+1,"")</f>
        <v/>
      </c>
      <c r="P1401" s="17" t="str">
        <f ca="1">IF(AND(L1401=-1,L1400&lt;&gt;-1),MAX($P$8:P1400)+1,"")</f>
        <v/>
      </c>
      <c r="Q1401" s="24" t="str">
        <f ca="1">IF(AND(L1401&lt;&gt;-1,L1400=-1),MAX($Q$8:Q1400)+1,"")</f>
        <v/>
      </c>
    </row>
    <row r="1402" spans="1:17" x14ac:dyDescent="0.3">
      <c r="A1402" s="3">
        <v>42244</v>
      </c>
      <c r="B1402" s="9">
        <v>13.100778999999999</v>
      </c>
      <c r="C1402" s="9">
        <v>10.123446</v>
      </c>
      <c r="E1402" s="14">
        <f t="shared" si="151"/>
        <v>1.2941027195680206</v>
      </c>
      <c r="F1402" s="18">
        <f t="shared" ca="1" si="150"/>
        <v>1.6652097759643496</v>
      </c>
      <c r="G1402" s="15">
        <f t="shared" ca="1" si="155"/>
        <v>1.2488895484809746</v>
      </c>
      <c r="H1402" s="15">
        <f t="shared" ca="1" si="156"/>
        <v>2.7151636832580064E-2</v>
      </c>
      <c r="J1402" s="17">
        <f t="shared" ca="1" si="152"/>
        <v>1</v>
      </c>
      <c r="K1402" s="24">
        <f t="shared" ca="1" si="153"/>
        <v>0</v>
      </c>
      <c r="L1402" s="17">
        <f t="shared" ca="1" si="154"/>
        <v>1</v>
      </c>
      <c r="N1402" s="24" t="str">
        <f ca="1">IF(AND(L1402=1,L1401&lt;&gt;1),MAX($N$8:N1401)+1,"")</f>
        <v/>
      </c>
      <c r="O1402" s="24" t="str">
        <f ca="1">IF(AND(L1402&lt;&gt;1,L1401=1),MAX($O$8:O1401)+1,"")</f>
        <v/>
      </c>
      <c r="P1402" s="17" t="str">
        <f ca="1">IF(AND(L1402=-1,L1401&lt;&gt;-1),MAX($P$8:P1401)+1,"")</f>
        <v/>
      </c>
      <c r="Q1402" s="24" t="str">
        <f ca="1">IF(AND(L1402&lt;&gt;-1,L1401=-1),MAX($Q$8:Q1401)+1,"")</f>
        <v/>
      </c>
    </row>
    <row r="1403" spans="1:17" x14ac:dyDescent="0.3">
      <c r="A1403" s="3">
        <v>42247</v>
      </c>
      <c r="B1403" s="9">
        <v>12.634454</v>
      </c>
      <c r="C1403" s="9">
        <v>9.7348529999999993</v>
      </c>
      <c r="E1403" s="14">
        <f t="shared" si="151"/>
        <v>1.2978577077640516</v>
      </c>
      <c r="F1403" s="18">
        <f t="shared" ca="1" si="150"/>
        <v>1.6583964237023827</v>
      </c>
      <c r="G1403" s="15">
        <f t="shared" ca="1" si="155"/>
        <v>1.2532982106855011</v>
      </c>
      <c r="H1403" s="15">
        <f t="shared" ca="1" si="156"/>
        <v>2.6869026272422332E-2</v>
      </c>
      <c r="J1403" s="17">
        <f t="shared" ca="1" si="152"/>
        <v>1</v>
      </c>
      <c r="K1403" s="24">
        <f t="shared" ca="1" si="153"/>
        <v>0</v>
      </c>
      <c r="L1403" s="17">
        <f t="shared" ca="1" si="154"/>
        <v>1</v>
      </c>
      <c r="N1403" s="24" t="str">
        <f ca="1">IF(AND(L1403=1,L1402&lt;&gt;1),MAX($N$8:N1402)+1,"")</f>
        <v/>
      </c>
      <c r="O1403" s="24" t="str">
        <f ca="1">IF(AND(L1403&lt;&gt;1,L1402=1),MAX($O$8:O1402)+1,"")</f>
        <v/>
      </c>
      <c r="P1403" s="17" t="str">
        <f ca="1">IF(AND(L1403=-1,L1402&lt;&gt;-1),MAX($P$8:P1402)+1,"")</f>
        <v/>
      </c>
      <c r="Q1403" s="24" t="str">
        <f ca="1">IF(AND(L1403&lt;&gt;-1,L1402=-1),MAX($Q$8:Q1402)+1,"")</f>
        <v/>
      </c>
    </row>
    <row r="1404" spans="1:17" x14ac:dyDescent="0.3">
      <c r="A1404" s="3">
        <v>42248</v>
      </c>
      <c r="B1404" s="9">
        <v>12.346171999999999</v>
      </c>
      <c r="C1404" s="9">
        <v>9.4561519999999994</v>
      </c>
      <c r="E1404" s="14">
        <f t="shared" si="151"/>
        <v>1.3056232598629971</v>
      </c>
      <c r="F1404" s="18">
        <f t="shared" ca="1" si="150"/>
        <v>1.7664927706487474</v>
      </c>
      <c r="G1404" s="15">
        <f t="shared" ca="1" si="155"/>
        <v>1.2577143068275178</v>
      </c>
      <c r="H1404" s="15">
        <f t="shared" ca="1" si="156"/>
        <v>2.7120944864033956E-2</v>
      </c>
      <c r="J1404" s="17">
        <f t="shared" ca="1" si="152"/>
        <v>1</v>
      </c>
      <c r="K1404" s="24">
        <f t="shared" ca="1" si="153"/>
        <v>0</v>
      </c>
      <c r="L1404" s="17">
        <f t="shared" ca="1" si="154"/>
        <v>1</v>
      </c>
      <c r="N1404" s="24" t="str">
        <f ca="1">IF(AND(L1404=1,L1403&lt;&gt;1),MAX($N$8:N1403)+1,"")</f>
        <v/>
      </c>
      <c r="O1404" s="24" t="str">
        <f ca="1">IF(AND(L1404&lt;&gt;1,L1403=1),MAX($O$8:O1403)+1,"")</f>
        <v/>
      </c>
      <c r="P1404" s="17" t="str">
        <f ca="1">IF(AND(L1404=-1,L1403&lt;&gt;-1),MAX($P$8:P1403)+1,"")</f>
        <v/>
      </c>
      <c r="Q1404" s="24" t="str">
        <f ca="1">IF(AND(L1404&lt;&gt;-1,L1403=-1),MAX($Q$8:Q1403)+1,"")</f>
        <v/>
      </c>
    </row>
    <row r="1405" spans="1:17" x14ac:dyDescent="0.3">
      <c r="A1405" s="3">
        <v>42249</v>
      </c>
      <c r="B1405" s="9">
        <v>12.636733</v>
      </c>
      <c r="C1405" s="9">
        <v>9.6352259999999994</v>
      </c>
      <c r="E1405" s="14">
        <f t="shared" si="151"/>
        <v>1.3115139177845958</v>
      </c>
      <c r="F1405" s="18">
        <f t="shared" ca="1" si="150"/>
        <v>1.7485083988215941</v>
      </c>
      <c r="G1405" s="15">
        <f t="shared" ca="1" si="155"/>
        <v>1.2602138232535045</v>
      </c>
      <c r="H1405" s="15">
        <f t="shared" ca="1" si="156"/>
        <v>2.9339346934601492E-2</v>
      </c>
      <c r="J1405" s="17">
        <f t="shared" ca="1" si="152"/>
        <v>1</v>
      </c>
      <c r="K1405" s="24">
        <f t="shared" ca="1" si="153"/>
        <v>0</v>
      </c>
      <c r="L1405" s="17">
        <f t="shared" ca="1" si="154"/>
        <v>1</v>
      </c>
      <c r="N1405" s="24" t="str">
        <f ca="1">IF(AND(L1405=1,L1404&lt;&gt;1),MAX($N$8:N1404)+1,"")</f>
        <v/>
      </c>
      <c r="O1405" s="24" t="str">
        <f ca="1">IF(AND(L1405&lt;&gt;1,L1404=1),MAX($O$8:O1404)+1,"")</f>
        <v/>
      </c>
      <c r="P1405" s="17" t="str">
        <f ca="1">IF(AND(L1405=-1,L1404&lt;&gt;-1),MAX($P$8:P1404)+1,"")</f>
        <v/>
      </c>
      <c r="Q1405" s="24" t="str">
        <f ca="1">IF(AND(L1405&lt;&gt;-1,L1404=-1),MAX($Q$8:Q1404)+1,"")</f>
        <v/>
      </c>
    </row>
    <row r="1406" spans="1:17" x14ac:dyDescent="0.3">
      <c r="A1406" s="3">
        <v>42250</v>
      </c>
      <c r="B1406" s="9">
        <v>13.117801</v>
      </c>
      <c r="C1406" s="9">
        <v>9.8762880000000006</v>
      </c>
      <c r="E1406" s="14">
        <f t="shared" si="151"/>
        <v>1.3282116722396107</v>
      </c>
      <c r="F1406" s="18">
        <f t="shared" ca="1" si="150"/>
        <v>1.9902814354363867</v>
      </c>
      <c r="G1406" s="15">
        <f t="shared" ca="1" si="155"/>
        <v>1.2643615130917389</v>
      </c>
      <c r="H1406" s="15">
        <f t="shared" ca="1" si="156"/>
        <v>3.2080970063347862E-2</v>
      </c>
      <c r="J1406" s="17">
        <f t="shared" ca="1" si="152"/>
        <v>1</v>
      </c>
      <c r="K1406" s="24">
        <f t="shared" ca="1" si="153"/>
        <v>0</v>
      </c>
      <c r="L1406" s="17">
        <f t="shared" ca="1" si="154"/>
        <v>1</v>
      </c>
      <c r="N1406" s="24" t="str">
        <f ca="1">IF(AND(L1406=1,L1405&lt;&gt;1),MAX($N$8:N1405)+1,"")</f>
        <v/>
      </c>
      <c r="O1406" s="24" t="str">
        <f ca="1">IF(AND(L1406&lt;&gt;1,L1405=1),MAX($O$8:O1405)+1,"")</f>
        <v/>
      </c>
      <c r="P1406" s="17" t="str">
        <f ca="1">IF(AND(L1406=-1,L1405&lt;&gt;-1),MAX($P$8:P1405)+1,"")</f>
        <v/>
      </c>
      <c r="Q1406" s="24" t="str">
        <f ca="1">IF(AND(L1406&lt;&gt;-1,L1405=-1),MAX($Q$8:Q1405)+1,"")</f>
        <v/>
      </c>
    </row>
    <row r="1407" spans="1:17" x14ac:dyDescent="0.3">
      <c r="A1407" s="3">
        <v>42251</v>
      </c>
      <c r="B1407" s="9">
        <v>12.584312000000001</v>
      </c>
      <c r="C1407" s="9">
        <v>9.4575429999999994</v>
      </c>
      <c r="E1407" s="14">
        <f t="shared" si="151"/>
        <v>1.3306111322993721</v>
      </c>
      <c r="F1407" s="18">
        <f t="shared" ca="1" si="150"/>
        <v>1.8050207131402973</v>
      </c>
      <c r="G1407" s="15">
        <f t="shared" ca="1" si="155"/>
        <v>1.268476565710335</v>
      </c>
      <c r="H1407" s="15">
        <f t="shared" ca="1" si="156"/>
        <v>3.4423187577132072E-2</v>
      </c>
      <c r="J1407" s="17">
        <f t="shared" ca="1" si="152"/>
        <v>1</v>
      </c>
      <c r="K1407" s="24">
        <f t="shared" ca="1" si="153"/>
        <v>0</v>
      </c>
      <c r="L1407" s="17">
        <f t="shared" ca="1" si="154"/>
        <v>1</v>
      </c>
      <c r="N1407" s="24" t="str">
        <f ca="1">IF(AND(L1407=1,L1406&lt;&gt;1),MAX($N$8:N1406)+1,"")</f>
        <v/>
      </c>
      <c r="O1407" s="24" t="str">
        <f ca="1">IF(AND(L1407&lt;&gt;1,L1406=1),MAX($O$8:O1406)+1,"")</f>
        <v/>
      </c>
      <c r="P1407" s="17" t="str">
        <f ca="1">IF(AND(L1407=-1,L1406&lt;&gt;-1),MAX($P$8:P1406)+1,"")</f>
        <v/>
      </c>
      <c r="Q1407" s="24" t="str">
        <f ca="1">IF(AND(L1407&lt;&gt;-1,L1406=-1),MAX($Q$8:Q1406)+1,"")</f>
        <v/>
      </c>
    </row>
    <row r="1408" spans="1:17" x14ac:dyDescent="0.3">
      <c r="A1408" s="3">
        <v>42255</v>
      </c>
      <c r="B1408" s="9">
        <v>12.722476</v>
      </c>
      <c r="C1408" s="9">
        <v>9.677505</v>
      </c>
      <c r="E1408" s="14">
        <f t="shared" si="151"/>
        <v>1.3146442187319975</v>
      </c>
      <c r="F1408" s="18">
        <f t="shared" ca="1" si="150"/>
        <v>1.2216918168874269</v>
      </c>
      <c r="G1408" s="15">
        <f t="shared" ca="1" si="155"/>
        <v>1.2723157391614546</v>
      </c>
      <c r="H1408" s="15">
        <f t="shared" ca="1" si="156"/>
        <v>3.4647428251083509E-2</v>
      </c>
      <c r="J1408" s="17">
        <f t="shared" ca="1" si="152"/>
        <v>1</v>
      </c>
      <c r="K1408" s="24">
        <f t="shared" ca="1" si="153"/>
        <v>0</v>
      </c>
      <c r="L1408" s="17">
        <f t="shared" ca="1" si="154"/>
        <v>1</v>
      </c>
      <c r="N1408" s="24" t="str">
        <f ca="1">IF(AND(L1408=1,L1407&lt;&gt;1),MAX($N$8:N1407)+1,"")</f>
        <v/>
      </c>
      <c r="O1408" s="24" t="str">
        <f ca="1">IF(AND(L1408&lt;&gt;1,L1407=1),MAX($O$8:O1407)+1,"")</f>
        <v/>
      </c>
      <c r="P1408" s="17" t="str">
        <f ca="1">IF(AND(L1408=-1,L1407&lt;&gt;-1),MAX($P$8:P1407)+1,"")</f>
        <v/>
      </c>
      <c r="Q1408" s="24" t="str">
        <f ca="1">IF(AND(L1408&lt;&gt;-1,L1407=-1),MAX($Q$8:Q1407)+1,"")</f>
        <v/>
      </c>
    </row>
    <row r="1409" spans="1:17" x14ac:dyDescent="0.3">
      <c r="A1409" s="3">
        <v>42256</v>
      </c>
      <c r="B1409" s="9">
        <v>12.865358000000001</v>
      </c>
      <c r="C1409" s="9">
        <v>9.7917199999999998</v>
      </c>
      <c r="E1409" s="14">
        <f t="shared" si="151"/>
        <v>1.3139017455564499</v>
      </c>
      <c r="F1409" s="18">
        <f t="shared" ca="1" si="150"/>
        <v>1.0990673872112227</v>
      </c>
      <c r="G1409" s="15">
        <f t="shared" ca="1" si="155"/>
        <v>1.2761930396907728</v>
      </c>
      <c r="H1409" s="15">
        <f t="shared" ca="1" si="156"/>
        <v>3.4309730508298761E-2</v>
      </c>
      <c r="J1409" s="17">
        <f t="shared" ca="1" si="152"/>
        <v>1</v>
      </c>
      <c r="K1409" s="24">
        <f t="shared" ca="1" si="153"/>
        <v>0</v>
      </c>
      <c r="L1409" s="17">
        <f t="shared" ca="1" si="154"/>
        <v>1</v>
      </c>
      <c r="N1409" s="24" t="str">
        <f ca="1">IF(AND(L1409=1,L1408&lt;&gt;1),MAX($N$8:N1408)+1,"")</f>
        <v/>
      </c>
      <c r="O1409" s="24" t="str">
        <f ca="1">IF(AND(L1409&lt;&gt;1,L1408=1),MAX($O$8:O1408)+1,"")</f>
        <v/>
      </c>
      <c r="P1409" s="17" t="str">
        <f ca="1">IF(AND(L1409=-1,L1408&lt;&gt;-1),MAX($P$8:P1408)+1,"")</f>
        <v/>
      </c>
      <c r="Q1409" s="24" t="str">
        <f ca="1">IF(AND(L1409&lt;&gt;-1,L1408=-1),MAX($Q$8:Q1408)+1,"")</f>
        <v/>
      </c>
    </row>
    <row r="1410" spans="1:17" x14ac:dyDescent="0.3">
      <c r="A1410" s="3">
        <v>42257</v>
      </c>
      <c r="B1410" s="9">
        <v>12.608124</v>
      </c>
      <c r="C1410" s="9">
        <v>9.5802340000000008</v>
      </c>
      <c r="E1410" s="14">
        <f t="shared" si="151"/>
        <v>1.3160559543743919</v>
      </c>
      <c r="F1410" s="18">
        <f t="shared" ref="F1410:F1473" ca="1" si="157">IF(ISNUMBER(G1410),(E1410-G1410)/H1410,"")</f>
        <v>1.067195326728722</v>
      </c>
      <c r="G1410" s="15">
        <f t="shared" ca="1" si="155"/>
        <v>1.2801628867752106</v>
      </c>
      <c r="H1410" s="15">
        <f t="shared" ca="1" si="156"/>
        <v>3.3633081686371767E-2</v>
      </c>
      <c r="J1410" s="17">
        <f t="shared" ca="1" si="152"/>
        <v>1</v>
      </c>
      <c r="K1410" s="24">
        <f t="shared" ca="1" si="153"/>
        <v>0</v>
      </c>
      <c r="L1410" s="17">
        <f t="shared" ca="1" si="154"/>
        <v>1</v>
      </c>
      <c r="N1410" s="24" t="str">
        <f ca="1">IF(AND(L1410=1,L1409&lt;&gt;1),MAX($N$8:N1409)+1,"")</f>
        <v/>
      </c>
      <c r="O1410" s="24" t="str">
        <f ca="1">IF(AND(L1410&lt;&gt;1,L1409=1),MAX($O$8:O1409)+1,"")</f>
        <v/>
      </c>
      <c r="P1410" s="17" t="str">
        <f ca="1">IF(AND(L1410=-1,L1409&lt;&gt;-1),MAX($P$8:P1409)+1,"")</f>
        <v/>
      </c>
      <c r="Q1410" s="24" t="str">
        <f ca="1">IF(AND(L1410&lt;&gt;-1,L1409=-1),MAX($Q$8:Q1409)+1,"")</f>
        <v/>
      </c>
    </row>
    <row r="1411" spans="1:17" x14ac:dyDescent="0.3">
      <c r="A1411" s="3">
        <v>42258</v>
      </c>
      <c r="B1411" s="9">
        <v>12.631938</v>
      </c>
      <c r="C1411" s="9">
        <v>9.4744860000000006</v>
      </c>
      <c r="E1411" s="14">
        <f t="shared" ref="E1411:E1474" si="158">IF(ISNUMBER(B1411),B1411/C1411,"")</f>
        <v>1.3332583952311501</v>
      </c>
      <c r="F1411" s="18">
        <f t="shared" ca="1" si="157"/>
        <v>1.5148542747918627</v>
      </c>
      <c r="G1411" s="15">
        <f t="shared" ca="1" si="155"/>
        <v>1.28595122768058</v>
      </c>
      <c r="H1411" s="15">
        <f t="shared" ca="1" si="156"/>
        <v>3.1228857017992679E-2</v>
      </c>
      <c r="J1411" s="17">
        <f t="shared" ca="1" si="152"/>
        <v>1</v>
      </c>
      <c r="K1411" s="24">
        <f t="shared" ca="1" si="153"/>
        <v>0</v>
      </c>
      <c r="L1411" s="17">
        <f t="shared" ca="1" si="154"/>
        <v>1</v>
      </c>
      <c r="N1411" s="24" t="str">
        <f ca="1">IF(AND(L1411=1,L1410&lt;&gt;1),MAX($N$8:N1410)+1,"")</f>
        <v/>
      </c>
      <c r="O1411" s="24" t="str">
        <f ca="1">IF(AND(L1411&lt;&gt;1,L1410=1),MAX($O$8:O1410)+1,"")</f>
        <v/>
      </c>
      <c r="P1411" s="17" t="str">
        <f ca="1">IF(AND(L1411=-1,L1410&lt;&gt;-1),MAX($P$8:P1410)+1,"")</f>
        <v/>
      </c>
      <c r="Q1411" s="24" t="str">
        <f ca="1">IF(AND(L1411&lt;&gt;-1,L1410=-1),MAX($Q$8:Q1410)+1,"")</f>
        <v/>
      </c>
    </row>
    <row r="1412" spans="1:17" x14ac:dyDescent="0.3">
      <c r="A1412" s="3">
        <v>42261</v>
      </c>
      <c r="B1412" s="9">
        <v>13.14161</v>
      </c>
      <c r="C1412" s="9">
        <v>9.8974740000000008</v>
      </c>
      <c r="E1412" s="14">
        <f t="shared" si="158"/>
        <v>1.3277741371182181</v>
      </c>
      <c r="F1412" s="18">
        <f t="shared" ca="1" si="157"/>
        <v>1.2578546827881762</v>
      </c>
      <c r="G1412" s="15">
        <f t="shared" ca="1" si="155"/>
        <v>1.2905215965078765</v>
      </c>
      <c r="H1412" s="15">
        <f t="shared" ca="1" si="156"/>
        <v>2.9615933477917519E-2</v>
      </c>
      <c r="J1412" s="17">
        <f t="shared" ca="1" si="152"/>
        <v>1</v>
      </c>
      <c r="K1412" s="24">
        <f t="shared" ca="1" si="153"/>
        <v>0</v>
      </c>
      <c r="L1412" s="17">
        <f t="shared" ca="1" si="154"/>
        <v>1</v>
      </c>
      <c r="N1412" s="24" t="str">
        <f ca="1">IF(AND(L1412=1,L1411&lt;&gt;1),MAX($N$8:N1411)+1,"")</f>
        <v/>
      </c>
      <c r="O1412" s="24" t="str">
        <f ca="1">IF(AND(L1412&lt;&gt;1,L1411=1),MAX($O$8:O1411)+1,"")</f>
        <v/>
      </c>
      <c r="P1412" s="17" t="str">
        <f ca="1">IF(AND(L1412=-1,L1411&lt;&gt;-1),MAX($P$8:P1411)+1,"")</f>
        <v/>
      </c>
      <c r="Q1412" s="24" t="str">
        <f ca="1">IF(AND(L1412&lt;&gt;-1,L1411=-1),MAX($Q$8:Q1411)+1,"")</f>
        <v/>
      </c>
    </row>
    <row r="1413" spans="1:17" x14ac:dyDescent="0.3">
      <c r="A1413" s="3">
        <v>42262</v>
      </c>
      <c r="B1413" s="9">
        <v>13.465489</v>
      </c>
      <c r="C1413" s="9">
        <v>10.087785</v>
      </c>
      <c r="E1413" s="14">
        <f t="shared" si="158"/>
        <v>1.33483108531754</v>
      </c>
      <c r="F1413" s="18">
        <f t="shared" ca="1" si="157"/>
        <v>1.3921704177878114</v>
      </c>
      <c r="G1413" s="15">
        <f t="shared" ca="1" si="155"/>
        <v>1.2949208302545996</v>
      </c>
      <c r="H1413" s="15">
        <f t="shared" ca="1" si="156"/>
        <v>2.8667650564187887E-2</v>
      </c>
      <c r="J1413" s="17">
        <f t="shared" ca="1" si="152"/>
        <v>1</v>
      </c>
      <c r="K1413" s="24">
        <f t="shared" ca="1" si="153"/>
        <v>0</v>
      </c>
      <c r="L1413" s="17">
        <f t="shared" ca="1" si="154"/>
        <v>1</v>
      </c>
      <c r="N1413" s="24" t="str">
        <f ca="1">IF(AND(L1413=1,L1412&lt;&gt;1),MAX($N$8:N1412)+1,"")</f>
        <v/>
      </c>
      <c r="O1413" s="24" t="str">
        <f ca="1">IF(AND(L1413&lt;&gt;1,L1412=1),MAX($O$8:O1412)+1,"")</f>
        <v/>
      </c>
      <c r="P1413" s="17" t="str">
        <f ca="1">IF(AND(L1413=-1,L1412&lt;&gt;-1),MAX($P$8:P1412)+1,"")</f>
        <v/>
      </c>
      <c r="Q1413" s="24" t="str">
        <f ca="1">IF(AND(L1413&lt;&gt;-1,L1412=-1),MAX($Q$8:Q1412)+1,"")</f>
        <v/>
      </c>
    </row>
    <row r="1414" spans="1:17" x14ac:dyDescent="0.3">
      <c r="A1414" s="3">
        <v>42263</v>
      </c>
      <c r="B1414" s="9">
        <v>13.689397</v>
      </c>
      <c r="C1414" s="9">
        <v>10.464251000000001</v>
      </c>
      <c r="E1414" s="14">
        <f t="shared" si="158"/>
        <v>1.3082061009431061</v>
      </c>
      <c r="F1414" s="18">
        <f t="shared" ca="1" si="157"/>
        <v>0.3906202596157563</v>
      </c>
      <c r="G1414" s="15">
        <f t="shared" ca="1" si="155"/>
        <v>1.2978707722259444</v>
      </c>
      <c r="H1414" s="15">
        <f t="shared" ca="1" si="156"/>
        <v>2.6458762603169404E-2</v>
      </c>
      <c r="J1414" s="17">
        <f t="shared" ca="1" si="152"/>
        <v>1</v>
      </c>
      <c r="K1414" s="24">
        <f t="shared" ca="1" si="153"/>
        <v>0</v>
      </c>
      <c r="L1414" s="17">
        <f t="shared" ca="1" si="154"/>
        <v>1</v>
      </c>
      <c r="N1414" s="24" t="str">
        <f ca="1">IF(AND(L1414=1,L1413&lt;&gt;1),MAX($N$8:N1413)+1,"")</f>
        <v/>
      </c>
      <c r="O1414" s="24" t="str">
        <f ca="1">IF(AND(L1414&lt;&gt;1,L1413=1),MAX($O$8:O1413)+1,"")</f>
        <v/>
      </c>
      <c r="P1414" s="17" t="str">
        <f ca="1">IF(AND(L1414=-1,L1413&lt;&gt;-1),MAX($P$8:P1413)+1,"")</f>
        <v/>
      </c>
      <c r="Q1414" s="24" t="str">
        <f ca="1">IF(AND(L1414&lt;&gt;-1,L1413=-1),MAX($Q$8:Q1413)+1,"")</f>
        <v/>
      </c>
    </row>
    <row r="1415" spans="1:17" x14ac:dyDescent="0.3">
      <c r="A1415" s="3">
        <v>42264</v>
      </c>
      <c r="B1415" s="9">
        <v>13.808467</v>
      </c>
      <c r="C1415" s="9">
        <v>10.434597</v>
      </c>
      <c r="E1415" s="14">
        <f t="shared" si="158"/>
        <v>1.3233349596539281</v>
      </c>
      <c r="F1415" s="18">
        <f t="shared" ca="1" si="157"/>
        <v>0.89074562339446628</v>
      </c>
      <c r="G1415" s="15">
        <f t="shared" ca="1" si="155"/>
        <v>1.3011370322920497</v>
      </c>
      <c r="H1415" s="15">
        <f t="shared" ca="1" si="156"/>
        <v>2.4920613448861238E-2</v>
      </c>
      <c r="J1415" s="17">
        <f t="shared" ca="1" si="152"/>
        <v>1</v>
      </c>
      <c r="K1415" s="24">
        <f t="shared" ca="1" si="153"/>
        <v>0</v>
      </c>
      <c r="L1415" s="17">
        <f t="shared" ca="1" si="154"/>
        <v>1</v>
      </c>
      <c r="N1415" s="24" t="str">
        <f ca="1">IF(AND(L1415=1,L1414&lt;&gt;1),MAX($N$8:N1414)+1,"")</f>
        <v/>
      </c>
      <c r="O1415" s="24" t="str">
        <f ca="1">IF(AND(L1415&lt;&gt;1,L1414=1),MAX($O$8:O1414)+1,"")</f>
        <v/>
      </c>
      <c r="P1415" s="17" t="str">
        <f ca="1">IF(AND(L1415=-1,L1414&lt;&gt;-1),MAX($P$8:P1414)+1,"")</f>
        <v/>
      </c>
      <c r="Q1415" s="24" t="str">
        <f ca="1">IF(AND(L1415&lt;&gt;-1,L1414=-1),MAX($Q$8:Q1414)+1,"")</f>
        <v/>
      </c>
    </row>
    <row r="1416" spans="1:17" x14ac:dyDescent="0.3">
      <c r="A1416" s="3">
        <v>42265</v>
      </c>
      <c r="B1416" s="9">
        <v>13.265473</v>
      </c>
      <c r="C1416" s="9">
        <v>9.8678229999999996</v>
      </c>
      <c r="E1416" s="14">
        <f t="shared" si="158"/>
        <v>1.3443160664718043</v>
      </c>
      <c r="F1416" s="18">
        <f t="shared" ca="1" si="157"/>
        <v>1.6471519754586827</v>
      </c>
      <c r="G1416" s="15">
        <f t="shared" ca="1" si="155"/>
        <v>1.305553604635892</v>
      </c>
      <c r="H1416" s="15">
        <f t="shared" ca="1" si="156"/>
        <v>2.3533020882980864E-2</v>
      </c>
      <c r="J1416" s="17">
        <f t="shared" ref="J1416:J1479" ca="1" si="159">IF(ISNUMBER(F1416),IF(AND(J1415&lt;&gt;1,F1416&gt;$L$1),1,IF(AND(J1415=1,F1416&gt;$N$1),1,0)),"")</f>
        <v>1</v>
      </c>
      <c r="K1416" s="24">
        <f t="shared" ca="1" si="153"/>
        <v>0</v>
      </c>
      <c r="L1416" s="17">
        <f t="shared" ca="1" si="154"/>
        <v>1</v>
      </c>
      <c r="N1416" s="24" t="str">
        <f ca="1">IF(AND(L1416=1,L1415&lt;&gt;1),MAX($N$8:N1415)+1,"")</f>
        <v/>
      </c>
      <c r="O1416" s="24" t="str">
        <f ca="1">IF(AND(L1416&lt;&gt;1,L1415=1),MAX($O$8:O1415)+1,"")</f>
        <v/>
      </c>
      <c r="P1416" s="17" t="str">
        <f ca="1">IF(AND(L1416=-1,L1415&lt;&gt;-1),MAX($P$8:P1415)+1,"")</f>
        <v/>
      </c>
      <c r="Q1416" s="24" t="str">
        <f ca="1">IF(AND(L1416&lt;&gt;-1,L1415=-1),MAX($Q$8:Q1415)+1,"")</f>
        <v/>
      </c>
    </row>
    <row r="1417" spans="1:17" x14ac:dyDescent="0.3">
      <c r="A1417" s="3">
        <v>42268</v>
      </c>
      <c r="B1417" s="9">
        <v>12.970122999999999</v>
      </c>
      <c r="C1417" s="9">
        <v>9.5632909999999995</v>
      </c>
      <c r="E1417" s="14">
        <f t="shared" si="158"/>
        <v>1.3562405452265334</v>
      </c>
      <c r="F1417" s="18">
        <f t="shared" ca="1" si="157"/>
        <v>1.9650574218027046</v>
      </c>
      <c r="G1417" s="15">
        <f t="shared" ca="1" si="155"/>
        <v>1.3099500943602669</v>
      </c>
      <c r="H1417" s="15">
        <f t="shared" ca="1" si="156"/>
        <v>2.3556792973408659E-2</v>
      </c>
      <c r="J1417" s="17">
        <f t="shared" ca="1" si="159"/>
        <v>1</v>
      </c>
      <c r="K1417" s="24">
        <f t="shared" ref="K1417:K1480" ca="1" si="160">IF(ISNUMBER(F1417),IF(AND(K1416&lt;&gt;-1,F1417&lt;$P$1),-1,IF(AND(K1416=-1,F1417&lt;R1410),-1,0)),"")</f>
        <v>0</v>
      </c>
      <c r="L1417" s="17">
        <f t="shared" ref="L1417:L1480" ca="1" si="161">IF(ISNUMBER(F1417),IF(J1417=1,1,IF(K1417=-1,-1,0)),"")</f>
        <v>1</v>
      </c>
      <c r="N1417" s="24" t="str">
        <f ca="1">IF(AND(L1417=1,L1416&lt;&gt;1),MAX($N$8:N1416)+1,"")</f>
        <v/>
      </c>
      <c r="O1417" s="24" t="str">
        <f ca="1">IF(AND(L1417&lt;&gt;1,L1416=1),MAX($O$8:O1416)+1,"")</f>
        <v/>
      </c>
      <c r="P1417" s="17" t="str">
        <f ca="1">IF(AND(L1417=-1,L1416&lt;&gt;-1),MAX($P$8:P1416)+1,"")</f>
        <v/>
      </c>
      <c r="Q1417" s="24" t="str">
        <f ca="1">IF(AND(L1417&lt;&gt;-1,L1416=-1),MAX($Q$8:Q1416)+1,"")</f>
        <v/>
      </c>
    </row>
    <row r="1418" spans="1:17" x14ac:dyDescent="0.3">
      <c r="A1418" s="3">
        <v>42269</v>
      </c>
      <c r="B1418" s="9">
        <v>13.093984000000001</v>
      </c>
      <c r="C1418" s="9">
        <v>9.6013359999999999</v>
      </c>
      <c r="E1418" s="14">
        <f t="shared" si="158"/>
        <v>1.3637668757764545</v>
      </c>
      <c r="F1418" s="18">
        <f t="shared" ca="1" si="157"/>
        <v>2.0330598034522085</v>
      </c>
      <c r="G1418" s="15">
        <f t="shared" ca="1" si="155"/>
        <v>1.3142390590382609</v>
      </c>
      <c r="H1418" s="15">
        <f t="shared" ca="1" si="156"/>
        <v>2.4361219799876821E-2</v>
      </c>
      <c r="J1418" s="17">
        <f t="shared" ca="1" si="159"/>
        <v>1</v>
      </c>
      <c r="K1418" s="24">
        <f t="shared" ca="1" si="160"/>
        <v>0</v>
      </c>
      <c r="L1418" s="17">
        <f t="shared" ca="1" si="161"/>
        <v>1</v>
      </c>
      <c r="N1418" s="24" t="str">
        <f ca="1">IF(AND(L1418=1,L1417&lt;&gt;1),MAX($N$8:N1417)+1,"")</f>
        <v/>
      </c>
      <c r="O1418" s="24" t="str">
        <f ca="1">IF(AND(L1418&lt;&gt;1,L1417=1),MAX($O$8:O1417)+1,"")</f>
        <v/>
      </c>
      <c r="P1418" s="17" t="str">
        <f ca="1">IF(AND(L1418=-1,L1417&lt;&gt;-1),MAX($P$8:P1417)+1,"")</f>
        <v/>
      </c>
      <c r="Q1418" s="24" t="str">
        <f ca="1">IF(AND(L1418&lt;&gt;-1,L1417=-1),MAX($Q$8:Q1417)+1,"")</f>
        <v/>
      </c>
    </row>
    <row r="1419" spans="1:17" x14ac:dyDescent="0.3">
      <c r="A1419" s="3">
        <v>42270</v>
      </c>
      <c r="B1419" s="9">
        <v>12.5748</v>
      </c>
      <c r="C1419" s="9">
        <v>9.2757020000000008</v>
      </c>
      <c r="E1419" s="14">
        <f t="shared" si="158"/>
        <v>1.3556709777869103</v>
      </c>
      <c r="F1419" s="18">
        <f t="shared" ca="1" si="157"/>
        <v>1.5293308187119996</v>
      </c>
      <c r="G1419" s="15">
        <f t="shared" ca="1" si="155"/>
        <v>1.3173780787930829</v>
      </c>
      <c r="H1419" s="15">
        <f t="shared" ca="1" si="156"/>
        <v>2.5038989945993243E-2</v>
      </c>
      <c r="J1419" s="17">
        <f t="shared" ca="1" si="159"/>
        <v>1</v>
      </c>
      <c r="K1419" s="24">
        <f t="shared" ca="1" si="160"/>
        <v>0</v>
      </c>
      <c r="L1419" s="17">
        <f t="shared" ca="1" si="161"/>
        <v>1</v>
      </c>
      <c r="N1419" s="24" t="str">
        <f ca="1">IF(AND(L1419=1,L1418&lt;&gt;1),MAX($N$8:N1418)+1,"")</f>
        <v/>
      </c>
      <c r="O1419" s="24" t="str">
        <f ca="1">IF(AND(L1419&lt;&gt;1,L1418=1),MAX($O$8:O1418)+1,"")</f>
        <v/>
      </c>
      <c r="P1419" s="17" t="str">
        <f ca="1">IF(AND(L1419=-1,L1418&lt;&gt;-1),MAX($P$8:P1418)+1,"")</f>
        <v/>
      </c>
      <c r="Q1419" s="24" t="str">
        <f ca="1">IF(AND(L1419&lt;&gt;-1,L1418=-1),MAX($Q$8:Q1418)+1,"")</f>
        <v/>
      </c>
    </row>
    <row r="1420" spans="1:17" x14ac:dyDescent="0.3">
      <c r="A1420" s="3">
        <v>42271</v>
      </c>
      <c r="B1420" s="9">
        <v>12.717687</v>
      </c>
      <c r="C1420" s="9">
        <v>9.3856830000000002</v>
      </c>
      <c r="E1420" s="14">
        <f t="shared" si="158"/>
        <v>1.3550092198937467</v>
      </c>
      <c r="F1420" s="18">
        <f t="shared" ca="1" si="157"/>
        <v>1.4267258622898882</v>
      </c>
      <c r="G1420" s="15">
        <f t="shared" ca="1" si="155"/>
        <v>1.3214345456480461</v>
      </c>
      <c r="H1420" s="15">
        <f t="shared" ca="1" si="156"/>
        <v>2.3532673748419622E-2</v>
      </c>
      <c r="J1420" s="17">
        <f t="shared" ca="1" si="159"/>
        <v>1</v>
      </c>
      <c r="K1420" s="24">
        <f t="shared" ca="1" si="160"/>
        <v>0</v>
      </c>
      <c r="L1420" s="17">
        <f t="shared" ca="1" si="161"/>
        <v>1</v>
      </c>
      <c r="N1420" s="24" t="str">
        <f ca="1">IF(AND(L1420=1,L1419&lt;&gt;1),MAX($N$8:N1419)+1,"")</f>
        <v/>
      </c>
      <c r="O1420" s="24" t="str">
        <f ca="1">IF(AND(L1420&lt;&gt;1,L1419=1),MAX($O$8:O1419)+1,"")</f>
        <v/>
      </c>
      <c r="P1420" s="17" t="str">
        <f ca="1">IF(AND(L1420=-1,L1419&lt;&gt;-1),MAX($P$8:P1419)+1,"")</f>
        <v/>
      </c>
      <c r="Q1420" s="24" t="str">
        <f ca="1">IF(AND(L1420&lt;&gt;-1,L1419=-1),MAX($Q$8:Q1419)+1,"")</f>
        <v/>
      </c>
    </row>
    <row r="1421" spans="1:17" x14ac:dyDescent="0.3">
      <c r="A1421" s="3">
        <v>42272</v>
      </c>
      <c r="B1421" s="9">
        <v>12.408108</v>
      </c>
      <c r="C1421" s="9">
        <v>9.1699549999999999</v>
      </c>
      <c r="E1421" s="14">
        <f t="shared" si="158"/>
        <v>1.3531263784827734</v>
      </c>
      <c r="F1421" s="18">
        <f t="shared" ca="1" si="157"/>
        <v>1.2400123113457311</v>
      </c>
      <c r="G1421" s="15">
        <f t="shared" ca="1" si="155"/>
        <v>1.3244751834099697</v>
      </c>
      <c r="H1421" s="15">
        <f t="shared" ca="1" si="156"/>
        <v>2.3105573074278418E-2</v>
      </c>
      <c r="J1421" s="17">
        <f t="shared" ca="1" si="159"/>
        <v>1</v>
      </c>
      <c r="K1421" s="24">
        <f t="shared" ca="1" si="160"/>
        <v>0</v>
      </c>
      <c r="L1421" s="17">
        <f t="shared" ca="1" si="161"/>
        <v>1</v>
      </c>
      <c r="N1421" s="24" t="str">
        <f ca="1">IF(AND(L1421=1,L1420&lt;&gt;1),MAX($N$8:N1420)+1,"")</f>
        <v/>
      </c>
      <c r="O1421" s="24" t="str">
        <f ca="1">IF(AND(L1421&lt;&gt;1,L1420=1),MAX($O$8:O1420)+1,"")</f>
        <v/>
      </c>
      <c r="P1421" s="17" t="str">
        <f ca="1">IF(AND(L1421=-1,L1420&lt;&gt;-1),MAX($P$8:P1420)+1,"")</f>
        <v/>
      </c>
      <c r="Q1421" s="24" t="str">
        <f ca="1">IF(AND(L1421&lt;&gt;-1,L1420=-1),MAX($Q$8:Q1420)+1,"")</f>
        <v/>
      </c>
    </row>
    <row r="1422" spans="1:17" x14ac:dyDescent="0.3">
      <c r="A1422" s="3">
        <v>42275</v>
      </c>
      <c r="B1422" s="9">
        <v>12.398599000000001</v>
      </c>
      <c r="C1422" s="9">
        <v>8.9415220000000009</v>
      </c>
      <c r="E1422" s="14">
        <f t="shared" si="158"/>
        <v>1.3866318284515768</v>
      </c>
      <c r="F1422" s="18">
        <f t="shared" ca="1" si="157"/>
        <v>2.3424644354375439</v>
      </c>
      <c r="G1422" s="15">
        <f t="shared" ca="1" si="155"/>
        <v>1.3292897613096</v>
      </c>
      <c r="H1422" s="15">
        <f t="shared" ca="1" si="156"/>
        <v>2.4479375769590316E-2</v>
      </c>
      <c r="J1422" s="17">
        <f t="shared" ca="1" si="159"/>
        <v>1</v>
      </c>
      <c r="K1422" s="24">
        <f t="shared" ca="1" si="160"/>
        <v>0</v>
      </c>
      <c r="L1422" s="17">
        <f t="shared" ca="1" si="161"/>
        <v>1</v>
      </c>
      <c r="N1422" s="24" t="str">
        <f ca="1">IF(AND(L1422=1,L1421&lt;&gt;1),MAX($N$8:N1421)+1,"")</f>
        <v/>
      </c>
      <c r="O1422" s="24" t="str">
        <f ca="1">IF(AND(L1422&lt;&gt;1,L1421=1),MAX($O$8:O1421)+1,"")</f>
        <v/>
      </c>
      <c r="P1422" s="17" t="str">
        <f ca="1">IF(AND(L1422=-1,L1421&lt;&gt;-1),MAX($P$8:P1421)+1,"")</f>
        <v/>
      </c>
      <c r="Q1422" s="24" t="str">
        <f ca="1">IF(AND(L1422&lt;&gt;-1,L1421=-1),MAX($Q$8:Q1421)+1,"")</f>
        <v/>
      </c>
    </row>
    <row r="1423" spans="1:17" x14ac:dyDescent="0.3">
      <c r="A1423" s="3">
        <v>42276</v>
      </c>
      <c r="B1423" s="9">
        <v>12.346171999999999</v>
      </c>
      <c r="C1423" s="9">
        <v>8.8865289999999995</v>
      </c>
      <c r="E1423" s="14">
        <f t="shared" si="158"/>
        <v>1.3893131952869338</v>
      </c>
      <c r="F1423" s="18">
        <f t="shared" ca="1" si="157"/>
        <v>2.1420343412435088</v>
      </c>
      <c r="G1423" s="15">
        <f t="shared" ca="1" si="155"/>
        <v>1.3338182769919167</v>
      </c>
      <c r="H1423" s="15">
        <f t="shared" ca="1" si="156"/>
        <v>2.5907576375643337E-2</v>
      </c>
      <c r="J1423" s="17">
        <f t="shared" ca="1" si="159"/>
        <v>1</v>
      </c>
      <c r="K1423" s="24">
        <f t="shared" ca="1" si="160"/>
        <v>0</v>
      </c>
      <c r="L1423" s="17">
        <f t="shared" ca="1" si="161"/>
        <v>1</v>
      </c>
      <c r="N1423" s="24" t="str">
        <f ca="1">IF(AND(L1423=1,L1422&lt;&gt;1),MAX($N$8:N1422)+1,"")</f>
        <v/>
      </c>
      <c r="O1423" s="24" t="str">
        <f ca="1">IF(AND(L1423&lt;&gt;1,L1422=1),MAX($O$8:O1422)+1,"")</f>
        <v/>
      </c>
      <c r="P1423" s="17" t="str">
        <f ca="1">IF(AND(L1423=-1,L1422&lt;&gt;-1),MAX($P$8:P1422)+1,"")</f>
        <v/>
      </c>
      <c r="Q1423" s="24" t="str">
        <f ca="1">IF(AND(L1423&lt;&gt;-1,L1422=-1),MAX($Q$8:Q1422)+1,"")</f>
        <v/>
      </c>
    </row>
    <row r="1424" spans="1:17" x14ac:dyDescent="0.3">
      <c r="A1424" s="3">
        <v>42277</v>
      </c>
      <c r="B1424" s="9">
        <v>12.627221</v>
      </c>
      <c r="C1424" s="9">
        <v>9.0599720000000001</v>
      </c>
      <c r="E1424" s="14">
        <f t="shared" si="158"/>
        <v>1.3937373095634291</v>
      </c>
      <c r="F1424" s="18">
        <f t="shared" ca="1" si="157"/>
        <v>2.0331767976825796</v>
      </c>
      <c r="G1424" s="15">
        <f t="shared" ca="1" si="155"/>
        <v>1.338347121991708</v>
      </c>
      <c r="H1424" s="15">
        <f t="shared" ca="1" si="156"/>
        <v>2.7243173163718465E-2</v>
      </c>
      <c r="J1424" s="17">
        <f t="shared" ca="1" si="159"/>
        <v>1</v>
      </c>
      <c r="K1424" s="24">
        <f t="shared" ca="1" si="160"/>
        <v>0</v>
      </c>
      <c r="L1424" s="17">
        <f t="shared" ca="1" si="161"/>
        <v>1</v>
      </c>
      <c r="N1424" s="24" t="str">
        <f ca="1">IF(AND(L1424=1,L1423&lt;&gt;1),MAX($N$8:N1423)+1,"")</f>
        <v/>
      </c>
      <c r="O1424" s="24" t="str">
        <f ca="1">IF(AND(L1424&lt;&gt;1,L1423=1),MAX($O$8:O1423)+1,"")</f>
        <v/>
      </c>
      <c r="P1424" s="17" t="str">
        <f ca="1">IF(AND(L1424=-1,L1423&lt;&gt;-1),MAX($P$8:P1423)+1,"")</f>
        <v/>
      </c>
      <c r="Q1424" s="24" t="str">
        <f ca="1">IF(AND(L1424&lt;&gt;-1,L1423=-1),MAX($Q$8:Q1423)+1,"")</f>
        <v/>
      </c>
    </row>
    <row r="1425" spans="1:17" x14ac:dyDescent="0.3">
      <c r="A1425" s="3">
        <v>42278</v>
      </c>
      <c r="B1425" s="9">
        <v>12.815395000000001</v>
      </c>
      <c r="C1425" s="9">
        <v>9.1825899999999994</v>
      </c>
      <c r="E1425" s="14">
        <f t="shared" si="158"/>
        <v>1.3956187742238302</v>
      </c>
      <c r="F1425" s="18">
        <f t="shared" ca="1" si="157"/>
        <v>1.8712401598974169</v>
      </c>
      <c r="G1425" s="15">
        <f t="shared" ca="1" si="155"/>
        <v>1.3427908068307888</v>
      </c>
      <c r="H1425" s="15">
        <f t="shared" ca="1" si="156"/>
        <v>2.8231527157870258E-2</v>
      </c>
      <c r="J1425" s="17">
        <f t="shared" ca="1" si="159"/>
        <v>1</v>
      </c>
      <c r="K1425" s="24">
        <f t="shared" ca="1" si="160"/>
        <v>0</v>
      </c>
      <c r="L1425" s="17">
        <f t="shared" ca="1" si="161"/>
        <v>1</v>
      </c>
      <c r="N1425" s="24" t="str">
        <f ca="1">IF(AND(L1425=1,L1424&lt;&gt;1),MAX($N$8:N1424)+1,"")</f>
        <v/>
      </c>
      <c r="O1425" s="24" t="str">
        <f ca="1">IF(AND(L1425&lt;&gt;1,L1424=1),MAX($O$8:O1424)+1,"")</f>
        <v/>
      </c>
      <c r="P1425" s="17" t="str">
        <f ca="1">IF(AND(L1425=-1,L1424&lt;&gt;-1),MAX($P$8:P1424)+1,"")</f>
        <v/>
      </c>
      <c r="Q1425" s="24" t="str">
        <f ca="1">IF(AND(L1425&lt;&gt;-1,L1424=-1),MAX($Q$8:Q1424)+1,"")</f>
        <v/>
      </c>
    </row>
    <row r="1426" spans="1:17" x14ac:dyDescent="0.3">
      <c r="A1426" s="3">
        <v>42279</v>
      </c>
      <c r="B1426" s="9">
        <v>13.335061</v>
      </c>
      <c r="C1426" s="9">
        <v>9.5356480000000001</v>
      </c>
      <c r="E1426" s="14">
        <f t="shared" si="158"/>
        <v>1.3984430843084812</v>
      </c>
      <c r="F1426" s="18">
        <f t="shared" ca="1" si="157"/>
        <v>1.7567122341005723</v>
      </c>
      <c r="G1426" s="15">
        <f t="shared" ca="1" si="155"/>
        <v>1.347009889760129</v>
      </c>
      <c r="H1426" s="15">
        <f t="shared" ca="1" si="156"/>
        <v>2.927809891110919E-2</v>
      </c>
      <c r="J1426" s="17">
        <f t="shared" ca="1" si="159"/>
        <v>1</v>
      </c>
      <c r="K1426" s="24">
        <f t="shared" ca="1" si="160"/>
        <v>0</v>
      </c>
      <c r="L1426" s="17">
        <f t="shared" ca="1" si="161"/>
        <v>1</v>
      </c>
      <c r="N1426" s="24" t="str">
        <f ca="1">IF(AND(L1426=1,L1425&lt;&gt;1),MAX($N$8:N1425)+1,"")</f>
        <v/>
      </c>
      <c r="O1426" s="24" t="str">
        <f ca="1">IF(AND(L1426&lt;&gt;1,L1425=1),MAX($O$8:O1425)+1,"")</f>
        <v/>
      </c>
      <c r="P1426" s="17" t="str">
        <f ca="1">IF(AND(L1426=-1,L1425&lt;&gt;-1),MAX($P$8:P1425)+1,"")</f>
        <v/>
      </c>
      <c r="Q1426" s="24" t="str">
        <f ca="1">IF(AND(L1426&lt;&gt;-1,L1425=-1),MAX($Q$8:Q1425)+1,"")</f>
        <v/>
      </c>
    </row>
    <row r="1427" spans="1:17" x14ac:dyDescent="0.3">
      <c r="A1427" s="3">
        <v>42282</v>
      </c>
      <c r="B1427" s="9">
        <v>13.616368</v>
      </c>
      <c r="C1427" s="9">
        <v>9.8151949999999992</v>
      </c>
      <c r="E1427" s="14">
        <f t="shared" si="158"/>
        <v>1.3872743231285778</v>
      </c>
      <c r="F1427" s="18">
        <f t="shared" ca="1" si="157"/>
        <v>1.2542885858929622</v>
      </c>
      <c r="G1427" s="15">
        <f t="shared" ca="1" si="155"/>
        <v>1.350453544548492</v>
      </c>
      <c r="H1427" s="15">
        <f t="shared" ca="1" si="156"/>
        <v>2.9355906602524087E-2</v>
      </c>
      <c r="J1427" s="17">
        <f t="shared" ca="1" si="159"/>
        <v>1</v>
      </c>
      <c r="K1427" s="24">
        <f t="shared" ca="1" si="160"/>
        <v>0</v>
      </c>
      <c r="L1427" s="17">
        <f t="shared" ca="1" si="161"/>
        <v>1</v>
      </c>
      <c r="N1427" s="24" t="str">
        <f ca="1">IF(AND(L1427=1,L1426&lt;&gt;1),MAX($N$8:N1426)+1,"")</f>
        <v/>
      </c>
      <c r="O1427" s="24" t="str">
        <f ca="1">IF(AND(L1427&lt;&gt;1,L1426=1),MAX($O$8:O1426)+1,"")</f>
        <v/>
      </c>
      <c r="P1427" s="17" t="str">
        <f ca="1">IF(AND(L1427=-1,L1426&lt;&gt;-1),MAX($P$8:P1426)+1,"")</f>
        <v/>
      </c>
      <c r="Q1427" s="24" t="str">
        <f ca="1">IF(AND(L1427&lt;&gt;-1,L1426=-1),MAX($Q$8:Q1426)+1,"")</f>
        <v/>
      </c>
    </row>
    <row r="1428" spans="1:17" x14ac:dyDescent="0.3">
      <c r="A1428" s="3">
        <v>42283</v>
      </c>
      <c r="B1428" s="9">
        <v>13.740351</v>
      </c>
      <c r="C1428" s="9">
        <v>9.9084509999999995</v>
      </c>
      <c r="E1428" s="14">
        <f t="shared" si="158"/>
        <v>1.386730478860924</v>
      </c>
      <c r="F1428" s="18">
        <f t="shared" ca="1" si="157"/>
        <v>1.1255633453060832</v>
      </c>
      <c r="G1428" s="15">
        <f t="shared" ca="1" si="155"/>
        <v>1.3531134903040061</v>
      </c>
      <c r="H1428" s="15">
        <f t="shared" ca="1" si="156"/>
        <v>2.9866811758849737E-2</v>
      </c>
      <c r="J1428" s="17">
        <f t="shared" ca="1" si="159"/>
        <v>1</v>
      </c>
      <c r="K1428" s="24">
        <f t="shared" ca="1" si="160"/>
        <v>0</v>
      </c>
      <c r="L1428" s="17">
        <f t="shared" ca="1" si="161"/>
        <v>1</v>
      </c>
      <c r="N1428" s="24" t="str">
        <f ca="1">IF(AND(L1428=1,L1427&lt;&gt;1),MAX($N$8:N1427)+1,"")</f>
        <v/>
      </c>
      <c r="O1428" s="24" t="str">
        <f ca="1">IF(AND(L1428&lt;&gt;1,L1427=1),MAX($O$8:O1427)+1,"")</f>
        <v/>
      </c>
      <c r="P1428" s="17" t="str">
        <f ca="1">IF(AND(L1428=-1,L1427&lt;&gt;-1),MAX($P$8:P1427)+1,"")</f>
        <v/>
      </c>
      <c r="Q1428" s="24" t="str">
        <f ca="1">IF(AND(L1428&lt;&gt;-1,L1427=-1),MAX($Q$8:Q1427)+1,"")</f>
        <v/>
      </c>
    </row>
    <row r="1429" spans="1:17" x14ac:dyDescent="0.3">
      <c r="A1429" s="3">
        <v>42284</v>
      </c>
      <c r="B1429" s="9">
        <v>14.131240999999999</v>
      </c>
      <c r="C1429" s="9">
        <v>10.264279999999999</v>
      </c>
      <c r="E1429" s="14">
        <f t="shared" si="158"/>
        <v>1.376739625185595</v>
      </c>
      <c r="F1429" s="18">
        <f t="shared" ca="1" si="157"/>
        <v>0.72167216011910817</v>
      </c>
      <c r="G1429" s="15">
        <f t="shared" ca="1" si="155"/>
        <v>1.3552102399806527</v>
      </c>
      <c r="H1429" s="15">
        <f t="shared" ca="1" si="156"/>
        <v>2.9832639243543752E-2</v>
      </c>
      <c r="J1429" s="17">
        <f t="shared" ca="1" si="159"/>
        <v>1</v>
      </c>
      <c r="K1429" s="24">
        <f t="shared" ca="1" si="160"/>
        <v>0</v>
      </c>
      <c r="L1429" s="17">
        <f t="shared" ca="1" si="161"/>
        <v>1</v>
      </c>
      <c r="N1429" s="24" t="str">
        <f ca="1">IF(AND(L1429=1,L1428&lt;&gt;1),MAX($N$8:N1428)+1,"")</f>
        <v/>
      </c>
      <c r="O1429" s="24" t="str">
        <f ca="1">IF(AND(L1429&lt;&gt;1,L1428=1),MAX($O$8:O1428)+1,"")</f>
        <v/>
      </c>
      <c r="P1429" s="17" t="str">
        <f ca="1">IF(AND(L1429=-1,L1428&lt;&gt;-1),MAX($P$8:P1428)+1,"")</f>
        <v/>
      </c>
      <c r="Q1429" s="24" t="str">
        <f ca="1">IF(AND(L1429&lt;&gt;-1,L1428=-1),MAX($Q$8:Q1428)+1,"")</f>
        <v/>
      </c>
    </row>
    <row r="1430" spans="1:17" x14ac:dyDescent="0.3">
      <c r="A1430" s="3">
        <v>42285</v>
      </c>
      <c r="B1430" s="9">
        <v>14.183704000000001</v>
      </c>
      <c r="C1430" s="9">
        <v>10.27277</v>
      </c>
      <c r="E1430" s="14">
        <f t="shared" si="158"/>
        <v>1.380708805901427</v>
      </c>
      <c r="F1430" s="18">
        <f t="shared" ca="1" si="157"/>
        <v>0.7781569651431739</v>
      </c>
      <c r="G1430" s="15">
        <f t="shared" ca="1" si="155"/>
        <v>1.3582131757610811</v>
      </c>
      <c r="H1430" s="15">
        <f t="shared" ca="1" si="156"/>
        <v>2.8908859199386388E-2</v>
      </c>
      <c r="J1430" s="17">
        <f t="shared" ca="1" si="159"/>
        <v>1</v>
      </c>
      <c r="K1430" s="24">
        <f t="shared" ca="1" si="160"/>
        <v>0</v>
      </c>
      <c r="L1430" s="17">
        <f t="shared" ca="1" si="161"/>
        <v>1</v>
      </c>
      <c r="N1430" s="24" t="str">
        <f ca="1">IF(AND(L1430=1,L1429&lt;&gt;1),MAX($N$8:N1429)+1,"")</f>
        <v/>
      </c>
      <c r="O1430" s="24" t="str">
        <f ca="1">IF(AND(L1430&lt;&gt;1,L1429=1),MAX($O$8:O1429)+1,"")</f>
        <v/>
      </c>
      <c r="P1430" s="17" t="str">
        <f ca="1">IF(AND(L1430=-1,L1429&lt;&gt;-1),MAX($P$8:P1429)+1,"")</f>
        <v/>
      </c>
      <c r="Q1430" s="24" t="str">
        <f ca="1">IF(AND(L1430&lt;&gt;-1,L1429=-1),MAX($Q$8:Q1429)+1,"")</f>
        <v/>
      </c>
    </row>
    <row r="1431" spans="1:17" x14ac:dyDescent="0.3">
      <c r="A1431" s="3">
        <v>42286</v>
      </c>
      <c r="B1431" s="9">
        <v>14.088364</v>
      </c>
      <c r="C1431" s="9">
        <v>10.162615000000001</v>
      </c>
      <c r="E1431" s="14">
        <f t="shared" si="158"/>
        <v>1.3862931932381577</v>
      </c>
      <c r="F1431" s="18">
        <f t="shared" ca="1" si="157"/>
        <v>0.8924913665850025</v>
      </c>
      <c r="G1431" s="15">
        <f t="shared" ca="1" si="155"/>
        <v>1.3615036961102496</v>
      </c>
      <c r="H1431" s="15">
        <f t="shared" ca="1" si="156"/>
        <v>2.7775615603724862E-2</v>
      </c>
      <c r="J1431" s="17">
        <f t="shared" ca="1" si="159"/>
        <v>1</v>
      </c>
      <c r="K1431" s="24">
        <f t="shared" ca="1" si="160"/>
        <v>0</v>
      </c>
      <c r="L1431" s="17">
        <f t="shared" ca="1" si="161"/>
        <v>1</v>
      </c>
      <c r="N1431" s="24" t="str">
        <f ca="1">IF(AND(L1431=1,L1430&lt;&gt;1),MAX($N$8:N1430)+1,"")</f>
        <v/>
      </c>
      <c r="O1431" s="24" t="str">
        <f ca="1">IF(AND(L1431&lt;&gt;1,L1430=1),MAX($O$8:O1430)+1,"")</f>
        <v/>
      </c>
      <c r="P1431" s="17" t="str">
        <f ca="1">IF(AND(L1431=-1,L1430&lt;&gt;-1),MAX($P$8:P1430)+1,"")</f>
        <v/>
      </c>
      <c r="Q1431" s="24" t="str">
        <f ca="1">IF(AND(L1431&lt;&gt;-1,L1430=-1),MAX($Q$8:Q1430)+1,"")</f>
        <v/>
      </c>
    </row>
    <row r="1432" spans="1:17" x14ac:dyDescent="0.3">
      <c r="A1432" s="3">
        <v>42290</v>
      </c>
      <c r="B1432" s="9">
        <v>13.335061</v>
      </c>
      <c r="C1432" s="9">
        <v>9.6076219999999992</v>
      </c>
      <c r="E1432" s="14">
        <f t="shared" si="158"/>
        <v>1.3879668663067719</v>
      </c>
      <c r="F1432" s="18">
        <f t="shared" ca="1" si="157"/>
        <v>0.87745563574098739</v>
      </c>
      <c r="G1432" s="15">
        <f t="shared" ca="1" si="155"/>
        <v>1.3647723739253579</v>
      </c>
      <c r="H1432" s="15">
        <f t="shared" ca="1" si="156"/>
        <v>2.6433806379084802E-2</v>
      </c>
      <c r="J1432" s="17">
        <f t="shared" ca="1" si="159"/>
        <v>1</v>
      </c>
      <c r="K1432" s="24">
        <f t="shared" ca="1" si="160"/>
        <v>0</v>
      </c>
      <c r="L1432" s="17">
        <f t="shared" ca="1" si="161"/>
        <v>1</v>
      </c>
      <c r="N1432" s="24" t="str">
        <f ca="1">IF(AND(L1432=1,L1431&lt;&gt;1),MAX($N$8:N1431)+1,"")</f>
        <v/>
      </c>
      <c r="O1432" s="24" t="str">
        <f ca="1">IF(AND(L1432&lt;&gt;1,L1431=1),MAX($O$8:O1431)+1,"")</f>
        <v/>
      </c>
      <c r="P1432" s="17" t="str">
        <f ca="1">IF(AND(L1432=-1,L1431&lt;&gt;-1),MAX($P$8:P1431)+1,"")</f>
        <v/>
      </c>
      <c r="Q1432" s="24" t="str">
        <f ca="1">IF(AND(L1432&lt;&gt;-1,L1431=-1),MAX($Q$8:Q1431)+1,"")</f>
        <v/>
      </c>
    </row>
    <row r="1433" spans="1:17" x14ac:dyDescent="0.3">
      <c r="A1433" s="3">
        <v>42291</v>
      </c>
      <c r="B1433" s="9">
        <v>13.211080000000001</v>
      </c>
      <c r="C1433" s="9">
        <v>9.5567890000000002</v>
      </c>
      <c r="E1433" s="14">
        <f t="shared" si="158"/>
        <v>1.3823764446405586</v>
      </c>
      <c r="F1433" s="18">
        <f t="shared" ca="1" si="157"/>
        <v>0.59710952021312724</v>
      </c>
      <c r="G1433" s="15">
        <f t="shared" ca="1" si="155"/>
        <v>1.3670050125348767</v>
      </c>
      <c r="H1433" s="15">
        <f t="shared" ca="1" si="156"/>
        <v>2.574306988137683E-2</v>
      </c>
      <c r="J1433" s="17">
        <f t="shared" ca="1" si="159"/>
        <v>1</v>
      </c>
      <c r="K1433" s="24">
        <f t="shared" ca="1" si="160"/>
        <v>0</v>
      </c>
      <c r="L1433" s="17">
        <f t="shared" ca="1" si="161"/>
        <v>1</v>
      </c>
      <c r="N1433" s="24" t="str">
        <f ca="1">IF(AND(L1433=1,L1432&lt;&gt;1),MAX($N$8:N1432)+1,"")</f>
        <v/>
      </c>
      <c r="O1433" s="24" t="str">
        <f ca="1">IF(AND(L1433&lt;&gt;1,L1432=1),MAX($O$8:O1432)+1,"")</f>
        <v/>
      </c>
      <c r="P1433" s="17" t="str">
        <f ca="1">IF(AND(L1433=-1,L1432&lt;&gt;-1),MAX($P$8:P1432)+1,"")</f>
        <v/>
      </c>
      <c r="Q1433" s="24" t="str">
        <f ca="1">IF(AND(L1433&lt;&gt;-1,L1432=-1),MAX($Q$8:Q1432)+1,"")</f>
        <v/>
      </c>
    </row>
    <row r="1434" spans="1:17" x14ac:dyDescent="0.3">
      <c r="A1434" s="3">
        <v>42292</v>
      </c>
      <c r="B1434" s="9">
        <v>12.991835999999999</v>
      </c>
      <c r="C1434" s="9">
        <v>9.5229210000000002</v>
      </c>
      <c r="E1434" s="14">
        <f t="shared" si="158"/>
        <v>1.364270059575208</v>
      </c>
      <c r="F1434" s="18">
        <f t="shared" ca="1" si="157"/>
        <v>-0.18084075550069498</v>
      </c>
      <c r="G1434" s="15">
        <f t="shared" ca="1" si="155"/>
        <v>1.3686639181011033</v>
      </c>
      <c r="H1434" s="15">
        <f t="shared" ca="1" si="156"/>
        <v>2.4296837920910311E-2</v>
      </c>
      <c r="J1434" s="17">
        <f t="shared" ca="1" si="159"/>
        <v>0</v>
      </c>
      <c r="K1434" s="24">
        <f t="shared" ca="1" si="160"/>
        <v>0</v>
      </c>
      <c r="L1434" s="17">
        <f t="shared" ca="1" si="161"/>
        <v>0</v>
      </c>
      <c r="N1434" s="24" t="str">
        <f ca="1">IF(AND(L1434=1,L1433&lt;&gt;1),MAX($N$8:N1433)+1,"")</f>
        <v/>
      </c>
      <c r="O1434" s="24">
        <f ca="1">IF(AND(L1434&lt;&gt;1,L1433=1),MAX($O$8:O1433)+1,"")</f>
        <v>47</v>
      </c>
      <c r="P1434" s="17" t="str">
        <f ca="1">IF(AND(L1434=-1,L1433&lt;&gt;-1),MAX($P$8:P1433)+1,"")</f>
        <v/>
      </c>
      <c r="Q1434" s="24" t="str">
        <f ca="1">IF(AND(L1434&lt;&gt;-1,L1433=-1),MAX($Q$8:Q1433)+1,"")</f>
        <v/>
      </c>
    </row>
    <row r="1435" spans="1:17" x14ac:dyDescent="0.3">
      <c r="A1435" s="3">
        <v>42293</v>
      </c>
      <c r="B1435" s="9">
        <v>12.796355999999999</v>
      </c>
      <c r="C1435" s="9">
        <v>9.340802</v>
      </c>
      <c r="E1435" s="14">
        <f t="shared" si="158"/>
        <v>1.3699418957815399</v>
      </c>
      <c r="F1435" s="18">
        <f t="shared" ca="1" si="157"/>
        <v>-1.373627019559923E-2</v>
      </c>
      <c r="G1435" s="15">
        <f t="shared" ca="1" si="155"/>
        <v>1.3702598640312849</v>
      </c>
      <c r="H1435" s="15">
        <f t="shared" ca="1" si="156"/>
        <v>2.3148077696288918E-2</v>
      </c>
      <c r="J1435" s="17">
        <f t="shared" ca="1" si="159"/>
        <v>0</v>
      </c>
      <c r="K1435" s="24">
        <f t="shared" ca="1" si="160"/>
        <v>0</v>
      </c>
      <c r="L1435" s="17">
        <f t="shared" ca="1" si="161"/>
        <v>0</v>
      </c>
      <c r="N1435" s="24" t="str">
        <f ca="1">IF(AND(L1435=1,L1434&lt;&gt;1),MAX($N$8:N1434)+1,"")</f>
        <v/>
      </c>
      <c r="O1435" s="24" t="str">
        <f ca="1">IF(AND(L1435&lt;&gt;1,L1434=1),MAX($O$8:O1434)+1,"")</f>
        <v/>
      </c>
      <c r="P1435" s="17" t="str">
        <f ca="1">IF(AND(L1435=-1,L1434&lt;&gt;-1),MAX($P$8:P1434)+1,"")</f>
        <v/>
      </c>
      <c r="Q1435" s="24" t="str">
        <f ca="1">IF(AND(L1435&lt;&gt;-1,L1434=-1),MAX($Q$8:Q1434)+1,"")</f>
        <v/>
      </c>
    </row>
    <row r="1436" spans="1:17" x14ac:dyDescent="0.3">
      <c r="A1436" s="3">
        <v>42296</v>
      </c>
      <c r="B1436" s="9">
        <v>13.101416</v>
      </c>
      <c r="C1436" s="9">
        <v>9.3280740000000009</v>
      </c>
      <c r="E1436" s="14">
        <f t="shared" si="158"/>
        <v>1.4045145868268196</v>
      </c>
      <c r="F1436" s="18">
        <f t="shared" ca="1" si="157"/>
        <v>1.503326009453309</v>
      </c>
      <c r="G1436" s="15">
        <f t="shared" ca="1" si="155"/>
        <v>1.3746375224805449</v>
      </c>
      <c r="H1436" s="15">
        <f t="shared" ca="1" si="156"/>
        <v>1.9873975543827388E-2</v>
      </c>
      <c r="J1436" s="17">
        <f t="shared" ca="1" si="159"/>
        <v>1</v>
      </c>
      <c r="K1436" s="24">
        <f t="shared" ca="1" si="160"/>
        <v>0</v>
      </c>
      <c r="L1436" s="17">
        <f t="shared" ca="1" si="161"/>
        <v>1</v>
      </c>
      <c r="N1436" s="24">
        <f ca="1">IF(AND(L1436=1,L1435&lt;&gt;1),MAX($N$8:N1435)+1,"")</f>
        <v>48</v>
      </c>
      <c r="O1436" s="24" t="str">
        <f ca="1">IF(AND(L1436&lt;&gt;1,L1435=1),MAX($O$8:O1435)+1,"")</f>
        <v/>
      </c>
      <c r="P1436" s="17" t="str">
        <f ca="1">IF(AND(L1436=-1,L1435&lt;&gt;-1),MAX($P$8:P1435)+1,"")</f>
        <v/>
      </c>
      <c r="Q1436" s="24" t="str">
        <f ca="1">IF(AND(L1436&lt;&gt;-1,L1435=-1),MAX($Q$8:Q1435)+1,"")</f>
        <v/>
      </c>
    </row>
    <row r="1437" spans="1:17" x14ac:dyDescent="0.3">
      <c r="A1437" s="3">
        <v>42297</v>
      </c>
      <c r="B1437" s="9">
        <v>12.834508</v>
      </c>
      <c r="C1437" s="9">
        <v>9.1077720000000006</v>
      </c>
      <c r="E1437" s="14">
        <f t="shared" si="158"/>
        <v>1.4091819601983886</v>
      </c>
      <c r="F1437" s="18">
        <f t="shared" ca="1" si="157"/>
        <v>1.7282663639584548</v>
      </c>
      <c r="G1437" s="15">
        <f t="shared" ca="1" si="155"/>
        <v>1.3785396588689292</v>
      </c>
      <c r="H1437" s="15">
        <f t="shared" ca="1" si="156"/>
        <v>1.7730080251793897E-2</v>
      </c>
      <c r="J1437" s="17">
        <f t="shared" ca="1" si="159"/>
        <v>1</v>
      </c>
      <c r="K1437" s="24">
        <f t="shared" ca="1" si="160"/>
        <v>0</v>
      </c>
      <c r="L1437" s="17">
        <f t="shared" ca="1" si="161"/>
        <v>1</v>
      </c>
      <c r="N1437" s="24" t="str">
        <f ca="1">IF(AND(L1437=1,L1436&lt;&gt;1),MAX($N$8:N1436)+1,"")</f>
        <v/>
      </c>
      <c r="O1437" s="24" t="str">
        <f ca="1">IF(AND(L1437&lt;&gt;1,L1436=1),MAX($O$8:O1436)+1,"")</f>
        <v/>
      </c>
      <c r="P1437" s="17" t="str">
        <f ca="1">IF(AND(L1437=-1,L1436&lt;&gt;-1),MAX($P$8:P1436)+1,"")</f>
        <v/>
      </c>
      <c r="Q1437" s="24" t="str">
        <f ca="1">IF(AND(L1437&lt;&gt;-1,L1436=-1),MAX($Q$8:Q1436)+1,"")</f>
        <v/>
      </c>
    </row>
    <row r="1438" spans="1:17" x14ac:dyDescent="0.3">
      <c r="A1438" s="3">
        <v>42298</v>
      </c>
      <c r="B1438" s="9">
        <v>12.739084</v>
      </c>
      <c r="C1438" s="9">
        <v>9.1204970000000003</v>
      </c>
      <c r="E1438" s="14">
        <f t="shared" si="158"/>
        <v>1.3967532690378606</v>
      </c>
      <c r="F1438" s="18">
        <f t="shared" ca="1" si="157"/>
        <v>0.96247234158390338</v>
      </c>
      <c r="G1438" s="15">
        <f t="shared" ca="1" si="155"/>
        <v>1.3809231680764773</v>
      </c>
      <c r="H1438" s="15">
        <f t="shared" ca="1" si="156"/>
        <v>1.6447330772469036E-2</v>
      </c>
      <c r="J1438" s="17">
        <f t="shared" ca="1" si="159"/>
        <v>1</v>
      </c>
      <c r="K1438" s="24">
        <f t="shared" ca="1" si="160"/>
        <v>0</v>
      </c>
      <c r="L1438" s="17">
        <f t="shared" ca="1" si="161"/>
        <v>1</v>
      </c>
      <c r="N1438" s="24" t="str">
        <f ca="1">IF(AND(L1438=1,L1437&lt;&gt;1),MAX($N$8:N1437)+1,"")</f>
        <v/>
      </c>
      <c r="O1438" s="24" t="str">
        <f ca="1">IF(AND(L1438&lt;&gt;1,L1437=1),MAX($O$8:O1437)+1,"")</f>
        <v/>
      </c>
      <c r="P1438" s="17" t="str">
        <f ca="1">IF(AND(L1438=-1,L1437&lt;&gt;-1),MAX($P$8:P1437)+1,"")</f>
        <v/>
      </c>
      <c r="Q1438" s="24" t="str">
        <f ca="1">IF(AND(L1438&lt;&gt;-1,L1437=-1),MAX($Q$8:Q1437)+1,"")</f>
        <v/>
      </c>
    </row>
    <row r="1439" spans="1:17" x14ac:dyDescent="0.3">
      <c r="A1439" s="3">
        <v>42299</v>
      </c>
      <c r="B1439" s="9">
        <v>13.006080000000001</v>
      </c>
      <c r="C1439" s="9">
        <v>9.2560280000000006</v>
      </c>
      <c r="E1439" s="14">
        <f t="shared" si="158"/>
        <v>1.4051470025803725</v>
      </c>
      <c r="F1439" s="18">
        <f t="shared" ca="1" si="157"/>
        <v>1.3526406079385902</v>
      </c>
      <c r="G1439" s="15">
        <f t="shared" ref="G1439:G1502" ca="1" si="162">IF(ISNUMBER(E1439),IF(ROW(E1439)&gt;$J$1,AVERAGE(OFFSET(E1439,0,0,-$J$1)),""),"")</f>
        <v>1.3831461888652881</v>
      </c>
      <c r="H1439" s="15">
        <f t="shared" ref="H1439:H1502" ca="1" si="163">IF(ISNUMBER(E1439),IF(ROW(E1439)&gt;$J$1,_xlfn.STDEV.P(OFFSET(E1439,0,0,-$J$1)),""),"")</f>
        <v>1.6265084447385805E-2</v>
      </c>
      <c r="J1439" s="17">
        <f t="shared" ca="1" si="159"/>
        <v>1</v>
      </c>
      <c r="K1439" s="24">
        <f t="shared" ca="1" si="160"/>
        <v>0</v>
      </c>
      <c r="L1439" s="17">
        <f t="shared" ca="1" si="161"/>
        <v>1</v>
      </c>
      <c r="N1439" s="24" t="str">
        <f ca="1">IF(AND(L1439=1,L1438&lt;&gt;1),MAX($N$8:N1438)+1,"")</f>
        <v/>
      </c>
      <c r="O1439" s="24" t="str">
        <f ca="1">IF(AND(L1439&lt;&gt;1,L1438=1),MAX($O$8:O1438)+1,"")</f>
        <v/>
      </c>
      <c r="P1439" s="17" t="str">
        <f ca="1">IF(AND(L1439=-1,L1438&lt;&gt;-1),MAX($P$8:P1438)+1,"")</f>
        <v/>
      </c>
      <c r="Q1439" s="24" t="str">
        <f ca="1">IF(AND(L1439&lt;&gt;-1,L1438=-1),MAX($Q$8:Q1438)+1,"")</f>
        <v/>
      </c>
    </row>
    <row r="1440" spans="1:17" x14ac:dyDescent="0.3">
      <c r="A1440" s="3">
        <v>42300</v>
      </c>
      <c r="B1440" s="9">
        <v>12.920253000000001</v>
      </c>
      <c r="C1440" s="9">
        <v>9.1289820000000006</v>
      </c>
      <c r="E1440" s="14">
        <f t="shared" si="158"/>
        <v>1.4153005231032332</v>
      </c>
      <c r="F1440" s="18">
        <f t="shared" ca="1" si="157"/>
        <v>1.7536692767534532</v>
      </c>
      <c r="G1440" s="15">
        <f t="shared" ca="1" si="162"/>
        <v>1.3854886273801414</v>
      </c>
      <c r="H1440" s="15">
        <f t="shared" ca="1" si="163"/>
        <v>1.699972515814506E-2</v>
      </c>
      <c r="J1440" s="17">
        <f t="shared" ca="1" si="159"/>
        <v>1</v>
      </c>
      <c r="K1440" s="24">
        <f t="shared" ca="1" si="160"/>
        <v>0</v>
      </c>
      <c r="L1440" s="17">
        <f t="shared" ca="1" si="161"/>
        <v>1</v>
      </c>
      <c r="N1440" s="24" t="str">
        <f ca="1">IF(AND(L1440=1,L1439&lt;&gt;1),MAX($N$8:N1439)+1,"")</f>
        <v/>
      </c>
      <c r="O1440" s="24" t="str">
        <f ca="1">IF(AND(L1440&lt;&gt;1,L1439=1),MAX($O$8:O1439)+1,"")</f>
        <v/>
      </c>
      <c r="P1440" s="17" t="str">
        <f ca="1">IF(AND(L1440=-1,L1439&lt;&gt;-1),MAX($P$8:P1439)+1,"")</f>
        <v/>
      </c>
      <c r="Q1440" s="24" t="str">
        <f ca="1">IF(AND(L1440&lt;&gt;-1,L1439=-1),MAX($Q$8:Q1439)+1,"")</f>
        <v/>
      </c>
    </row>
    <row r="1441" spans="1:17" x14ac:dyDescent="0.3">
      <c r="A1441" s="3">
        <v>42303</v>
      </c>
      <c r="B1441" s="9">
        <v>12.729570000000001</v>
      </c>
      <c r="C1441" s="9">
        <v>9.0611809999999995</v>
      </c>
      <c r="E1441" s="14">
        <f t="shared" si="158"/>
        <v>1.404846675063659</v>
      </c>
      <c r="F1441" s="18">
        <f t="shared" ca="1" si="157"/>
        <v>1.0606579023500369</v>
      </c>
      <c r="G1441" s="15">
        <f t="shared" ca="1" si="162"/>
        <v>1.3877238863472667</v>
      </c>
      <c r="H1441" s="15">
        <f t="shared" ca="1" si="163"/>
        <v>1.6143554560291616E-2</v>
      </c>
      <c r="J1441" s="17">
        <f t="shared" ca="1" si="159"/>
        <v>1</v>
      </c>
      <c r="K1441" s="24">
        <f t="shared" ca="1" si="160"/>
        <v>0</v>
      </c>
      <c r="L1441" s="17">
        <f t="shared" ca="1" si="161"/>
        <v>1</v>
      </c>
      <c r="N1441" s="24" t="str">
        <f ca="1">IF(AND(L1441=1,L1440&lt;&gt;1),MAX($N$8:N1440)+1,"")</f>
        <v/>
      </c>
      <c r="O1441" s="24" t="str">
        <f ca="1">IF(AND(L1441&lt;&gt;1,L1440=1),MAX($O$8:O1440)+1,"")</f>
        <v/>
      </c>
      <c r="P1441" s="17" t="str">
        <f ca="1">IF(AND(L1441=-1,L1440&lt;&gt;-1),MAX($P$8:P1440)+1,"")</f>
        <v/>
      </c>
      <c r="Q1441" s="24" t="str">
        <f ca="1">IF(AND(L1441&lt;&gt;-1,L1440=-1),MAX($Q$8:Q1440)+1,"")</f>
        <v/>
      </c>
    </row>
    <row r="1442" spans="1:17" x14ac:dyDescent="0.3">
      <c r="A1442" s="3">
        <v>42304</v>
      </c>
      <c r="B1442" s="9">
        <v>12.658059</v>
      </c>
      <c r="C1442" s="9">
        <v>9.0992850000000001</v>
      </c>
      <c r="E1442" s="14">
        <f t="shared" si="158"/>
        <v>1.391104795596577</v>
      </c>
      <c r="F1442" s="18">
        <f t="shared" ca="1" si="157"/>
        <v>0.12014415181654241</v>
      </c>
      <c r="G1442" s="15">
        <f t="shared" ca="1" si="162"/>
        <v>1.3893645943337587</v>
      </c>
      <c r="H1442" s="15">
        <f t="shared" ca="1" si="163"/>
        <v>1.4484277732265443E-2</v>
      </c>
      <c r="J1442" s="17">
        <f t="shared" ca="1" si="159"/>
        <v>1</v>
      </c>
      <c r="K1442" s="24">
        <f t="shared" ca="1" si="160"/>
        <v>0</v>
      </c>
      <c r="L1442" s="17">
        <f t="shared" ca="1" si="161"/>
        <v>1</v>
      </c>
      <c r="N1442" s="24" t="str">
        <f ca="1">IF(AND(L1442=1,L1441&lt;&gt;1),MAX($N$8:N1441)+1,"")</f>
        <v/>
      </c>
      <c r="O1442" s="24" t="str">
        <f ca="1">IF(AND(L1442&lt;&gt;1,L1441=1),MAX($O$8:O1441)+1,"")</f>
        <v/>
      </c>
      <c r="P1442" s="17" t="str">
        <f ca="1">IF(AND(L1442=-1,L1441&lt;&gt;-1),MAX($P$8:P1441)+1,"")</f>
        <v/>
      </c>
      <c r="Q1442" s="24" t="str">
        <f ca="1">IF(AND(L1442&lt;&gt;-1,L1441=-1),MAX($Q$8:Q1441)+1,"")</f>
        <v/>
      </c>
    </row>
    <row r="1443" spans="1:17" x14ac:dyDescent="0.3">
      <c r="A1443" s="3">
        <v>42305</v>
      </c>
      <c r="B1443" s="9">
        <v>12.743884</v>
      </c>
      <c r="C1443" s="9">
        <v>9.4975430000000003</v>
      </c>
      <c r="E1443" s="14">
        <f t="shared" si="158"/>
        <v>1.3418085077372115</v>
      </c>
      <c r="F1443" s="18">
        <f t="shared" ca="1" si="157"/>
        <v>-2.95960339945331</v>
      </c>
      <c r="G1443" s="15">
        <f t="shared" ca="1" si="162"/>
        <v>1.3888501456635061</v>
      </c>
      <c r="H1443" s="15">
        <f t="shared" ca="1" si="163"/>
        <v>1.5894574906551322E-2</v>
      </c>
      <c r="J1443" s="17">
        <f t="shared" ca="1" si="159"/>
        <v>0</v>
      </c>
      <c r="K1443" s="24">
        <f t="shared" ca="1" si="160"/>
        <v>-1</v>
      </c>
      <c r="L1443" s="17">
        <f t="shared" ca="1" si="161"/>
        <v>-1</v>
      </c>
      <c r="N1443" s="24" t="str">
        <f ca="1">IF(AND(L1443=1,L1442&lt;&gt;1),MAX($N$8:N1442)+1,"")</f>
        <v/>
      </c>
      <c r="O1443" s="24">
        <f ca="1">IF(AND(L1443&lt;&gt;1,L1442=1),MAX($O$8:O1442)+1,"")</f>
        <v>48</v>
      </c>
      <c r="P1443" s="17">
        <f ca="1">IF(AND(L1443=-1,L1442&lt;&gt;-1),MAX($P$8:P1442)+1,"")</f>
        <v>54</v>
      </c>
      <c r="Q1443" s="24" t="str">
        <f ca="1">IF(AND(L1443&lt;&gt;-1,L1442=-1),MAX($Q$8:Q1442)+1,"")</f>
        <v/>
      </c>
    </row>
    <row r="1444" spans="1:17" x14ac:dyDescent="0.3">
      <c r="A1444" s="3">
        <v>42306</v>
      </c>
      <c r="B1444" s="9">
        <v>12.395865000000001</v>
      </c>
      <c r="C1444" s="9">
        <v>8.9129249999999995</v>
      </c>
      <c r="E1444" s="14">
        <f t="shared" si="158"/>
        <v>1.3907740724846223</v>
      </c>
      <c r="F1444" s="18">
        <f t="shared" ca="1" si="157"/>
        <v>0.10921684109186627</v>
      </c>
      <c r="G1444" s="15">
        <f t="shared" ca="1" si="162"/>
        <v>1.3890384294831899</v>
      </c>
      <c r="H1444" s="15">
        <f t="shared" ca="1" si="163"/>
        <v>1.589171582038754E-2</v>
      </c>
      <c r="J1444" s="17">
        <f t="shared" ca="1" si="159"/>
        <v>0</v>
      </c>
      <c r="K1444" s="24">
        <f t="shared" ca="1" si="160"/>
        <v>0</v>
      </c>
      <c r="L1444" s="17">
        <f t="shared" ca="1" si="161"/>
        <v>0</v>
      </c>
      <c r="N1444" s="24" t="str">
        <f ca="1">IF(AND(L1444=1,L1443&lt;&gt;1),MAX($N$8:N1443)+1,"")</f>
        <v/>
      </c>
      <c r="O1444" s="24" t="str">
        <f ca="1">IF(AND(L1444&lt;&gt;1,L1443=1),MAX($O$8:O1443)+1,"")</f>
        <v/>
      </c>
      <c r="P1444" s="17" t="str">
        <f ca="1">IF(AND(L1444=-1,L1443&lt;&gt;-1),MAX($P$8:P1443)+1,"")</f>
        <v/>
      </c>
      <c r="Q1444" s="24">
        <f ca="1">IF(AND(L1444&lt;&gt;-1,L1443=-1),MAX($Q$8:Q1443)+1,"")</f>
        <v>54</v>
      </c>
    </row>
    <row r="1445" spans="1:17" x14ac:dyDescent="0.3">
      <c r="A1445" s="3">
        <v>42307</v>
      </c>
      <c r="B1445" s="9">
        <v>12.619904999999999</v>
      </c>
      <c r="C1445" s="9">
        <v>8.8959550000000007</v>
      </c>
      <c r="E1445" s="14">
        <f t="shared" si="158"/>
        <v>1.4186116049372999</v>
      </c>
      <c r="F1445" s="18">
        <f t="shared" ca="1" si="157"/>
        <v>1.6569005728827888</v>
      </c>
      <c r="G1445" s="15">
        <f t="shared" ca="1" si="162"/>
        <v>1.3903701753763884</v>
      </c>
      <c r="H1445" s="15">
        <f t="shared" ca="1" si="163"/>
        <v>1.7044734019118057E-2</v>
      </c>
      <c r="J1445" s="17">
        <f t="shared" ca="1" si="159"/>
        <v>1</v>
      </c>
      <c r="K1445" s="24">
        <f t="shared" ca="1" si="160"/>
        <v>0</v>
      </c>
      <c r="L1445" s="17">
        <f t="shared" ca="1" si="161"/>
        <v>1</v>
      </c>
      <c r="N1445" s="24">
        <f ca="1">IF(AND(L1445=1,L1444&lt;&gt;1),MAX($N$8:N1444)+1,"")</f>
        <v>49</v>
      </c>
      <c r="O1445" s="24" t="str">
        <f ca="1">IF(AND(L1445&lt;&gt;1,L1444=1),MAX($O$8:O1444)+1,"")</f>
        <v/>
      </c>
      <c r="P1445" s="17" t="str">
        <f ca="1">IF(AND(L1445=-1,L1444&lt;&gt;-1),MAX($P$8:P1444)+1,"")</f>
        <v/>
      </c>
      <c r="Q1445" s="24" t="str">
        <f ca="1">IF(AND(L1445&lt;&gt;-1,L1444=-1),MAX($Q$8:Q1444)+1,"")</f>
        <v/>
      </c>
    </row>
    <row r="1446" spans="1:17" x14ac:dyDescent="0.3">
      <c r="A1446" s="3">
        <v>42311</v>
      </c>
      <c r="B1446" s="9">
        <v>13.438252</v>
      </c>
      <c r="C1446" s="9">
        <v>9.3661790000000007</v>
      </c>
      <c r="E1446" s="14">
        <f t="shared" si="158"/>
        <v>1.4347635252326481</v>
      </c>
      <c r="F1446" s="18">
        <f t="shared" ca="1" si="157"/>
        <v>2.1929189563916376</v>
      </c>
      <c r="G1446" s="15">
        <f t="shared" ca="1" si="162"/>
        <v>1.3922350033613529</v>
      </c>
      <c r="H1446" s="15">
        <f t="shared" ca="1" si="163"/>
        <v>1.9393567531229793E-2</v>
      </c>
      <c r="J1446" s="17">
        <f t="shared" ca="1" si="159"/>
        <v>1</v>
      </c>
      <c r="K1446" s="24">
        <f t="shared" ca="1" si="160"/>
        <v>0</v>
      </c>
      <c r="L1446" s="17">
        <f t="shared" ca="1" si="161"/>
        <v>1</v>
      </c>
      <c r="N1446" s="24" t="str">
        <f ca="1">IF(AND(L1446=1,L1445&lt;&gt;1),MAX($N$8:N1445)+1,"")</f>
        <v/>
      </c>
      <c r="O1446" s="24" t="str">
        <f ca="1">IF(AND(L1446&lt;&gt;1,L1445=1),MAX($O$8:O1445)+1,"")</f>
        <v/>
      </c>
      <c r="P1446" s="17" t="str">
        <f ca="1">IF(AND(L1446=-1,L1445&lt;&gt;-1),MAX($P$8:P1445)+1,"")</f>
        <v/>
      </c>
      <c r="Q1446" s="24" t="str">
        <f ca="1">IF(AND(L1446&lt;&gt;-1,L1445=-1),MAX($Q$8:Q1445)+1,"")</f>
        <v/>
      </c>
    </row>
    <row r="1447" spans="1:17" x14ac:dyDescent="0.3">
      <c r="A1447" s="3">
        <v>42312</v>
      </c>
      <c r="B1447" s="9">
        <v>13.471629999999999</v>
      </c>
      <c r="C1447" s="9">
        <v>9.1851830000000003</v>
      </c>
      <c r="E1447" s="14">
        <f t="shared" si="158"/>
        <v>1.4666697440867535</v>
      </c>
      <c r="F1447" s="18">
        <f t="shared" ca="1" si="157"/>
        <v>2.8666066530205216</v>
      </c>
      <c r="G1447" s="15">
        <f t="shared" ca="1" si="162"/>
        <v>1.3954645929005767</v>
      </c>
      <c r="H1447" s="15">
        <f t="shared" ca="1" si="163"/>
        <v>2.4839526243040196E-2</v>
      </c>
      <c r="J1447" s="17">
        <f t="shared" ca="1" si="159"/>
        <v>1</v>
      </c>
      <c r="K1447" s="24">
        <f t="shared" ca="1" si="160"/>
        <v>0</v>
      </c>
      <c r="L1447" s="17">
        <f t="shared" ca="1" si="161"/>
        <v>1</v>
      </c>
      <c r="N1447" s="24" t="str">
        <f ca="1">IF(AND(L1447=1,L1446&lt;&gt;1),MAX($N$8:N1446)+1,"")</f>
        <v/>
      </c>
      <c r="O1447" s="24" t="str">
        <f ca="1">IF(AND(L1447&lt;&gt;1,L1446=1),MAX($O$8:O1446)+1,"")</f>
        <v/>
      </c>
      <c r="P1447" s="17" t="str">
        <f ca="1">IF(AND(L1447=-1,L1446&lt;&gt;-1),MAX($P$8:P1446)+1,"")</f>
        <v/>
      </c>
      <c r="Q1447" s="24" t="str">
        <f ca="1">IF(AND(L1447&lt;&gt;-1,L1446=-1),MAX($Q$8:Q1446)+1,"")</f>
        <v/>
      </c>
    </row>
    <row r="1448" spans="1:17" x14ac:dyDescent="0.3">
      <c r="A1448" s="3">
        <v>42313</v>
      </c>
      <c r="B1448" s="9">
        <v>13.633917</v>
      </c>
      <c r="C1448" s="9">
        <v>9.4354840000000006</v>
      </c>
      <c r="E1448" s="14">
        <f t="shared" si="158"/>
        <v>1.4449621238295778</v>
      </c>
      <c r="F1448" s="18">
        <f t="shared" ca="1" si="157"/>
        <v>1.7615950352982161</v>
      </c>
      <c r="G1448" s="15">
        <f t="shared" ca="1" si="162"/>
        <v>1.3975790946969899</v>
      </c>
      <c r="H1448" s="15">
        <f t="shared" ca="1" si="163"/>
        <v>2.6897798973738871E-2</v>
      </c>
      <c r="J1448" s="17">
        <f t="shared" ca="1" si="159"/>
        <v>1</v>
      </c>
      <c r="K1448" s="24">
        <f t="shared" ca="1" si="160"/>
        <v>0</v>
      </c>
      <c r="L1448" s="17">
        <f t="shared" ca="1" si="161"/>
        <v>1</v>
      </c>
      <c r="N1448" s="24" t="str">
        <f ca="1">IF(AND(L1448=1,L1447&lt;&gt;1),MAX($N$8:N1447)+1,"")</f>
        <v/>
      </c>
      <c r="O1448" s="24" t="str">
        <f ca="1">IF(AND(L1448&lt;&gt;1,L1447=1),MAX($O$8:O1447)+1,"")</f>
        <v/>
      </c>
      <c r="P1448" s="17" t="str">
        <f ca="1">IF(AND(L1448=-1,L1447&lt;&gt;-1),MAX($P$8:P1447)+1,"")</f>
        <v/>
      </c>
      <c r="Q1448" s="24" t="str">
        <f ca="1">IF(AND(L1448&lt;&gt;-1,L1447=-1),MAX($Q$8:Q1447)+1,"")</f>
        <v/>
      </c>
    </row>
    <row r="1449" spans="1:17" x14ac:dyDescent="0.3">
      <c r="A1449" s="3">
        <v>42314</v>
      </c>
      <c r="B1449" s="9">
        <v>13.428635999999999</v>
      </c>
      <c r="C1449" s="9">
        <v>9.2997479999999992</v>
      </c>
      <c r="E1449" s="14">
        <f t="shared" si="158"/>
        <v>1.4439784819975767</v>
      </c>
      <c r="F1449" s="18">
        <f t="shared" ca="1" si="157"/>
        <v>1.5398588461756153</v>
      </c>
      <c r="G1449" s="15">
        <f t="shared" ca="1" si="162"/>
        <v>1.4001565564637628</v>
      </c>
      <c r="H1449" s="15">
        <f t="shared" ca="1" si="163"/>
        <v>2.8458404250915469E-2</v>
      </c>
      <c r="J1449" s="17">
        <f t="shared" ca="1" si="159"/>
        <v>1</v>
      </c>
      <c r="K1449" s="24">
        <f t="shared" ca="1" si="160"/>
        <v>0</v>
      </c>
      <c r="L1449" s="17">
        <f t="shared" ca="1" si="161"/>
        <v>1</v>
      </c>
      <c r="N1449" s="24" t="str">
        <f ca="1">IF(AND(L1449=1,L1448&lt;&gt;1),MAX($N$8:N1448)+1,"")</f>
        <v/>
      </c>
      <c r="O1449" s="24" t="str">
        <f ca="1">IF(AND(L1449&lt;&gt;1,L1448=1),MAX($O$8:O1448)+1,"")</f>
        <v/>
      </c>
      <c r="P1449" s="17" t="str">
        <f ca="1">IF(AND(L1449=-1,L1448&lt;&gt;-1),MAX($P$8:P1448)+1,"")</f>
        <v/>
      </c>
      <c r="Q1449" s="24" t="str">
        <f ca="1">IF(AND(L1449&lt;&gt;-1,L1448=-1),MAX($Q$8:Q1448)+1,"")</f>
        <v/>
      </c>
    </row>
    <row r="1450" spans="1:17" x14ac:dyDescent="0.3">
      <c r="A1450" s="3">
        <v>42317</v>
      </c>
      <c r="B1450" s="9">
        <v>13.085103</v>
      </c>
      <c r="C1450" s="9">
        <v>9.0918620000000008</v>
      </c>
      <c r="E1450" s="14">
        <f t="shared" si="158"/>
        <v>1.4392104719583292</v>
      </c>
      <c r="F1450" s="18">
        <f t="shared" ca="1" si="157"/>
        <v>1.2465313549386179</v>
      </c>
      <c r="G1450" s="15">
        <f t="shared" ca="1" si="162"/>
        <v>1.4025420106954629</v>
      </c>
      <c r="H1450" s="15">
        <f t="shared" ca="1" si="163"/>
        <v>2.941639704255326E-2</v>
      </c>
      <c r="J1450" s="17">
        <f t="shared" ca="1" si="159"/>
        <v>1</v>
      </c>
      <c r="K1450" s="24">
        <f t="shared" ca="1" si="160"/>
        <v>0</v>
      </c>
      <c r="L1450" s="17">
        <f t="shared" ca="1" si="161"/>
        <v>1</v>
      </c>
      <c r="N1450" s="24" t="str">
        <f ca="1">IF(AND(L1450=1,L1449&lt;&gt;1),MAX($N$8:N1449)+1,"")</f>
        <v/>
      </c>
      <c r="O1450" s="24" t="str">
        <f ca="1">IF(AND(L1450&lt;&gt;1,L1449=1),MAX($O$8:O1449)+1,"")</f>
        <v/>
      </c>
      <c r="P1450" s="17" t="str">
        <f ca="1">IF(AND(L1450=-1,L1449&lt;&gt;-1),MAX($P$8:P1449)+1,"")</f>
        <v/>
      </c>
      <c r="Q1450" s="24" t="str">
        <f ca="1">IF(AND(L1450&lt;&gt;-1,L1449=-1),MAX($Q$8:Q1449)+1,"")</f>
        <v/>
      </c>
    </row>
    <row r="1451" spans="1:17" x14ac:dyDescent="0.3">
      <c r="A1451" s="3">
        <v>42318</v>
      </c>
      <c r="B1451" s="9">
        <v>13.166200999999999</v>
      </c>
      <c r="C1451" s="9">
        <v>9.0451999999999995</v>
      </c>
      <c r="E1451" s="14">
        <f t="shared" si="158"/>
        <v>1.4556008711802946</v>
      </c>
      <c r="F1451" s="18">
        <f t="shared" ca="1" si="157"/>
        <v>1.6050059870693794</v>
      </c>
      <c r="G1451" s="15">
        <f t="shared" ca="1" si="162"/>
        <v>1.4061266127861312</v>
      </c>
      <c r="H1451" s="15">
        <f t="shared" ca="1" si="163"/>
        <v>3.0824968126442757E-2</v>
      </c>
      <c r="J1451" s="17">
        <f t="shared" ca="1" si="159"/>
        <v>1</v>
      </c>
      <c r="K1451" s="24">
        <f t="shared" ca="1" si="160"/>
        <v>0</v>
      </c>
      <c r="L1451" s="17">
        <f t="shared" ca="1" si="161"/>
        <v>1</v>
      </c>
      <c r="N1451" s="24" t="str">
        <f ca="1">IF(AND(L1451=1,L1450&lt;&gt;1),MAX($N$8:N1450)+1,"")</f>
        <v/>
      </c>
      <c r="O1451" s="24" t="str">
        <f ca="1">IF(AND(L1451&lt;&gt;1,L1450=1),MAX($O$8:O1450)+1,"")</f>
        <v/>
      </c>
      <c r="P1451" s="17" t="str">
        <f ca="1">IF(AND(L1451=-1,L1450&lt;&gt;-1),MAX($P$8:P1450)+1,"")</f>
        <v/>
      </c>
      <c r="Q1451" s="24" t="str">
        <f ca="1">IF(AND(L1451&lt;&gt;-1,L1450=-1),MAX($Q$8:Q1450)+1,"")</f>
        <v/>
      </c>
    </row>
    <row r="1452" spans="1:17" x14ac:dyDescent="0.3">
      <c r="A1452" s="3">
        <v>42319</v>
      </c>
      <c r="B1452" s="9">
        <v>13.524155</v>
      </c>
      <c r="C1452" s="9">
        <v>9.2657629999999997</v>
      </c>
      <c r="E1452" s="14">
        <f t="shared" si="158"/>
        <v>1.4595835226953249</v>
      </c>
      <c r="F1452" s="18">
        <f t="shared" ca="1" si="157"/>
        <v>1.548055795914189</v>
      </c>
      <c r="G1452" s="15">
        <f t="shared" ca="1" si="162"/>
        <v>1.409711827185854</v>
      </c>
      <c r="H1452" s="15">
        <f t="shared" ca="1" si="163"/>
        <v>3.2215696385813841E-2</v>
      </c>
      <c r="J1452" s="17">
        <f t="shared" ca="1" si="159"/>
        <v>1</v>
      </c>
      <c r="K1452" s="24">
        <f t="shared" ca="1" si="160"/>
        <v>0</v>
      </c>
      <c r="L1452" s="17">
        <f t="shared" ca="1" si="161"/>
        <v>1</v>
      </c>
      <c r="N1452" s="24" t="str">
        <f ca="1">IF(AND(L1452=1,L1451&lt;&gt;1),MAX($N$8:N1451)+1,"")</f>
        <v/>
      </c>
      <c r="O1452" s="24" t="str">
        <f ca="1">IF(AND(L1452&lt;&gt;1,L1451=1),MAX($O$8:O1451)+1,"")</f>
        <v/>
      </c>
      <c r="P1452" s="17" t="str">
        <f ca="1">IF(AND(L1452=-1,L1451&lt;&gt;-1),MAX($P$8:P1451)+1,"")</f>
        <v/>
      </c>
      <c r="Q1452" s="24" t="str">
        <f ca="1">IF(AND(L1452&lt;&gt;-1,L1451=-1),MAX($Q$8:Q1451)+1,"")</f>
        <v/>
      </c>
    </row>
    <row r="1453" spans="1:17" x14ac:dyDescent="0.3">
      <c r="A1453" s="3">
        <v>42320</v>
      </c>
      <c r="B1453" s="9">
        <v>13.562263</v>
      </c>
      <c r="C1453" s="9">
        <v>9.2615079999999992</v>
      </c>
      <c r="E1453" s="14">
        <f t="shared" si="158"/>
        <v>1.4643687615450962</v>
      </c>
      <c r="F1453" s="18">
        <f t="shared" ca="1" si="157"/>
        <v>1.5162736736392464</v>
      </c>
      <c r="G1453" s="15">
        <f t="shared" ca="1" si="162"/>
        <v>1.4132607166543509</v>
      </c>
      <c r="H1453" s="15">
        <f t="shared" ca="1" si="163"/>
        <v>3.3706345878893734E-2</v>
      </c>
      <c r="J1453" s="17">
        <f t="shared" ca="1" si="159"/>
        <v>1</v>
      </c>
      <c r="K1453" s="24">
        <f t="shared" ca="1" si="160"/>
        <v>0</v>
      </c>
      <c r="L1453" s="17">
        <f t="shared" ca="1" si="161"/>
        <v>1</v>
      </c>
      <c r="N1453" s="24" t="str">
        <f ca="1">IF(AND(L1453=1,L1452&lt;&gt;1),MAX($N$8:N1452)+1,"")</f>
        <v/>
      </c>
      <c r="O1453" s="24" t="str">
        <f ca="1">IF(AND(L1453&lt;&gt;1,L1452=1),MAX($O$8:O1452)+1,"")</f>
        <v/>
      </c>
      <c r="P1453" s="17" t="str">
        <f ca="1">IF(AND(L1453=-1,L1452&lt;&gt;-1),MAX($P$8:P1452)+1,"")</f>
        <v/>
      </c>
      <c r="Q1453" s="24" t="str">
        <f ca="1">IF(AND(L1453&lt;&gt;-1,L1452=-1),MAX($Q$8:Q1452)+1,"")</f>
        <v/>
      </c>
    </row>
    <row r="1454" spans="1:17" x14ac:dyDescent="0.3">
      <c r="A1454" s="3">
        <v>42321</v>
      </c>
      <c r="B1454" s="9">
        <v>13.185333</v>
      </c>
      <c r="C1454" s="9">
        <v>9.1257739999999998</v>
      </c>
      <c r="E1454" s="14">
        <f t="shared" si="158"/>
        <v>1.4448454454383814</v>
      </c>
      <c r="F1454" s="18">
        <f t="shared" ca="1" si="157"/>
        <v>0.8567478840352315</v>
      </c>
      <c r="G1454" s="15">
        <f t="shared" ca="1" si="162"/>
        <v>1.4158461066148786</v>
      </c>
      <c r="H1454" s="15">
        <f t="shared" ca="1" si="163"/>
        <v>3.3848159258844795E-2</v>
      </c>
      <c r="J1454" s="17">
        <f t="shared" ca="1" si="159"/>
        <v>1</v>
      </c>
      <c r="K1454" s="24">
        <f t="shared" ca="1" si="160"/>
        <v>0</v>
      </c>
      <c r="L1454" s="17">
        <f t="shared" ca="1" si="161"/>
        <v>1</v>
      </c>
      <c r="N1454" s="24" t="str">
        <f ca="1">IF(AND(L1454=1,L1453&lt;&gt;1),MAX($N$8:N1453)+1,"")</f>
        <v/>
      </c>
      <c r="O1454" s="24" t="str">
        <f ca="1">IF(AND(L1454&lt;&gt;1,L1453=1),MAX($O$8:O1453)+1,"")</f>
        <v/>
      </c>
      <c r="P1454" s="17" t="str">
        <f ca="1">IF(AND(L1454=-1,L1453&lt;&gt;-1),MAX($P$8:P1453)+1,"")</f>
        <v/>
      </c>
      <c r="Q1454" s="24" t="str">
        <f ca="1">IF(AND(L1454&lt;&gt;-1,L1453=-1),MAX($Q$8:Q1453)+1,"")</f>
        <v/>
      </c>
    </row>
    <row r="1455" spans="1:17" x14ac:dyDescent="0.3">
      <c r="A1455" s="3">
        <v>42324</v>
      </c>
      <c r="B1455" s="9">
        <v>13.557537999999999</v>
      </c>
      <c r="C1455" s="9">
        <v>9.2021759999999997</v>
      </c>
      <c r="E1455" s="14">
        <f t="shared" si="158"/>
        <v>1.4732969680214767</v>
      </c>
      <c r="F1455" s="18">
        <f t="shared" ca="1" si="157"/>
        <v>1.5216820572805259</v>
      </c>
      <c r="G1455" s="15">
        <f t="shared" ca="1" si="162"/>
        <v>1.4199788576776478</v>
      </c>
      <c r="H1455" s="15">
        <f t="shared" ca="1" si="163"/>
        <v>3.5038929511409501E-2</v>
      </c>
      <c r="J1455" s="17">
        <f t="shared" ca="1" si="159"/>
        <v>1</v>
      </c>
      <c r="K1455" s="24">
        <f t="shared" ca="1" si="160"/>
        <v>0</v>
      </c>
      <c r="L1455" s="17">
        <f t="shared" ca="1" si="161"/>
        <v>1</v>
      </c>
      <c r="N1455" s="24" t="str">
        <f ca="1">IF(AND(L1455=1,L1454&lt;&gt;1),MAX($N$8:N1454)+1,"")</f>
        <v/>
      </c>
      <c r="O1455" s="24" t="str">
        <f ca="1">IF(AND(L1455&lt;&gt;1,L1454=1),MAX($O$8:O1454)+1,"")</f>
        <v/>
      </c>
      <c r="P1455" s="17" t="str">
        <f ca="1">IF(AND(L1455=-1,L1454&lt;&gt;-1),MAX($P$8:P1454)+1,"")</f>
        <v/>
      </c>
      <c r="Q1455" s="24" t="str">
        <f ca="1">IF(AND(L1455&lt;&gt;-1,L1454=-1),MAX($Q$8:Q1454)+1,"")</f>
        <v/>
      </c>
    </row>
    <row r="1456" spans="1:17" x14ac:dyDescent="0.3">
      <c r="A1456" s="3">
        <v>42325</v>
      </c>
      <c r="B1456" s="9">
        <v>13.652965999999999</v>
      </c>
      <c r="C1456" s="9">
        <v>9.5458020000000001</v>
      </c>
      <c r="E1456" s="14">
        <f t="shared" si="158"/>
        <v>1.4302586623942126</v>
      </c>
      <c r="F1456" s="18">
        <f t="shared" ca="1" si="157"/>
        <v>0.22128065740607536</v>
      </c>
      <c r="G1456" s="15">
        <f t="shared" ca="1" si="162"/>
        <v>1.4229783396239661</v>
      </c>
      <c r="H1456" s="15">
        <f t="shared" ca="1" si="163"/>
        <v>3.2900854758788324E-2</v>
      </c>
      <c r="J1456" s="17">
        <f t="shared" ca="1" si="159"/>
        <v>1</v>
      </c>
      <c r="K1456" s="24">
        <f t="shared" ca="1" si="160"/>
        <v>0</v>
      </c>
      <c r="L1456" s="17">
        <f t="shared" ca="1" si="161"/>
        <v>1</v>
      </c>
      <c r="N1456" s="24" t="str">
        <f ca="1">IF(AND(L1456=1,L1455&lt;&gt;1),MAX($N$8:N1455)+1,"")</f>
        <v/>
      </c>
      <c r="O1456" s="24" t="str">
        <f ca="1">IF(AND(L1456&lt;&gt;1,L1455=1),MAX($O$8:O1455)+1,"")</f>
        <v/>
      </c>
      <c r="P1456" s="17" t="str">
        <f ca="1">IF(AND(L1456=-1,L1455&lt;&gt;-1),MAX($P$8:P1455)+1,"")</f>
        <v/>
      </c>
      <c r="Q1456" s="24" t="str">
        <f ca="1">IF(AND(L1456&lt;&gt;-1,L1455=-1),MAX($Q$8:Q1455)+1,"")</f>
        <v/>
      </c>
    </row>
    <row r="1457" spans="1:17" x14ac:dyDescent="0.3">
      <c r="A1457" s="3">
        <v>42326</v>
      </c>
      <c r="B1457" s="9">
        <v>13.619584</v>
      </c>
      <c r="C1457" s="9">
        <v>9.6221289999999993</v>
      </c>
      <c r="E1457" s="14">
        <f t="shared" si="158"/>
        <v>1.4154439209867173</v>
      </c>
      <c r="F1457" s="18">
        <f t="shared" ca="1" si="157"/>
        <v>-0.31107619022604577</v>
      </c>
      <c r="G1457" s="15">
        <f t="shared" ca="1" si="162"/>
        <v>1.4250466134969288</v>
      </c>
      <c r="H1457" s="15">
        <f t="shared" ca="1" si="163"/>
        <v>3.086926229626781E-2</v>
      </c>
      <c r="J1457" s="17">
        <f t="shared" ca="1" si="159"/>
        <v>0</v>
      </c>
      <c r="K1457" s="24">
        <f t="shared" ca="1" si="160"/>
        <v>0</v>
      </c>
      <c r="L1457" s="17">
        <f t="shared" ca="1" si="161"/>
        <v>0</v>
      </c>
      <c r="N1457" s="24" t="str">
        <f ca="1">IF(AND(L1457=1,L1456&lt;&gt;1),MAX($N$8:N1456)+1,"")</f>
        <v/>
      </c>
      <c r="O1457" s="24">
        <f ca="1">IF(AND(L1457&lt;&gt;1,L1456=1),MAX($O$8:O1456)+1,"")</f>
        <v>49</v>
      </c>
      <c r="P1457" s="17" t="str">
        <f ca="1">IF(AND(L1457=-1,L1456&lt;&gt;-1),MAX($P$8:P1456)+1,"")</f>
        <v/>
      </c>
      <c r="Q1457" s="24" t="str">
        <f ca="1">IF(AND(L1457&lt;&gt;-1,L1456=-1),MAX($Q$8:Q1456)+1,"")</f>
        <v/>
      </c>
    </row>
    <row r="1458" spans="1:17" x14ac:dyDescent="0.3">
      <c r="A1458" s="3">
        <v>42327</v>
      </c>
      <c r="B1458" s="9">
        <v>13.991784000000001</v>
      </c>
      <c r="C1458" s="9">
        <v>9.9276630000000008</v>
      </c>
      <c r="E1458" s="14">
        <f t="shared" si="158"/>
        <v>1.4093733842496468</v>
      </c>
      <c r="F1458" s="18">
        <f t="shared" ca="1" si="157"/>
        <v>-0.51707110875537654</v>
      </c>
      <c r="G1458" s="15">
        <f t="shared" ca="1" si="162"/>
        <v>1.4252674679252391</v>
      </c>
      <c r="H1458" s="15">
        <f t="shared" ca="1" si="163"/>
        <v>3.0738680631084554E-2</v>
      </c>
      <c r="J1458" s="17">
        <f t="shared" ca="1" si="159"/>
        <v>0</v>
      </c>
      <c r="K1458" s="24">
        <f t="shared" ca="1" si="160"/>
        <v>0</v>
      </c>
      <c r="L1458" s="17">
        <f t="shared" ca="1" si="161"/>
        <v>0</v>
      </c>
      <c r="N1458" s="24" t="str">
        <f ca="1">IF(AND(L1458=1,L1457&lt;&gt;1),MAX($N$8:N1457)+1,"")</f>
        <v/>
      </c>
      <c r="O1458" s="24" t="str">
        <f ca="1">IF(AND(L1458&lt;&gt;1,L1457=1),MAX($O$8:O1457)+1,"")</f>
        <v/>
      </c>
      <c r="P1458" s="17" t="str">
        <f ca="1">IF(AND(L1458=-1,L1457&lt;&gt;-1),MAX($P$8:P1457)+1,"")</f>
        <v/>
      </c>
      <c r="Q1458" s="24" t="str">
        <f ca="1">IF(AND(L1458&lt;&gt;-1,L1457=-1),MAX($Q$8:Q1457)+1,"")</f>
        <v/>
      </c>
    </row>
    <row r="1459" spans="1:17" x14ac:dyDescent="0.3">
      <c r="A1459" s="3">
        <v>42331</v>
      </c>
      <c r="B1459" s="9">
        <v>13.986985000000001</v>
      </c>
      <c r="C1459" s="9">
        <v>9.8300169999999998</v>
      </c>
      <c r="E1459" s="14">
        <f t="shared" si="158"/>
        <v>1.4228851282759736</v>
      </c>
      <c r="F1459" s="18">
        <f t="shared" ca="1" si="157"/>
        <v>-9.8387484386554924E-2</v>
      </c>
      <c r="G1459" s="15">
        <f t="shared" ca="1" si="162"/>
        <v>1.425890339201493</v>
      </c>
      <c r="H1459" s="15">
        <f t="shared" ca="1" si="163"/>
        <v>3.0544646448243718E-2</v>
      </c>
      <c r="J1459" s="17">
        <f t="shared" ca="1" si="159"/>
        <v>0</v>
      </c>
      <c r="K1459" s="24">
        <f t="shared" ca="1" si="160"/>
        <v>0</v>
      </c>
      <c r="L1459" s="17">
        <f t="shared" ca="1" si="161"/>
        <v>0</v>
      </c>
      <c r="N1459" s="24" t="str">
        <f ca="1">IF(AND(L1459=1,L1458&lt;&gt;1),MAX($N$8:N1458)+1,"")</f>
        <v/>
      </c>
      <c r="O1459" s="24" t="str">
        <f ca="1">IF(AND(L1459&lt;&gt;1,L1458=1),MAX($O$8:O1458)+1,"")</f>
        <v/>
      </c>
      <c r="P1459" s="17" t="str">
        <f ca="1">IF(AND(L1459=-1,L1458&lt;&gt;-1),MAX($P$8:P1458)+1,"")</f>
        <v/>
      </c>
      <c r="Q1459" s="24" t="str">
        <f ca="1">IF(AND(L1459&lt;&gt;-1,L1458=-1),MAX($Q$8:Q1458)+1,"")</f>
        <v/>
      </c>
    </row>
    <row r="1460" spans="1:17" x14ac:dyDescent="0.3">
      <c r="A1460" s="3">
        <v>42332</v>
      </c>
      <c r="B1460" s="9">
        <v>14.006114999999999</v>
      </c>
      <c r="C1460" s="9">
        <v>9.7621859999999998</v>
      </c>
      <c r="E1460" s="14">
        <f t="shared" si="158"/>
        <v>1.4347314218352323</v>
      </c>
      <c r="F1460" s="18">
        <f t="shared" ca="1" si="157"/>
        <v>0.23782710393233894</v>
      </c>
      <c r="G1460" s="15">
        <f t="shared" ca="1" si="162"/>
        <v>1.4276166188741009</v>
      </c>
      <c r="H1460" s="15">
        <f t="shared" ca="1" si="163"/>
        <v>2.9915862588797141E-2</v>
      </c>
      <c r="J1460" s="17">
        <f t="shared" ca="1" si="159"/>
        <v>0</v>
      </c>
      <c r="K1460" s="24">
        <f t="shared" ca="1" si="160"/>
        <v>0</v>
      </c>
      <c r="L1460" s="17">
        <f t="shared" ca="1" si="161"/>
        <v>0</v>
      </c>
      <c r="N1460" s="24" t="str">
        <f ca="1">IF(AND(L1460=1,L1459&lt;&gt;1),MAX($N$8:N1459)+1,"")</f>
        <v/>
      </c>
      <c r="O1460" s="24" t="str">
        <f ca="1">IF(AND(L1460&lt;&gt;1,L1459=1),MAX($O$8:O1459)+1,"")</f>
        <v/>
      </c>
      <c r="P1460" s="17" t="str">
        <f ca="1">IF(AND(L1460=-1,L1459&lt;&gt;-1),MAX($P$8:P1459)+1,"")</f>
        <v/>
      </c>
      <c r="Q1460" s="24" t="str">
        <f ca="1">IF(AND(L1460&lt;&gt;-1,L1459=-1),MAX($Q$8:Q1459)+1,"")</f>
        <v/>
      </c>
    </row>
    <row r="1461" spans="1:17" x14ac:dyDescent="0.3">
      <c r="A1461" s="3">
        <v>42333</v>
      </c>
      <c r="B1461" s="9">
        <v>13.318955000000001</v>
      </c>
      <c r="C1461" s="9">
        <v>9.2869989999999998</v>
      </c>
      <c r="E1461" s="14">
        <f t="shared" si="158"/>
        <v>1.4341505797513276</v>
      </c>
      <c r="F1461" s="18">
        <f t="shared" ca="1" si="157"/>
        <v>0.17660158158547321</v>
      </c>
      <c r="G1461" s="15">
        <f t="shared" ca="1" si="162"/>
        <v>1.4289349632909625</v>
      </c>
      <c r="H1461" s="15">
        <f t="shared" ca="1" si="163"/>
        <v>2.9533237548276817E-2</v>
      </c>
      <c r="J1461" s="17">
        <f t="shared" ca="1" si="159"/>
        <v>0</v>
      </c>
      <c r="K1461" s="24">
        <f t="shared" ca="1" si="160"/>
        <v>0</v>
      </c>
      <c r="L1461" s="17">
        <f t="shared" ca="1" si="161"/>
        <v>0</v>
      </c>
      <c r="N1461" s="24" t="str">
        <f ca="1">IF(AND(L1461=1,L1460&lt;&gt;1),MAX($N$8:N1460)+1,"")</f>
        <v/>
      </c>
      <c r="O1461" s="24" t="str">
        <f ca="1">IF(AND(L1461&lt;&gt;1,L1460=1),MAX($O$8:O1460)+1,"")</f>
        <v/>
      </c>
      <c r="P1461" s="17" t="str">
        <f ca="1">IF(AND(L1461=-1,L1460&lt;&gt;-1),MAX($P$8:P1460)+1,"")</f>
        <v/>
      </c>
      <c r="Q1461" s="24" t="str">
        <f ca="1">IF(AND(L1461&lt;&gt;-1,L1460=-1),MAX($Q$8:Q1460)+1,"")</f>
        <v/>
      </c>
    </row>
    <row r="1462" spans="1:17" x14ac:dyDescent="0.3">
      <c r="A1462" s="3">
        <v>42334</v>
      </c>
      <c r="B1462" s="9">
        <v>13.514544000000001</v>
      </c>
      <c r="C1462" s="9">
        <v>9.4906400000000009</v>
      </c>
      <c r="E1462" s="14">
        <f t="shared" si="158"/>
        <v>1.4239865804624345</v>
      </c>
      <c r="F1462" s="18">
        <f t="shared" ca="1" si="157"/>
        <v>-0.18170385250122403</v>
      </c>
      <c r="G1462" s="15">
        <f t="shared" ca="1" si="162"/>
        <v>1.429329784080017</v>
      </c>
      <c r="H1462" s="15">
        <f t="shared" ca="1" si="163"/>
        <v>2.9406110789788862E-2</v>
      </c>
      <c r="J1462" s="17">
        <f t="shared" ca="1" si="159"/>
        <v>0</v>
      </c>
      <c r="K1462" s="24">
        <f t="shared" ca="1" si="160"/>
        <v>0</v>
      </c>
      <c r="L1462" s="17">
        <f t="shared" ca="1" si="161"/>
        <v>0</v>
      </c>
      <c r="N1462" s="24" t="str">
        <f ca="1">IF(AND(L1462=1,L1461&lt;&gt;1),MAX($N$8:N1461)+1,"")</f>
        <v/>
      </c>
      <c r="O1462" s="24" t="str">
        <f ca="1">IF(AND(L1462&lt;&gt;1,L1461=1),MAX($O$8:O1461)+1,"")</f>
        <v/>
      </c>
      <c r="P1462" s="17" t="str">
        <f ca="1">IF(AND(L1462=-1,L1461&lt;&gt;-1),MAX($P$8:P1461)+1,"")</f>
        <v/>
      </c>
      <c r="Q1462" s="24" t="str">
        <f ca="1">IF(AND(L1462&lt;&gt;-1,L1461=-1),MAX($Q$8:Q1461)+1,"")</f>
        <v/>
      </c>
    </row>
    <row r="1463" spans="1:17" x14ac:dyDescent="0.3">
      <c r="A1463" s="3">
        <v>42335</v>
      </c>
      <c r="B1463" s="9">
        <v>13.156675</v>
      </c>
      <c r="C1463" s="9">
        <v>9.1427700000000005</v>
      </c>
      <c r="E1463" s="14">
        <f t="shared" si="158"/>
        <v>1.439025043832449</v>
      </c>
      <c r="F1463" s="18">
        <f t="shared" ca="1" si="157"/>
        <v>0.28102702509585897</v>
      </c>
      <c r="G1463" s="15">
        <f t="shared" ca="1" si="162"/>
        <v>1.43088334629678</v>
      </c>
      <c r="H1463" s="15">
        <f t="shared" ca="1" si="163"/>
        <v>2.8971226282923517E-2</v>
      </c>
      <c r="J1463" s="17">
        <f t="shared" ca="1" si="159"/>
        <v>0</v>
      </c>
      <c r="K1463" s="24">
        <f t="shared" ca="1" si="160"/>
        <v>0</v>
      </c>
      <c r="L1463" s="17">
        <f t="shared" ca="1" si="161"/>
        <v>0</v>
      </c>
      <c r="N1463" s="24" t="str">
        <f ca="1">IF(AND(L1463=1,L1462&lt;&gt;1),MAX($N$8:N1462)+1,"")</f>
        <v/>
      </c>
      <c r="O1463" s="24" t="str">
        <f ca="1">IF(AND(L1463&lt;&gt;1,L1462=1),MAX($O$8:O1462)+1,"")</f>
        <v/>
      </c>
      <c r="P1463" s="17" t="str">
        <f ca="1">IF(AND(L1463=-1,L1462&lt;&gt;-1),MAX($P$8:P1462)+1,"")</f>
        <v/>
      </c>
      <c r="Q1463" s="24" t="str">
        <f ca="1">IF(AND(L1463&lt;&gt;-1,L1462=-1),MAX($Q$8:Q1462)+1,"")</f>
        <v/>
      </c>
    </row>
    <row r="1464" spans="1:17" x14ac:dyDescent="0.3">
      <c r="A1464" s="3">
        <v>42338</v>
      </c>
      <c r="B1464" s="9">
        <v>13.261632000000001</v>
      </c>
      <c r="C1464" s="9">
        <v>8.9602989999999991</v>
      </c>
      <c r="E1464" s="14">
        <f t="shared" si="158"/>
        <v>1.4800434672994731</v>
      </c>
      <c r="F1464" s="18">
        <f t="shared" ca="1" si="157"/>
        <v>1.5376743040895691</v>
      </c>
      <c r="G1464" s="15">
        <f t="shared" ca="1" si="162"/>
        <v>1.4349260131923662</v>
      </c>
      <c r="H1464" s="15">
        <f t="shared" ca="1" si="163"/>
        <v>2.9341359211839182E-2</v>
      </c>
      <c r="J1464" s="17">
        <f t="shared" ca="1" si="159"/>
        <v>1</v>
      </c>
      <c r="K1464" s="24">
        <f t="shared" ca="1" si="160"/>
        <v>0</v>
      </c>
      <c r="L1464" s="17">
        <f t="shared" ca="1" si="161"/>
        <v>1</v>
      </c>
      <c r="N1464" s="24">
        <f ca="1">IF(AND(L1464=1,L1463&lt;&gt;1),MAX($N$8:N1463)+1,"")</f>
        <v>50</v>
      </c>
      <c r="O1464" s="24" t="str">
        <f ca="1">IF(AND(L1464&lt;&gt;1,L1463=1),MAX($O$8:O1463)+1,"")</f>
        <v/>
      </c>
      <c r="P1464" s="17" t="str">
        <f ca="1">IF(AND(L1464=-1,L1463&lt;&gt;-1),MAX($P$8:P1463)+1,"")</f>
        <v/>
      </c>
      <c r="Q1464" s="24" t="str">
        <f ca="1">IF(AND(L1464&lt;&gt;-1,L1463=-1),MAX($Q$8:Q1463)+1,"")</f>
        <v/>
      </c>
    </row>
    <row r="1465" spans="1:17" x14ac:dyDescent="0.3">
      <c r="A1465" s="3">
        <v>42339</v>
      </c>
      <c r="B1465" s="9">
        <v>13.368973</v>
      </c>
      <c r="C1465" s="9">
        <v>8.9093889999999991</v>
      </c>
      <c r="E1465" s="14">
        <f t="shared" si="158"/>
        <v>1.500548803066069</v>
      </c>
      <c r="F1465" s="18">
        <f t="shared" ca="1" si="157"/>
        <v>2.3639422237003838</v>
      </c>
      <c r="G1465" s="15">
        <f t="shared" ca="1" si="162"/>
        <v>1.4421414811618598</v>
      </c>
      <c r="H1465" s="15">
        <f t="shared" ca="1" si="163"/>
        <v>2.4707592816199032E-2</v>
      </c>
      <c r="J1465" s="17">
        <f t="shared" ca="1" si="159"/>
        <v>1</v>
      </c>
      <c r="K1465" s="24">
        <f t="shared" ca="1" si="160"/>
        <v>0</v>
      </c>
      <c r="L1465" s="17">
        <f t="shared" ca="1" si="161"/>
        <v>1</v>
      </c>
      <c r="N1465" s="24" t="str">
        <f ca="1">IF(AND(L1465=1,L1464&lt;&gt;1),MAX($N$8:N1464)+1,"")</f>
        <v/>
      </c>
      <c r="O1465" s="24" t="str">
        <f ca="1">IF(AND(L1465&lt;&gt;1,L1464=1),MAX($O$8:O1464)+1,"")</f>
        <v/>
      </c>
      <c r="P1465" s="17" t="str">
        <f ca="1">IF(AND(L1465=-1,L1464&lt;&gt;-1),MAX($P$8:P1464)+1,"")</f>
        <v/>
      </c>
      <c r="Q1465" s="24" t="str">
        <f ca="1">IF(AND(L1465&lt;&gt;-1,L1464=-1),MAX($Q$8:Q1464)+1,"")</f>
        <v/>
      </c>
    </row>
    <row r="1466" spans="1:17" x14ac:dyDescent="0.3">
      <c r="A1466" s="3">
        <v>42340</v>
      </c>
      <c r="B1466" s="9">
        <v>12.943873</v>
      </c>
      <c r="C1466" s="9">
        <v>8.9108649999999994</v>
      </c>
      <c r="E1466" s="14">
        <f t="shared" si="158"/>
        <v>1.4525944450959587</v>
      </c>
      <c r="F1466" s="18">
        <f t="shared" ca="1" si="157"/>
        <v>0.34612231033219687</v>
      </c>
      <c r="G1466" s="15">
        <f t="shared" ca="1" si="162"/>
        <v>1.4449514980987386</v>
      </c>
      <c r="H1466" s="15">
        <f t="shared" ca="1" si="163"/>
        <v>2.2081636372658767E-2</v>
      </c>
      <c r="J1466" s="17">
        <f t="shared" ca="1" si="159"/>
        <v>1</v>
      </c>
      <c r="K1466" s="24">
        <f t="shared" ca="1" si="160"/>
        <v>0</v>
      </c>
      <c r="L1466" s="17">
        <f t="shared" ca="1" si="161"/>
        <v>1</v>
      </c>
      <c r="N1466" s="24" t="str">
        <f ca="1">IF(AND(L1466=1,L1465&lt;&gt;1),MAX($N$8:N1465)+1,"")</f>
        <v/>
      </c>
      <c r="O1466" s="24" t="str">
        <f ca="1">IF(AND(L1466&lt;&gt;1,L1465=1),MAX($O$8:O1465)+1,"")</f>
        <v/>
      </c>
      <c r="P1466" s="17" t="str">
        <f ca="1">IF(AND(L1466=-1,L1465&lt;&gt;-1),MAX($P$8:P1465)+1,"")</f>
        <v/>
      </c>
      <c r="Q1466" s="24" t="str">
        <f ca="1">IF(AND(L1466&lt;&gt;-1,L1465=-1),MAX($Q$8:Q1465)+1,"")</f>
        <v/>
      </c>
    </row>
    <row r="1467" spans="1:17" x14ac:dyDescent="0.3">
      <c r="A1467" s="3">
        <v>42341</v>
      </c>
      <c r="B1467" s="9">
        <v>13.765470000000001</v>
      </c>
      <c r="C1467" s="9">
        <v>9.3017649999999996</v>
      </c>
      <c r="E1467" s="14">
        <f t="shared" si="158"/>
        <v>1.4798772061001326</v>
      </c>
      <c r="F1467" s="18">
        <f t="shared" ca="1" si="157"/>
        <v>1.4320203032821253</v>
      </c>
      <c r="G1467" s="15">
        <f t="shared" ca="1" si="162"/>
        <v>1.4477362981515947</v>
      </c>
      <c r="H1467" s="15">
        <f t="shared" ca="1" si="163"/>
        <v>2.2444449897024835E-2</v>
      </c>
      <c r="J1467" s="17">
        <f t="shared" ca="1" si="159"/>
        <v>1</v>
      </c>
      <c r="K1467" s="24">
        <f t="shared" ca="1" si="160"/>
        <v>0</v>
      </c>
      <c r="L1467" s="17">
        <f t="shared" ca="1" si="161"/>
        <v>1</v>
      </c>
      <c r="N1467" s="24" t="str">
        <f ca="1">IF(AND(L1467=1,L1466&lt;&gt;1),MAX($N$8:N1466)+1,"")</f>
        <v/>
      </c>
      <c r="O1467" s="24" t="str">
        <f ca="1">IF(AND(L1467&lt;&gt;1,L1466=1),MAX($O$8:O1466)+1,"")</f>
        <v/>
      </c>
      <c r="P1467" s="17" t="str">
        <f ca="1">IF(AND(L1467=-1,L1466&lt;&gt;-1),MAX($P$8:P1466)+1,"")</f>
        <v/>
      </c>
      <c r="Q1467" s="24" t="str">
        <f ca="1">IF(AND(L1467&lt;&gt;-1,L1466=-1),MAX($Q$8:Q1466)+1,"")</f>
        <v/>
      </c>
    </row>
    <row r="1468" spans="1:17" x14ac:dyDescent="0.3">
      <c r="A1468" s="3">
        <v>42342</v>
      </c>
      <c r="B1468" s="9">
        <v>13.459756</v>
      </c>
      <c r="C1468" s="9">
        <v>9.1743279999999992</v>
      </c>
      <c r="E1468" s="14">
        <f t="shared" si="158"/>
        <v>1.4671108336218197</v>
      </c>
      <c r="F1468" s="18">
        <f t="shared" ca="1" si="157"/>
        <v>0.79203208833140692</v>
      </c>
      <c r="G1468" s="15">
        <f t="shared" ca="1" si="162"/>
        <v>1.4492066303511026</v>
      </c>
      <c r="H1468" s="15">
        <f t="shared" ca="1" si="163"/>
        <v>2.2605401390284937E-2</v>
      </c>
      <c r="J1468" s="17">
        <f t="shared" ca="1" si="159"/>
        <v>1</v>
      </c>
      <c r="K1468" s="24">
        <f t="shared" ca="1" si="160"/>
        <v>0</v>
      </c>
      <c r="L1468" s="17">
        <f t="shared" ca="1" si="161"/>
        <v>1</v>
      </c>
      <c r="N1468" s="24" t="str">
        <f ca="1">IF(AND(L1468=1,L1467&lt;&gt;1),MAX($N$8:N1467)+1,"")</f>
        <v/>
      </c>
      <c r="O1468" s="24" t="str">
        <f ca="1">IF(AND(L1468&lt;&gt;1,L1467=1),MAX($O$8:O1467)+1,"")</f>
        <v/>
      </c>
      <c r="P1468" s="17" t="str">
        <f ca="1">IF(AND(L1468=-1,L1467&lt;&gt;-1),MAX($P$8:P1467)+1,"")</f>
        <v/>
      </c>
      <c r="Q1468" s="24" t="str">
        <f ca="1">IF(AND(L1468&lt;&gt;-1,L1467=-1),MAX($Q$8:Q1467)+1,"")</f>
        <v/>
      </c>
    </row>
    <row r="1469" spans="1:17" x14ac:dyDescent="0.3">
      <c r="A1469" s="3">
        <v>42345</v>
      </c>
      <c r="B1469" s="9">
        <v>13.359441</v>
      </c>
      <c r="C1469" s="9">
        <v>9.0807830000000003</v>
      </c>
      <c r="E1469" s="14">
        <f t="shared" si="158"/>
        <v>1.4711772101590799</v>
      </c>
      <c r="F1469" s="18">
        <f t="shared" ca="1" si="157"/>
        <v>0.95536971991758945</v>
      </c>
      <c r="G1469" s="15">
        <f t="shared" ca="1" si="162"/>
        <v>1.4494115151725717</v>
      </c>
      <c r="H1469" s="15">
        <f t="shared" ca="1" si="163"/>
        <v>2.2782483611041883E-2</v>
      </c>
      <c r="J1469" s="17">
        <f t="shared" ca="1" si="159"/>
        <v>1</v>
      </c>
      <c r="K1469" s="24">
        <f t="shared" ca="1" si="160"/>
        <v>0</v>
      </c>
      <c r="L1469" s="17">
        <f t="shared" ca="1" si="161"/>
        <v>1</v>
      </c>
      <c r="N1469" s="24" t="str">
        <f ca="1">IF(AND(L1469=1,L1468&lt;&gt;1),MAX($N$8:N1468)+1,"")</f>
        <v/>
      </c>
      <c r="O1469" s="24" t="str">
        <f ca="1">IF(AND(L1469&lt;&gt;1,L1468=1),MAX($O$8:O1468)+1,"")</f>
        <v/>
      </c>
      <c r="P1469" s="17" t="str">
        <f ca="1">IF(AND(L1469=-1,L1468&lt;&gt;-1),MAX($P$8:P1468)+1,"")</f>
        <v/>
      </c>
      <c r="Q1469" s="24" t="str">
        <f ca="1">IF(AND(L1469&lt;&gt;-1,L1468=-1),MAX($Q$8:Q1468)+1,"")</f>
        <v/>
      </c>
    </row>
    <row r="1470" spans="1:17" x14ac:dyDescent="0.3">
      <c r="A1470" s="3">
        <v>42346</v>
      </c>
      <c r="B1470" s="9">
        <v>13.206621</v>
      </c>
      <c r="C1470" s="9">
        <v>8.8810749999999992</v>
      </c>
      <c r="E1470" s="14">
        <f t="shared" si="158"/>
        <v>1.487052074213989</v>
      </c>
      <c r="F1470" s="18">
        <f t="shared" ca="1" si="157"/>
        <v>1.4849305846322658</v>
      </c>
      <c r="G1470" s="15">
        <f t="shared" ca="1" si="162"/>
        <v>1.4513246947354996</v>
      </c>
      <c r="H1470" s="15">
        <f t="shared" ca="1" si="163"/>
        <v>2.4059966067260331E-2</v>
      </c>
      <c r="J1470" s="17">
        <f t="shared" ca="1" si="159"/>
        <v>1</v>
      </c>
      <c r="K1470" s="24">
        <f t="shared" ca="1" si="160"/>
        <v>0</v>
      </c>
      <c r="L1470" s="17">
        <f t="shared" ca="1" si="161"/>
        <v>1</v>
      </c>
      <c r="N1470" s="24" t="str">
        <f ca="1">IF(AND(L1470=1,L1469&lt;&gt;1),MAX($N$8:N1469)+1,"")</f>
        <v/>
      </c>
      <c r="O1470" s="24" t="str">
        <f ca="1">IF(AND(L1470&lt;&gt;1,L1469=1),MAX($O$8:O1469)+1,"")</f>
        <v/>
      </c>
      <c r="P1470" s="17" t="str">
        <f ca="1">IF(AND(L1470=-1,L1469&lt;&gt;-1),MAX($P$8:P1469)+1,"")</f>
        <v/>
      </c>
      <c r="Q1470" s="24" t="str">
        <f ca="1">IF(AND(L1470&lt;&gt;-1,L1469=-1),MAX($Q$8:Q1469)+1,"")</f>
        <v/>
      </c>
    </row>
    <row r="1471" spans="1:17" x14ac:dyDescent="0.3">
      <c r="A1471" s="3">
        <v>42347</v>
      </c>
      <c r="B1471" s="9">
        <v>13.923082000000001</v>
      </c>
      <c r="C1471" s="9">
        <v>9.3273019999999995</v>
      </c>
      <c r="E1471" s="14">
        <f t="shared" si="158"/>
        <v>1.4927234049031544</v>
      </c>
      <c r="F1471" s="18">
        <f t="shared" ca="1" si="157"/>
        <v>1.5375685944541513</v>
      </c>
      <c r="G1471" s="15">
        <f t="shared" ca="1" si="162"/>
        <v>1.4535403730493897</v>
      </c>
      <c r="H1471" s="15">
        <f t="shared" ca="1" si="163"/>
        <v>2.5483761827012983E-2</v>
      </c>
      <c r="J1471" s="17">
        <f t="shared" ca="1" si="159"/>
        <v>1</v>
      </c>
      <c r="K1471" s="24">
        <f t="shared" ca="1" si="160"/>
        <v>0</v>
      </c>
      <c r="L1471" s="17">
        <f t="shared" ca="1" si="161"/>
        <v>1</v>
      </c>
      <c r="N1471" s="24" t="str">
        <f ca="1">IF(AND(L1471=1,L1470&lt;&gt;1),MAX($N$8:N1470)+1,"")</f>
        <v/>
      </c>
      <c r="O1471" s="24" t="str">
        <f ca="1">IF(AND(L1471&lt;&gt;1,L1470=1),MAX($O$8:O1470)+1,"")</f>
        <v/>
      </c>
      <c r="P1471" s="17" t="str">
        <f ca="1">IF(AND(L1471=-1,L1470&lt;&gt;-1),MAX($P$8:P1470)+1,"")</f>
        <v/>
      </c>
      <c r="Q1471" s="24" t="str">
        <f ca="1">IF(AND(L1471&lt;&gt;-1,L1470=-1),MAX($Q$8:Q1470)+1,"")</f>
        <v/>
      </c>
    </row>
    <row r="1472" spans="1:17" x14ac:dyDescent="0.3">
      <c r="A1472" s="3">
        <v>42348</v>
      </c>
      <c r="B1472" s="9">
        <v>13.920534</v>
      </c>
      <c r="C1472" s="9">
        <v>8.9235559999999996</v>
      </c>
      <c r="E1472" s="14">
        <f t="shared" si="158"/>
        <v>1.5599760902492237</v>
      </c>
      <c r="F1472" s="18">
        <f t="shared" ca="1" si="157"/>
        <v>3.0097865633300698</v>
      </c>
      <c r="G1472" s="15">
        <f t="shared" ca="1" si="162"/>
        <v>1.4590297193353394</v>
      </c>
      <c r="H1472" s="15">
        <f t="shared" ca="1" si="163"/>
        <v>3.3539378553871867E-2</v>
      </c>
      <c r="J1472" s="17">
        <f t="shared" ca="1" si="159"/>
        <v>1</v>
      </c>
      <c r="K1472" s="24">
        <f t="shared" ca="1" si="160"/>
        <v>0</v>
      </c>
      <c r="L1472" s="17">
        <f t="shared" ca="1" si="161"/>
        <v>1</v>
      </c>
      <c r="N1472" s="24" t="str">
        <f ca="1">IF(AND(L1472=1,L1471&lt;&gt;1),MAX($N$8:N1471)+1,"")</f>
        <v/>
      </c>
      <c r="O1472" s="24" t="str">
        <f ca="1">IF(AND(L1472&lt;&gt;1,L1471=1),MAX($O$8:O1471)+1,"")</f>
        <v/>
      </c>
      <c r="P1472" s="17" t="str">
        <f ca="1">IF(AND(L1472=-1,L1471&lt;&gt;-1),MAX($P$8:P1471)+1,"")</f>
        <v/>
      </c>
      <c r="Q1472" s="24" t="str">
        <f ca="1">IF(AND(L1472&lt;&gt;-1,L1471=-1),MAX($Q$8:Q1471)+1,"")</f>
        <v/>
      </c>
    </row>
    <row r="1473" spans="1:17" x14ac:dyDescent="0.3">
      <c r="A1473" s="3">
        <v>42349</v>
      </c>
      <c r="B1473" s="9">
        <v>13.920534</v>
      </c>
      <c r="C1473" s="9">
        <v>8.8471030000000006</v>
      </c>
      <c r="E1473" s="14">
        <f t="shared" si="158"/>
        <v>1.5734567575397278</v>
      </c>
      <c r="F1473" s="18">
        <f t="shared" ca="1" si="157"/>
        <v>2.6525076514903763</v>
      </c>
      <c r="G1473" s="15">
        <f t="shared" ca="1" si="162"/>
        <v>1.4643868050789501</v>
      </c>
      <c r="H1473" s="15">
        <f t="shared" ca="1" si="163"/>
        <v>4.1119561860450828E-2</v>
      </c>
      <c r="J1473" s="17">
        <f t="shared" ca="1" si="159"/>
        <v>1</v>
      </c>
      <c r="K1473" s="24">
        <f t="shared" ca="1" si="160"/>
        <v>0</v>
      </c>
      <c r="L1473" s="17">
        <f t="shared" ca="1" si="161"/>
        <v>1</v>
      </c>
      <c r="N1473" s="24" t="str">
        <f ca="1">IF(AND(L1473=1,L1472&lt;&gt;1),MAX($N$8:N1472)+1,"")</f>
        <v/>
      </c>
      <c r="O1473" s="24" t="str">
        <f ca="1">IF(AND(L1473&lt;&gt;1,L1472=1),MAX($O$8:O1472)+1,"")</f>
        <v/>
      </c>
      <c r="P1473" s="17" t="str">
        <f ca="1">IF(AND(L1473=-1,L1472&lt;&gt;-1),MAX($P$8:P1472)+1,"")</f>
        <v/>
      </c>
      <c r="Q1473" s="24" t="str">
        <f ca="1">IF(AND(L1473&lt;&gt;-1,L1472=-1),MAX($Q$8:Q1472)+1,"")</f>
        <v/>
      </c>
    </row>
    <row r="1474" spans="1:17" x14ac:dyDescent="0.3">
      <c r="A1474" s="3">
        <v>42352</v>
      </c>
      <c r="B1474" s="9">
        <v>13.591866</v>
      </c>
      <c r="C1474" s="9">
        <v>8.6898789999999995</v>
      </c>
      <c r="E1474" s="14">
        <f t="shared" si="158"/>
        <v>1.5641030214574909</v>
      </c>
      <c r="F1474" s="18">
        <f t="shared" ref="F1474:F1537" ca="1" si="164">IF(ISNUMBER(G1474),(E1474-G1474)/H1474,"")</f>
        <v>2.0629200068817921</v>
      </c>
      <c r="G1474" s="15">
        <f t="shared" ca="1" si="162"/>
        <v>1.469137691386321</v>
      </c>
      <c r="H1474" s="15">
        <f t="shared" ca="1" si="163"/>
        <v>4.6034421962252825E-2</v>
      </c>
      <c r="J1474" s="17">
        <f t="shared" ca="1" si="159"/>
        <v>1</v>
      </c>
      <c r="K1474" s="24">
        <f t="shared" ca="1" si="160"/>
        <v>0</v>
      </c>
      <c r="L1474" s="17">
        <f t="shared" ca="1" si="161"/>
        <v>1</v>
      </c>
      <c r="N1474" s="24" t="str">
        <f ca="1">IF(AND(L1474=1,L1473&lt;&gt;1),MAX($N$8:N1473)+1,"")</f>
        <v/>
      </c>
      <c r="O1474" s="24" t="str">
        <f ca="1">IF(AND(L1474&lt;&gt;1,L1473=1),MAX($O$8:O1473)+1,"")</f>
        <v/>
      </c>
      <c r="P1474" s="17" t="str">
        <f ca="1">IF(AND(L1474=-1,L1473&lt;&gt;-1),MAX($P$8:P1473)+1,"")</f>
        <v/>
      </c>
      <c r="Q1474" s="24" t="str">
        <f ca="1">IF(AND(L1474&lt;&gt;-1,L1473=-1),MAX($Q$8:Q1473)+1,"")</f>
        <v/>
      </c>
    </row>
    <row r="1475" spans="1:17" x14ac:dyDescent="0.3">
      <c r="A1475" s="3">
        <v>42353</v>
      </c>
      <c r="B1475" s="9">
        <v>13.678881000000001</v>
      </c>
      <c r="C1475" s="9">
        <v>8.8258279999999996</v>
      </c>
      <c r="E1475" s="14">
        <f t="shared" ref="E1475:E1538" si="165">IF(ISNUMBER(B1475),B1475/C1475,"")</f>
        <v>1.5498694286813657</v>
      </c>
      <c r="F1475" s="18">
        <f t="shared" ca="1" si="164"/>
        <v>1.5688325981241285</v>
      </c>
      <c r="G1475" s="15">
        <f t="shared" ca="1" si="162"/>
        <v>1.4730240853470606</v>
      </c>
      <c r="H1475" s="15">
        <f t="shared" ca="1" si="163"/>
        <v>4.8982500380340077E-2</v>
      </c>
      <c r="J1475" s="17">
        <f t="shared" ca="1" si="159"/>
        <v>1</v>
      </c>
      <c r="K1475" s="24">
        <f t="shared" ca="1" si="160"/>
        <v>0</v>
      </c>
      <c r="L1475" s="17">
        <f t="shared" ca="1" si="161"/>
        <v>1</v>
      </c>
      <c r="N1475" s="24" t="str">
        <f ca="1">IF(AND(L1475=1,L1474&lt;&gt;1),MAX($N$8:N1474)+1,"")</f>
        <v/>
      </c>
      <c r="O1475" s="24" t="str">
        <f ca="1">IF(AND(L1475&lt;&gt;1,L1474=1),MAX($O$8:O1474)+1,"")</f>
        <v/>
      </c>
      <c r="P1475" s="17" t="str">
        <f ca="1">IF(AND(L1475=-1,L1474&lt;&gt;-1),MAX($P$8:P1474)+1,"")</f>
        <v/>
      </c>
      <c r="Q1475" s="24" t="str">
        <f ca="1">IF(AND(L1475&lt;&gt;-1,L1474=-1),MAX($Q$8:Q1474)+1,"")</f>
        <v/>
      </c>
    </row>
    <row r="1476" spans="1:17" x14ac:dyDescent="0.3">
      <c r="A1476" s="3">
        <v>42354</v>
      </c>
      <c r="B1476" s="9">
        <v>13.587081</v>
      </c>
      <c r="C1476" s="9">
        <v>8.9023520000000005</v>
      </c>
      <c r="E1476" s="14">
        <f t="shared" si="165"/>
        <v>1.5262349770038299</v>
      </c>
      <c r="F1476" s="18">
        <f t="shared" ca="1" si="164"/>
        <v>0.99457192253118432</v>
      </c>
      <c r="G1476" s="15">
        <f t="shared" ca="1" si="162"/>
        <v>1.4767236095091265</v>
      </c>
      <c r="H1476" s="15">
        <f t="shared" ca="1" si="163"/>
        <v>4.9781585798940563E-2</v>
      </c>
      <c r="J1476" s="17">
        <f t="shared" ca="1" si="159"/>
        <v>1</v>
      </c>
      <c r="K1476" s="24">
        <f t="shared" ca="1" si="160"/>
        <v>0</v>
      </c>
      <c r="L1476" s="17">
        <f t="shared" ca="1" si="161"/>
        <v>1</v>
      </c>
      <c r="N1476" s="24" t="str">
        <f ca="1">IF(AND(L1476=1,L1475&lt;&gt;1),MAX($N$8:N1475)+1,"")</f>
        <v/>
      </c>
      <c r="O1476" s="24" t="str">
        <f ca="1">IF(AND(L1476&lt;&gt;1,L1475=1),MAX($O$8:O1475)+1,"")</f>
        <v/>
      </c>
      <c r="P1476" s="17" t="str">
        <f ca="1">IF(AND(L1476=-1,L1475&lt;&gt;-1),MAX($P$8:P1475)+1,"")</f>
        <v/>
      </c>
      <c r="Q1476" s="24" t="str">
        <f ca="1">IF(AND(L1476&lt;&gt;-1,L1475=-1),MAX($Q$8:Q1475)+1,"")</f>
        <v/>
      </c>
    </row>
    <row r="1477" spans="1:17" x14ac:dyDescent="0.3">
      <c r="A1477" s="3">
        <v>42355</v>
      </c>
      <c r="B1477" s="9">
        <v>13.819082</v>
      </c>
      <c r="C1477" s="9">
        <v>9.3933389999999992</v>
      </c>
      <c r="E1477" s="14">
        <f t="shared" si="165"/>
        <v>1.4711575936948513</v>
      </c>
      <c r="F1477" s="18">
        <f t="shared" ca="1" si="164"/>
        <v>-0.10983614202198803</v>
      </c>
      <c r="G1477" s="15">
        <f t="shared" ca="1" si="162"/>
        <v>1.476626365221553</v>
      </c>
      <c r="H1477" s="15">
        <f t="shared" ca="1" si="163"/>
        <v>4.9790273274591852E-2</v>
      </c>
      <c r="J1477" s="17">
        <f t="shared" ca="1" si="159"/>
        <v>0</v>
      </c>
      <c r="K1477" s="24">
        <f t="shared" ca="1" si="160"/>
        <v>0</v>
      </c>
      <c r="L1477" s="17">
        <f t="shared" ca="1" si="161"/>
        <v>0</v>
      </c>
      <c r="N1477" s="24" t="str">
        <f ca="1">IF(AND(L1477=1,L1476&lt;&gt;1),MAX($N$8:N1476)+1,"")</f>
        <v/>
      </c>
      <c r="O1477" s="24">
        <f ca="1">IF(AND(L1477&lt;&gt;1,L1476=1),MAX($O$8:O1476)+1,"")</f>
        <v>50</v>
      </c>
      <c r="P1477" s="17" t="str">
        <f ca="1">IF(AND(L1477=-1,L1476&lt;&gt;-1),MAX($P$8:P1476)+1,"")</f>
        <v/>
      </c>
      <c r="Q1477" s="24" t="str">
        <f ca="1">IF(AND(L1477&lt;&gt;-1,L1476=-1),MAX($Q$8:Q1476)+1,"")</f>
        <v/>
      </c>
    </row>
    <row r="1478" spans="1:17" x14ac:dyDescent="0.3">
      <c r="A1478" s="3">
        <v>42356</v>
      </c>
      <c r="B1478" s="9">
        <v>13.016688</v>
      </c>
      <c r="C1478" s="9">
        <v>8.9863800000000005</v>
      </c>
      <c r="E1478" s="14">
        <f t="shared" si="165"/>
        <v>1.4484907159501379</v>
      </c>
      <c r="F1478" s="18">
        <f t="shared" ca="1" si="164"/>
        <v>-0.58919373138027487</v>
      </c>
      <c r="G1478" s="15">
        <f t="shared" ca="1" si="162"/>
        <v>1.4774550949286402</v>
      </c>
      <c r="H1478" s="15">
        <f t="shared" ca="1" si="163"/>
        <v>4.9159346808814376E-2</v>
      </c>
      <c r="J1478" s="17">
        <f t="shared" ca="1" si="159"/>
        <v>0</v>
      </c>
      <c r="K1478" s="24">
        <f t="shared" ca="1" si="160"/>
        <v>0</v>
      </c>
      <c r="L1478" s="17">
        <f t="shared" ca="1" si="161"/>
        <v>0</v>
      </c>
      <c r="N1478" s="24" t="str">
        <f ca="1">IF(AND(L1478=1,L1477&lt;&gt;1),MAX($N$8:N1477)+1,"")</f>
        <v/>
      </c>
      <c r="O1478" s="24" t="str">
        <f ca="1">IF(AND(L1478&lt;&gt;1,L1477=1),MAX($O$8:O1477)+1,"")</f>
        <v/>
      </c>
      <c r="P1478" s="17" t="str">
        <f ca="1">IF(AND(L1478=-1,L1477&lt;&gt;-1),MAX($P$8:P1477)+1,"")</f>
        <v/>
      </c>
      <c r="Q1478" s="24" t="str">
        <f ca="1">IF(AND(L1478&lt;&gt;-1,L1477=-1),MAX($Q$8:Q1477)+1,"")</f>
        <v/>
      </c>
    </row>
    <row r="1479" spans="1:17" x14ac:dyDescent="0.3">
      <c r="A1479" s="3">
        <v>42359</v>
      </c>
      <c r="B1479" s="9">
        <v>12.775035000000001</v>
      </c>
      <c r="C1479" s="9">
        <v>8.7256549999999997</v>
      </c>
      <c r="E1479" s="14">
        <f t="shared" si="165"/>
        <v>1.4640774818623932</v>
      </c>
      <c r="F1479" s="18">
        <f t="shared" ca="1" si="164"/>
        <v>-0.32898724098943427</v>
      </c>
      <c r="G1479" s="15">
        <f t="shared" ca="1" si="162"/>
        <v>1.4796657113320799</v>
      </c>
      <c r="H1479" s="15">
        <f t="shared" ca="1" si="163"/>
        <v>4.7382474234577913E-2</v>
      </c>
      <c r="J1479" s="17">
        <f t="shared" ca="1" si="159"/>
        <v>0</v>
      </c>
      <c r="K1479" s="24">
        <f t="shared" ca="1" si="160"/>
        <v>0</v>
      </c>
      <c r="L1479" s="17">
        <f t="shared" ca="1" si="161"/>
        <v>0</v>
      </c>
      <c r="N1479" s="24" t="str">
        <f ca="1">IF(AND(L1479=1,L1478&lt;&gt;1),MAX($N$8:N1478)+1,"")</f>
        <v/>
      </c>
      <c r="O1479" s="24" t="str">
        <f ca="1">IF(AND(L1479&lt;&gt;1,L1478=1),MAX($O$8:O1478)+1,"")</f>
        <v/>
      </c>
      <c r="P1479" s="17" t="str">
        <f ca="1">IF(AND(L1479=-1,L1478&lt;&gt;-1),MAX($P$8:P1478)+1,"")</f>
        <v/>
      </c>
      <c r="Q1479" s="24" t="str">
        <f ca="1">IF(AND(L1479&lt;&gt;-1,L1478=-1),MAX($Q$8:Q1478)+1,"")</f>
        <v/>
      </c>
    </row>
    <row r="1480" spans="1:17" x14ac:dyDescent="0.3">
      <c r="A1480" s="3">
        <v>42360</v>
      </c>
      <c r="B1480" s="9">
        <v>12.857182999999999</v>
      </c>
      <c r="C1480" s="9">
        <v>8.8034289999999995</v>
      </c>
      <c r="E1480" s="14">
        <f t="shared" si="165"/>
        <v>1.4604744355864061</v>
      </c>
      <c r="F1480" s="18">
        <f t="shared" ca="1" si="164"/>
        <v>-0.47728305472849902</v>
      </c>
      <c r="G1480" s="15">
        <f t="shared" ca="1" si="162"/>
        <v>1.4819884863928421</v>
      </c>
      <c r="H1480" s="15">
        <f t="shared" ca="1" si="163"/>
        <v>4.507608345465812E-2</v>
      </c>
      <c r="J1480" s="17">
        <f t="shared" ref="J1480:J1543" ca="1" si="166">IF(ISNUMBER(F1480),IF(AND(J1479&lt;&gt;1,F1480&gt;$L$1),1,IF(AND(J1479=1,F1480&gt;$N$1),1,0)),"")</f>
        <v>0</v>
      </c>
      <c r="K1480" s="24">
        <f t="shared" ca="1" si="160"/>
        <v>0</v>
      </c>
      <c r="L1480" s="17">
        <f t="shared" ca="1" si="161"/>
        <v>0</v>
      </c>
      <c r="N1480" s="24" t="str">
        <f ca="1">IF(AND(L1480=1,L1479&lt;&gt;1),MAX($N$8:N1479)+1,"")</f>
        <v/>
      </c>
      <c r="O1480" s="24" t="str">
        <f ca="1">IF(AND(L1480&lt;&gt;1,L1479=1),MAX($O$8:O1479)+1,"")</f>
        <v/>
      </c>
      <c r="P1480" s="17" t="str">
        <f ca="1">IF(AND(L1480=-1,L1479&lt;&gt;-1),MAX($P$8:P1479)+1,"")</f>
        <v/>
      </c>
      <c r="Q1480" s="24" t="str">
        <f ca="1">IF(AND(L1480&lt;&gt;-1,L1479=-1),MAX($Q$8:Q1479)+1,"")</f>
        <v/>
      </c>
    </row>
    <row r="1481" spans="1:17" x14ac:dyDescent="0.3">
      <c r="A1481" s="3">
        <v>42361</v>
      </c>
      <c r="B1481" s="9">
        <v>12.808851000000001</v>
      </c>
      <c r="C1481" s="9">
        <v>8.8720400000000001</v>
      </c>
      <c r="E1481" s="14">
        <f t="shared" si="165"/>
        <v>1.4437323321355631</v>
      </c>
      <c r="F1481" s="18">
        <f t="shared" ca="1" si="164"/>
        <v>-0.89037434779742664</v>
      </c>
      <c r="G1481" s="15">
        <f t="shared" ca="1" si="162"/>
        <v>1.4829360865682779</v>
      </c>
      <c r="H1481" s="15">
        <f t="shared" ca="1" si="163"/>
        <v>4.4030642313197324E-2</v>
      </c>
      <c r="J1481" s="17">
        <f t="shared" ca="1" si="166"/>
        <v>0</v>
      </c>
      <c r="K1481" s="24">
        <f t="shared" ref="K1481:K1544" ca="1" si="167">IF(ISNUMBER(F1481),IF(AND(K1480&lt;&gt;-1,F1481&lt;$P$1),-1,IF(AND(K1480=-1,F1481&lt;R1474),-1,0)),"")</f>
        <v>0</v>
      </c>
      <c r="L1481" s="17">
        <f t="shared" ref="L1481:L1544" ca="1" si="168">IF(ISNUMBER(F1481),IF(J1481=1,1,IF(K1481=-1,-1,0)),"")</f>
        <v>0</v>
      </c>
      <c r="N1481" s="24" t="str">
        <f ca="1">IF(AND(L1481=1,L1480&lt;&gt;1),MAX($N$8:N1480)+1,"")</f>
        <v/>
      </c>
      <c r="O1481" s="24" t="str">
        <f ca="1">IF(AND(L1481&lt;&gt;1,L1480=1),MAX($O$8:O1480)+1,"")</f>
        <v/>
      </c>
      <c r="P1481" s="17" t="str">
        <f ca="1">IF(AND(L1481=-1,L1480&lt;&gt;-1),MAX($P$8:P1480)+1,"")</f>
        <v/>
      </c>
      <c r="Q1481" s="24" t="str">
        <f ca="1">IF(AND(L1481&lt;&gt;-1,L1480=-1),MAX($Q$8:Q1480)+1,"")</f>
        <v/>
      </c>
    </row>
    <row r="1482" spans="1:17" x14ac:dyDescent="0.3">
      <c r="A1482" s="3">
        <v>42366</v>
      </c>
      <c r="B1482" s="9">
        <v>12.760524999999999</v>
      </c>
      <c r="C1482" s="9">
        <v>8.9589020000000001</v>
      </c>
      <c r="E1482" s="14">
        <f t="shared" si="165"/>
        <v>1.4243402818782926</v>
      </c>
      <c r="F1482" s="18">
        <f t="shared" ca="1" si="164"/>
        <v>-1.3032960450421716</v>
      </c>
      <c r="G1482" s="15">
        <f t="shared" ca="1" si="162"/>
        <v>1.4824637620247807</v>
      </c>
      <c r="H1482" s="15">
        <f t="shared" ca="1" si="163"/>
        <v>4.4597296498822193E-2</v>
      </c>
      <c r="J1482" s="17">
        <f t="shared" ca="1" si="166"/>
        <v>0</v>
      </c>
      <c r="K1482" s="24">
        <f t="shared" ca="1" si="167"/>
        <v>-1</v>
      </c>
      <c r="L1482" s="17">
        <f t="shared" ca="1" si="168"/>
        <v>-1</v>
      </c>
      <c r="N1482" s="24" t="str">
        <f ca="1">IF(AND(L1482=1,L1481&lt;&gt;1),MAX($N$8:N1481)+1,"")</f>
        <v/>
      </c>
      <c r="O1482" s="24" t="str">
        <f ca="1">IF(AND(L1482&lt;&gt;1,L1481=1),MAX($O$8:O1481)+1,"")</f>
        <v/>
      </c>
      <c r="P1482" s="17">
        <f ca="1">IF(AND(L1482=-1,L1481&lt;&gt;-1),MAX($P$8:P1481)+1,"")</f>
        <v>55</v>
      </c>
      <c r="Q1482" s="24" t="str">
        <f ca="1">IF(AND(L1482&lt;&gt;-1,L1481=-1),MAX($Q$8:Q1481)+1,"")</f>
        <v/>
      </c>
    </row>
    <row r="1483" spans="1:17" x14ac:dyDescent="0.3">
      <c r="A1483" s="3">
        <v>42367</v>
      </c>
      <c r="B1483" s="9">
        <v>12.770170999999999</v>
      </c>
      <c r="C1483" s="9">
        <v>9.0046169999999996</v>
      </c>
      <c r="E1483" s="14">
        <f t="shared" si="165"/>
        <v>1.4181803623629967</v>
      </c>
      <c r="F1483" s="18">
        <f t="shared" ca="1" si="164"/>
        <v>-1.3969089045926526</v>
      </c>
      <c r="G1483" s="15">
        <f t="shared" ca="1" si="162"/>
        <v>1.4817378430525836</v>
      </c>
      <c r="H1483" s="15">
        <f t="shared" ca="1" si="163"/>
        <v>4.5498658130553364E-2</v>
      </c>
      <c r="J1483" s="17">
        <f t="shared" ca="1" si="166"/>
        <v>0</v>
      </c>
      <c r="K1483" s="24">
        <f t="shared" ca="1" si="167"/>
        <v>-1</v>
      </c>
      <c r="L1483" s="17">
        <f t="shared" ca="1" si="168"/>
        <v>-1</v>
      </c>
      <c r="N1483" s="24" t="str">
        <f ca="1">IF(AND(L1483=1,L1482&lt;&gt;1),MAX($N$8:N1482)+1,"")</f>
        <v/>
      </c>
      <c r="O1483" s="24" t="str">
        <f ca="1">IF(AND(L1483&lt;&gt;1,L1482=1),MAX($O$8:O1482)+1,"")</f>
        <v/>
      </c>
      <c r="P1483" s="17" t="str">
        <f ca="1">IF(AND(L1483=-1,L1482&lt;&gt;-1),MAX($P$8:P1482)+1,"")</f>
        <v/>
      </c>
      <c r="Q1483" s="24" t="str">
        <f ca="1">IF(AND(L1483&lt;&gt;-1,L1482=-1),MAX($Q$8:Q1482)+1,"")</f>
        <v/>
      </c>
    </row>
    <row r="1484" spans="1:17" x14ac:dyDescent="0.3">
      <c r="A1484" s="3">
        <v>42368</v>
      </c>
      <c r="B1484" s="9">
        <v>12.726706999999999</v>
      </c>
      <c r="C1484" s="9">
        <v>8.8171689999999998</v>
      </c>
      <c r="E1484" s="14">
        <f t="shared" si="165"/>
        <v>1.4434005971758055</v>
      </c>
      <c r="F1484" s="18">
        <f t="shared" ca="1" si="164"/>
        <v>-0.88038507689475876</v>
      </c>
      <c r="G1484" s="15">
        <f t="shared" ca="1" si="162"/>
        <v>1.4826202983577368</v>
      </c>
      <c r="H1484" s="15">
        <f t="shared" ca="1" si="163"/>
        <v>4.4548348457091831E-2</v>
      </c>
      <c r="J1484" s="17">
        <f t="shared" ca="1" si="166"/>
        <v>0</v>
      </c>
      <c r="K1484" s="24">
        <f t="shared" ca="1" si="167"/>
        <v>-1</v>
      </c>
      <c r="L1484" s="17">
        <f t="shared" ca="1" si="168"/>
        <v>-1</v>
      </c>
      <c r="N1484" s="24" t="str">
        <f ca="1">IF(AND(L1484=1,L1483&lt;&gt;1),MAX($N$8:N1483)+1,"")</f>
        <v/>
      </c>
      <c r="O1484" s="24" t="str">
        <f ca="1">IF(AND(L1484&lt;&gt;1,L1483=1),MAX($O$8:O1483)+1,"")</f>
        <v/>
      </c>
      <c r="P1484" s="17" t="str">
        <f ca="1">IF(AND(L1484=-1,L1483&lt;&gt;-1),MAX($P$8:P1483)+1,"")</f>
        <v/>
      </c>
      <c r="Q1484" s="24" t="str">
        <f ca="1">IF(AND(L1484&lt;&gt;-1,L1483=-1),MAX($Q$8:Q1483)+1,"")</f>
        <v/>
      </c>
    </row>
    <row r="1485" spans="1:17" x14ac:dyDescent="0.3">
      <c r="A1485" s="3">
        <v>42373</v>
      </c>
      <c r="B1485" s="9">
        <v>12.158089</v>
      </c>
      <c r="C1485" s="9">
        <v>8.6890879999999999</v>
      </c>
      <c r="E1485" s="14">
        <f t="shared" si="165"/>
        <v>1.399236490642056</v>
      </c>
      <c r="F1485" s="18">
        <f t="shared" ca="1" si="164"/>
        <v>-1.7348836547790987</v>
      </c>
      <c r="G1485" s="15">
        <f t="shared" ca="1" si="162"/>
        <v>1.4808117277581736</v>
      </c>
      <c r="H1485" s="15">
        <f t="shared" ca="1" si="163"/>
        <v>4.7020580827654687E-2</v>
      </c>
      <c r="J1485" s="17">
        <f t="shared" ca="1" si="166"/>
        <v>0</v>
      </c>
      <c r="K1485" s="24">
        <f t="shared" ca="1" si="167"/>
        <v>-1</v>
      </c>
      <c r="L1485" s="17">
        <f t="shared" ca="1" si="168"/>
        <v>-1</v>
      </c>
      <c r="N1485" s="24" t="str">
        <f ca="1">IF(AND(L1485=1,L1484&lt;&gt;1),MAX($N$8:N1484)+1,"")</f>
        <v/>
      </c>
      <c r="O1485" s="24" t="str">
        <f ca="1">IF(AND(L1485&lt;&gt;1,L1484=1),MAX($O$8:O1484)+1,"")</f>
        <v/>
      </c>
      <c r="P1485" s="17" t="str">
        <f ca="1">IF(AND(L1485=-1,L1484&lt;&gt;-1),MAX($P$8:P1484)+1,"")</f>
        <v/>
      </c>
      <c r="Q1485" s="24" t="str">
        <f ca="1">IF(AND(L1485&lt;&gt;-1,L1484=-1),MAX($Q$8:Q1484)+1,"")</f>
        <v/>
      </c>
    </row>
    <row r="1486" spans="1:17" x14ac:dyDescent="0.3">
      <c r="A1486" s="3">
        <v>42374</v>
      </c>
      <c r="B1486" s="9">
        <v>12.259712</v>
      </c>
      <c r="C1486" s="9">
        <v>8.7272210000000001</v>
      </c>
      <c r="E1486" s="14">
        <f t="shared" si="165"/>
        <v>1.4047669928376971</v>
      </c>
      <c r="F1486" s="18">
        <f t="shared" ca="1" si="164"/>
        <v>-1.4636113343920887</v>
      </c>
      <c r="G1486" s="15">
        <f t="shared" ca="1" si="162"/>
        <v>1.4773900698280931</v>
      </c>
      <c r="H1486" s="15">
        <f t="shared" ca="1" si="163"/>
        <v>4.9619099882524449E-2</v>
      </c>
      <c r="J1486" s="17">
        <f t="shared" ca="1" si="166"/>
        <v>0</v>
      </c>
      <c r="K1486" s="24">
        <f t="shared" ca="1" si="167"/>
        <v>-1</v>
      </c>
      <c r="L1486" s="17">
        <f t="shared" ca="1" si="168"/>
        <v>-1</v>
      </c>
      <c r="N1486" s="24" t="str">
        <f ca="1">IF(AND(L1486=1,L1485&lt;&gt;1),MAX($N$8:N1485)+1,"")</f>
        <v/>
      </c>
      <c r="O1486" s="24" t="str">
        <f ca="1">IF(AND(L1486&lt;&gt;1,L1485=1),MAX($O$8:O1485)+1,"")</f>
        <v/>
      </c>
      <c r="P1486" s="17" t="str">
        <f ca="1">IF(AND(L1486=-1,L1485&lt;&gt;-1),MAX($P$8:P1485)+1,"")</f>
        <v/>
      </c>
      <c r="Q1486" s="24" t="str">
        <f ca="1">IF(AND(L1486&lt;&gt;-1,L1485=-1),MAX($Q$8:Q1485)+1,"")</f>
        <v/>
      </c>
    </row>
    <row r="1487" spans="1:17" x14ac:dyDescent="0.3">
      <c r="A1487" s="3">
        <v>42375</v>
      </c>
      <c r="B1487" s="9">
        <v>12.211332000000001</v>
      </c>
      <c r="C1487" s="9">
        <v>8.6035939999999993</v>
      </c>
      <c r="E1487" s="14">
        <f t="shared" si="165"/>
        <v>1.4193291780156063</v>
      </c>
      <c r="F1487" s="18">
        <f t="shared" ca="1" si="164"/>
        <v>-1.0709556288043978</v>
      </c>
      <c r="G1487" s="15">
        <f t="shared" ca="1" si="162"/>
        <v>1.4736982686894355</v>
      </c>
      <c r="H1487" s="15">
        <f t="shared" ca="1" si="163"/>
        <v>5.0766893801684608E-2</v>
      </c>
      <c r="J1487" s="17">
        <f t="shared" ca="1" si="166"/>
        <v>0</v>
      </c>
      <c r="K1487" s="24">
        <f t="shared" ca="1" si="167"/>
        <v>-1</v>
      </c>
      <c r="L1487" s="17">
        <f t="shared" ca="1" si="168"/>
        <v>-1</v>
      </c>
      <c r="N1487" s="24" t="str">
        <f ca="1">IF(AND(L1487=1,L1486&lt;&gt;1),MAX($N$8:N1486)+1,"")</f>
        <v/>
      </c>
      <c r="O1487" s="24" t="str">
        <f ca="1">IF(AND(L1487&lt;&gt;1,L1486=1),MAX($O$8:O1486)+1,"")</f>
        <v/>
      </c>
      <c r="P1487" s="17" t="str">
        <f ca="1">IF(AND(L1487=-1,L1486&lt;&gt;-1),MAX($P$8:P1486)+1,"")</f>
        <v/>
      </c>
      <c r="Q1487" s="24" t="str">
        <f ca="1">IF(AND(L1487&lt;&gt;-1,L1486=-1),MAX($Q$8:Q1486)+1,"")</f>
        <v/>
      </c>
    </row>
    <row r="1488" spans="1:17" x14ac:dyDescent="0.3">
      <c r="A1488" s="3">
        <v>42376</v>
      </c>
      <c r="B1488" s="9">
        <v>11.979113999999999</v>
      </c>
      <c r="C1488" s="9">
        <v>8.4294960000000003</v>
      </c>
      <c r="E1488" s="14">
        <f t="shared" si="165"/>
        <v>1.4210949266717723</v>
      </c>
      <c r="F1488" s="18">
        <f t="shared" ca="1" si="164"/>
        <v>-0.98832431099877238</v>
      </c>
      <c r="G1488" s="15">
        <f t="shared" ca="1" si="162"/>
        <v>1.4722664723974268</v>
      </c>
      <c r="H1488" s="15">
        <f t="shared" ca="1" si="163"/>
        <v>5.1776066981436504E-2</v>
      </c>
      <c r="J1488" s="17">
        <f t="shared" ca="1" si="166"/>
        <v>0</v>
      </c>
      <c r="K1488" s="24">
        <f t="shared" ca="1" si="167"/>
        <v>-1</v>
      </c>
      <c r="L1488" s="17">
        <f t="shared" ca="1" si="168"/>
        <v>-1</v>
      </c>
      <c r="N1488" s="24" t="str">
        <f ca="1">IF(AND(L1488=1,L1487&lt;&gt;1),MAX($N$8:N1487)+1,"")</f>
        <v/>
      </c>
      <c r="O1488" s="24" t="str">
        <f ca="1">IF(AND(L1488&lt;&gt;1,L1487=1),MAX($O$8:O1487)+1,"")</f>
        <v/>
      </c>
      <c r="P1488" s="17" t="str">
        <f ca="1">IF(AND(L1488=-1,L1487&lt;&gt;-1),MAX($P$8:P1487)+1,"")</f>
        <v/>
      </c>
      <c r="Q1488" s="24" t="str">
        <f ca="1">IF(AND(L1488&lt;&gt;-1,L1487=-1),MAX($Q$8:Q1487)+1,"")</f>
        <v/>
      </c>
    </row>
    <row r="1489" spans="1:17" x14ac:dyDescent="0.3">
      <c r="A1489" s="3">
        <v>42377</v>
      </c>
      <c r="B1489" s="9">
        <v>11.983905</v>
      </c>
      <c r="C1489" s="9">
        <v>8.2645769999999992</v>
      </c>
      <c r="E1489" s="14">
        <f t="shared" si="165"/>
        <v>1.4500324699013636</v>
      </c>
      <c r="F1489" s="18">
        <f t="shared" ca="1" si="164"/>
        <v>-0.40187861525184676</v>
      </c>
      <c r="G1489" s="15">
        <f t="shared" ca="1" si="162"/>
        <v>1.4709098934793012</v>
      </c>
      <c r="H1489" s="15">
        <f t="shared" ca="1" si="163"/>
        <v>5.1949575781369495E-2</v>
      </c>
      <c r="J1489" s="17">
        <f t="shared" ca="1" si="166"/>
        <v>0</v>
      </c>
      <c r="K1489" s="24">
        <f t="shared" ca="1" si="167"/>
        <v>-1</v>
      </c>
      <c r="L1489" s="17">
        <f t="shared" ca="1" si="168"/>
        <v>-1</v>
      </c>
      <c r="N1489" s="24" t="str">
        <f ca="1">IF(AND(L1489=1,L1488&lt;&gt;1),MAX($N$8:N1488)+1,"")</f>
        <v/>
      </c>
      <c r="O1489" s="24" t="str">
        <f ca="1">IF(AND(L1489&lt;&gt;1,L1488=1),MAX($O$8:O1488)+1,"")</f>
        <v/>
      </c>
      <c r="P1489" s="17" t="str">
        <f ca="1">IF(AND(L1489=-1,L1488&lt;&gt;-1),MAX($P$8:P1488)+1,"")</f>
        <v/>
      </c>
      <c r="Q1489" s="24" t="str">
        <f ca="1">IF(AND(L1489&lt;&gt;-1,L1488=-1),MAX($Q$8:Q1488)+1,"")</f>
        <v/>
      </c>
    </row>
    <row r="1490" spans="1:17" x14ac:dyDescent="0.3">
      <c r="A1490" s="3">
        <v>42380</v>
      </c>
      <c r="B1490" s="9">
        <v>11.843647000000001</v>
      </c>
      <c r="C1490" s="9">
        <v>8.0309069999999991</v>
      </c>
      <c r="E1490" s="14">
        <f t="shared" si="165"/>
        <v>1.4747583305347705</v>
      </c>
      <c r="F1490" s="18">
        <f t="shared" ca="1" si="164"/>
        <v>6.7390171133841825E-2</v>
      </c>
      <c r="G1490" s="15">
        <f t="shared" ca="1" si="162"/>
        <v>1.4712575069753442</v>
      </c>
      <c r="H1490" s="15">
        <f t="shared" ca="1" si="163"/>
        <v>5.1948577968044876E-2</v>
      </c>
      <c r="J1490" s="17">
        <f t="shared" ca="1" si="166"/>
        <v>0</v>
      </c>
      <c r="K1490" s="24">
        <f t="shared" ca="1" si="167"/>
        <v>0</v>
      </c>
      <c r="L1490" s="17">
        <f t="shared" ca="1" si="168"/>
        <v>0</v>
      </c>
      <c r="N1490" s="24" t="str">
        <f ca="1">IF(AND(L1490=1,L1489&lt;&gt;1),MAX($N$8:N1489)+1,"")</f>
        <v/>
      </c>
      <c r="O1490" s="24" t="str">
        <f ca="1">IF(AND(L1490&lt;&gt;1,L1489=1),MAX($O$8:O1489)+1,"")</f>
        <v/>
      </c>
      <c r="P1490" s="17" t="str">
        <f ca="1">IF(AND(L1490=-1,L1489&lt;&gt;-1),MAX($P$8:P1489)+1,"")</f>
        <v/>
      </c>
      <c r="Q1490" s="24">
        <f ca="1">IF(AND(L1490&lt;&gt;-1,L1489=-1),MAX($Q$8:Q1489)+1,"")</f>
        <v>55</v>
      </c>
    </row>
    <row r="1491" spans="1:17" x14ac:dyDescent="0.3">
      <c r="A1491" s="3">
        <v>42381</v>
      </c>
      <c r="B1491" s="9">
        <v>11.896808999999999</v>
      </c>
      <c r="C1491" s="9">
        <v>7.9850960000000004</v>
      </c>
      <c r="E1491" s="14">
        <f t="shared" si="165"/>
        <v>1.489876765413966</v>
      </c>
      <c r="F1491" s="18">
        <f t="shared" ca="1" si="164"/>
        <v>0.34110625115184251</v>
      </c>
      <c r="G1491" s="15">
        <f t="shared" ca="1" si="162"/>
        <v>1.4721074867596571</v>
      </c>
      <c r="H1491" s="15">
        <f t="shared" ca="1" si="163"/>
        <v>5.2093090039557609E-2</v>
      </c>
      <c r="J1491" s="17">
        <f t="shared" ca="1" si="166"/>
        <v>0</v>
      </c>
      <c r="K1491" s="24">
        <f t="shared" ca="1" si="167"/>
        <v>0</v>
      </c>
      <c r="L1491" s="17">
        <f t="shared" ca="1" si="168"/>
        <v>0</v>
      </c>
      <c r="N1491" s="24" t="str">
        <f ca="1">IF(AND(L1491=1,L1490&lt;&gt;1),MAX($N$8:N1490)+1,"")</f>
        <v/>
      </c>
      <c r="O1491" s="24" t="str">
        <f ca="1">IF(AND(L1491&lt;&gt;1,L1490=1),MAX($O$8:O1490)+1,"")</f>
        <v/>
      </c>
      <c r="P1491" s="17" t="str">
        <f ca="1">IF(AND(L1491=-1,L1490&lt;&gt;-1),MAX($P$8:P1490)+1,"")</f>
        <v/>
      </c>
      <c r="Q1491" s="24" t="str">
        <f ca="1">IF(AND(L1491&lt;&gt;-1,L1490=-1),MAX($Q$8:Q1490)+1,"")</f>
        <v/>
      </c>
    </row>
    <row r="1492" spans="1:17" x14ac:dyDescent="0.3">
      <c r="A1492" s="3">
        <v>42382</v>
      </c>
      <c r="B1492" s="9">
        <v>11.712963999999999</v>
      </c>
      <c r="C1492" s="9">
        <v>7.8705639999999999</v>
      </c>
      <c r="E1492" s="14">
        <f t="shared" si="165"/>
        <v>1.4881988126899164</v>
      </c>
      <c r="F1492" s="18">
        <f t="shared" ca="1" si="164"/>
        <v>0.30780341155853208</v>
      </c>
      <c r="G1492" s="15">
        <f t="shared" ca="1" si="162"/>
        <v>1.4721596112358357</v>
      </c>
      <c r="H1492" s="15">
        <f t="shared" ca="1" si="163"/>
        <v>5.2108588962246252E-2</v>
      </c>
      <c r="J1492" s="17">
        <f t="shared" ca="1" si="166"/>
        <v>0</v>
      </c>
      <c r="K1492" s="24">
        <f t="shared" ca="1" si="167"/>
        <v>0</v>
      </c>
      <c r="L1492" s="17">
        <f t="shared" ca="1" si="168"/>
        <v>0</v>
      </c>
      <c r="N1492" s="24" t="str">
        <f ca="1">IF(AND(L1492=1,L1491&lt;&gt;1),MAX($N$8:N1491)+1,"")</f>
        <v/>
      </c>
      <c r="O1492" s="24" t="str">
        <f ca="1">IF(AND(L1492&lt;&gt;1,L1491=1),MAX($O$8:O1491)+1,"")</f>
        <v/>
      </c>
      <c r="P1492" s="17" t="str">
        <f ca="1">IF(AND(L1492=-1,L1491&lt;&gt;-1),MAX($P$8:P1491)+1,"")</f>
        <v/>
      </c>
      <c r="Q1492" s="24" t="str">
        <f ca="1">IF(AND(L1492&lt;&gt;-1,L1491=-1),MAX($Q$8:Q1491)+1,"")</f>
        <v/>
      </c>
    </row>
    <row r="1493" spans="1:17" x14ac:dyDescent="0.3">
      <c r="A1493" s="3">
        <v>42383</v>
      </c>
      <c r="B1493" s="9">
        <v>11.882284</v>
      </c>
      <c r="C1493" s="9">
        <v>8.1087489999999995</v>
      </c>
      <c r="E1493" s="14">
        <f t="shared" si="165"/>
        <v>1.4653658659307374</v>
      </c>
      <c r="F1493" s="18">
        <f t="shared" ca="1" si="164"/>
        <v>-0.1068806665729953</v>
      </c>
      <c r="G1493" s="15">
        <f t="shared" ca="1" si="162"/>
        <v>1.4709160867370896</v>
      </c>
      <c r="H1493" s="15">
        <f t="shared" ca="1" si="163"/>
        <v>5.1929137273500015E-2</v>
      </c>
      <c r="J1493" s="17">
        <f t="shared" ca="1" si="166"/>
        <v>0</v>
      </c>
      <c r="K1493" s="24">
        <f t="shared" ca="1" si="167"/>
        <v>0</v>
      </c>
      <c r="L1493" s="17">
        <f t="shared" ca="1" si="168"/>
        <v>0</v>
      </c>
      <c r="N1493" s="24" t="str">
        <f ca="1">IF(AND(L1493=1,L1492&lt;&gt;1),MAX($N$8:N1492)+1,"")</f>
        <v/>
      </c>
      <c r="O1493" s="24" t="str">
        <f ca="1">IF(AND(L1493&lt;&gt;1,L1492=1),MAX($O$8:O1492)+1,"")</f>
        <v/>
      </c>
      <c r="P1493" s="17" t="str">
        <f ca="1">IF(AND(L1493=-1,L1492&lt;&gt;-1),MAX($P$8:P1492)+1,"")</f>
        <v/>
      </c>
      <c r="Q1493" s="24" t="str">
        <f ca="1">IF(AND(L1493&lt;&gt;-1,L1492=-1),MAX($Q$8:Q1492)+1,"")</f>
        <v/>
      </c>
    </row>
    <row r="1494" spans="1:17" x14ac:dyDescent="0.3">
      <c r="A1494" s="3">
        <v>42384</v>
      </c>
      <c r="B1494" s="9">
        <v>11.572703000000001</v>
      </c>
      <c r="C1494" s="9">
        <v>7.9026339999999999</v>
      </c>
      <c r="E1494" s="14">
        <f t="shared" si="165"/>
        <v>1.4644108533939444</v>
      </c>
      <c r="F1494" s="18">
        <f t="shared" ca="1" si="164"/>
        <v>-4.4880912828255411E-2</v>
      </c>
      <c r="G1494" s="15">
        <f t="shared" ca="1" si="162"/>
        <v>1.4665722123345768</v>
      </c>
      <c r="H1494" s="15">
        <f t="shared" ca="1" si="163"/>
        <v>4.8157642178607685E-2</v>
      </c>
      <c r="J1494" s="17">
        <f t="shared" ca="1" si="166"/>
        <v>0</v>
      </c>
      <c r="K1494" s="24">
        <f t="shared" ca="1" si="167"/>
        <v>0</v>
      </c>
      <c r="L1494" s="17">
        <f t="shared" ca="1" si="168"/>
        <v>0</v>
      </c>
      <c r="N1494" s="24" t="str">
        <f ca="1">IF(AND(L1494=1,L1493&lt;&gt;1),MAX($N$8:N1493)+1,"")</f>
        <v/>
      </c>
      <c r="O1494" s="24" t="str">
        <f ca="1">IF(AND(L1494&lt;&gt;1,L1493=1),MAX($O$8:O1493)+1,"")</f>
        <v/>
      </c>
      <c r="P1494" s="17" t="str">
        <f ca="1">IF(AND(L1494=-1,L1493&lt;&gt;-1),MAX($P$8:P1493)+1,"")</f>
        <v/>
      </c>
      <c r="Q1494" s="24" t="str">
        <f ca="1">IF(AND(L1494&lt;&gt;-1,L1493=-1),MAX($Q$8:Q1493)+1,"")</f>
        <v/>
      </c>
    </row>
    <row r="1495" spans="1:17" x14ac:dyDescent="0.3">
      <c r="A1495" s="3">
        <v>42387</v>
      </c>
      <c r="B1495" s="9">
        <v>11.437239</v>
      </c>
      <c r="C1495" s="9">
        <v>7.8339119999999998</v>
      </c>
      <c r="E1495" s="14">
        <f t="shared" si="165"/>
        <v>1.4599652127825791</v>
      </c>
      <c r="F1495" s="18">
        <f t="shared" ca="1" si="164"/>
        <v>-3.4373790008262919E-2</v>
      </c>
      <c r="G1495" s="15">
        <f t="shared" ca="1" si="162"/>
        <v>1.4614135057547062</v>
      </c>
      <c r="H1495" s="15">
        <f t="shared" ca="1" si="163"/>
        <v>4.2133642283233005E-2</v>
      </c>
      <c r="J1495" s="17">
        <f t="shared" ca="1" si="166"/>
        <v>0</v>
      </c>
      <c r="K1495" s="24">
        <f t="shared" ca="1" si="167"/>
        <v>0</v>
      </c>
      <c r="L1495" s="17">
        <f t="shared" ca="1" si="168"/>
        <v>0</v>
      </c>
      <c r="N1495" s="24" t="str">
        <f ca="1">IF(AND(L1495=1,L1494&lt;&gt;1),MAX($N$8:N1494)+1,"")</f>
        <v/>
      </c>
      <c r="O1495" s="24" t="str">
        <f ca="1">IF(AND(L1495&lt;&gt;1,L1494=1),MAX($O$8:O1494)+1,"")</f>
        <v/>
      </c>
      <c r="P1495" s="17" t="str">
        <f ca="1">IF(AND(L1495=-1,L1494&lt;&gt;-1),MAX($P$8:P1494)+1,"")</f>
        <v/>
      </c>
      <c r="Q1495" s="24" t="str">
        <f ca="1">IF(AND(L1495&lt;&gt;-1,L1494=-1),MAX($Q$8:Q1494)+1,"")</f>
        <v/>
      </c>
    </row>
    <row r="1496" spans="1:17" x14ac:dyDescent="0.3">
      <c r="A1496" s="3">
        <v>42388</v>
      </c>
      <c r="B1496" s="9">
        <v>11.321090999999999</v>
      </c>
      <c r="C1496" s="9">
        <v>7.88889</v>
      </c>
      <c r="E1496" s="14">
        <f t="shared" si="165"/>
        <v>1.4350676711172292</v>
      </c>
      <c r="F1496" s="18">
        <f t="shared" ca="1" si="164"/>
        <v>-0.56954983667635273</v>
      </c>
      <c r="G1496" s="15">
        <f t="shared" ca="1" si="162"/>
        <v>1.4555482625574216</v>
      </c>
      <c r="H1496" s="15">
        <f t="shared" ca="1" si="163"/>
        <v>3.5959261369836099E-2</v>
      </c>
      <c r="J1496" s="17">
        <f t="shared" ca="1" si="166"/>
        <v>0</v>
      </c>
      <c r="K1496" s="24">
        <f t="shared" ca="1" si="167"/>
        <v>0</v>
      </c>
      <c r="L1496" s="17">
        <f t="shared" ca="1" si="168"/>
        <v>0</v>
      </c>
      <c r="N1496" s="24" t="str">
        <f ca="1">IF(AND(L1496=1,L1495&lt;&gt;1),MAX($N$8:N1495)+1,"")</f>
        <v/>
      </c>
      <c r="O1496" s="24" t="str">
        <f ca="1">IF(AND(L1496&lt;&gt;1,L1495=1),MAX($O$8:O1495)+1,"")</f>
        <v/>
      </c>
      <c r="P1496" s="17" t="str">
        <f ca="1">IF(AND(L1496=-1,L1495&lt;&gt;-1),MAX($P$8:P1495)+1,"")</f>
        <v/>
      </c>
      <c r="Q1496" s="24" t="str">
        <f ca="1">IF(AND(L1496&lt;&gt;-1,L1495=-1),MAX($Q$8:Q1495)+1,"")</f>
        <v/>
      </c>
    </row>
    <row r="1497" spans="1:17" x14ac:dyDescent="0.3">
      <c r="A1497" s="3">
        <v>42389</v>
      </c>
      <c r="B1497" s="9">
        <v>11.161429</v>
      </c>
      <c r="C1497" s="9">
        <v>7.9072120000000004</v>
      </c>
      <c r="E1497" s="14">
        <f t="shared" si="165"/>
        <v>1.4115504933976728</v>
      </c>
      <c r="F1497" s="18">
        <f t="shared" ca="1" si="164"/>
        <v>-1.2318546196013331</v>
      </c>
      <c r="G1497" s="15">
        <f t="shared" ca="1" si="162"/>
        <v>1.4492610382263444</v>
      </c>
      <c r="H1497" s="15">
        <f t="shared" ca="1" si="163"/>
        <v>3.0612820886993922E-2</v>
      </c>
      <c r="J1497" s="17">
        <f t="shared" ca="1" si="166"/>
        <v>0</v>
      </c>
      <c r="K1497" s="24">
        <f t="shared" ca="1" si="167"/>
        <v>-1</v>
      </c>
      <c r="L1497" s="17">
        <f t="shared" ca="1" si="168"/>
        <v>-1</v>
      </c>
      <c r="N1497" s="24" t="str">
        <f ca="1">IF(AND(L1497=1,L1496&lt;&gt;1),MAX($N$8:N1496)+1,"")</f>
        <v/>
      </c>
      <c r="O1497" s="24" t="str">
        <f ca="1">IF(AND(L1497&lt;&gt;1,L1496=1),MAX($O$8:O1496)+1,"")</f>
        <v/>
      </c>
      <c r="P1497" s="17">
        <f ca="1">IF(AND(L1497=-1,L1496&lt;&gt;-1),MAX($P$8:P1496)+1,"")</f>
        <v>56</v>
      </c>
      <c r="Q1497" s="24" t="str">
        <f ca="1">IF(AND(L1497&lt;&gt;-1,L1496=-1),MAX($Q$8:Q1496)+1,"")</f>
        <v/>
      </c>
    </row>
    <row r="1498" spans="1:17" x14ac:dyDescent="0.3">
      <c r="A1498" s="3">
        <v>42390</v>
      </c>
      <c r="B1498" s="9">
        <v>11.18562</v>
      </c>
      <c r="C1498" s="9">
        <v>7.7926869999999999</v>
      </c>
      <c r="E1498" s="14">
        <f t="shared" si="165"/>
        <v>1.4353996253153758</v>
      </c>
      <c r="F1498" s="18">
        <f t="shared" ca="1" si="164"/>
        <v>-0.3789781518180485</v>
      </c>
      <c r="G1498" s="15">
        <f t="shared" ca="1" si="162"/>
        <v>1.4451321586041423</v>
      </c>
      <c r="H1498" s="15">
        <f t="shared" ca="1" si="163"/>
        <v>2.5680987788022271E-2</v>
      </c>
      <c r="J1498" s="17">
        <f t="shared" ca="1" si="166"/>
        <v>0</v>
      </c>
      <c r="K1498" s="24">
        <f t="shared" ca="1" si="167"/>
        <v>-1</v>
      </c>
      <c r="L1498" s="17">
        <f t="shared" ca="1" si="168"/>
        <v>-1</v>
      </c>
      <c r="N1498" s="24" t="str">
        <f ca="1">IF(AND(L1498=1,L1497&lt;&gt;1),MAX($N$8:N1497)+1,"")</f>
        <v/>
      </c>
      <c r="O1498" s="24" t="str">
        <f ca="1">IF(AND(L1498&lt;&gt;1,L1497=1),MAX($O$8:O1497)+1,"")</f>
        <v/>
      </c>
      <c r="P1498" s="17" t="str">
        <f ca="1">IF(AND(L1498=-1,L1497&lt;&gt;-1),MAX($P$8:P1497)+1,"")</f>
        <v/>
      </c>
      <c r="Q1498" s="24" t="str">
        <f ca="1">IF(AND(L1498&lt;&gt;-1,L1497=-1),MAX($Q$8:Q1497)+1,"")</f>
        <v/>
      </c>
    </row>
    <row r="1499" spans="1:17" x14ac:dyDescent="0.3">
      <c r="A1499" s="3">
        <v>42391</v>
      </c>
      <c r="B1499" s="9">
        <v>11.292113000000001</v>
      </c>
      <c r="C1499" s="9">
        <v>7.9530260000000004</v>
      </c>
      <c r="E1499" s="14">
        <f t="shared" si="165"/>
        <v>1.4198511359072634</v>
      </c>
      <c r="F1499" s="18">
        <f t="shared" ca="1" si="164"/>
        <v>-0.89851561839199412</v>
      </c>
      <c r="G1499" s="15">
        <f t="shared" ca="1" si="162"/>
        <v>1.4428000468865247</v>
      </c>
      <c r="H1499" s="15">
        <f t="shared" ca="1" si="163"/>
        <v>2.554091493738447E-2</v>
      </c>
      <c r="J1499" s="17">
        <f t="shared" ca="1" si="166"/>
        <v>0</v>
      </c>
      <c r="K1499" s="24">
        <f t="shared" ca="1" si="167"/>
        <v>-1</v>
      </c>
      <c r="L1499" s="17">
        <f t="shared" ca="1" si="168"/>
        <v>-1</v>
      </c>
      <c r="N1499" s="24" t="str">
        <f ca="1">IF(AND(L1499=1,L1498&lt;&gt;1),MAX($N$8:N1498)+1,"")</f>
        <v/>
      </c>
      <c r="O1499" s="24" t="str">
        <f ca="1">IF(AND(L1499&lt;&gt;1,L1498=1),MAX($O$8:O1498)+1,"")</f>
        <v/>
      </c>
      <c r="P1499" s="17" t="str">
        <f ca="1">IF(AND(L1499=-1,L1498&lt;&gt;-1),MAX($P$8:P1498)+1,"")</f>
        <v/>
      </c>
      <c r="Q1499" s="24" t="str">
        <f ca="1">IF(AND(L1499&lt;&gt;-1,L1498=-1),MAX($Q$8:Q1498)+1,"")</f>
        <v/>
      </c>
    </row>
    <row r="1500" spans="1:17" x14ac:dyDescent="0.3">
      <c r="A1500" s="3">
        <v>42395</v>
      </c>
      <c r="B1500" s="9">
        <v>11.413053</v>
      </c>
      <c r="C1500" s="9">
        <v>7.8613989999999996</v>
      </c>
      <c r="E1500" s="14">
        <f t="shared" si="165"/>
        <v>1.4517839636431125</v>
      </c>
      <c r="F1500" s="18">
        <f t="shared" ca="1" si="164"/>
        <v>0.34531017978164785</v>
      </c>
      <c r="G1500" s="15">
        <f t="shared" ca="1" si="162"/>
        <v>1.4429497399634781</v>
      </c>
      <c r="H1500" s="15">
        <f t="shared" ca="1" si="163"/>
        <v>2.5583444094293945E-2</v>
      </c>
      <c r="J1500" s="17">
        <f t="shared" ca="1" si="166"/>
        <v>0</v>
      </c>
      <c r="K1500" s="24">
        <f t="shared" ca="1" si="167"/>
        <v>0</v>
      </c>
      <c r="L1500" s="17">
        <f t="shared" ca="1" si="168"/>
        <v>0</v>
      </c>
      <c r="N1500" s="24" t="str">
        <f ca="1">IF(AND(L1500=1,L1499&lt;&gt;1),MAX($N$8:N1499)+1,"")</f>
        <v/>
      </c>
      <c r="O1500" s="24" t="str">
        <f ca="1">IF(AND(L1500&lt;&gt;1,L1499=1),MAX($O$8:O1499)+1,"")</f>
        <v/>
      </c>
      <c r="P1500" s="17" t="str">
        <f ca="1">IF(AND(L1500=-1,L1499&lt;&gt;-1),MAX($P$8:P1499)+1,"")</f>
        <v/>
      </c>
      <c r="Q1500" s="24">
        <f ca="1">IF(AND(L1500&lt;&gt;-1,L1499=-1),MAX($Q$8:Q1499)+1,"")</f>
        <v>56</v>
      </c>
    </row>
    <row r="1501" spans="1:17" x14ac:dyDescent="0.3">
      <c r="A1501" s="3">
        <v>42396</v>
      </c>
      <c r="B1501" s="9">
        <v>11.456557</v>
      </c>
      <c r="C1501" s="9">
        <v>7.9576029999999998</v>
      </c>
      <c r="E1501" s="14">
        <f t="shared" si="165"/>
        <v>1.4396994924225297</v>
      </c>
      <c r="F1501" s="18">
        <f t="shared" ca="1" si="164"/>
        <v>-8.5111182716009828E-2</v>
      </c>
      <c r="G1501" s="15">
        <f t="shared" ca="1" si="162"/>
        <v>1.4418416495343935</v>
      </c>
      <c r="H1501" s="15">
        <f t="shared" ca="1" si="163"/>
        <v>2.5168926614632499E-2</v>
      </c>
      <c r="J1501" s="17">
        <f t="shared" ca="1" si="166"/>
        <v>0</v>
      </c>
      <c r="K1501" s="24">
        <f t="shared" ca="1" si="167"/>
        <v>0</v>
      </c>
      <c r="L1501" s="17">
        <f t="shared" ca="1" si="168"/>
        <v>0</v>
      </c>
      <c r="N1501" s="24" t="str">
        <f ca="1">IF(AND(L1501=1,L1500&lt;&gt;1),MAX($N$8:N1500)+1,"")</f>
        <v/>
      </c>
      <c r="O1501" s="24" t="str">
        <f ca="1">IF(AND(L1501&lt;&gt;1,L1500=1),MAX($O$8:O1500)+1,"")</f>
        <v/>
      </c>
      <c r="P1501" s="17" t="str">
        <f ca="1">IF(AND(L1501=-1,L1500&lt;&gt;-1),MAX($P$8:P1500)+1,"")</f>
        <v/>
      </c>
      <c r="Q1501" s="24" t="str">
        <f ca="1">IF(AND(L1501&lt;&gt;-1,L1500=-1),MAX($Q$8:Q1500)+1,"")</f>
        <v/>
      </c>
    </row>
    <row r="1502" spans="1:17" x14ac:dyDescent="0.3">
      <c r="A1502" s="3">
        <v>42397</v>
      </c>
      <c r="B1502" s="9">
        <v>11.533988000000001</v>
      </c>
      <c r="C1502" s="9">
        <v>7.9713560000000001</v>
      </c>
      <c r="E1502" s="14">
        <f t="shared" si="165"/>
        <v>1.4469292301084031</v>
      </c>
      <c r="F1502" s="18">
        <f t="shared" ca="1" si="164"/>
        <v>0.22932808340042499</v>
      </c>
      <c r="G1502" s="15">
        <f t="shared" ca="1" si="162"/>
        <v>1.4412259583763023</v>
      </c>
      <c r="H1502" s="15">
        <f t="shared" ca="1" si="163"/>
        <v>2.4869486752490188E-2</v>
      </c>
      <c r="J1502" s="17">
        <f t="shared" ca="1" si="166"/>
        <v>0</v>
      </c>
      <c r="K1502" s="24">
        <f t="shared" ca="1" si="167"/>
        <v>0</v>
      </c>
      <c r="L1502" s="17">
        <f t="shared" ca="1" si="168"/>
        <v>0</v>
      </c>
      <c r="N1502" s="24" t="str">
        <f ca="1">IF(AND(L1502=1,L1501&lt;&gt;1),MAX($N$8:N1501)+1,"")</f>
        <v/>
      </c>
      <c r="O1502" s="24" t="str">
        <f ca="1">IF(AND(L1502&lt;&gt;1,L1501=1),MAX($O$8:O1501)+1,"")</f>
        <v/>
      </c>
      <c r="P1502" s="17" t="str">
        <f ca="1">IF(AND(L1502=-1,L1501&lt;&gt;-1),MAX($P$8:P1501)+1,"")</f>
        <v/>
      </c>
      <c r="Q1502" s="24" t="str">
        <f ca="1">IF(AND(L1502&lt;&gt;-1,L1501=-1),MAX($Q$8:Q1501)+1,"")</f>
        <v/>
      </c>
    </row>
    <row r="1503" spans="1:17" x14ac:dyDescent="0.3">
      <c r="A1503" s="3">
        <v>42398</v>
      </c>
      <c r="B1503" s="9">
        <v>12.070995999999999</v>
      </c>
      <c r="C1503" s="9">
        <v>8.3149580000000007</v>
      </c>
      <c r="E1503" s="14">
        <f t="shared" si="165"/>
        <v>1.4517206220404237</v>
      </c>
      <c r="F1503" s="18">
        <f t="shared" ca="1" si="164"/>
        <v>0.40588622043603362</v>
      </c>
      <c r="G1503" s="15">
        <f t="shared" ref="G1503:G1566" ca="1" si="169">IF(ISNUMBER(E1503),IF(ROW(E1503)&gt;$J$1,AVERAGE(OFFSET(E1503,0,0,-$J$1)),""),"")</f>
        <v>1.4415890624628867</v>
      </c>
      <c r="H1503" s="15">
        <f t="shared" ref="H1503:H1566" ca="1" si="170">IF(ISNUMBER(E1503),IF(ROW(E1503)&gt;$J$1,_xlfn.STDEV.P(OFFSET(E1503,0,0,-$J$1)),""),"")</f>
        <v>2.4961575602771142E-2</v>
      </c>
      <c r="J1503" s="17">
        <f t="shared" ca="1" si="166"/>
        <v>0</v>
      </c>
      <c r="K1503" s="24">
        <f t="shared" ca="1" si="167"/>
        <v>0</v>
      </c>
      <c r="L1503" s="17">
        <f t="shared" ca="1" si="168"/>
        <v>0</v>
      </c>
      <c r="N1503" s="24" t="str">
        <f ca="1">IF(AND(L1503=1,L1502&lt;&gt;1),MAX($N$8:N1502)+1,"")</f>
        <v/>
      </c>
      <c r="O1503" s="24" t="str">
        <f ca="1">IF(AND(L1503&lt;&gt;1,L1502=1),MAX($O$8:O1502)+1,"")</f>
        <v/>
      </c>
      <c r="P1503" s="17" t="str">
        <f ca="1">IF(AND(L1503=-1,L1502&lt;&gt;-1),MAX($P$8:P1502)+1,"")</f>
        <v/>
      </c>
      <c r="Q1503" s="24" t="str">
        <f ca="1">IF(AND(L1503&lt;&gt;-1,L1502=-1),MAX($Q$8:Q1502)+1,"")</f>
        <v/>
      </c>
    </row>
    <row r="1504" spans="1:17" x14ac:dyDescent="0.3">
      <c r="A1504" s="3">
        <v>42401</v>
      </c>
      <c r="B1504" s="9">
        <v>12.334847</v>
      </c>
      <c r="C1504" s="9">
        <v>8.5302670000000003</v>
      </c>
      <c r="E1504" s="14">
        <f t="shared" si="165"/>
        <v>1.4460094859867809</v>
      </c>
      <c r="F1504" s="18">
        <f t="shared" ca="1" si="164"/>
        <v>0.13915763537322171</v>
      </c>
      <c r="G1504" s="15">
        <f t="shared" ca="1" si="169"/>
        <v>1.4425740262859998</v>
      </c>
      <c r="H1504" s="15">
        <f t="shared" ca="1" si="170"/>
        <v>2.4687540080478864E-2</v>
      </c>
      <c r="J1504" s="17">
        <f t="shared" ca="1" si="166"/>
        <v>0</v>
      </c>
      <c r="K1504" s="24">
        <f t="shared" ca="1" si="167"/>
        <v>0</v>
      </c>
      <c r="L1504" s="17">
        <f t="shared" ca="1" si="168"/>
        <v>0</v>
      </c>
      <c r="N1504" s="24" t="str">
        <f ca="1">IF(AND(L1504=1,L1503&lt;&gt;1),MAX($N$8:N1503)+1,"")</f>
        <v/>
      </c>
      <c r="O1504" s="24" t="str">
        <f ca="1">IF(AND(L1504&lt;&gt;1,L1503=1),MAX($O$8:O1503)+1,"")</f>
        <v/>
      </c>
      <c r="P1504" s="17" t="str">
        <f ca="1">IF(AND(L1504=-1,L1503&lt;&gt;-1),MAX($P$8:P1503)+1,"")</f>
        <v/>
      </c>
      <c r="Q1504" s="24" t="str">
        <f ca="1">IF(AND(L1504&lt;&gt;-1,L1503=-1),MAX($Q$8:Q1503)+1,"")</f>
        <v/>
      </c>
    </row>
    <row r="1505" spans="1:17" x14ac:dyDescent="0.3">
      <c r="A1505" s="3">
        <v>42402</v>
      </c>
      <c r="B1505" s="9">
        <v>11.448596</v>
      </c>
      <c r="C1505" s="9">
        <v>8.1921549999999996</v>
      </c>
      <c r="E1505" s="14">
        <f t="shared" si="165"/>
        <v>1.3975072493135201</v>
      </c>
      <c r="F1505" s="18">
        <f t="shared" ca="1" si="164"/>
        <v>-1.6998851567353459</v>
      </c>
      <c r="G1505" s="15">
        <f t="shared" ca="1" si="169"/>
        <v>1.4416343393292055</v>
      </c>
      <c r="H1505" s="15">
        <f t="shared" ca="1" si="170"/>
        <v>2.5958865421492412E-2</v>
      </c>
      <c r="J1505" s="17">
        <f t="shared" ca="1" si="166"/>
        <v>0</v>
      </c>
      <c r="K1505" s="24">
        <f t="shared" ca="1" si="167"/>
        <v>-1</v>
      </c>
      <c r="L1505" s="17">
        <f t="shared" ca="1" si="168"/>
        <v>-1</v>
      </c>
      <c r="N1505" s="24" t="str">
        <f ca="1">IF(AND(L1505=1,L1504&lt;&gt;1),MAX($N$8:N1504)+1,"")</f>
        <v/>
      </c>
      <c r="O1505" s="24" t="str">
        <f ca="1">IF(AND(L1505&lt;&gt;1,L1504=1),MAX($O$8:O1504)+1,"")</f>
        <v/>
      </c>
      <c r="P1505" s="17">
        <f ca="1">IF(AND(L1505=-1,L1504&lt;&gt;-1),MAX($P$8:P1504)+1,"")</f>
        <v>57</v>
      </c>
      <c r="Q1505" s="24" t="str">
        <f ca="1">IF(AND(L1505&lt;&gt;-1,L1504=-1),MAX($Q$8:Q1504)+1,"")</f>
        <v/>
      </c>
    </row>
    <row r="1506" spans="1:17" x14ac:dyDescent="0.3">
      <c r="A1506" s="3">
        <v>42403</v>
      </c>
      <c r="B1506" s="9">
        <v>11.724594</v>
      </c>
      <c r="C1506" s="9">
        <v>8.5868559999999992</v>
      </c>
      <c r="E1506" s="14">
        <f t="shared" si="165"/>
        <v>1.3654117409212407</v>
      </c>
      <c r="F1506" s="18">
        <f t="shared" ca="1" si="164"/>
        <v>-2.3893166165830917</v>
      </c>
      <c r="G1506" s="15">
        <f t="shared" ca="1" si="169"/>
        <v>1.4380893913176345</v>
      </c>
      <c r="H1506" s="15">
        <f t="shared" ca="1" si="170"/>
        <v>3.0417756228694554E-2</v>
      </c>
      <c r="J1506" s="17">
        <f t="shared" ca="1" si="166"/>
        <v>0</v>
      </c>
      <c r="K1506" s="24">
        <f t="shared" ca="1" si="167"/>
        <v>-1</v>
      </c>
      <c r="L1506" s="17">
        <f t="shared" ca="1" si="168"/>
        <v>-1</v>
      </c>
      <c r="N1506" s="24" t="str">
        <f ca="1">IF(AND(L1506=1,L1505&lt;&gt;1),MAX($N$8:N1505)+1,"")</f>
        <v/>
      </c>
      <c r="O1506" s="24" t="str">
        <f ca="1">IF(AND(L1506&lt;&gt;1,L1505=1),MAX($O$8:O1505)+1,"")</f>
        <v/>
      </c>
      <c r="P1506" s="17" t="str">
        <f ca="1">IF(AND(L1506=-1,L1505&lt;&gt;-1),MAX($P$8:P1505)+1,"")</f>
        <v/>
      </c>
      <c r="Q1506" s="24" t="str">
        <f ca="1">IF(AND(L1506&lt;&gt;-1,L1505=-1),MAX($Q$8:Q1505)+1,"")</f>
        <v/>
      </c>
    </row>
    <row r="1507" spans="1:17" x14ac:dyDescent="0.3">
      <c r="A1507" s="3">
        <v>42404</v>
      </c>
      <c r="B1507" s="9">
        <v>11.894083999999999</v>
      </c>
      <c r="C1507" s="9">
        <v>9.0550060000000006</v>
      </c>
      <c r="E1507" s="14">
        <f t="shared" si="165"/>
        <v>1.3135368435978947</v>
      </c>
      <c r="F1507" s="18">
        <f t="shared" ca="1" si="164"/>
        <v>-3.0680591385017379</v>
      </c>
      <c r="G1507" s="15">
        <f t="shared" ca="1" si="169"/>
        <v>1.4341939528156273</v>
      </c>
      <c r="H1507" s="15">
        <f t="shared" ca="1" si="170"/>
        <v>3.9326852505409848E-2</v>
      </c>
      <c r="J1507" s="17">
        <f t="shared" ca="1" si="166"/>
        <v>0</v>
      </c>
      <c r="K1507" s="24">
        <f t="shared" ca="1" si="167"/>
        <v>-1</v>
      </c>
      <c r="L1507" s="17">
        <f t="shared" ca="1" si="168"/>
        <v>-1</v>
      </c>
      <c r="N1507" s="24" t="str">
        <f ca="1">IF(AND(L1507=1,L1506&lt;&gt;1),MAX($N$8:N1506)+1,"")</f>
        <v/>
      </c>
      <c r="O1507" s="24" t="str">
        <f ca="1">IF(AND(L1507&lt;&gt;1,L1506=1),MAX($O$8:O1506)+1,"")</f>
        <v/>
      </c>
      <c r="P1507" s="17" t="str">
        <f ca="1">IF(AND(L1507=-1,L1506&lt;&gt;-1),MAX($P$8:P1506)+1,"")</f>
        <v/>
      </c>
      <c r="Q1507" s="24" t="str">
        <f ca="1">IF(AND(L1507&lt;&gt;-1,L1506=-1),MAX($Q$8:Q1506)+1,"")</f>
        <v/>
      </c>
    </row>
    <row r="1508" spans="1:17" x14ac:dyDescent="0.3">
      <c r="A1508" s="3">
        <v>42405</v>
      </c>
      <c r="B1508" s="9">
        <v>12.010348</v>
      </c>
      <c r="C1508" s="9">
        <v>8.963165</v>
      </c>
      <c r="E1508" s="14">
        <f t="shared" si="165"/>
        <v>1.3399672994974432</v>
      </c>
      <c r="F1508" s="18">
        <f t="shared" ca="1" si="164"/>
        <v>-2.092956262368133</v>
      </c>
      <c r="G1508" s="15">
        <f t="shared" ca="1" si="169"/>
        <v>1.431248512209252</v>
      </c>
      <c r="H1508" s="15">
        <f t="shared" ca="1" si="170"/>
        <v>4.3613530943320399E-2</v>
      </c>
      <c r="J1508" s="17">
        <f t="shared" ca="1" si="166"/>
        <v>0</v>
      </c>
      <c r="K1508" s="24">
        <f t="shared" ca="1" si="167"/>
        <v>-1</v>
      </c>
      <c r="L1508" s="17">
        <f t="shared" ca="1" si="168"/>
        <v>-1</v>
      </c>
      <c r="N1508" s="24" t="str">
        <f ca="1">IF(AND(L1508=1,L1507&lt;&gt;1),MAX($N$8:N1507)+1,"")</f>
        <v/>
      </c>
      <c r="O1508" s="24" t="str">
        <f ca="1">IF(AND(L1508&lt;&gt;1,L1507=1),MAX($O$8:O1507)+1,"")</f>
        <v/>
      </c>
      <c r="P1508" s="17" t="str">
        <f ca="1">IF(AND(L1508=-1,L1507&lt;&gt;-1),MAX($P$8:P1507)+1,"")</f>
        <v/>
      </c>
      <c r="Q1508" s="24" t="str">
        <f ca="1">IF(AND(L1508&lt;&gt;-1,L1507=-1),MAX($Q$8:Q1507)+1,"")</f>
        <v/>
      </c>
    </row>
    <row r="1509" spans="1:17" x14ac:dyDescent="0.3">
      <c r="A1509" s="3">
        <v>42410</v>
      </c>
      <c r="B1509" s="9">
        <v>12.068438</v>
      </c>
      <c r="C1509" s="9">
        <v>9.0642010000000006</v>
      </c>
      <c r="E1509" s="14">
        <f t="shared" si="165"/>
        <v>1.3314398036848476</v>
      </c>
      <c r="F1509" s="18">
        <f t="shared" ca="1" si="164"/>
        <v>-1.9838740681342009</v>
      </c>
      <c r="G1509" s="15">
        <f t="shared" ca="1" si="169"/>
        <v>1.4272535406487632</v>
      </c>
      <c r="H1509" s="15">
        <f t="shared" ca="1" si="170"/>
        <v>4.8296279740188727E-2</v>
      </c>
      <c r="J1509" s="17">
        <f t="shared" ca="1" si="166"/>
        <v>0</v>
      </c>
      <c r="K1509" s="24">
        <f t="shared" ca="1" si="167"/>
        <v>-1</v>
      </c>
      <c r="L1509" s="17">
        <f t="shared" ca="1" si="168"/>
        <v>-1</v>
      </c>
      <c r="N1509" s="24" t="str">
        <f ca="1">IF(AND(L1509=1,L1508&lt;&gt;1),MAX($N$8:N1508)+1,"")</f>
        <v/>
      </c>
      <c r="O1509" s="24" t="str">
        <f ca="1">IF(AND(L1509&lt;&gt;1,L1508=1),MAX($O$8:O1508)+1,"")</f>
        <v/>
      </c>
      <c r="P1509" s="17" t="str">
        <f ca="1">IF(AND(L1509=-1,L1508&lt;&gt;-1),MAX($P$8:P1508)+1,"")</f>
        <v/>
      </c>
      <c r="Q1509" s="24" t="str">
        <f ca="1">IF(AND(L1509&lt;&gt;-1,L1508=-1),MAX($Q$8:Q1508)+1,"")</f>
        <v/>
      </c>
    </row>
    <row r="1510" spans="1:17" x14ac:dyDescent="0.3">
      <c r="A1510" s="3">
        <v>42411</v>
      </c>
      <c r="B1510" s="9">
        <v>11.710051999999999</v>
      </c>
      <c r="C1510" s="9">
        <v>8.8301200000000009</v>
      </c>
      <c r="E1510" s="14">
        <f t="shared" si="165"/>
        <v>1.3261486820111164</v>
      </c>
      <c r="F1510" s="18">
        <f t="shared" ca="1" si="164"/>
        <v>-1.8367590950782111</v>
      </c>
      <c r="G1510" s="15">
        <f t="shared" ca="1" si="169"/>
        <v>1.4229378022550967</v>
      </c>
      <c r="H1510" s="15">
        <f t="shared" ca="1" si="170"/>
        <v>5.2695598733299841E-2</v>
      </c>
      <c r="J1510" s="17">
        <f t="shared" ca="1" si="166"/>
        <v>0</v>
      </c>
      <c r="K1510" s="24">
        <f t="shared" ca="1" si="167"/>
        <v>-1</v>
      </c>
      <c r="L1510" s="17">
        <f t="shared" ca="1" si="168"/>
        <v>-1</v>
      </c>
      <c r="N1510" s="24" t="str">
        <f ca="1">IF(AND(L1510=1,L1509&lt;&gt;1),MAX($N$8:N1509)+1,"")</f>
        <v/>
      </c>
      <c r="O1510" s="24" t="str">
        <f ca="1">IF(AND(L1510&lt;&gt;1,L1509=1),MAX($O$8:O1509)+1,"")</f>
        <v/>
      </c>
      <c r="P1510" s="17" t="str">
        <f ca="1">IF(AND(L1510=-1,L1509&lt;&gt;-1),MAX($P$8:P1509)+1,"")</f>
        <v/>
      </c>
      <c r="Q1510" s="24" t="str">
        <f ca="1">IF(AND(L1510&lt;&gt;-1,L1509=-1),MAX($Q$8:Q1509)+1,"")</f>
        <v/>
      </c>
    </row>
    <row r="1511" spans="1:17" x14ac:dyDescent="0.3">
      <c r="A1511" s="3">
        <v>42412</v>
      </c>
      <c r="B1511" s="9">
        <v>11.802110000000001</v>
      </c>
      <c r="C1511" s="9">
        <v>8.8576180000000004</v>
      </c>
      <c r="E1511" s="14">
        <f t="shared" si="165"/>
        <v>1.3324248121786242</v>
      </c>
      <c r="F1511" s="18">
        <f t="shared" ca="1" si="164"/>
        <v>-1.5327981730244029</v>
      </c>
      <c r="G1511" s="15">
        <f t="shared" ca="1" si="169"/>
        <v>1.417591999631336</v>
      </c>
      <c r="H1511" s="15">
        <f t="shared" ca="1" si="170"/>
        <v>5.5563210441898069E-2</v>
      </c>
      <c r="J1511" s="17">
        <f t="shared" ca="1" si="166"/>
        <v>0</v>
      </c>
      <c r="K1511" s="24">
        <f t="shared" ca="1" si="167"/>
        <v>-1</v>
      </c>
      <c r="L1511" s="17">
        <f t="shared" ca="1" si="168"/>
        <v>-1</v>
      </c>
      <c r="N1511" s="24" t="str">
        <f ca="1">IF(AND(L1511=1,L1510&lt;&gt;1),MAX($N$8:N1510)+1,"")</f>
        <v/>
      </c>
      <c r="O1511" s="24" t="str">
        <f ca="1">IF(AND(L1511&lt;&gt;1,L1510=1),MAX($O$8:O1510)+1,"")</f>
        <v/>
      </c>
      <c r="P1511" s="17" t="str">
        <f ca="1">IF(AND(L1511=-1,L1510&lt;&gt;-1),MAX($P$8:P1510)+1,"")</f>
        <v/>
      </c>
      <c r="Q1511" s="24" t="str">
        <f ca="1">IF(AND(L1511&lt;&gt;-1,L1510=-1),MAX($Q$8:Q1510)+1,"")</f>
        <v/>
      </c>
    </row>
    <row r="1512" spans="1:17" x14ac:dyDescent="0.3">
      <c r="A1512" s="3">
        <v>42415</v>
      </c>
      <c r="B1512" s="9">
        <v>11.763350000000001</v>
      </c>
      <c r="C1512" s="9">
        <v>8.8576180000000004</v>
      </c>
      <c r="E1512" s="14">
        <f t="shared" si="165"/>
        <v>1.3280489178919208</v>
      </c>
      <c r="F1512" s="18">
        <f t="shared" ca="1" si="164"/>
        <v>-1.451770800785996</v>
      </c>
      <c r="G1512" s="15">
        <f t="shared" ca="1" si="169"/>
        <v>1.4109233899657518</v>
      </c>
      <c r="H1512" s="15">
        <f t="shared" ca="1" si="170"/>
        <v>5.7085093617368785E-2</v>
      </c>
      <c r="J1512" s="17">
        <f t="shared" ca="1" si="166"/>
        <v>0</v>
      </c>
      <c r="K1512" s="24">
        <f t="shared" ca="1" si="167"/>
        <v>-1</v>
      </c>
      <c r="L1512" s="17">
        <f t="shared" ca="1" si="168"/>
        <v>-1</v>
      </c>
      <c r="N1512" s="24" t="str">
        <f ca="1">IF(AND(L1512=1,L1511&lt;&gt;1),MAX($N$8:N1511)+1,"")</f>
        <v/>
      </c>
      <c r="O1512" s="24" t="str">
        <f ca="1">IF(AND(L1512&lt;&gt;1,L1511=1),MAX($O$8:O1511)+1,"")</f>
        <v/>
      </c>
      <c r="P1512" s="17" t="str">
        <f ca="1">IF(AND(L1512=-1,L1511&lt;&gt;-1),MAX($P$8:P1511)+1,"")</f>
        <v/>
      </c>
      <c r="Q1512" s="24" t="str">
        <f ca="1">IF(AND(L1512&lt;&gt;-1,L1511=-1),MAX($Q$8:Q1511)+1,"")</f>
        <v/>
      </c>
    </row>
    <row r="1513" spans="1:17" x14ac:dyDescent="0.3">
      <c r="A1513" s="3">
        <v>42416</v>
      </c>
      <c r="B1513" s="9">
        <v>12.049099999999999</v>
      </c>
      <c r="C1513" s="9">
        <v>9.1743439999999996</v>
      </c>
      <c r="E1513" s="14">
        <f t="shared" si="165"/>
        <v>1.3133473085378093</v>
      </c>
      <c r="F1513" s="18">
        <f t="shared" ca="1" si="164"/>
        <v>-1.5486680091215623</v>
      </c>
      <c r="G1513" s="15">
        <f t="shared" ca="1" si="169"/>
        <v>1.4028993237441083</v>
      </c>
      <c r="H1513" s="15">
        <f t="shared" ca="1" si="170"/>
        <v>5.7825185694314683E-2</v>
      </c>
      <c r="J1513" s="17">
        <f t="shared" ca="1" si="166"/>
        <v>0</v>
      </c>
      <c r="K1513" s="24">
        <f t="shared" ca="1" si="167"/>
        <v>-1</v>
      </c>
      <c r="L1513" s="17">
        <f t="shared" ca="1" si="168"/>
        <v>-1</v>
      </c>
      <c r="N1513" s="24" t="str">
        <f ca="1">IF(AND(L1513=1,L1512&lt;&gt;1),MAX($N$8:N1512)+1,"")</f>
        <v/>
      </c>
      <c r="O1513" s="24" t="str">
        <f ca="1">IF(AND(L1513&lt;&gt;1,L1512=1),MAX($O$8:O1512)+1,"")</f>
        <v/>
      </c>
      <c r="P1513" s="17" t="str">
        <f ca="1">IF(AND(L1513=-1,L1512&lt;&gt;-1),MAX($P$8:P1512)+1,"")</f>
        <v/>
      </c>
      <c r="Q1513" s="24" t="str">
        <f ca="1">IF(AND(L1513&lt;&gt;-1,L1512=-1),MAX($Q$8:Q1512)+1,"")</f>
        <v/>
      </c>
    </row>
    <row r="1514" spans="1:17" x14ac:dyDescent="0.3">
      <c r="A1514" s="3">
        <v>42417</v>
      </c>
      <c r="B1514" s="9">
        <v>12.179829</v>
      </c>
      <c r="C1514" s="9">
        <v>9.2752979999999994</v>
      </c>
      <c r="E1514" s="14">
        <f t="shared" si="165"/>
        <v>1.3131469199156729</v>
      </c>
      <c r="F1514" s="18">
        <f t="shared" ca="1" si="164"/>
        <v>-1.4204651514308553</v>
      </c>
      <c r="G1514" s="15">
        <f t="shared" ca="1" si="169"/>
        <v>1.3949424195270974</v>
      </c>
      <c r="H1514" s="15">
        <f t="shared" ca="1" si="170"/>
        <v>5.7583601772300229E-2</v>
      </c>
      <c r="J1514" s="17">
        <f t="shared" ca="1" si="166"/>
        <v>0</v>
      </c>
      <c r="K1514" s="24">
        <f t="shared" ca="1" si="167"/>
        <v>-1</v>
      </c>
      <c r="L1514" s="17">
        <f t="shared" ca="1" si="168"/>
        <v>-1</v>
      </c>
      <c r="N1514" s="24" t="str">
        <f ca="1">IF(AND(L1514=1,L1513&lt;&gt;1),MAX($N$8:N1513)+1,"")</f>
        <v/>
      </c>
      <c r="O1514" s="24" t="str">
        <f ca="1">IF(AND(L1514&lt;&gt;1,L1513=1),MAX($O$8:O1513)+1,"")</f>
        <v/>
      </c>
      <c r="P1514" s="17" t="str">
        <f ca="1">IF(AND(L1514=-1,L1513&lt;&gt;-1),MAX($P$8:P1513)+1,"")</f>
        <v/>
      </c>
      <c r="Q1514" s="24" t="str">
        <f ca="1">IF(AND(L1514&lt;&gt;-1,L1513=-1),MAX($Q$8:Q1513)+1,"")</f>
        <v/>
      </c>
    </row>
    <row r="1515" spans="1:17" x14ac:dyDescent="0.3">
      <c r="A1515" s="3">
        <v>42418</v>
      </c>
      <c r="B1515" s="9">
        <v>11.932838</v>
      </c>
      <c r="C1515" s="9">
        <v>9.0870979999999992</v>
      </c>
      <c r="E1515" s="14">
        <f t="shared" si="165"/>
        <v>1.313162684060412</v>
      </c>
      <c r="F1515" s="18">
        <f t="shared" ca="1" si="164"/>
        <v>-1.2940699438623597</v>
      </c>
      <c r="G1515" s="15">
        <f t="shared" ca="1" si="169"/>
        <v>1.3880240930784462</v>
      </c>
      <c r="H1515" s="15">
        <f t="shared" ca="1" si="170"/>
        <v>5.7849584849021578E-2</v>
      </c>
      <c r="J1515" s="17">
        <f t="shared" ca="1" si="166"/>
        <v>0</v>
      </c>
      <c r="K1515" s="24">
        <f t="shared" ca="1" si="167"/>
        <v>-1</v>
      </c>
      <c r="L1515" s="17">
        <f t="shared" ca="1" si="168"/>
        <v>-1</v>
      </c>
      <c r="N1515" s="24" t="str">
        <f ca="1">IF(AND(L1515=1,L1514&lt;&gt;1),MAX($N$8:N1514)+1,"")</f>
        <v/>
      </c>
      <c r="O1515" s="24" t="str">
        <f ca="1">IF(AND(L1515&lt;&gt;1,L1514=1),MAX($O$8:O1514)+1,"")</f>
        <v/>
      </c>
      <c r="P1515" s="17" t="str">
        <f ca="1">IF(AND(L1515=-1,L1514&lt;&gt;-1),MAX($P$8:P1514)+1,"")</f>
        <v/>
      </c>
      <c r="Q1515" s="24" t="str">
        <f ca="1">IF(AND(L1515&lt;&gt;-1,L1514=-1),MAX($Q$8:Q1514)+1,"")</f>
        <v/>
      </c>
    </row>
    <row r="1516" spans="1:17" x14ac:dyDescent="0.3">
      <c r="A1516" s="3">
        <v>42419</v>
      </c>
      <c r="B1516" s="9">
        <v>11.753685000000001</v>
      </c>
      <c r="C1516" s="9">
        <v>9.1238709999999994</v>
      </c>
      <c r="E1516" s="14">
        <f t="shared" si="165"/>
        <v>1.2882344566248254</v>
      </c>
      <c r="F1516" s="18">
        <f t="shared" ca="1" si="164"/>
        <v>-1.5581165389128238</v>
      </c>
      <c r="G1516" s="15">
        <f t="shared" ca="1" si="169"/>
        <v>1.3800160750434862</v>
      </c>
      <c r="H1516" s="15">
        <f t="shared" ca="1" si="170"/>
        <v>5.8905490139204535E-2</v>
      </c>
      <c r="J1516" s="17">
        <f t="shared" ca="1" si="166"/>
        <v>0</v>
      </c>
      <c r="K1516" s="24">
        <f t="shared" ca="1" si="167"/>
        <v>-1</v>
      </c>
      <c r="L1516" s="17">
        <f t="shared" ca="1" si="168"/>
        <v>-1</v>
      </c>
      <c r="N1516" s="24" t="str">
        <f ca="1">IF(AND(L1516=1,L1515&lt;&gt;1),MAX($N$8:N1515)+1,"")</f>
        <v/>
      </c>
      <c r="O1516" s="24" t="str">
        <f ca="1">IF(AND(L1516&lt;&gt;1,L1515=1),MAX($O$8:O1515)+1,"")</f>
        <v/>
      </c>
      <c r="P1516" s="17" t="str">
        <f ca="1">IF(AND(L1516=-1,L1515&lt;&gt;-1),MAX($P$8:P1515)+1,"")</f>
        <v/>
      </c>
      <c r="Q1516" s="24" t="str">
        <f ca="1">IF(AND(L1516&lt;&gt;-1,L1515=-1),MAX($Q$8:Q1515)+1,"")</f>
        <v/>
      </c>
    </row>
    <row r="1517" spans="1:17" x14ac:dyDescent="0.3">
      <c r="A1517" s="3">
        <v>42422</v>
      </c>
      <c r="B1517" s="9">
        <v>12.228253</v>
      </c>
      <c r="C1517" s="9">
        <v>9.6011349999999993</v>
      </c>
      <c r="E1517" s="14">
        <f t="shared" si="165"/>
        <v>1.273625774452708</v>
      </c>
      <c r="F1517" s="18">
        <f t="shared" ca="1" si="164"/>
        <v>-1.6270252587506659</v>
      </c>
      <c r="G1517" s="15">
        <f t="shared" ca="1" si="169"/>
        <v>1.3715461005739464</v>
      </c>
      <c r="H1517" s="15">
        <f t="shared" ca="1" si="170"/>
        <v>6.0183654552743673E-2</v>
      </c>
      <c r="J1517" s="17">
        <f t="shared" ca="1" si="166"/>
        <v>0</v>
      </c>
      <c r="K1517" s="24">
        <f t="shared" ca="1" si="167"/>
        <v>-1</v>
      </c>
      <c r="L1517" s="17">
        <f t="shared" ca="1" si="168"/>
        <v>-1</v>
      </c>
      <c r="N1517" s="24" t="str">
        <f ca="1">IF(AND(L1517=1,L1516&lt;&gt;1),MAX($N$8:N1516)+1,"")</f>
        <v/>
      </c>
      <c r="O1517" s="24" t="str">
        <f ca="1">IF(AND(L1517&lt;&gt;1,L1516=1),MAX($O$8:O1516)+1,"")</f>
        <v/>
      </c>
      <c r="P1517" s="17" t="str">
        <f ca="1">IF(AND(L1517=-1,L1516&lt;&gt;-1),MAX($P$8:P1516)+1,"")</f>
        <v/>
      </c>
      <c r="Q1517" s="24" t="str">
        <f ca="1">IF(AND(L1517&lt;&gt;-1,L1516=-1),MAX($Q$8:Q1516)+1,"")</f>
        <v/>
      </c>
    </row>
    <row r="1518" spans="1:17" x14ac:dyDescent="0.3">
      <c r="A1518" s="3">
        <v>42423</v>
      </c>
      <c r="B1518" s="9">
        <v>12.053891999999999</v>
      </c>
      <c r="C1518" s="9">
        <v>9.5093700000000005</v>
      </c>
      <c r="E1518" s="14">
        <f t="shared" si="165"/>
        <v>1.2675805021783777</v>
      </c>
      <c r="F1518" s="18">
        <f t="shared" ca="1" si="164"/>
        <v>-1.5484408033204669</v>
      </c>
      <c r="G1518" s="15">
        <f t="shared" ca="1" si="169"/>
        <v>1.3639330474403624</v>
      </c>
      <c r="H1518" s="15">
        <f t="shared" ca="1" si="170"/>
        <v>6.2225527159557453E-2</v>
      </c>
      <c r="J1518" s="17">
        <f t="shared" ca="1" si="166"/>
        <v>0</v>
      </c>
      <c r="K1518" s="24">
        <f t="shared" ca="1" si="167"/>
        <v>-1</v>
      </c>
      <c r="L1518" s="17">
        <f t="shared" ca="1" si="168"/>
        <v>-1</v>
      </c>
      <c r="N1518" s="24" t="str">
        <f ca="1">IF(AND(L1518=1,L1517&lt;&gt;1),MAX($N$8:N1517)+1,"")</f>
        <v/>
      </c>
      <c r="O1518" s="24" t="str">
        <f ca="1">IF(AND(L1518&lt;&gt;1,L1517=1),MAX($O$8:O1517)+1,"")</f>
        <v/>
      </c>
      <c r="P1518" s="17" t="str">
        <f ca="1">IF(AND(L1518=-1,L1517&lt;&gt;-1),MAX($P$8:P1517)+1,"")</f>
        <v/>
      </c>
      <c r="Q1518" s="24" t="str">
        <f ca="1">IF(AND(L1518&lt;&gt;-1,L1517=-1),MAX($Q$8:Q1517)+1,"")</f>
        <v/>
      </c>
    </row>
    <row r="1519" spans="1:17" x14ac:dyDescent="0.3">
      <c r="A1519" s="3">
        <v>42424</v>
      </c>
      <c r="B1519" s="9">
        <v>11.952254</v>
      </c>
      <c r="C1519" s="9">
        <v>9.49099</v>
      </c>
      <c r="E1519" s="14">
        <f t="shared" si="165"/>
        <v>1.2593263716430003</v>
      </c>
      <c r="F1519" s="18">
        <f t="shared" ca="1" si="164"/>
        <v>-1.5040468280502401</v>
      </c>
      <c r="G1519" s="15">
        <f t="shared" ca="1" si="169"/>
        <v>1.3570137691787862</v>
      </c>
      <c r="H1519" s="15">
        <f t="shared" ca="1" si="170"/>
        <v>6.494970483227723E-2</v>
      </c>
      <c r="J1519" s="17">
        <f t="shared" ca="1" si="166"/>
        <v>0</v>
      </c>
      <c r="K1519" s="24">
        <f t="shared" ca="1" si="167"/>
        <v>-1</v>
      </c>
      <c r="L1519" s="17">
        <f t="shared" ca="1" si="168"/>
        <v>-1</v>
      </c>
      <c r="N1519" s="24" t="str">
        <f ca="1">IF(AND(L1519=1,L1518&lt;&gt;1),MAX($N$8:N1518)+1,"")</f>
        <v/>
      </c>
      <c r="O1519" s="24" t="str">
        <f ca="1">IF(AND(L1519&lt;&gt;1,L1518=1),MAX($O$8:O1518)+1,"")</f>
        <v/>
      </c>
      <c r="P1519" s="17" t="str">
        <f ca="1">IF(AND(L1519=-1,L1518&lt;&gt;-1),MAX($P$8:P1518)+1,"")</f>
        <v/>
      </c>
      <c r="Q1519" s="24" t="str">
        <f ca="1">IF(AND(L1519&lt;&gt;-1,L1518=-1),MAX($Q$8:Q1518)+1,"")</f>
        <v/>
      </c>
    </row>
    <row r="1520" spans="1:17" x14ac:dyDescent="0.3">
      <c r="A1520" s="3">
        <v>42425</v>
      </c>
      <c r="B1520" s="9">
        <v>11.961925000000001</v>
      </c>
      <c r="C1520" s="9">
        <v>9.4634940000000007</v>
      </c>
      <c r="E1520" s="14">
        <f t="shared" si="165"/>
        <v>1.264007247217571</v>
      </c>
      <c r="F1520" s="18">
        <f t="shared" ca="1" si="164"/>
        <v>-1.3038326765944186</v>
      </c>
      <c r="G1520" s="15">
        <f t="shared" ca="1" si="169"/>
        <v>1.3492232065379772</v>
      </c>
      <c r="H1520" s="15">
        <f t="shared" ca="1" si="170"/>
        <v>6.5358048505877619E-2</v>
      </c>
      <c r="J1520" s="17">
        <f t="shared" ca="1" si="166"/>
        <v>0</v>
      </c>
      <c r="K1520" s="24">
        <f t="shared" ca="1" si="167"/>
        <v>-1</v>
      </c>
      <c r="L1520" s="17">
        <f t="shared" ca="1" si="168"/>
        <v>-1</v>
      </c>
      <c r="N1520" s="24" t="str">
        <f ca="1">IF(AND(L1520=1,L1519&lt;&gt;1),MAX($N$8:N1519)+1,"")</f>
        <v/>
      </c>
      <c r="O1520" s="24" t="str">
        <f ca="1">IF(AND(L1520&lt;&gt;1,L1519=1),MAX($O$8:O1519)+1,"")</f>
        <v/>
      </c>
      <c r="P1520" s="17" t="str">
        <f ca="1">IF(AND(L1520=-1,L1519&lt;&gt;-1),MAX($P$8:P1519)+1,"")</f>
        <v/>
      </c>
      <c r="Q1520" s="24" t="str">
        <f ca="1">IF(AND(L1520&lt;&gt;-1,L1519=-1),MAX($Q$8:Q1519)+1,"")</f>
        <v/>
      </c>
    </row>
    <row r="1521" spans="1:17" x14ac:dyDescent="0.3">
      <c r="A1521" s="3">
        <v>42426</v>
      </c>
      <c r="B1521" s="9">
        <v>11.961925000000001</v>
      </c>
      <c r="C1521" s="9">
        <v>9.49099</v>
      </c>
      <c r="E1521" s="14">
        <f t="shared" si="165"/>
        <v>1.260345338052195</v>
      </c>
      <c r="F1521" s="18">
        <f t="shared" ca="1" si="164"/>
        <v>-1.2374318787422984</v>
      </c>
      <c r="G1521" s="15">
        <f t="shared" ca="1" si="169"/>
        <v>1.3419729429991103</v>
      </c>
      <c r="H1521" s="15">
        <f t="shared" ca="1" si="170"/>
        <v>6.5965332192572931E-2</v>
      </c>
      <c r="J1521" s="17">
        <f t="shared" ca="1" si="166"/>
        <v>0</v>
      </c>
      <c r="K1521" s="24">
        <f t="shared" ca="1" si="167"/>
        <v>-1</v>
      </c>
      <c r="L1521" s="17">
        <f t="shared" ca="1" si="168"/>
        <v>-1</v>
      </c>
      <c r="N1521" s="24" t="str">
        <f ca="1">IF(AND(L1521=1,L1520&lt;&gt;1),MAX($N$8:N1520)+1,"")</f>
        <v/>
      </c>
      <c r="O1521" s="24" t="str">
        <f ca="1">IF(AND(L1521&lt;&gt;1,L1520=1),MAX($O$8:O1520)+1,"")</f>
        <v/>
      </c>
      <c r="P1521" s="17" t="str">
        <f ca="1">IF(AND(L1521=-1,L1520&lt;&gt;-1),MAX($P$8:P1520)+1,"")</f>
        <v/>
      </c>
      <c r="Q1521" s="24" t="str">
        <f ca="1">IF(AND(L1521&lt;&gt;-1,L1520=-1),MAX($Q$8:Q1520)+1,"")</f>
        <v/>
      </c>
    </row>
    <row r="1522" spans="1:17" x14ac:dyDescent="0.3">
      <c r="A1522" s="3">
        <v>42429</v>
      </c>
      <c r="B1522" s="9">
        <v>12.300889</v>
      </c>
      <c r="C1522" s="9">
        <v>9.793927</v>
      </c>
      <c r="E1522" s="14">
        <f t="shared" si="165"/>
        <v>1.2559710726861655</v>
      </c>
      <c r="F1522" s="18">
        <f t="shared" ca="1" si="164"/>
        <v>-1.2099937497114928</v>
      </c>
      <c r="G1522" s="15">
        <f t="shared" ca="1" si="169"/>
        <v>1.3330723570465219</v>
      </c>
      <c r="H1522" s="15">
        <f t="shared" ca="1" si="170"/>
        <v>6.3720398868787761E-2</v>
      </c>
      <c r="J1522" s="17">
        <f t="shared" ca="1" si="166"/>
        <v>0</v>
      </c>
      <c r="K1522" s="24">
        <f t="shared" ca="1" si="167"/>
        <v>-1</v>
      </c>
      <c r="L1522" s="17">
        <f t="shared" ca="1" si="168"/>
        <v>-1</v>
      </c>
      <c r="N1522" s="24" t="str">
        <f ca="1">IF(AND(L1522=1,L1521&lt;&gt;1),MAX($N$8:N1521)+1,"")</f>
        <v/>
      </c>
      <c r="O1522" s="24" t="str">
        <f ca="1">IF(AND(L1522&lt;&gt;1,L1521=1),MAX($O$8:O1521)+1,"")</f>
        <v/>
      </c>
      <c r="P1522" s="17" t="str">
        <f ca="1">IF(AND(L1522=-1,L1521&lt;&gt;-1),MAX($P$8:P1521)+1,"")</f>
        <v/>
      </c>
      <c r="Q1522" s="24" t="str">
        <f ca="1">IF(AND(L1522&lt;&gt;-1,L1521=-1),MAX($Q$8:Q1521)+1,"")</f>
        <v/>
      </c>
    </row>
    <row r="1523" spans="1:17" x14ac:dyDescent="0.3">
      <c r="A1523" s="3">
        <v>42430</v>
      </c>
      <c r="B1523" s="9">
        <v>12.884944000000001</v>
      </c>
      <c r="C1523" s="9">
        <v>10.069288999999999</v>
      </c>
      <c r="E1523" s="14">
        <f t="shared" si="165"/>
        <v>1.2796279856502282</v>
      </c>
      <c r="F1523" s="18">
        <f t="shared" ca="1" si="164"/>
        <v>-0.76730304300158425</v>
      </c>
      <c r="G1523" s="15">
        <f t="shared" ca="1" si="169"/>
        <v>1.3257963794659626</v>
      </c>
      <c r="H1523" s="15">
        <f t="shared" ca="1" si="170"/>
        <v>6.0169699881718219E-2</v>
      </c>
      <c r="J1523" s="17">
        <f t="shared" ca="1" si="166"/>
        <v>0</v>
      </c>
      <c r="K1523" s="24">
        <f t="shared" ca="1" si="167"/>
        <v>-1</v>
      </c>
      <c r="L1523" s="17">
        <f t="shared" ca="1" si="168"/>
        <v>-1</v>
      </c>
      <c r="N1523" s="24" t="str">
        <f ca="1">IF(AND(L1523=1,L1522&lt;&gt;1),MAX($N$8:N1522)+1,"")</f>
        <v/>
      </c>
      <c r="O1523" s="24" t="str">
        <f ca="1">IF(AND(L1523&lt;&gt;1,L1522=1),MAX($O$8:O1522)+1,"")</f>
        <v/>
      </c>
      <c r="P1523" s="17" t="str">
        <f ca="1">IF(AND(L1523=-1,L1522&lt;&gt;-1),MAX($P$8:P1522)+1,"")</f>
        <v/>
      </c>
      <c r="Q1523" s="24" t="str">
        <f ca="1">IF(AND(L1523&lt;&gt;-1,L1522=-1),MAX($Q$8:Q1522)+1,"")</f>
        <v/>
      </c>
    </row>
    <row r="1524" spans="1:17" x14ac:dyDescent="0.3">
      <c r="A1524" s="3">
        <v>42431</v>
      </c>
      <c r="B1524" s="9">
        <v>13.185449999999999</v>
      </c>
      <c r="C1524" s="9">
        <v>10.296032</v>
      </c>
      <c r="E1524" s="14">
        <f t="shared" si="165"/>
        <v>1.2806341316732504</v>
      </c>
      <c r="F1524" s="18">
        <f t="shared" ca="1" si="164"/>
        <v>-0.68780225162877506</v>
      </c>
      <c r="G1524" s="15">
        <f t="shared" ca="1" si="169"/>
        <v>1.3182375113552738</v>
      </c>
      <c r="H1524" s="15">
        <f t="shared" ca="1" si="170"/>
        <v>5.4671789155931641E-2</v>
      </c>
      <c r="J1524" s="17">
        <f t="shared" ca="1" si="166"/>
        <v>0</v>
      </c>
      <c r="K1524" s="24">
        <f t="shared" ca="1" si="167"/>
        <v>-1</v>
      </c>
      <c r="L1524" s="17">
        <f t="shared" ca="1" si="168"/>
        <v>-1</v>
      </c>
      <c r="N1524" s="24" t="str">
        <f ca="1">IF(AND(L1524=1,L1523&lt;&gt;1),MAX($N$8:N1523)+1,"")</f>
        <v/>
      </c>
      <c r="O1524" s="24" t="str">
        <f ca="1">IF(AND(L1524&lt;&gt;1,L1523=1),MAX($O$8:O1523)+1,"")</f>
        <v/>
      </c>
      <c r="P1524" s="17" t="str">
        <f ca="1">IF(AND(L1524=-1,L1523&lt;&gt;-1),MAX($P$8:P1523)+1,"")</f>
        <v/>
      </c>
      <c r="Q1524" s="24" t="str">
        <f ca="1">IF(AND(L1524&lt;&gt;-1,L1523=-1),MAX($Q$8:Q1523)+1,"")</f>
        <v/>
      </c>
    </row>
    <row r="1525" spans="1:17" x14ac:dyDescent="0.3">
      <c r="A1525" s="3">
        <v>42432</v>
      </c>
      <c r="B1525" s="9">
        <v>14.489534000000001</v>
      </c>
      <c r="C1525" s="9">
        <v>11.215275</v>
      </c>
      <c r="E1525" s="14">
        <f t="shared" si="165"/>
        <v>1.291946385621396</v>
      </c>
      <c r="F1525" s="18">
        <f t="shared" ca="1" si="164"/>
        <v>-0.40964185777037415</v>
      </c>
      <c r="G1525" s="15">
        <f t="shared" ca="1" si="169"/>
        <v>1.3109750460634997</v>
      </c>
      <c r="H1525" s="15">
        <f t="shared" ca="1" si="170"/>
        <v>4.6451943523726238E-2</v>
      </c>
      <c r="J1525" s="17">
        <f t="shared" ca="1" si="166"/>
        <v>0</v>
      </c>
      <c r="K1525" s="24">
        <f t="shared" ca="1" si="167"/>
        <v>-1</v>
      </c>
      <c r="L1525" s="17">
        <f t="shared" ca="1" si="168"/>
        <v>-1</v>
      </c>
      <c r="N1525" s="24" t="str">
        <f ca="1">IF(AND(L1525=1,L1524&lt;&gt;1),MAX($N$8:N1524)+1,"")</f>
        <v/>
      </c>
      <c r="O1525" s="24" t="str">
        <f ca="1">IF(AND(L1525&lt;&gt;1,L1524=1),MAX($O$8:O1524)+1,"")</f>
        <v/>
      </c>
      <c r="P1525" s="17" t="str">
        <f ca="1">IF(AND(L1525=-1,L1524&lt;&gt;-1),MAX($P$8:P1524)+1,"")</f>
        <v/>
      </c>
      <c r="Q1525" s="24" t="str">
        <f ca="1">IF(AND(L1525&lt;&gt;-1,L1524=-1),MAX($Q$8:Q1524)+1,"")</f>
        <v/>
      </c>
    </row>
    <row r="1526" spans="1:17" x14ac:dyDescent="0.3">
      <c r="A1526" s="3">
        <v>42433</v>
      </c>
      <c r="B1526" s="9">
        <v>15.197251</v>
      </c>
      <c r="C1526" s="9">
        <v>12.373632000000001</v>
      </c>
      <c r="E1526" s="14">
        <f t="shared" si="165"/>
        <v>1.2281964584044522</v>
      </c>
      <c r="F1526" s="18">
        <f t="shared" ca="1" si="164"/>
        <v>-1.8556594154673127</v>
      </c>
      <c r="G1526" s="15">
        <f t="shared" ca="1" si="169"/>
        <v>1.3010744539006667</v>
      </c>
      <c r="H1526" s="15">
        <f t="shared" ca="1" si="170"/>
        <v>3.9273368210114942E-2</v>
      </c>
      <c r="J1526" s="17">
        <f t="shared" ca="1" si="166"/>
        <v>0</v>
      </c>
      <c r="K1526" s="24">
        <f t="shared" ca="1" si="167"/>
        <v>-1</v>
      </c>
      <c r="L1526" s="17">
        <f t="shared" ca="1" si="168"/>
        <v>-1</v>
      </c>
      <c r="N1526" s="24" t="str">
        <f ca="1">IF(AND(L1526=1,L1525&lt;&gt;1),MAX($N$8:N1525)+1,"")</f>
        <v/>
      </c>
      <c r="O1526" s="24" t="str">
        <f ca="1">IF(AND(L1526&lt;&gt;1,L1525=1),MAX($O$8:O1525)+1,"")</f>
        <v/>
      </c>
      <c r="P1526" s="17" t="str">
        <f ca="1">IF(AND(L1526=-1,L1525&lt;&gt;-1),MAX($P$8:P1525)+1,"")</f>
        <v/>
      </c>
      <c r="Q1526" s="24" t="str">
        <f ca="1">IF(AND(L1526&lt;&gt;-1,L1525=-1),MAX($Q$8:Q1525)+1,"")</f>
        <v/>
      </c>
    </row>
    <row r="1527" spans="1:17" x14ac:dyDescent="0.3">
      <c r="A1527" s="3">
        <v>42436</v>
      </c>
      <c r="B1527" s="9">
        <v>15.129410999999999</v>
      </c>
      <c r="C1527" s="9">
        <v>12.024283</v>
      </c>
      <c r="E1527" s="14">
        <f t="shared" si="165"/>
        <v>1.258238100350765</v>
      </c>
      <c r="F1527" s="18">
        <f t="shared" ca="1" si="164"/>
        <v>-1.0704515586927645</v>
      </c>
      <c r="G1527" s="15">
        <f t="shared" ca="1" si="169"/>
        <v>1.2947440380387234</v>
      </c>
      <c r="H1527" s="15">
        <f t="shared" ca="1" si="170"/>
        <v>3.4103306582634579E-2</v>
      </c>
      <c r="J1527" s="17">
        <f t="shared" ca="1" si="166"/>
        <v>0</v>
      </c>
      <c r="K1527" s="24">
        <f t="shared" ca="1" si="167"/>
        <v>-1</v>
      </c>
      <c r="L1527" s="17">
        <f t="shared" ca="1" si="168"/>
        <v>-1</v>
      </c>
      <c r="N1527" s="24" t="str">
        <f ca="1">IF(AND(L1527=1,L1526&lt;&gt;1),MAX($N$8:N1526)+1,"")</f>
        <v/>
      </c>
      <c r="O1527" s="24" t="str">
        <f ca="1">IF(AND(L1527&lt;&gt;1,L1526=1),MAX($O$8:O1526)+1,"")</f>
        <v/>
      </c>
      <c r="P1527" s="17" t="str">
        <f ca="1">IF(AND(L1527=-1,L1526&lt;&gt;-1),MAX($P$8:P1526)+1,"")</f>
        <v/>
      </c>
      <c r="Q1527" s="24" t="str">
        <f ca="1">IF(AND(L1527&lt;&gt;-1,L1526=-1),MAX($Q$8:Q1526)+1,"")</f>
        <v/>
      </c>
    </row>
    <row r="1528" spans="1:17" x14ac:dyDescent="0.3">
      <c r="A1528" s="3">
        <v>42437</v>
      </c>
      <c r="B1528" s="9">
        <v>15.468709</v>
      </c>
      <c r="C1528" s="9">
        <v>12.08404</v>
      </c>
      <c r="E1528" s="14">
        <f t="shared" si="165"/>
        <v>1.280094157252045</v>
      </c>
      <c r="F1528" s="18">
        <f t="shared" ca="1" si="164"/>
        <v>-0.35307824828281903</v>
      </c>
      <c r="G1528" s="15">
        <f t="shared" ca="1" si="169"/>
        <v>1.29086596605376</v>
      </c>
      <c r="H1528" s="15">
        <f t="shared" ca="1" si="170"/>
        <v>3.0508276434765533E-2</v>
      </c>
      <c r="J1528" s="17">
        <f t="shared" ca="1" si="166"/>
        <v>0</v>
      </c>
      <c r="K1528" s="24">
        <f t="shared" ca="1" si="167"/>
        <v>-1</v>
      </c>
      <c r="L1528" s="17">
        <f t="shared" ca="1" si="168"/>
        <v>-1</v>
      </c>
      <c r="N1528" s="24" t="str">
        <f ca="1">IF(AND(L1528=1,L1527&lt;&gt;1),MAX($N$8:N1527)+1,"")</f>
        <v/>
      </c>
      <c r="O1528" s="24" t="str">
        <f ca="1">IF(AND(L1528&lt;&gt;1,L1527=1),MAX($O$8:O1527)+1,"")</f>
        <v/>
      </c>
      <c r="P1528" s="17" t="str">
        <f ca="1">IF(AND(L1528=-1,L1527&lt;&gt;-1),MAX($P$8:P1527)+1,"")</f>
        <v/>
      </c>
      <c r="Q1528" s="24" t="str">
        <f ca="1">IF(AND(L1528&lt;&gt;-1,L1527=-1),MAX($Q$8:Q1527)+1,"")</f>
        <v/>
      </c>
    </row>
    <row r="1529" spans="1:17" x14ac:dyDescent="0.3">
      <c r="A1529" s="3">
        <v>42438</v>
      </c>
      <c r="B1529" s="9">
        <v>14.954886</v>
      </c>
      <c r="C1529" s="9">
        <v>11.537087</v>
      </c>
      <c r="E1529" s="14">
        <f t="shared" si="165"/>
        <v>1.2962445372909124</v>
      </c>
      <c r="F1529" s="18">
        <f t="shared" ca="1" si="164"/>
        <v>0.20456882202345322</v>
      </c>
      <c r="G1529" s="15">
        <f t="shared" ca="1" si="169"/>
        <v>1.2900799521307154</v>
      </c>
      <c r="H1529" s="15">
        <f t="shared" ca="1" si="170"/>
        <v>3.0134529295428366E-2</v>
      </c>
      <c r="J1529" s="17">
        <f t="shared" ca="1" si="166"/>
        <v>0</v>
      </c>
      <c r="K1529" s="24">
        <f t="shared" ca="1" si="167"/>
        <v>0</v>
      </c>
      <c r="L1529" s="17">
        <f t="shared" ca="1" si="168"/>
        <v>0</v>
      </c>
      <c r="N1529" s="24" t="str">
        <f ca="1">IF(AND(L1529=1,L1528&lt;&gt;1),MAX($N$8:N1528)+1,"")</f>
        <v/>
      </c>
      <c r="O1529" s="24" t="str">
        <f ca="1">IF(AND(L1529&lt;&gt;1,L1528=1),MAX($O$8:O1528)+1,"")</f>
        <v/>
      </c>
      <c r="P1529" s="17" t="str">
        <f ca="1">IF(AND(L1529=-1,L1528&lt;&gt;-1),MAX($P$8:P1528)+1,"")</f>
        <v/>
      </c>
      <c r="Q1529" s="24">
        <f ca="1">IF(AND(L1529&lt;&gt;-1,L1528=-1),MAX($Q$8:Q1528)+1,"")</f>
        <v>57</v>
      </c>
    </row>
    <row r="1530" spans="1:17" x14ac:dyDescent="0.3">
      <c r="A1530" s="3">
        <v>42439</v>
      </c>
      <c r="B1530" s="9">
        <v>15.541423</v>
      </c>
      <c r="C1530" s="9">
        <v>11.881835000000001</v>
      </c>
      <c r="E1530" s="14">
        <f t="shared" si="165"/>
        <v>1.30799855409539</v>
      </c>
      <c r="F1530" s="18">
        <f t="shared" ca="1" si="164"/>
        <v>0.68172796996504836</v>
      </c>
      <c r="G1530" s="15">
        <f t="shared" ca="1" si="169"/>
        <v>1.288626827339713</v>
      </c>
      <c r="H1530" s="15">
        <f t="shared" ca="1" si="170"/>
        <v>2.8415625600149826E-2</v>
      </c>
      <c r="J1530" s="17">
        <f t="shared" ca="1" si="166"/>
        <v>0</v>
      </c>
      <c r="K1530" s="24">
        <f t="shared" ca="1" si="167"/>
        <v>0</v>
      </c>
      <c r="L1530" s="17">
        <f t="shared" ca="1" si="168"/>
        <v>0</v>
      </c>
      <c r="N1530" s="24" t="str">
        <f ca="1">IF(AND(L1530=1,L1529&lt;&gt;1),MAX($N$8:N1529)+1,"")</f>
        <v/>
      </c>
      <c r="O1530" s="24" t="str">
        <f ca="1">IF(AND(L1530&lt;&gt;1,L1529=1),MAX($O$8:O1529)+1,"")</f>
        <v/>
      </c>
      <c r="P1530" s="17" t="str">
        <f ca="1">IF(AND(L1530=-1,L1529&lt;&gt;-1),MAX($P$8:P1529)+1,"")</f>
        <v/>
      </c>
      <c r="Q1530" s="24" t="str">
        <f ca="1">IF(AND(L1530&lt;&gt;-1,L1529=-1),MAX($Q$8:Q1529)+1,"")</f>
        <v/>
      </c>
    </row>
    <row r="1531" spans="1:17" x14ac:dyDescent="0.3">
      <c r="A1531" s="3">
        <v>42440</v>
      </c>
      <c r="B1531" s="9">
        <v>15.672283999999999</v>
      </c>
      <c r="C1531" s="9">
        <v>12.304672</v>
      </c>
      <c r="E1531" s="14">
        <f t="shared" si="165"/>
        <v>1.2736856374554315</v>
      </c>
      <c r="F1531" s="18">
        <f t="shared" ca="1" si="164"/>
        <v>-0.45665350877353267</v>
      </c>
      <c r="G1531" s="15">
        <f t="shared" ca="1" si="169"/>
        <v>1.2860016379656487</v>
      </c>
      <c r="H1531" s="15">
        <f t="shared" ca="1" si="170"/>
        <v>2.6970121270490546E-2</v>
      </c>
      <c r="J1531" s="17">
        <f t="shared" ca="1" si="166"/>
        <v>0</v>
      </c>
      <c r="K1531" s="24">
        <f t="shared" ca="1" si="167"/>
        <v>0</v>
      </c>
      <c r="L1531" s="17">
        <f t="shared" ca="1" si="168"/>
        <v>0</v>
      </c>
      <c r="N1531" s="24" t="str">
        <f ca="1">IF(AND(L1531=1,L1530&lt;&gt;1),MAX($N$8:N1530)+1,"")</f>
        <v/>
      </c>
      <c r="O1531" s="24" t="str">
        <f ca="1">IF(AND(L1531&lt;&gt;1,L1530=1),MAX($O$8:O1530)+1,"")</f>
        <v/>
      </c>
      <c r="P1531" s="17" t="str">
        <f ca="1">IF(AND(L1531=-1,L1530&lt;&gt;-1),MAX($P$8:P1530)+1,"")</f>
        <v/>
      </c>
      <c r="Q1531" s="24" t="str">
        <f ca="1">IF(AND(L1531&lt;&gt;-1,L1530=-1),MAX($Q$8:Q1530)+1,"")</f>
        <v/>
      </c>
    </row>
    <row r="1532" spans="1:17" x14ac:dyDescent="0.3">
      <c r="A1532" s="3">
        <v>42443</v>
      </c>
      <c r="B1532" s="9">
        <v>15.599572</v>
      </c>
      <c r="C1532" s="9">
        <v>12.226501000000001</v>
      </c>
      <c r="E1532" s="14">
        <f t="shared" si="165"/>
        <v>1.2758819551071889</v>
      </c>
      <c r="F1532" s="18">
        <f t="shared" ca="1" si="164"/>
        <v>-0.30646954284889955</v>
      </c>
      <c r="G1532" s="15">
        <f t="shared" ca="1" si="169"/>
        <v>1.283716786742743</v>
      </c>
      <c r="H1532" s="15">
        <f t="shared" ca="1" si="170"/>
        <v>2.5564796954119999E-2</v>
      </c>
      <c r="J1532" s="17">
        <f t="shared" ca="1" si="166"/>
        <v>0</v>
      </c>
      <c r="K1532" s="24">
        <f t="shared" ca="1" si="167"/>
        <v>0</v>
      </c>
      <c r="L1532" s="17">
        <f t="shared" ca="1" si="168"/>
        <v>0</v>
      </c>
      <c r="N1532" s="24" t="str">
        <f ca="1">IF(AND(L1532=1,L1531&lt;&gt;1),MAX($N$8:N1531)+1,"")</f>
        <v/>
      </c>
      <c r="O1532" s="24" t="str">
        <f ca="1">IF(AND(L1532&lt;&gt;1,L1531=1),MAX($O$8:O1531)+1,"")</f>
        <v/>
      </c>
      <c r="P1532" s="17" t="str">
        <f ca="1">IF(AND(L1532=-1,L1531&lt;&gt;-1),MAX($P$8:P1531)+1,"")</f>
        <v/>
      </c>
      <c r="Q1532" s="24" t="str">
        <f ca="1">IF(AND(L1532&lt;&gt;-1,L1531=-1),MAX($Q$8:Q1531)+1,"")</f>
        <v/>
      </c>
    </row>
    <row r="1533" spans="1:17" x14ac:dyDescent="0.3">
      <c r="A1533" s="3">
        <v>42444</v>
      </c>
      <c r="B1533" s="9">
        <v>14.906416</v>
      </c>
      <c r="C1533" s="9">
        <v>11.583035000000001</v>
      </c>
      <c r="E1533" s="14">
        <f t="shared" si="165"/>
        <v>1.2869179796141512</v>
      </c>
      <c r="F1533" s="18">
        <f t="shared" ca="1" si="164"/>
        <v>0.22637191943181686</v>
      </c>
      <c r="G1533" s="15">
        <f t="shared" ca="1" si="169"/>
        <v>1.2816482943534488</v>
      </c>
      <c r="H1533" s="15">
        <f t="shared" ca="1" si="170"/>
        <v>2.3278882265649559E-2</v>
      </c>
      <c r="J1533" s="17">
        <f t="shared" ca="1" si="166"/>
        <v>0</v>
      </c>
      <c r="K1533" s="24">
        <f t="shared" ca="1" si="167"/>
        <v>0</v>
      </c>
      <c r="L1533" s="17">
        <f t="shared" ca="1" si="168"/>
        <v>0</v>
      </c>
      <c r="N1533" s="24" t="str">
        <f ca="1">IF(AND(L1533=1,L1532&lt;&gt;1),MAX($N$8:N1532)+1,"")</f>
        <v/>
      </c>
      <c r="O1533" s="24" t="str">
        <f ca="1">IF(AND(L1533&lt;&gt;1,L1532=1),MAX($O$8:O1532)+1,"")</f>
        <v/>
      </c>
      <c r="P1533" s="17" t="str">
        <f ca="1">IF(AND(L1533=-1,L1532&lt;&gt;-1),MAX($P$8:P1532)+1,"")</f>
        <v/>
      </c>
      <c r="Q1533" s="24" t="str">
        <f ca="1">IF(AND(L1533&lt;&gt;-1,L1532=-1),MAX($Q$8:Q1532)+1,"")</f>
        <v/>
      </c>
    </row>
    <row r="1534" spans="1:17" x14ac:dyDescent="0.3">
      <c r="A1534" s="3">
        <v>42445</v>
      </c>
      <c r="B1534" s="9">
        <v>14.465218999999999</v>
      </c>
      <c r="C1534" s="9">
        <v>11.325583</v>
      </c>
      <c r="E1534" s="14">
        <f t="shared" si="165"/>
        <v>1.277216281051492</v>
      </c>
      <c r="F1534" s="18">
        <f t="shared" ca="1" si="164"/>
        <v>-0.10118209274552012</v>
      </c>
      <c r="G1534" s="15">
        <f t="shared" ca="1" si="169"/>
        <v>1.2793377199516109</v>
      </c>
      <c r="H1534" s="15">
        <f t="shared" ca="1" si="170"/>
        <v>2.0966544993831257E-2</v>
      </c>
      <c r="J1534" s="17">
        <f t="shared" ca="1" si="166"/>
        <v>0</v>
      </c>
      <c r="K1534" s="24">
        <f t="shared" ca="1" si="167"/>
        <v>0</v>
      </c>
      <c r="L1534" s="17">
        <f t="shared" ca="1" si="168"/>
        <v>0</v>
      </c>
      <c r="N1534" s="24" t="str">
        <f ca="1">IF(AND(L1534=1,L1533&lt;&gt;1),MAX($N$8:N1533)+1,"")</f>
        <v/>
      </c>
      <c r="O1534" s="24" t="str">
        <f ca="1">IF(AND(L1534&lt;&gt;1,L1533=1),MAX($O$8:O1533)+1,"")</f>
        <v/>
      </c>
      <c r="P1534" s="17" t="str">
        <f ca="1">IF(AND(L1534=-1,L1533&lt;&gt;-1),MAX($P$8:P1533)+1,"")</f>
        <v/>
      </c>
      <c r="Q1534" s="24" t="str">
        <f ca="1">IF(AND(L1534&lt;&gt;-1,L1533=-1),MAX($Q$8:Q1533)+1,"")</f>
        <v/>
      </c>
    </row>
    <row r="1535" spans="1:17" x14ac:dyDescent="0.3">
      <c r="A1535" s="3">
        <v>42446</v>
      </c>
      <c r="B1535" s="9">
        <v>16.045566999999998</v>
      </c>
      <c r="C1535" s="9">
        <v>12.801073000000001</v>
      </c>
      <c r="E1535" s="14">
        <f t="shared" si="165"/>
        <v>1.2534548471053948</v>
      </c>
      <c r="F1535" s="18">
        <f t="shared" ca="1" si="164"/>
        <v>-1.1437304845284124</v>
      </c>
      <c r="G1535" s="15">
        <f t="shared" ca="1" si="169"/>
        <v>1.2766153353410468</v>
      </c>
      <c r="H1535" s="15">
        <f t="shared" ca="1" si="170"/>
        <v>2.024995271958813E-2</v>
      </c>
      <c r="J1535" s="17">
        <f t="shared" ca="1" si="166"/>
        <v>0</v>
      </c>
      <c r="K1535" s="24">
        <f t="shared" ca="1" si="167"/>
        <v>-1</v>
      </c>
      <c r="L1535" s="17">
        <f t="shared" ca="1" si="168"/>
        <v>-1</v>
      </c>
      <c r="N1535" s="24" t="str">
        <f ca="1">IF(AND(L1535=1,L1534&lt;&gt;1),MAX($N$8:N1534)+1,"")</f>
        <v/>
      </c>
      <c r="O1535" s="24" t="str">
        <f ca="1">IF(AND(L1535&lt;&gt;1,L1534=1),MAX($O$8:O1534)+1,"")</f>
        <v/>
      </c>
      <c r="P1535" s="17">
        <f ca="1">IF(AND(L1535=-1,L1534&lt;&gt;-1),MAX($P$8:P1534)+1,"")</f>
        <v>58</v>
      </c>
      <c r="Q1535" s="24" t="str">
        <f ca="1">IF(AND(L1535&lt;&gt;-1,L1534=-1),MAX($Q$8:Q1534)+1,"")</f>
        <v/>
      </c>
    </row>
    <row r="1536" spans="1:17" x14ac:dyDescent="0.3">
      <c r="A1536" s="3">
        <v>42447</v>
      </c>
      <c r="B1536" s="9">
        <v>16.089244999999998</v>
      </c>
      <c r="C1536" s="9">
        <v>12.631003</v>
      </c>
      <c r="E1536" s="14">
        <f t="shared" si="165"/>
        <v>1.2737899753487509</v>
      </c>
      <c r="F1536" s="18">
        <f t="shared" ca="1" si="164"/>
        <v>-5.5672488885583925E-2</v>
      </c>
      <c r="G1536" s="15">
        <f t="shared" ca="1" si="169"/>
        <v>1.2748263833152775</v>
      </c>
      <c r="H1536" s="15">
        <f t="shared" ca="1" si="170"/>
        <v>1.8616160104797649E-2</v>
      </c>
      <c r="J1536" s="17">
        <f t="shared" ca="1" si="166"/>
        <v>0</v>
      </c>
      <c r="K1536" s="24">
        <f t="shared" ca="1" si="167"/>
        <v>-1</v>
      </c>
      <c r="L1536" s="17">
        <f t="shared" ca="1" si="168"/>
        <v>-1</v>
      </c>
      <c r="N1536" s="24" t="str">
        <f ca="1">IF(AND(L1536=1,L1535&lt;&gt;1),MAX($N$8:N1535)+1,"")</f>
        <v/>
      </c>
      <c r="O1536" s="24" t="str">
        <f ca="1">IF(AND(L1536&lt;&gt;1,L1535=1),MAX($O$8:O1535)+1,"")</f>
        <v/>
      </c>
      <c r="P1536" s="17" t="str">
        <f ca="1">IF(AND(L1536=-1,L1535&lt;&gt;-1),MAX($P$8:P1535)+1,"")</f>
        <v/>
      </c>
      <c r="Q1536" s="24" t="str">
        <f ca="1">IF(AND(L1536&lt;&gt;-1,L1535=-1),MAX($Q$8:Q1535)+1,"")</f>
        <v/>
      </c>
    </row>
    <row r="1537" spans="1:17" x14ac:dyDescent="0.3">
      <c r="A1537" s="3">
        <v>42450</v>
      </c>
      <c r="B1537" s="9">
        <v>16.094048999999998</v>
      </c>
      <c r="C1537" s="9">
        <v>12.842421</v>
      </c>
      <c r="E1537" s="14">
        <f t="shared" si="165"/>
        <v>1.2531943159315519</v>
      </c>
      <c r="F1537" s="18">
        <f t="shared" ca="1" si="164"/>
        <v>-1.1033879988729021</v>
      </c>
      <c r="G1537" s="15">
        <f t="shared" ca="1" si="169"/>
        <v>1.2721005484003294</v>
      </c>
      <c r="H1537" s="15">
        <f t="shared" ca="1" si="170"/>
        <v>1.7134709175820224E-2</v>
      </c>
      <c r="J1537" s="17">
        <f t="shared" ca="1" si="166"/>
        <v>0</v>
      </c>
      <c r="K1537" s="24">
        <f t="shared" ca="1" si="167"/>
        <v>-1</v>
      </c>
      <c r="L1537" s="17">
        <f t="shared" ca="1" si="168"/>
        <v>-1</v>
      </c>
      <c r="N1537" s="24" t="str">
        <f ca="1">IF(AND(L1537=1,L1536&lt;&gt;1),MAX($N$8:N1536)+1,"")</f>
        <v/>
      </c>
      <c r="O1537" s="24" t="str">
        <f ca="1">IF(AND(L1537&lt;&gt;1,L1536=1),MAX($O$8:O1536)+1,"")</f>
        <v/>
      </c>
      <c r="P1537" s="17" t="str">
        <f ca="1">IF(AND(L1537=-1,L1536&lt;&gt;-1),MAX($P$8:P1536)+1,"")</f>
        <v/>
      </c>
      <c r="Q1537" s="24" t="str">
        <f ca="1">IF(AND(L1537&lt;&gt;-1,L1536=-1),MAX($Q$8:Q1536)+1,"")</f>
        <v/>
      </c>
    </row>
    <row r="1538" spans="1:17" x14ac:dyDescent="0.3">
      <c r="A1538" s="3">
        <v>42451</v>
      </c>
      <c r="B1538" s="9">
        <v>15.682031</v>
      </c>
      <c r="C1538" s="9">
        <v>12.709178</v>
      </c>
      <c r="E1538" s="14">
        <f t="shared" si="165"/>
        <v>1.2339138691739151</v>
      </c>
      <c r="F1538" s="18">
        <f t="shared" ref="F1538:F1601" ca="1" si="171">IF(ISNUMBER(G1538),(E1538-G1538)/H1538,"")</f>
        <v>-1.931518384600482</v>
      </c>
      <c r="G1538" s="15">
        <f t="shared" ca="1" si="169"/>
        <v>1.2696314307889243</v>
      </c>
      <c r="H1538" s="15">
        <f t="shared" ca="1" si="170"/>
        <v>1.8491960469947603E-2</v>
      </c>
      <c r="J1538" s="17">
        <f t="shared" ca="1" si="166"/>
        <v>0</v>
      </c>
      <c r="K1538" s="24">
        <f t="shared" ca="1" si="167"/>
        <v>-1</v>
      </c>
      <c r="L1538" s="17">
        <f t="shared" ca="1" si="168"/>
        <v>-1</v>
      </c>
      <c r="N1538" s="24" t="str">
        <f ca="1">IF(AND(L1538=1,L1537&lt;&gt;1),MAX($N$8:N1537)+1,"")</f>
        <v/>
      </c>
      <c r="O1538" s="24" t="str">
        <f ca="1">IF(AND(L1538&lt;&gt;1,L1537=1),MAX($O$8:O1537)+1,"")</f>
        <v/>
      </c>
      <c r="P1538" s="17" t="str">
        <f ca="1">IF(AND(L1538=-1,L1537&lt;&gt;-1),MAX($P$8:P1537)+1,"")</f>
        <v/>
      </c>
      <c r="Q1538" s="24" t="str">
        <f ca="1">IF(AND(L1538&lt;&gt;-1,L1537=-1),MAX($Q$8:Q1537)+1,"")</f>
        <v/>
      </c>
    </row>
    <row r="1539" spans="1:17" x14ac:dyDescent="0.3">
      <c r="A1539" s="3">
        <v>42452</v>
      </c>
      <c r="B1539" s="9">
        <v>15.182689</v>
      </c>
      <c r="C1539" s="9">
        <v>12.295463</v>
      </c>
      <c r="E1539" s="14">
        <f t="shared" ref="E1539:E1602" si="172">IF(ISNUMBER(B1539),B1539/C1539,"")</f>
        <v>1.234820437424764</v>
      </c>
      <c r="F1539" s="18">
        <f t="shared" ca="1" si="171"/>
        <v>-1.6665862653032244</v>
      </c>
      <c r="G1539" s="15">
        <f t="shared" ca="1" si="169"/>
        <v>1.2678675518331088</v>
      </c>
      <c r="H1539" s="15">
        <f t="shared" ca="1" si="170"/>
        <v>1.9829225223053269E-2</v>
      </c>
      <c r="J1539" s="17">
        <f t="shared" ca="1" si="166"/>
        <v>0</v>
      </c>
      <c r="K1539" s="24">
        <f t="shared" ca="1" si="167"/>
        <v>-1</v>
      </c>
      <c r="L1539" s="17">
        <f t="shared" ca="1" si="168"/>
        <v>-1</v>
      </c>
      <c r="N1539" s="24" t="str">
        <f ca="1">IF(AND(L1539=1,L1538&lt;&gt;1),MAX($N$8:N1538)+1,"")</f>
        <v/>
      </c>
      <c r="O1539" s="24" t="str">
        <f ca="1">IF(AND(L1539&lt;&gt;1,L1538=1),MAX($O$8:O1538)+1,"")</f>
        <v/>
      </c>
      <c r="P1539" s="17" t="str">
        <f ca="1">IF(AND(L1539=-1,L1538&lt;&gt;-1),MAX($P$8:P1538)+1,"")</f>
        <v/>
      </c>
      <c r="Q1539" s="24" t="str">
        <f ca="1">IF(AND(L1539&lt;&gt;-1,L1538=-1),MAX($Q$8:Q1538)+1,"")</f>
        <v/>
      </c>
    </row>
    <row r="1540" spans="1:17" x14ac:dyDescent="0.3">
      <c r="A1540" s="3">
        <v>42453</v>
      </c>
      <c r="B1540" s="9">
        <v>15.022721000000001</v>
      </c>
      <c r="C1540" s="9">
        <v>12.070235</v>
      </c>
      <c r="E1540" s="14">
        <f t="shared" si="172"/>
        <v>1.2446088249317433</v>
      </c>
      <c r="F1540" s="18">
        <f t="shared" ca="1" si="171"/>
        <v>-1.0882515348062556</v>
      </c>
      <c r="G1540" s="15">
        <f t="shared" ca="1" si="169"/>
        <v>1.2668233846855341</v>
      </c>
      <c r="H1540" s="15">
        <f t="shared" ca="1" si="170"/>
        <v>2.0413074591018841E-2</v>
      </c>
      <c r="J1540" s="17">
        <f t="shared" ca="1" si="166"/>
        <v>0</v>
      </c>
      <c r="K1540" s="24">
        <f t="shared" ca="1" si="167"/>
        <v>-1</v>
      </c>
      <c r="L1540" s="17">
        <f t="shared" ca="1" si="168"/>
        <v>-1</v>
      </c>
      <c r="N1540" s="24" t="str">
        <f ca="1">IF(AND(L1540=1,L1539&lt;&gt;1),MAX($N$8:N1539)+1,"")</f>
        <v/>
      </c>
      <c r="O1540" s="24" t="str">
        <f ca="1">IF(AND(L1540&lt;&gt;1,L1539=1),MAX($O$8:O1539)+1,"")</f>
        <v/>
      </c>
      <c r="P1540" s="17" t="str">
        <f ca="1">IF(AND(L1540=-1,L1539&lt;&gt;-1),MAX($P$8:P1539)+1,"")</f>
        <v/>
      </c>
      <c r="Q1540" s="24" t="str">
        <f ca="1">IF(AND(L1540&lt;&gt;-1,L1539=-1),MAX($Q$8:Q1539)+1,"")</f>
        <v/>
      </c>
    </row>
    <row r="1541" spans="1:17" x14ac:dyDescent="0.3">
      <c r="A1541" s="3">
        <v>42457</v>
      </c>
      <c r="B1541" s="9">
        <v>15.396005000000001</v>
      </c>
      <c r="C1541" s="9">
        <v>12.658623</v>
      </c>
      <c r="E1541" s="14">
        <f t="shared" si="172"/>
        <v>1.2162464274352747</v>
      </c>
      <c r="F1541" s="18">
        <f t="shared" ca="1" si="171"/>
        <v>-2.1187149009804798</v>
      </c>
      <c r="G1541" s="15">
        <f t="shared" ca="1" si="169"/>
        <v>1.2648652054033649</v>
      </c>
      <c r="H1541" s="15">
        <f t="shared" ca="1" si="170"/>
        <v>2.2947295997961248E-2</v>
      </c>
      <c r="J1541" s="17">
        <f t="shared" ca="1" si="166"/>
        <v>0</v>
      </c>
      <c r="K1541" s="24">
        <f t="shared" ca="1" si="167"/>
        <v>-1</v>
      </c>
      <c r="L1541" s="17">
        <f t="shared" ca="1" si="168"/>
        <v>-1</v>
      </c>
      <c r="N1541" s="24" t="str">
        <f ca="1">IF(AND(L1541=1,L1540&lt;&gt;1),MAX($N$8:N1540)+1,"")</f>
        <v/>
      </c>
      <c r="O1541" s="24" t="str">
        <f ca="1">IF(AND(L1541&lt;&gt;1,L1540=1),MAX($O$8:O1540)+1,"")</f>
        <v/>
      </c>
      <c r="P1541" s="17" t="str">
        <f ca="1">IF(AND(L1541=-1,L1540&lt;&gt;-1),MAX($P$8:P1540)+1,"")</f>
        <v/>
      </c>
      <c r="Q1541" s="24" t="str">
        <f ca="1">IF(AND(L1541&lt;&gt;-1,L1540=-1),MAX($Q$8:Q1540)+1,"")</f>
        <v/>
      </c>
    </row>
    <row r="1542" spans="1:17" x14ac:dyDescent="0.3">
      <c r="A1542" s="3">
        <v>42458</v>
      </c>
      <c r="B1542" s="9">
        <v>15.488068999999999</v>
      </c>
      <c r="C1542" s="9">
        <v>12.879244999999999</v>
      </c>
      <c r="E1542" s="14">
        <f t="shared" si="172"/>
        <v>1.2025603208883751</v>
      </c>
      <c r="F1542" s="18">
        <f t="shared" ca="1" si="171"/>
        <v>-2.2570981983105116</v>
      </c>
      <c r="G1542" s="15">
        <f t="shared" ca="1" si="169"/>
        <v>1.2620721632974925</v>
      </c>
      <c r="H1542" s="15">
        <f t="shared" ca="1" si="170"/>
        <v>2.6366527807103555E-2</v>
      </c>
      <c r="J1542" s="17">
        <f t="shared" ca="1" si="166"/>
        <v>0</v>
      </c>
      <c r="K1542" s="24">
        <f t="shared" ca="1" si="167"/>
        <v>-1</v>
      </c>
      <c r="L1542" s="17">
        <f t="shared" ca="1" si="168"/>
        <v>-1</v>
      </c>
      <c r="N1542" s="24" t="str">
        <f ca="1">IF(AND(L1542=1,L1541&lt;&gt;1),MAX($N$8:N1541)+1,"")</f>
        <v/>
      </c>
      <c r="O1542" s="24" t="str">
        <f ca="1">IF(AND(L1542&lt;&gt;1,L1541=1),MAX($O$8:O1541)+1,"")</f>
        <v/>
      </c>
      <c r="P1542" s="17" t="str">
        <f ca="1">IF(AND(L1542=-1,L1541&lt;&gt;-1),MAX($P$8:P1541)+1,"")</f>
        <v/>
      </c>
      <c r="Q1542" s="24" t="str">
        <f ca="1">IF(AND(L1542&lt;&gt;-1,L1541=-1),MAX($Q$8:Q1541)+1,"")</f>
        <v/>
      </c>
    </row>
    <row r="1543" spans="1:17" x14ac:dyDescent="0.3">
      <c r="A1543" s="3">
        <v>42459</v>
      </c>
      <c r="B1543" s="9">
        <v>15.575335000000001</v>
      </c>
      <c r="C1543" s="9">
        <v>12.89758</v>
      </c>
      <c r="E1543" s="14">
        <f t="shared" si="172"/>
        <v>1.2076168552550168</v>
      </c>
      <c r="F1543" s="18">
        <f t="shared" ca="1" si="171"/>
        <v>-1.8134315418730846</v>
      </c>
      <c r="G1543" s="15">
        <f t="shared" ca="1" si="169"/>
        <v>1.2596754140794388</v>
      </c>
      <c r="H1543" s="15">
        <f t="shared" ca="1" si="170"/>
        <v>2.8707209300358246E-2</v>
      </c>
      <c r="J1543" s="17">
        <f t="shared" ca="1" si="166"/>
        <v>0</v>
      </c>
      <c r="K1543" s="24">
        <f t="shared" ca="1" si="167"/>
        <v>-1</v>
      </c>
      <c r="L1543" s="17">
        <f t="shared" ca="1" si="168"/>
        <v>-1</v>
      </c>
      <c r="N1543" s="24" t="str">
        <f ca="1">IF(AND(L1543=1,L1542&lt;&gt;1),MAX($N$8:N1542)+1,"")</f>
        <v/>
      </c>
      <c r="O1543" s="24" t="str">
        <f ca="1">IF(AND(L1543&lt;&gt;1,L1542=1),MAX($O$8:O1542)+1,"")</f>
        <v/>
      </c>
      <c r="P1543" s="17" t="str">
        <f ca="1">IF(AND(L1543=-1,L1542&lt;&gt;-1),MAX($P$8:P1542)+1,"")</f>
        <v/>
      </c>
      <c r="Q1543" s="24" t="str">
        <f ca="1">IF(AND(L1543&lt;&gt;-1,L1542=-1),MAX($Q$8:Q1542)+1,"")</f>
        <v/>
      </c>
    </row>
    <row r="1544" spans="1:17" x14ac:dyDescent="0.3">
      <c r="A1544" s="3">
        <v>42460</v>
      </c>
      <c r="B1544" s="9">
        <v>15.129410999999999</v>
      </c>
      <c r="C1544" s="9">
        <v>12.437917000000001</v>
      </c>
      <c r="E1544" s="14">
        <f t="shared" si="172"/>
        <v>1.2163942724493175</v>
      </c>
      <c r="F1544" s="18">
        <f t="shared" ca="1" si="171"/>
        <v>-1.3786163305486707</v>
      </c>
      <c r="G1544" s="15">
        <f t="shared" ca="1" si="169"/>
        <v>1.2578764686141275</v>
      </c>
      <c r="H1544" s="15">
        <f t="shared" ca="1" si="170"/>
        <v>3.0089732179728799E-2</v>
      </c>
      <c r="J1544" s="17">
        <f t="shared" ref="J1544:J1607" ca="1" si="173">IF(ISNUMBER(F1544),IF(AND(J1543&lt;&gt;1,F1544&gt;$L$1),1,IF(AND(J1543=1,F1544&gt;$N$1),1,0)),"")</f>
        <v>0</v>
      </c>
      <c r="K1544" s="24">
        <f t="shared" ca="1" si="167"/>
        <v>-1</v>
      </c>
      <c r="L1544" s="17">
        <f t="shared" ca="1" si="168"/>
        <v>-1</v>
      </c>
      <c r="N1544" s="24" t="str">
        <f ca="1">IF(AND(L1544=1,L1543&lt;&gt;1),MAX($N$8:N1543)+1,"")</f>
        <v/>
      </c>
      <c r="O1544" s="24" t="str">
        <f ca="1">IF(AND(L1544&lt;&gt;1,L1543=1),MAX($O$8:O1543)+1,"")</f>
        <v/>
      </c>
      <c r="P1544" s="17" t="str">
        <f ca="1">IF(AND(L1544=-1,L1543&lt;&gt;-1),MAX($P$8:P1543)+1,"")</f>
        <v/>
      </c>
      <c r="Q1544" s="24" t="str">
        <f ca="1">IF(AND(L1544&lt;&gt;-1,L1543=-1),MAX($Q$8:Q1543)+1,"")</f>
        <v/>
      </c>
    </row>
    <row r="1545" spans="1:17" x14ac:dyDescent="0.3">
      <c r="A1545" s="3">
        <v>42461</v>
      </c>
      <c r="B1545" s="9">
        <v>15.238443999999999</v>
      </c>
      <c r="C1545" s="9">
        <v>12.686163000000001</v>
      </c>
      <c r="E1545" s="14">
        <f t="shared" si="172"/>
        <v>1.2011862057897253</v>
      </c>
      <c r="F1545" s="18">
        <f t="shared" ca="1" si="171"/>
        <v>-1.6656431084704937</v>
      </c>
      <c r="G1545" s="15">
        <f t="shared" ca="1" si="169"/>
        <v>1.2543109331659228</v>
      </c>
      <c r="H1545" s="15">
        <f t="shared" ca="1" si="170"/>
        <v>3.1894423905118645E-2</v>
      </c>
      <c r="J1545" s="17">
        <f t="shared" ca="1" si="173"/>
        <v>0</v>
      </c>
      <c r="K1545" s="24">
        <f t="shared" ref="K1545:K1608" ca="1" si="174">IF(ISNUMBER(F1545),IF(AND(K1544&lt;&gt;-1,F1545&lt;$P$1),-1,IF(AND(K1544=-1,F1545&lt;R1538),-1,0)),"")</f>
        <v>-1</v>
      </c>
      <c r="L1545" s="17">
        <f t="shared" ref="L1545:L1608" ca="1" si="175">IF(ISNUMBER(F1545),IF(J1545=1,1,IF(K1545=-1,-1,0)),"")</f>
        <v>-1</v>
      </c>
      <c r="N1545" s="24" t="str">
        <f ca="1">IF(AND(L1545=1,L1544&lt;&gt;1),MAX($N$8:N1544)+1,"")</f>
        <v/>
      </c>
      <c r="O1545" s="24" t="str">
        <f ca="1">IF(AND(L1545&lt;&gt;1,L1544=1),MAX($O$8:O1544)+1,"")</f>
        <v/>
      </c>
      <c r="P1545" s="17" t="str">
        <f ca="1">IF(AND(L1545=-1,L1544&lt;&gt;-1),MAX($P$8:P1544)+1,"")</f>
        <v/>
      </c>
      <c r="Q1545" s="24" t="str">
        <f ca="1">IF(AND(L1545&lt;&gt;-1,L1544=-1),MAX($Q$8:Q1544)+1,"")</f>
        <v/>
      </c>
    </row>
    <row r="1546" spans="1:17" x14ac:dyDescent="0.3">
      <c r="A1546" s="3">
        <v>42464</v>
      </c>
      <c r="B1546" s="9">
        <v>14.704757000000001</v>
      </c>
      <c r="C1546" s="9">
        <v>12.176841</v>
      </c>
      <c r="E1546" s="14">
        <f t="shared" si="172"/>
        <v>1.2076003127576356</v>
      </c>
      <c r="F1546" s="18">
        <f t="shared" ca="1" si="171"/>
        <v>-1.3240789108215358</v>
      </c>
      <c r="G1546" s="15">
        <f t="shared" ca="1" si="169"/>
        <v>1.250991214124304</v>
      </c>
      <c r="H1546" s="15">
        <f t="shared" ca="1" si="170"/>
        <v>3.2770630973758361E-2</v>
      </c>
      <c r="J1546" s="17">
        <f t="shared" ca="1" si="173"/>
        <v>0</v>
      </c>
      <c r="K1546" s="24">
        <f t="shared" ca="1" si="174"/>
        <v>-1</v>
      </c>
      <c r="L1546" s="17">
        <f t="shared" ca="1" si="175"/>
        <v>-1</v>
      </c>
      <c r="N1546" s="24" t="str">
        <f ca="1">IF(AND(L1546=1,L1545&lt;&gt;1),MAX($N$8:N1545)+1,"")</f>
        <v/>
      </c>
      <c r="O1546" s="24" t="str">
        <f ca="1">IF(AND(L1546&lt;&gt;1,L1545=1),MAX($O$8:O1545)+1,"")</f>
        <v/>
      </c>
      <c r="P1546" s="17" t="str">
        <f ca="1">IF(AND(L1546=-1,L1545&lt;&gt;-1),MAX($P$8:P1545)+1,"")</f>
        <v/>
      </c>
      <c r="Q1546" s="24" t="str">
        <f ca="1">IF(AND(L1546&lt;&gt;-1,L1545=-1),MAX($Q$8:Q1545)+1,"")</f>
        <v/>
      </c>
    </row>
    <row r="1547" spans="1:17" x14ac:dyDescent="0.3">
      <c r="A1547" s="3">
        <v>42465</v>
      </c>
      <c r="B1547" s="9">
        <v>14.733893</v>
      </c>
      <c r="C1547" s="9">
        <v>12.232065</v>
      </c>
      <c r="E1547" s="14">
        <f t="shared" si="172"/>
        <v>1.2045303062074963</v>
      </c>
      <c r="F1547" s="18">
        <f t="shared" ca="1" si="171"/>
        <v>-1.2928503098840718</v>
      </c>
      <c r="G1547" s="15">
        <f t="shared" ca="1" si="169"/>
        <v>1.2470177559691267</v>
      </c>
      <c r="H1547" s="15">
        <f t="shared" ca="1" si="170"/>
        <v>3.2863394498811017E-2</v>
      </c>
      <c r="J1547" s="17">
        <f t="shared" ca="1" si="173"/>
        <v>0</v>
      </c>
      <c r="K1547" s="24">
        <f t="shared" ca="1" si="174"/>
        <v>-1</v>
      </c>
      <c r="L1547" s="17">
        <f t="shared" ca="1" si="175"/>
        <v>-1</v>
      </c>
      <c r="N1547" s="24" t="str">
        <f ca="1">IF(AND(L1547=1,L1546&lt;&gt;1),MAX($N$8:N1546)+1,"")</f>
        <v/>
      </c>
      <c r="O1547" s="24" t="str">
        <f ca="1">IF(AND(L1547&lt;&gt;1,L1546=1),MAX($O$8:O1546)+1,"")</f>
        <v/>
      </c>
      <c r="P1547" s="17" t="str">
        <f ca="1">IF(AND(L1547=-1,L1546&lt;&gt;-1),MAX($P$8:P1546)+1,"")</f>
        <v/>
      </c>
      <c r="Q1547" s="24" t="str">
        <f ca="1">IF(AND(L1547&lt;&gt;-1,L1546=-1),MAX($Q$8:Q1546)+1,"")</f>
        <v/>
      </c>
    </row>
    <row r="1548" spans="1:17" x14ac:dyDescent="0.3">
      <c r="A1548" s="3">
        <v>42466</v>
      </c>
      <c r="B1548" s="9">
        <v>14.311799000000001</v>
      </c>
      <c r="C1548" s="9">
        <v>11.909947000000001</v>
      </c>
      <c r="E1548" s="14">
        <f t="shared" si="172"/>
        <v>1.201667732022653</v>
      </c>
      <c r="F1548" s="18">
        <f t="shared" ca="1" si="171"/>
        <v>-1.2983975103375742</v>
      </c>
      <c r="G1548" s="15">
        <f t="shared" ca="1" si="169"/>
        <v>1.2458119047699541</v>
      </c>
      <c r="H1548" s="15">
        <f t="shared" ca="1" si="170"/>
        <v>3.3998965952902908E-2</v>
      </c>
      <c r="J1548" s="17">
        <f t="shared" ca="1" si="173"/>
        <v>0</v>
      </c>
      <c r="K1548" s="24">
        <f t="shared" ca="1" si="174"/>
        <v>-1</v>
      </c>
      <c r="L1548" s="17">
        <f t="shared" ca="1" si="175"/>
        <v>-1</v>
      </c>
      <c r="N1548" s="24" t="str">
        <f ca="1">IF(AND(L1548=1,L1547&lt;&gt;1),MAX($N$8:N1547)+1,"")</f>
        <v/>
      </c>
      <c r="O1548" s="24" t="str">
        <f ca="1">IF(AND(L1548&lt;&gt;1,L1547=1),MAX($O$8:O1547)+1,"")</f>
        <v/>
      </c>
      <c r="P1548" s="17" t="str">
        <f ca="1">IF(AND(L1548=-1,L1547&lt;&gt;-1),MAX($P$8:P1547)+1,"")</f>
        <v/>
      </c>
      <c r="Q1548" s="24" t="str">
        <f ca="1">IF(AND(L1548&lt;&gt;-1,L1547=-1),MAX($Q$8:Q1547)+1,"")</f>
        <v/>
      </c>
    </row>
    <row r="1549" spans="1:17" x14ac:dyDescent="0.3">
      <c r="A1549" s="3">
        <v>42467</v>
      </c>
      <c r="B1549" s="9">
        <v>14.467010999999999</v>
      </c>
      <c r="C1549" s="9">
        <v>12.002041</v>
      </c>
      <c r="E1549" s="14">
        <f t="shared" si="172"/>
        <v>1.2053792350817665</v>
      </c>
      <c r="F1549" s="18">
        <f t="shared" ca="1" si="171"/>
        <v>-1.0899364323699443</v>
      </c>
      <c r="G1549" s="15">
        <f t="shared" ca="1" si="169"/>
        <v>1.2434092290759087</v>
      </c>
      <c r="H1549" s="15">
        <f t="shared" ca="1" si="170"/>
        <v>3.489193760726967E-2</v>
      </c>
      <c r="J1549" s="17">
        <f t="shared" ca="1" si="173"/>
        <v>0</v>
      </c>
      <c r="K1549" s="24">
        <f t="shared" ca="1" si="174"/>
        <v>-1</v>
      </c>
      <c r="L1549" s="17">
        <f t="shared" ca="1" si="175"/>
        <v>-1</v>
      </c>
      <c r="N1549" s="24" t="str">
        <f ca="1">IF(AND(L1549=1,L1548&lt;&gt;1),MAX($N$8:N1548)+1,"")</f>
        <v/>
      </c>
      <c r="O1549" s="24" t="str">
        <f ca="1">IF(AND(L1549&lt;&gt;1,L1548=1),MAX($O$8:O1548)+1,"")</f>
        <v/>
      </c>
      <c r="P1549" s="17" t="str">
        <f ca="1">IF(AND(L1549=-1,L1548&lt;&gt;-1),MAX($P$8:P1548)+1,"")</f>
        <v/>
      </c>
      <c r="Q1549" s="24" t="str">
        <f ca="1">IF(AND(L1549&lt;&gt;-1,L1548=-1),MAX($Q$8:Q1548)+1,"")</f>
        <v/>
      </c>
    </row>
    <row r="1550" spans="1:17" x14ac:dyDescent="0.3">
      <c r="A1550" s="3">
        <v>42468</v>
      </c>
      <c r="B1550" s="9">
        <v>15.379092</v>
      </c>
      <c r="C1550" s="9">
        <v>12.614098</v>
      </c>
      <c r="E1550" s="14">
        <f t="shared" si="172"/>
        <v>1.2191987092537255</v>
      </c>
      <c r="F1550" s="18">
        <f t="shared" ca="1" si="171"/>
        <v>-0.62547498675047442</v>
      </c>
      <c r="G1550" s="15">
        <f t="shared" ca="1" si="169"/>
        <v>1.2406412541668941</v>
      </c>
      <c r="H1550" s="15">
        <f t="shared" ca="1" si="170"/>
        <v>3.4282018253949442E-2</v>
      </c>
      <c r="J1550" s="17">
        <f t="shared" ca="1" si="173"/>
        <v>0</v>
      </c>
      <c r="K1550" s="24">
        <f t="shared" ca="1" si="174"/>
        <v>-1</v>
      </c>
      <c r="L1550" s="17">
        <f t="shared" ca="1" si="175"/>
        <v>-1</v>
      </c>
      <c r="N1550" s="24" t="str">
        <f ca="1">IF(AND(L1550=1,L1549&lt;&gt;1),MAX($N$8:N1549)+1,"")</f>
        <v/>
      </c>
      <c r="O1550" s="24" t="str">
        <f ca="1">IF(AND(L1550&lt;&gt;1,L1549=1),MAX($O$8:O1549)+1,"")</f>
        <v/>
      </c>
      <c r="P1550" s="17" t="str">
        <f ca="1">IF(AND(L1550=-1,L1549&lt;&gt;-1),MAX($P$8:P1549)+1,"")</f>
        <v/>
      </c>
      <c r="Q1550" s="24" t="str">
        <f ca="1">IF(AND(L1550&lt;&gt;-1,L1549=-1),MAX($Q$8:Q1549)+1,"")</f>
        <v/>
      </c>
    </row>
    <row r="1551" spans="1:17" x14ac:dyDescent="0.3">
      <c r="A1551" s="3">
        <v>42471</v>
      </c>
      <c r="B1551" s="9">
        <v>15.456733</v>
      </c>
      <c r="C1551" s="9">
        <v>12.825773999999999</v>
      </c>
      <c r="E1551" s="14">
        <f t="shared" si="172"/>
        <v>1.2051306221363327</v>
      </c>
      <c r="F1551" s="18">
        <f t="shared" ca="1" si="171"/>
        <v>-0.95679730539492536</v>
      </c>
      <c r="G1551" s="15">
        <f t="shared" ca="1" si="169"/>
        <v>1.2364997125689585</v>
      </c>
      <c r="H1551" s="15">
        <f t="shared" ca="1" si="170"/>
        <v>3.278551293544664E-2</v>
      </c>
      <c r="J1551" s="17">
        <f t="shared" ca="1" si="173"/>
        <v>0</v>
      </c>
      <c r="K1551" s="24">
        <f t="shared" ca="1" si="174"/>
        <v>-1</v>
      </c>
      <c r="L1551" s="17">
        <f t="shared" ca="1" si="175"/>
        <v>-1</v>
      </c>
      <c r="N1551" s="24" t="str">
        <f ca="1">IF(AND(L1551=1,L1550&lt;&gt;1),MAX($N$8:N1550)+1,"")</f>
        <v/>
      </c>
      <c r="O1551" s="24" t="str">
        <f ca="1">IF(AND(L1551&lt;&gt;1,L1550=1),MAX($O$8:O1550)+1,"")</f>
        <v/>
      </c>
      <c r="P1551" s="17" t="str">
        <f ca="1">IF(AND(L1551=-1,L1550&lt;&gt;-1),MAX($P$8:P1550)+1,"")</f>
        <v/>
      </c>
      <c r="Q1551" s="24" t="str">
        <f ca="1">IF(AND(L1551&lt;&gt;-1,L1550=-1),MAX($Q$8:Q1550)+1,"")</f>
        <v/>
      </c>
    </row>
    <row r="1552" spans="1:17" x14ac:dyDescent="0.3">
      <c r="A1552" s="3">
        <v>42472</v>
      </c>
      <c r="B1552" s="9">
        <v>16.155327</v>
      </c>
      <c r="C1552" s="9">
        <v>13.428616999999999</v>
      </c>
      <c r="E1552" s="14">
        <f t="shared" si="172"/>
        <v>1.2030521832590804</v>
      </c>
      <c r="F1552" s="18">
        <f t="shared" ca="1" si="171"/>
        <v>-0.97190411682472322</v>
      </c>
      <c r="G1552" s="15">
        <f t="shared" ca="1" si="169"/>
        <v>1.2317294229854903</v>
      </c>
      <c r="H1552" s="15">
        <f t="shared" ca="1" si="170"/>
        <v>2.9506243702414173E-2</v>
      </c>
      <c r="J1552" s="17">
        <f t="shared" ca="1" si="173"/>
        <v>0</v>
      </c>
      <c r="K1552" s="24">
        <f t="shared" ca="1" si="174"/>
        <v>-1</v>
      </c>
      <c r="L1552" s="17">
        <f t="shared" ca="1" si="175"/>
        <v>-1</v>
      </c>
      <c r="N1552" s="24" t="str">
        <f ca="1">IF(AND(L1552=1,L1551&lt;&gt;1),MAX($N$8:N1551)+1,"")</f>
        <v/>
      </c>
      <c r="O1552" s="24" t="str">
        <f ca="1">IF(AND(L1552&lt;&gt;1,L1551=1),MAX($O$8:O1551)+1,"")</f>
        <v/>
      </c>
      <c r="P1552" s="17" t="str">
        <f ca="1">IF(AND(L1552=-1,L1551&lt;&gt;-1),MAX($P$8:P1551)+1,"")</f>
        <v/>
      </c>
      <c r="Q1552" s="24" t="str">
        <f ca="1">IF(AND(L1552&lt;&gt;-1,L1551=-1),MAX($Q$8:Q1551)+1,"")</f>
        <v/>
      </c>
    </row>
    <row r="1553" spans="1:17" x14ac:dyDescent="0.3">
      <c r="A1553" s="3">
        <v>42473</v>
      </c>
      <c r="B1553" s="9">
        <v>16.354241999999999</v>
      </c>
      <c r="C1553" s="9">
        <v>14.771515000000001</v>
      </c>
      <c r="E1553" s="14">
        <f t="shared" si="172"/>
        <v>1.10714723574393</v>
      </c>
      <c r="F1553" s="18">
        <f t="shared" ca="1" si="171"/>
        <v>-3.0848430999855827</v>
      </c>
      <c r="G1553" s="15">
        <f t="shared" ca="1" si="169"/>
        <v>1.2241594956349673</v>
      </c>
      <c r="H1553" s="15">
        <f t="shared" ca="1" si="170"/>
        <v>3.7931348888241387E-2</v>
      </c>
      <c r="J1553" s="17">
        <f t="shared" ca="1" si="173"/>
        <v>0</v>
      </c>
      <c r="K1553" s="24">
        <f t="shared" ca="1" si="174"/>
        <v>-1</v>
      </c>
      <c r="L1553" s="17">
        <f t="shared" ca="1" si="175"/>
        <v>-1</v>
      </c>
      <c r="N1553" s="24" t="str">
        <f ca="1">IF(AND(L1553=1,L1552&lt;&gt;1),MAX($N$8:N1552)+1,"")</f>
        <v/>
      </c>
      <c r="O1553" s="24" t="str">
        <f ca="1">IF(AND(L1553&lt;&gt;1,L1552=1),MAX($O$8:O1552)+1,"")</f>
        <v/>
      </c>
      <c r="P1553" s="17" t="str">
        <f ca="1">IF(AND(L1553=-1,L1552&lt;&gt;-1),MAX($P$8:P1552)+1,"")</f>
        <v/>
      </c>
      <c r="Q1553" s="24" t="str">
        <f ca="1">IF(AND(L1553&lt;&gt;-1,L1552=-1),MAX($Q$8:Q1552)+1,"")</f>
        <v/>
      </c>
    </row>
    <row r="1554" spans="1:17" x14ac:dyDescent="0.3">
      <c r="A1554" s="3">
        <v>42474</v>
      </c>
      <c r="B1554" s="9">
        <v>15.87884</v>
      </c>
      <c r="C1554" s="9">
        <v>13.207727</v>
      </c>
      <c r="E1554" s="14">
        <f t="shared" si="172"/>
        <v>1.2022386592333412</v>
      </c>
      <c r="F1554" s="18">
        <f t="shared" ca="1" si="171"/>
        <v>-0.50970815564047489</v>
      </c>
      <c r="G1554" s="15">
        <f t="shared" ca="1" si="169"/>
        <v>1.220812073095247</v>
      </c>
      <c r="H1554" s="15">
        <f t="shared" ca="1" si="170"/>
        <v>3.6439310723932493E-2</v>
      </c>
      <c r="J1554" s="17">
        <f t="shared" ca="1" si="173"/>
        <v>0</v>
      </c>
      <c r="K1554" s="24">
        <f t="shared" ca="1" si="174"/>
        <v>-1</v>
      </c>
      <c r="L1554" s="17">
        <f t="shared" ca="1" si="175"/>
        <v>-1</v>
      </c>
      <c r="N1554" s="24" t="str">
        <f ca="1">IF(AND(L1554=1,L1553&lt;&gt;1),MAX($N$8:N1553)+1,"")</f>
        <v/>
      </c>
      <c r="O1554" s="24" t="str">
        <f ca="1">IF(AND(L1554&lt;&gt;1,L1553=1),MAX($O$8:O1553)+1,"")</f>
        <v/>
      </c>
      <c r="P1554" s="17" t="str">
        <f ca="1">IF(AND(L1554=-1,L1553&lt;&gt;-1),MAX($P$8:P1553)+1,"")</f>
        <v/>
      </c>
      <c r="Q1554" s="24" t="str">
        <f ca="1">IF(AND(L1554&lt;&gt;-1,L1553=-1),MAX($Q$8:Q1553)+1,"")</f>
        <v/>
      </c>
    </row>
    <row r="1555" spans="1:17" x14ac:dyDescent="0.3">
      <c r="A1555" s="3">
        <v>42475</v>
      </c>
      <c r="B1555" s="9">
        <v>15.980658999999999</v>
      </c>
      <c r="C1555" s="9">
        <v>13.267559</v>
      </c>
      <c r="E1555" s="14">
        <f t="shared" si="172"/>
        <v>1.2044912707755813</v>
      </c>
      <c r="F1555" s="18">
        <f t="shared" ca="1" si="171"/>
        <v>-0.37451265541449108</v>
      </c>
      <c r="G1555" s="15">
        <f t="shared" ca="1" si="169"/>
        <v>1.2170654045116756</v>
      </c>
      <c r="H1555" s="15">
        <f t="shared" ca="1" si="170"/>
        <v>3.357465643498185E-2</v>
      </c>
      <c r="J1555" s="17">
        <f t="shared" ca="1" si="173"/>
        <v>0</v>
      </c>
      <c r="K1555" s="24">
        <f t="shared" ca="1" si="174"/>
        <v>-1</v>
      </c>
      <c r="L1555" s="17">
        <f t="shared" ca="1" si="175"/>
        <v>-1</v>
      </c>
      <c r="N1555" s="24" t="str">
        <f ca="1">IF(AND(L1555=1,L1554&lt;&gt;1),MAX($N$8:N1554)+1,"")</f>
        <v/>
      </c>
      <c r="O1555" s="24" t="str">
        <f ca="1">IF(AND(L1555&lt;&gt;1,L1554=1),MAX($O$8:O1554)+1,"")</f>
        <v/>
      </c>
      <c r="P1555" s="17" t="str">
        <f ca="1">IF(AND(L1555=-1,L1554&lt;&gt;-1),MAX($P$8:P1554)+1,"")</f>
        <v/>
      </c>
      <c r="Q1555" s="24" t="str">
        <f ca="1">IF(AND(L1555&lt;&gt;-1,L1554=-1),MAX($Q$8:Q1554)+1,"")</f>
        <v/>
      </c>
    </row>
    <row r="1556" spans="1:17" x14ac:dyDescent="0.3">
      <c r="A1556" s="3">
        <v>42478</v>
      </c>
      <c r="B1556" s="9">
        <v>15.864261000000001</v>
      </c>
      <c r="C1556" s="9">
        <v>13.192038999999999</v>
      </c>
      <c r="E1556" s="14">
        <f t="shared" si="172"/>
        <v>1.2025632277163525</v>
      </c>
      <c r="F1556" s="18">
        <f t="shared" ca="1" si="171"/>
        <v>-0.35837961399704465</v>
      </c>
      <c r="G1556" s="15">
        <f t="shared" ca="1" si="169"/>
        <v>1.2136720839055331</v>
      </c>
      <c r="H1556" s="15">
        <f t="shared" ca="1" si="170"/>
        <v>3.0997455645655581E-2</v>
      </c>
      <c r="J1556" s="17">
        <f t="shared" ca="1" si="173"/>
        <v>0</v>
      </c>
      <c r="K1556" s="24">
        <f t="shared" ca="1" si="174"/>
        <v>-1</v>
      </c>
      <c r="L1556" s="17">
        <f t="shared" ca="1" si="175"/>
        <v>-1</v>
      </c>
      <c r="N1556" s="24" t="str">
        <f ca="1">IF(AND(L1556=1,L1555&lt;&gt;1),MAX($N$8:N1555)+1,"")</f>
        <v/>
      </c>
      <c r="O1556" s="24" t="str">
        <f ca="1">IF(AND(L1556&lt;&gt;1,L1555=1),MAX($O$8:O1555)+1,"")</f>
        <v/>
      </c>
      <c r="P1556" s="17" t="str">
        <f ca="1">IF(AND(L1556=-1,L1555&lt;&gt;-1),MAX($P$8:P1555)+1,"")</f>
        <v/>
      </c>
      <c r="Q1556" s="24" t="str">
        <f ca="1">IF(AND(L1556&lt;&gt;-1,L1555=-1),MAX($Q$8:Q1555)+1,"")</f>
        <v/>
      </c>
    </row>
    <row r="1557" spans="1:17" x14ac:dyDescent="0.3">
      <c r="A1557" s="3">
        <v>42479</v>
      </c>
      <c r="B1557" s="9">
        <v>15.951604</v>
      </c>
      <c r="C1557" s="9">
        <v>13.222438</v>
      </c>
      <c r="E1557" s="14">
        <f t="shared" si="172"/>
        <v>1.2064041442281672</v>
      </c>
      <c r="F1557" s="18">
        <f t="shared" ca="1" si="171"/>
        <v>-0.17225030195991023</v>
      </c>
      <c r="G1557" s="15">
        <f t="shared" ca="1" si="169"/>
        <v>1.2115334155929318</v>
      </c>
      <c r="H1557" s="15">
        <f t="shared" ca="1" si="170"/>
        <v>2.9778010873724864E-2</v>
      </c>
      <c r="J1557" s="17">
        <f t="shared" ca="1" si="173"/>
        <v>0</v>
      </c>
      <c r="K1557" s="24">
        <f t="shared" ca="1" si="174"/>
        <v>-1</v>
      </c>
      <c r="L1557" s="17">
        <f t="shared" ca="1" si="175"/>
        <v>-1</v>
      </c>
      <c r="N1557" s="24" t="str">
        <f ca="1">IF(AND(L1557=1,L1556&lt;&gt;1),MAX($N$8:N1556)+1,"")</f>
        <v/>
      </c>
      <c r="O1557" s="24" t="str">
        <f ca="1">IF(AND(L1557&lt;&gt;1,L1556=1),MAX($O$8:O1556)+1,"")</f>
        <v/>
      </c>
      <c r="P1557" s="17" t="str">
        <f ca="1">IF(AND(L1557=-1,L1556&lt;&gt;-1),MAX($P$8:P1556)+1,"")</f>
        <v/>
      </c>
      <c r="Q1557" s="24" t="str">
        <f ca="1">IF(AND(L1557&lt;&gt;-1,L1556=-1),MAX($Q$8:Q1556)+1,"")</f>
        <v/>
      </c>
    </row>
    <row r="1558" spans="1:17" x14ac:dyDescent="0.3">
      <c r="A1558" s="3">
        <v>42480</v>
      </c>
      <c r="B1558" s="9">
        <v>15.655662</v>
      </c>
      <c r="C1558" s="9">
        <v>13.212334</v>
      </c>
      <c r="E1558" s="14">
        <f t="shared" si="172"/>
        <v>1.1849278106351231</v>
      </c>
      <c r="F1558" s="18">
        <f t="shared" ca="1" si="171"/>
        <v>-0.83727958566084582</v>
      </c>
      <c r="G1558" s="15">
        <f t="shared" ca="1" si="169"/>
        <v>1.2074942262877668</v>
      </c>
      <c r="H1558" s="15">
        <f t="shared" ca="1" si="170"/>
        <v>2.6952067193699178E-2</v>
      </c>
      <c r="J1558" s="17">
        <f t="shared" ca="1" si="173"/>
        <v>0</v>
      </c>
      <c r="K1558" s="24">
        <f t="shared" ca="1" si="174"/>
        <v>-1</v>
      </c>
      <c r="L1558" s="17">
        <f t="shared" ca="1" si="175"/>
        <v>-1</v>
      </c>
      <c r="N1558" s="24" t="str">
        <f ca="1">IF(AND(L1558=1,L1557&lt;&gt;1),MAX($N$8:N1557)+1,"")</f>
        <v/>
      </c>
      <c r="O1558" s="24" t="str">
        <f ca="1">IF(AND(L1558&lt;&gt;1,L1557=1),MAX($O$8:O1557)+1,"")</f>
        <v/>
      </c>
      <c r="P1558" s="17" t="str">
        <f ca="1">IF(AND(L1558=-1,L1557&lt;&gt;-1),MAX($P$8:P1557)+1,"")</f>
        <v/>
      </c>
      <c r="Q1558" s="24" t="str">
        <f ca="1">IF(AND(L1558&lt;&gt;-1,L1557=-1),MAX($Q$8:Q1557)+1,"")</f>
        <v/>
      </c>
    </row>
    <row r="1559" spans="1:17" x14ac:dyDescent="0.3">
      <c r="A1559" s="3">
        <v>42482</v>
      </c>
      <c r="B1559" s="9">
        <v>15.369401</v>
      </c>
      <c r="C1559" s="9">
        <v>12.933877000000001</v>
      </c>
      <c r="E1559" s="14">
        <f t="shared" si="172"/>
        <v>1.1883057957022476</v>
      </c>
      <c r="F1559" s="18">
        <f t="shared" ca="1" si="171"/>
        <v>-0.64214233314376312</v>
      </c>
      <c r="G1559" s="15">
        <f t="shared" ca="1" si="169"/>
        <v>1.2045447480955256</v>
      </c>
      <c r="H1559" s="15">
        <f t="shared" ca="1" si="170"/>
        <v>2.5288711793499542E-2</v>
      </c>
      <c r="J1559" s="17">
        <f t="shared" ca="1" si="173"/>
        <v>0</v>
      </c>
      <c r="K1559" s="24">
        <f t="shared" ca="1" si="174"/>
        <v>-1</v>
      </c>
      <c r="L1559" s="17">
        <f t="shared" ca="1" si="175"/>
        <v>-1</v>
      </c>
      <c r="N1559" s="24" t="str">
        <f ca="1">IF(AND(L1559=1,L1558&lt;&gt;1),MAX($N$8:N1558)+1,"")</f>
        <v/>
      </c>
      <c r="O1559" s="24" t="str">
        <f ca="1">IF(AND(L1559&lt;&gt;1,L1558=1),MAX($O$8:O1558)+1,"")</f>
        <v/>
      </c>
      <c r="P1559" s="17" t="str">
        <f ca="1">IF(AND(L1559=-1,L1558&lt;&gt;-1),MAX($P$8:P1558)+1,"")</f>
        <v/>
      </c>
      <c r="Q1559" s="24" t="str">
        <f ca="1">IF(AND(L1559&lt;&gt;-1,L1558=-1),MAX($Q$8:Q1558)+1,"")</f>
        <v/>
      </c>
    </row>
    <row r="1560" spans="1:17" x14ac:dyDescent="0.3">
      <c r="A1560" s="3">
        <v>42485</v>
      </c>
      <c r="B1560" s="9">
        <v>15.233561999999999</v>
      </c>
      <c r="C1560" s="9">
        <v>12.635201</v>
      </c>
      <c r="E1560" s="14">
        <f t="shared" si="172"/>
        <v>1.2056446114311912</v>
      </c>
      <c r="F1560" s="18">
        <f t="shared" ca="1" si="171"/>
        <v>9.7464588193512697E-2</v>
      </c>
      <c r="G1560" s="15">
        <f t="shared" ca="1" si="169"/>
        <v>1.2032597818344928</v>
      </c>
      <c r="H1560" s="15">
        <f t="shared" ca="1" si="170"/>
        <v>2.4468677710548475E-2</v>
      </c>
      <c r="J1560" s="17">
        <f t="shared" ca="1" si="173"/>
        <v>0</v>
      </c>
      <c r="K1560" s="24">
        <f t="shared" ca="1" si="174"/>
        <v>0</v>
      </c>
      <c r="L1560" s="17">
        <f t="shared" ca="1" si="175"/>
        <v>0</v>
      </c>
      <c r="N1560" s="24" t="str">
        <f ca="1">IF(AND(L1560=1,L1559&lt;&gt;1),MAX($N$8:N1559)+1,"")</f>
        <v/>
      </c>
      <c r="O1560" s="24" t="str">
        <f ca="1">IF(AND(L1560&lt;&gt;1,L1559=1),MAX($O$8:O1559)+1,"")</f>
        <v/>
      </c>
      <c r="P1560" s="17" t="str">
        <f ca="1">IF(AND(L1560=-1,L1559&lt;&gt;-1),MAX($P$8:P1559)+1,"")</f>
        <v/>
      </c>
      <c r="Q1560" s="24">
        <f ca="1">IF(AND(L1560&lt;&gt;-1,L1559=-1),MAX($Q$8:Q1559)+1,"")</f>
        <v>58</v>
      </c>
    </row>
    <row r="1561" spans="1:17" x14ac:dyDescent="0.3">
      <c r="A1561" s="3">
        <v>42486</v>
      </c>
      <c r="B1561" s="9">
        <v>15.762370000000001</v>
      </c>
      <c r="C1561" s="9">
        <v>13.090812</v>
      </c>
      <c r="E1561" s="14">
        <f t="shared" si="172"/>
        <v>1.2040788608071067</v>
      </c>
      <c r="F1561" s="18">
        <f t="shared" ca="1" si="171"/>
        <v>9.4378459239679968E-2</v>
      </c>
      <c r="G1561" s="15">
        <f t="shared" ca="1" si="169"/>
        <v>1.2018624374427811</v>
      </c>
      <c r="H1561" s="15">
        <f t="shared" ca="1" si="170"/>
        <v>2.3484419879083295E-2</v>
      </c>
      <c r="J1561" s="17">
        <f t="shared" ca="1" si="173"/>
        <v>0</v>
      </c>
      <c r="K1561" s="24">
        <f t="shared" ca="1" si="174"/>
        <v>0</v>
      </c>
      <c r="L1561" s="17">
        <f t="shared" ca="1" si="175"/>
        <v>0</v>
      </c>
      <c r="N1561" s="24" t="str">
        <f ca="1">IF(AND(L1561=1,L1560&lt;&gt;1),MAX($N$8:N1560)+1,"")</f>
        <v/>
      </c>
      <c r="O1561" s="24" t="str">
        <f ca="1">IF(AND(L1561&lt;&gt;1,L1560=1),MAX($O$8:O1560)+1,"")</f>
        <v/>
      </c>
      <c r="P1561" s="17" t="str">
        <f ca="1">IF(AND(L1561=-1,L1560&lt;&gt;-1),MAX($P$8:P1560)+1,"")</f>
        <v/>
      </c>
      <c r="Q1561" s="24" t="str">
        <f ca="1">IF(AND(L1561&lt;&gt;-1,L1560=-1),MAX($Q$8:Q1560)+1,"")</f>
        <v/>
      </c>
    </row>
    <row r="1562" spans="1:17" x14ac:dyDescent="0.3">
      <c r="A1562" s="3">
        <v>42487</v>
      </c>
      <c r="B1562" s="9">
        <v>16.300850000000001</v>
      </c>
      <c r="C1562" s="9">
        <v>13.551512000000001</v>
      </c>
      <c r="E1562" s="14">
        <f t="shared" si="172"/>
        <v>1.2028805346591582</v>
      </c>
      <c r="F1562" s="18">
        <f t="shared" ca="1" si="171"/>
        <v>0.13518537365748534</v>
      </c>
      <c r="G1562" s="15">
        <f t="shared" ca="1" si="169"/>
        <v>1.1999656969758454</v>
      </c>
      <c r="H1562" s="15">
        <f t="shared" ca="1" si="170"/>
        <v>2.1561782938870483E-2</v>
      </c>
      <c r="J1562" s="17">
        <f t="shared" ca="1" si="173"/>
        <v>0</v>
      </c>
      <c r="K1562" s="24">
        <f t="shared" ca="1" si="174"/>
        <v>0</v>
      </c>
      <c r="L1562" s="17">
        <f t="shared" ca="1" si="175"/>
        <v>0</v>
      </c>
      <c r="N1562" s="24" t="str">
        <f ca="1">IF(AND(L1562=1,L1561&lt;&gt;1),MAX($N$8:N1561)+1,"")</f>
        <v/>
      </c>
      <c r="O1562" s="24" t="str">
        <f ca="1">IF(AND(L1562&lt;&gt;1,L1561=1),MAX($O$8:O1561)+1,"")</f>
        <v/>
      </c>
      <c r="P1562" s="17" t="str">
        <f ca="1">IF(AND(L1562=-1,L1561&lt;&gt;-1),MAX($P$8:P1561)+1,"")</f>
        <v/>
      </c>
      <c r="Q1562" s="24" t="str">
        <f ca="1">IF(AND(L1562&lt;&gt;-1,L1561=-1),MAX($Q$8:Q1561)+1,"")</f>
        <v/>
      </c>
    </row>
    <row r="1563" spans="1:17" x14ac:dyDescent="0.3">
      <c r="A1563" s="3">
        <v>42488</v>
      </c>
      <c r="B1563" s="9">
        <v>16.189259</v>
      </c>
      <c r="C1563" s="9">
        <v>13.273059</v>
      </c>
      <c r="E1563" s="14">
        <f t="shared" si="172"/>
        <v>1.219708207429802</v>
      </c>
      <c r="F1563" s="18">
        <f t="shared" ca="1" si="171"/>
        <v>0.90286385544321146</v>
      </c>
      <c r="G1563" s="15">
        <f t="shared" ca="1" si="169"/>
        <v>1.2001230506119605</v>
      </c>
      <c r="H1563" s="15">
        <f t="shared" ca="1" si="170"/>
        <v>2.1692259247909872E-2</v>
      </c>
      <c r="J1563" s="17">
        <f t="shared" ca="1" si="173"/>
        <v>0</v>
      </c>
      <c r="K1563" s="24">
        <f t="shared" ca="1" si="174"/>
        <v>0</v>
      </c>
      <c r="L1563" s="17">
        <f t="shared" ca="1" si="175"/>
        <v>0</v>
      </c>
      <c r="N1563" s="24" t="str">
        <f ca="1">IF(AND(L1563=1,L1562&lt;&gt;1),MAX($N$8:N1562)+1,"")</f>
        <v/>
      </c>
      <c r="O1563" s="24" t="str">
        <f ca="1">IF(AND(L1563&lt;&gt;1,L1562=1),MAX($O$8:O1562)+1,"")</f>
        <v/>
      </c>
      <c r="P1563" s="17" t="str">
        <f ca="1">IF(AND(L1563=-1,L1562&lt;&gt;-1),MAX($P$8:P1562)+1,"")</f>
        <v/>
      </c>
      <c r="Q1563" s="24" t="str">
        <f ca="1">IF(AND(L1563&lt;&gt;-1,L1562=-1),MAX($Q$8:Q1562)+1,"")</f>
        <v/>
      </c>
    </row>
    <row r="1564" spans="1:17" x14ac:dyDescent="0.3">
      <c r="A1564" s="3">
        <v>42489</v>
      </c>
      <c r="B1564" s="9">
        <v>15.946721</v>
      </c>
      <c r="C1564" s="9">
        <v>13.111105999999999</v>
      </c>
      <c r="E1564" s="14">
        <f t="shared" si="172"/>
        <v>1.21627580464989</v>
      </c>
      <c r="F1564" s="18">
        <f t="shared" ca="1" si="171"/>
        <v>0.70752108474492781</v>
      </c>
      <c r="G1564" s="15">
        <f t="shared" ca="1" si="169"/>
        <v>1.200746481692029</v>
      </c>
      <c r="H1564" s="15">
        <f t="shared" ca="1" si="170"/>
        <v>2.194891896890901E-2</v>
      </c>
      <c r="J1564" s="17">
        <f t="shared" ca="1" si="173"/>
        <v>0</v>
      </c>
      <c r="K1564" s="24">
        <f t="shared" ca="1" si="174"/>
        <v>0</v>
      </c>
      <c r="L1564" s="17">
        <f t="shared" ca="1" si="175"/>
        <v>0</v>
      </c>
      <c r="N1564" s="24" t="str">
        <f ca="1">IF(AND(L1564=1,L1563&lt;&gt;1),MAX($N$8:N1563)+1,"")</f>
        <v/>
      </c>
      <c r="O1564" s="24" t="str">
        <f ca="1">IF(AND(L1564&lt;&gt;1,L1563=1),MAX($O$8:O1563)+1,"")</f>
        <v/>
      </c>
      <c r="P1564" s="17" t="str">
        <f ca="1">IF(AND(L1564=-1,L1563&lt;&gt;-1),MAX($P$8:P1563)+1,"")</f>
        <v/>
      </c>
      <c r="Q1564" s="24" t="str">
        <f ca="1">IF(AND(L1564&lt;&gt;-1,L1563=-1),MAX($Q$8:Q1563)+1,"")</f>
        <v/>
      </c>
    </row>
    <row r="1565" spans="1:17" x14ac:dyDescent="0.3">
      <c r="A1565" s="3">
        <v>42492</v>
      </c>
      <c r="B1565" s="9">
        <v>15.512051</v>
      </c>
      <c r="C1565" s="9">
        <v>12.852938</v>
      </c>
      <c r="E1565" s="14">
        <f t="shared" si="172"/>
        <v>1.2068875614275896</v>
      </c>
      <c r="F1565" s="18">
        <f t="shared" ca="1" si="171"/>
        <v>0.2814262668257993</v>
      </c>
      <c r="G1565" s="15">
        <f t="shared" ca="1" si="169"/>
        <v>1.2007133319726007</v>
      </c>
      <c r="H1565" s="15">
        <f t="shared" ca="1" si="170"/>
        <v>2.1939066046065672E-2</v>
      </c>
      <c r="J1565" s="17">
        <f t="shared" ca="1" si="173"/>
        <v>0</v>
      </c>
      <c r="K1565" s="24">
        <f t="shared" ca="1" si="174"/>
        <v>0</v>
      </c>
      <c r="L1565" s="17">
        <f t="shared" ca="1" si="175"/>
        <v>0</v>
      </c>
      <c r="N1565" s="24" t="str">
        <f ca="1">IF(AND(L1565=1,L1564&lt;&gt;1),MAX($N$8:N1564)+1,"")</f>
        <v/>
      </c>
      <c r="O1565" s="24" t="str">
        <f ca="1">IF(AND(L1565&lt;&gt;1,L1564=1),MAX($O$8:O1564)+1,"")</f>
        <v/>
      </c>
      <c r="P1565" s="17" t="str">
        <f ca="1">IF(AND(L1565=-1,L1564&lt;&gt;-1),MAX($P$8:P1564)+1,"")</f>
        <v/>
      </c>
      <c r="Q1565" s="24" t="str">
        <f ca="1">IF(AND(L1565&lt;&gt;-1,L1564=-1),MAX($Q$8:Q1564)+1,"")</f>
        <v/>
      </c>
    </row>
    <row r="1566" spans="1:17" x14ac:dyDescent="0.3">
      <c r="A1566" s="3">
        <v>42493</v>
      </c>
      <c r="B1566" s="9">
        <v>14.618748</v>
      </c>
      <c r="C1566" s="9">
        <v>12.589508</v>
      </c>
      <c r="E1566" s="14">
        <f t="shared" si="172"/>
        <v>1.1611850121545655</v>
      </c>
      <c r="F1566" s="18">
        <f t="shared" ca="1" si="171"/>
        <v>-1.6006567446552384</v>
      </c>
      <c r="G1566" s="15">
        <f t="shared" ca="1" si="169"/>
        <v>1.198203820141021</v>
      </c>
      <c r="H1566" s="15">
        <f t="shared" ca="1" si="170"/>
        <v>2.312726205044599E-2</v>
      </c>
      <c r="J1566" s="17">
        <f t="shared" ca="1" si="173"/>
        <v>0</v>
      </c>
      <c r="K1566" s="24">
        <f t="shared" ca="1" si="174"/>
        <v>-1</v>
      </c>
      <c r="L1566" s="17">
        <f t="shared" ca="1" si="175"/>
        <v>-1</v>
      </c>
      <c r="N1566" s="24" t="str">
        <f ca="1">IF(AND(L1566=1,L1565&lt;&gt;1),MAX($N$8:N1565)+1,"")</f>
        <v/>
      </c>
      <c r="O1566" s="24" t="str">
        <f ca="1">IF(AND(L1566&lt;&gt;1,L1565=1),MAX($O$8:O1565)+1,"")</f>
        <v/>
      </c>
      <c r="P1566" s="17">
        <f ca="1">IF(AND(L1566=-1,L1565&lt;&gt;-1),MAX($P$8:P1565)+1,"")</f>
        <v>59</v>
      </c>
      <c r="Q1566" s="24" t="str">
        <f ca="1">IF(AND(L1566&lt;&gt;-1,L1565=-1),MAX($Q$8:Q1565)+1,"")</f>
        <v/>
      </c>
    </row>
    <row r="1567" spans="1:17" x14ac:dyDescent="0.3">
      <c r="A1567" s="3">
        <v>42494</v>
      </c>
      <c r="B1567" s="9">
        <v>14.978035999999999</v>
      </c>
      <c r="C1567" s="9">
        <v>13.126775</v>
      </c>
      <c r="E1567" s="14">
        <f t="shared" si="172"/>
        <v>1.1410293845975115</v>
      </c>
      <c r="F1567" s="18">
        <f t="shared" ca="1" si="171"/>
        <v>-2.0945042964203813</v>
      </c>
      <c r="G1567" s="15">
        <f t="shared" ref="G1567:G1630" ca="1" si="176">IF(ISNUMBER(E1567),IF(ROW(E1567)&gt;$J$1,AVERAGE(OFFSET(E1567,0,0,-$J$1)),""),"")</f>
        <v>1.1954694191777386</v>
      </c>
      <c r="H1567" s="15">
        <f t="shared" ref="H1567:H1630" ca="1" si="177">IF(ISNUMBER(E1567),IF(ROW(E1567)&gt;$J$1,_xlfn.STDEV.P(OFFSET(E1567,0,0,-$J$1)),""),"")</f>
        <v>2.5991846697697434E-2</v>
      </c>
      <c r="J1567" s="17">
        <f t="shared" ca="1" si="173"/>
        <v>0</v>
      </c>
      <c r="K1567" s="24">
        <f t="shared" ca="1" si="174"/>
        <v>-1</v>
      </c>
      <c r="L1567" s="17">
        <f t="shared" ca="1" si="175"/>
        <v>-1</v>
      </c>
      <c r="N1567" s="24" t="str">
        <f ca="1">IF(AND(L1567=1,L1566&lt;&gt;1),MAX($N$8:N1566)+1,"")</f>
        <v/>
      </c>
      <c r="O1567" s="24" t="str">
        <f ca="1">IF(AND(L1567&lt;&gt;1,L1566=1),MAX($O$8:O1566)+1,"")</f>
        <v/>
      </c>
      <c r="P1567" s="17" t="str">
        <f ca="1">IF(AND(L1567=-1,L1566&lt;&gt;-1),MAX($P$8:P1566)+1,"")</f>
        <v/>
      </c>
      <c r="Q1567" s="24" t="str">
        <f ca="1">IF(AND(L1567&lt;&gt;-1,L1566=-1),MAX($Q$8:Q1566)+1,"")</f>
        <v/>
      </c>
    </row>
    <row r="1568" spans="1:17" x14ac:dyDescent="0.3">
      <c r="A1568" s="3">
        <v>42495</v>
      </c>
      <c r="B1568" s="9">
        <v>14.754695</v>
      </c>
      <c r="C1568" s="9">
        <v>12.797304</v>
      </c>
      <c r="E1568" s="14">
        <f t="shared" si="172"/>
        <v>1.1529533876822806</v>
      </c>
      <c r="F1568" s="18">
        <f t="shared" ca="1" si="171"/>
        <v>-1.4667788191715099</v>
      </c>
      <c r="G1568" s="15">
        <f t="shared" ca="1" si="176"/>
        <v>1.1929854680379497</v>
      </c>
      <c r="H1568" s="15">
        <f t="shared" ca="1" si="177"/>
        <v>2.7292513249053223E-2</v>
      </c>
      <c r="J1568" s="17">
        <f t="shared" ca="1" si="173"/>
        <v>0</v>
      </c>
      <c r="K1568" s="24">
        <f t="shared" ca="1" si="174"/>
        <v>-1</v>
      </c>
      <c r="L1568" s="17">
        <f t="shared" ca="1" si="175"/>
        <v>-1</v>
      </c>
      <c r="N1568" s="24" t="str">
        <f ca="1">IF(AND(L1568=1,L1567&lt;&gt;1),MAX($N$8:N1567)+1,"")</f>
        <v/>
      </c>
      <c r="O1568" s="24" t="str">
        <f ca="1">IF(AND(L1568&lt;&gt;1,L1567=1),MAX($O$8:O1567)+1,"")</f>
        <v/>
      </c>
      <c r="P1568" s="17" t="str">
        <f ca="1">IF(AND(L1568=-1,L1567&lt;&gt;-1),MAX($P$8:P1567)+1,"")</f>
        <v/>
      </c>
      <c r="Q1568" s="24" t="str">
        <f ca="1">IF(AND(L1568&lt;&gt;-1,L1567=-1),MAX($Q$8:Q1567)+1,"")</f>
        <v/>
      </c>
    </row>
    <row r="1569" spans="1:17" x14ac:dyDescent="0.3">
      <c r="A1569" s="3">
        <v>42496</v>
      </c>
      <c r="B1569" s="9">
        <v>14.759496</v>
      </c>
      <c r="C1569" s="9">
        <v>12.858181</v>
      </c>
      <c r="E1569" s="14">
        <f t="shared" si="172"/>
        <v>1.1478681160266759</v>
      </c>
      <c r="F1569" s="18">
        <f t="shared" ca="1" si="171"/>
        <v>-1.4813706250699277</v>
      </c>
      <c r="G1569" s="15">
        <f t="shared" ca="1" si="176"/>
        <v>1.1904099139388216</v>
      </c>
      <c r="H1569" s="15">
        <f t="shared" ca="1" si="177"/>
        <v>2.8717862493147152E-2</v>
      </c>
      <c r="J1569" s="17">
        <f t="shared" ca="1" si="173"/>
        <v>0</v>
      </c>
      <c r="K1569" s="24">
        <f t="shared" ca="1" si="174"/>
        <v>-1</v>
      </c>
      <c r="L1569" s="17">
        <f t="shared" ca="1" si="175"/>
        <v>-1</v>
      </c>
      <c r="N1569" s="24" t="str">
        <f ca="1">IF(AND(L1569=1,L1568&lt;&gt;1),MAX($N$8:N1568)+1,"")</f>
        <v/>
      </c>
      <c r="O1569" s="24" t="str">
        <f ca="1">IF(AND(L1569&lt;&gt;1,L1568=1),MAX($O$8:O1568)+1,"")</f>
        <v/>
      </c>
      <c r="P1569" s="17" t="str">
        <f ca="1">IF(AND(L1569=-1,L1568&lt;&gt;-1),MAX($P$8:P1568)+1,"")</f>
        <v/>
      </c>
      <c r="Q1569" s="24" t="str">
        <f ca="1">IF(AND(L1569&lt;&gt;-1,L1568=-1),MAX($Q$8:Q1568)+1,"")</f>
        <v/>
      </c>
    </row>
    <row r="1570" spans="1:17" x14ac:dyDescent="0.3">
      <c r="A1570" s="3">
        <v>42499</v>
      </c>
      <c r="B1570" s="9">
        <v>14.851787</v>
      </c>
      <c r="C1570" s="9">
        <v>12.939209999999999</v>
      </c>
      <c r="E1570" s="14">
        <f t="shared" si="172"/>
        <v>1.1478125016905978</v>
      </c>
      <c r="F1570" s="18">
        <f t="shared" ca="1" si="171"/>
        <v>-1.3417172520834444</v>
      </c>
      <c r="G1570" s="15">
        <f t="shared" ca="1" si="176"/>
        <v>1.1879619489237281</v>
      </c>
      <c r="H1570" s="15">
        <f t="shared" ca="1" si="177"/>
        <v>2.9923925604135641E-2</v>
      </c>
      <c r="J1570" s="17">
        <f t="shared" ca="1" si="173"/>
        <v>0</v>
      </c>
      <c r="K1570" s="24">
        <f t="shared" ca="1" si="174"/>
        <v>-1</v>
      </c>
      <c r="L1570" s="17">
        <f t="shared" ca="1" si="175"/>
        <v>-1</v>
      </c>
      <c r="N1570" s="24" t="str">
        <f ca="1">IF(AND(L1570=1,L1569&lt;&gt;1),MAX($N$8:N1569)+1,"")</f>
        <v/>
      </c>
      <c r="O1570" s="24" t="str">
        <f ca="1">IF(AND(L1570&lt;&gt;1,L1569=1),MAX($O$8:O1569)+1,"")</f>
        <v/>
      </c>
      <c r="P1570" s="17" t="str">
        <f ca="1">IF(AND(L1570=-1,L1569&lt;&gt;-1),MAX($P$8:P1569)+1,"")</f>
        <v/>
      </c>
      <c r="Q1570" s="24" t="str">
        <f ca="1">IF(AND(L1570&lt;&gt;-1,L1569=-1),MAX($Q$8:Q1569)+1,"")</f>
        <v/>
      </c>
    </row>
    <row r="1571" spans="1:17" x14ac:dyDescent="0.3">
      <c r="A1571" s="3">
        <v>42500</v>
      </c>
      <c r="B1571" s="9">
        <v>15.783936000000001</v>
      </c>
      <c r="C1571" s="9">
        <v>13.496715999999999</v>
      </c>
      <c r="E1571" s="14">
        <f t="shared" si="172"/>
        <v>1.1694649276164661</v>
      </c>
      <c r="F1571" s="18">
        <f t="shared" ca="1" si="171"/>
        <v>-0.56386506526681068</v>
      </c>
      <c r="G1571" s="15">
        <f t="shared" ca="1" si="176"/>
        <v>1.1863294804025779</v>
      </c>
      <c r="H1571" s="15">
        <f t="shared" ca="1" si="177"/>
        <v>2.9908844908013169E-2</v>
      </c>
      <c r="J1571" s="17">
        <f t="shared" ca="1" si="173"/>
        <v>0</v>
      </c>
      <c r="K1571" s="24">
        <f t="shared" ca="1" si="174"/>
        <v>-1</v>
      </c>
      <c r="L1571" s="17">
        <f t="shared" ca="1" si="175"/>
        <v>-1</v>
      </c>
      <c r="N1571" s="24" t="str">
        <f ca="1">IF(AND(L1571=1,L1570&lt;&gt;1),MAX($N$8:N1570)+1,"")</f>
        <v/>
      </c>
      <c r="O1571" s="24" t="str">
        <f ca="1">IF(AND(L1571&lt;&gt;1,L1570=1),MAX($O$8:O1570)+1,"")</f>
        <v/>
      </c>
      <c r="P1571" s="17" t="str">
        <f ca="1">IF(AND(L1571=-1,L1570&lt;&gt;-1),MAX($P$8:P1570)+1,"")</f>
        <v/>
      </c>
      <c r="Q1571" s="24" t="str">
        <f ca="1">IF(AND(L1571&lt;&gt;-1,L1570=-1),MAX($Q$8:Q1570)+1,"")</f>
        <v/>
      </c>
    </row>
    <row r="1572" spans="1:17" x14ac:dyDescent="0.3">
      <c r="A1572" s="3">
        <v>42501</v>
      </c>
      <c r="B1572" s="9">
        <v>15.686836</v>
      </c>
      <c r="C1572" s="9">
        <v>13.628499</v>
      </c>
      <c r="E1572" s="14">
        <f t="shared" si="172"/>
        <v>1.1510318194248683</v>
      </c>
      <c r="F1572" s="18">
        <f t="shared" ca="1" si="171"/>
        <v>-1.0778282375210086</v>
      </c>
      <c r="G1572" s="15">
        <f t="shared" ca="1" si="176"/>
        <v>1.1832309854103573</v>
      </c>
      <c r="H1572" s="15">
        <f t="shared" ca="1" si="177"/>
        <v>2.9874116176012121E-2</v>
      </c>
      <c r="J1572" s="17">
        <f t="shared" ca="1" si="173"/>
        <v>0</v>
      </c>
      <c r="K1572" s="24">
        <f t="shared" ca="1" si="174"/>
        <v>-1</v>
      </c>
      <c r="L1572" s="17">
        <f t="shared" ca="1" si="175"/>
        <v>-1</v>
      </c>
      <c r="N1572" s="24" t="str">
        <f ca="1">IF(AND(L1572=1,L1571&lt;&gt;1),MAX($N$8:N1571)+1,"")</f>
        <v/>
      </c>
      <c r="O1572" s="24" t="str">
        <f ca="1">IF(AND(L1572&lt;&gt;1,L1571=1),MAX($O$8:O1571)+1,"")</f>
        <v/>
      </c>
      <c r="P1572" s="17" t="str">
        <f ca="1">IF(AND(L1572=-1,L1571&lt;&gt;-1),MAX($P$8:P1571)+1,"")</f>
        <v/>
      </c>
      <c r="Q1572" s="24" t="str">
        <f ca="1">IF(AND(L1572&lt;&gt;-1,L1571=-1),MAX($Q$8:Q1571)+1,"")</f>
        <v/>
      </c>
    </row>
    <row r="1573" spans="1:17" x14ac:dyDescent="0.3">
      <c r="A1573" s="3">
        <v>42502</v>
      </c>
      <c r="B1573" s="9">
        <v>15.842252</v>
      </c>
      <c r="C1573" s="9">
        <v>13.922510000000001</v>
      </c>
      <c r="E1573" s="14">
        <f t="shared" si="172"/>
        <v>1.1378876366402322</v>
      </c>
      <c r="F1573" s="18">
        <f t="shared" ca="1" si="171"/>
        <v>-1.3685305914044645</v>
      </c>
      <c r="G1573" s="15">
        <f t="shared" ca="1" si="176"/>
        <v>1.1801744860696255</v>
      </c>
      <c r="H1573" s="15">
        <f t="shared" ca="1" si="177"/>
        <v>3.0899455003045365E-2</v>
      </c>
      <c r="J1573" s="17">
        <f t="shared" ca="1" si="173"/>
        <v>0</v>
      </c>
      <c r="K1573" s="24">
        <f t="shared" ca="1" si="174"/>
        <v>-1</v>
      </c>
      <c r="L1573" s="17">
        <f t="shared" ca="1" si="175"/>
        <v>-1</v>
      </c>
      <c r="N1573" s="24" t="str">
        <f ca="1">IF(AND(L1573=1,L1572&lt;&gt;1),MAX($N$8:N1572)+1,"")</f>
        <v/>
      </c>
      <c r="O1573" s="24" t="str">
        <f ca="1">IF(AND(L1573&lt;&gt;1,L1572=1),MAX($O$8:O1572)+1,"")</f>
        <v/>
      </c>
      <c r="P1573" s="17" t="str">
        <f ca="1">IF(AND(L1573=-1,L1572&lt;&gt;-1),MAX($P$8:P1572)+1,"")</f>
        <v/>
      </c>
      <c r="Q1573" s="24" t="str">
        <f ca="1">IF(AND(L1573&lt;&gt;-1,L1572=-1),MAX($Q$8:Q1572)+1,"")</f>
        <v/>
      </c>
    </row>
    <row r="1574" spans="1:17" x14ac:dyDescent="0.3">
      <c r="A1574" s="3">
        <v>42503</v>
      </c>
      <c r="B1574" s="9">
        <v>15.245043000000001</v>
      </c>
      <c r="C1574" s="9">
        <v>13.359904999999999</v>
      </c>
      <c r="E1574" s="14">
        <f t="shared" si="172"/>
        <v>1.1411041470729022</v>
      </c>
      <c r="F1574" s="18">
        <f t="shared" ca="1" si="171"/>
        <v>-1.1508251767123201</v>
      </c>
      <c r="G1574" s="15">
        <f t="shared" ca="1" si="176"/>
        <v>1.1773586662429809</v>
      </c>
      <c r="H1574" s="15">
        <f t="shared" ca="1" si="177"/>
        <v>3.150306397853643E-2</v>
      </c>
      <c r="J1574" s="17">
        <f t="shared" ca="1" si="173"/>
        <v>0</v>
      </c>
      <c r="K1574" s="24">
        <f t="shared" ca="1" si="174"/>
        <v>-1</v>
      </c>
      <c r="L1574" s="17">
        <f t="shared" ca="1" si="175"/>
        <v>-1</v>
      </c>
      <c r="N1574" s="24" t="str">
        <f ca="1">IF(AND(L1574=1,L1573&lt;&gt;1),MAX($N$8:N1573)+1,"")</f>
        <v/>
      </c>
      <c r="O1574" s="24" t="str">
        <f ca="1">IF(AND(L1574&lt;&gt;1,L1573=1),MAX($O$8:O1573)+1,"")</f>
        <v/>
      </c>
      <c r="P1574" s="17" t="str">
        <f ca="1">IF(AND(L1574=-1,L1573&lt;&gt;-1),MAX($P$8:P1573)+1,"")</f>
        <v/>
      </c>
      <c r="Q1574" s="24" t="str">
        <f ca="1">IF(AND(L1574&lt;&gt;-1,L1573=-1),MAX($Q$8:Q1573)+1,"")</f>
        <v/>
      </c>
    </row>
    <row r="1575" spans="1:17" x14ac:dyDescent="0.3">
      <c r="A1575" s="3">
        <v>42506</v>
      </c>
      <c r="B1575" s="9">
        <v>15.012003</v>
      </c>
      <c r="C1575" s="9">
        <v>13.126775</v>
      </c>
      <c r="E1575" s="14">
        <f t="shared" si="172"/>
        <v>1.1436169965585605</v>
      </c>
      <c r="F1575" s="18">
        <f t="shared" ca="1" si="171"/>
        <v>-1.2381872142945041</v>
      </c>
      <c r="G1575" s="15">
        <f t="shared" ca="1" si="176"/>
        <v>1.1790163826436459</v>
      </c>
      <c r="H1575" s="15">
        <f t="shared" ca="1" si="177"/>
        <v>2.8589687953816681E-2</v>
      </c>
      <c r="J1575" s="17">
        <f t="shared" ca="1" si="173"/>
        <v>0</v>
      </c>
      <c r="K1575" s="24">
        <f t="shared" ca="1" si="174"/>
        <v>-1</v>
      </c>
      <c r="L1575" s="17">
        <f t="shared" ca="1" si="175"/>
        <v>-1</v>
      </c>
      <c r="N1575" s="24" t="str">
        <f ca="1">IF(AND(L1575=1,L1574&lt;&gt;1),MAX($N$8:N1574)+1,"")</f>
        <v/>
      </c>
      <c r="O1575" s="24" t="str">
        <f ca="1">IF(AND(L1575&lt;&gt;1,L1574=1),MAX($O$8:O1574)+1,"")</f>
        <v/>
      </c>
      <c r="P1575" s="17" t="str">
        <f ca="1">IF(AND(L1575=-1,L1574&lt;&gt;-1),MAX($P$8:P1574)+1,"")</f>
        <v/>
      </c>
      <c r="Q1575" s="24" t="str">
        <f ca="1">IF(AND(L1575&lt;&gt;-1,L1574=-1),MAX($Q$8:Q1574)+1,"")</f>
        <v/>
      </c>
    </row>
    <row r="1576" spans="1:17" x14ac:dyDescent="0.3">
      <c r="A1576" s="3">
        <v>42507</v>
      </c>
      <c r="B1576" s="9">
        <v>14.691566999999999</v>
      </c>
      <c r="C1576" s="9">
        <v>12.701057</v>
      </c>
      <c r="E1576" s="14">
        <f t="shared" si="172"/>
        <v>1.1567200273174114</v>
      </c>
      <c r="F1576" s="18">
        <f t="shared" ca="1" si="171"/>
        <v>-0.71020148762118218</v>
      </c>
      <c r="G1576" s="15">
        <f t="shared" ca="1" si="176"/>
        <v>1.1769473539201947</v>
      </c>
      <c r="H1576" s="15">
        <f t="shared" ca="1" si="177"/>
        <v>2.8481109875641952E-2</v>
      </c>
      <c r="J1576" s="17">
        <f t="shared" ca="1" si="173"/>
        <v>0</v>
      </c>
      <c r="K1576" s="24">
        <f t="shared" ca="1" si="174"/>
        <v>-1</v>
      </c>
      <c r="L1576" s="17">
        <f t="shared" ca="1" si="175"/>
        <v>-1</v>
      </c>
      <c r="N1576" s="24" t="str">
        <f ca="1">IF(AND(L1576=1,L1575&lt;&gt;1),MAX($N$8:N1575)+1,"")</f>
        <v/>
      </c>
      <c r="O1576" s="24" t="str">
        <f ca="1">IF(AND(L1576&lt;&gt;1,L1575=1),MAX($O$8:O1575)+1,"")</f>
        <v/>
      </c>
      <c r="P1576" s="17" t="str">
        <f ca="1">IF(AND(L1576=-1,L1575&lt;&gt;-1),MAX($P$8:P1575)+1,"")</f>
        <v/>
      </c>
      <c r="Q1576" s="24" t="str">
        <f ca="1">IF(AND(L1576&lt;&gt;-1,L1575=-1),MAX($Q$8:Q1575)+1,"")</f>
        <v/>
      </c>
    </row>
    <row r="1577" spans="1:17" x14ac:dyDescent="0.3">
      <c r="A1577" s="3">
        <v>42508</v>
      </c>
      <c r="B1577" s="9">
        <v>14.919717</v>
      </c>
      <c r="C1577" s="9">
        <v>12.756748</v>
      </c>
      <c r="E1577" s="14">
        <f t="shared" si="172"/>
        <v>1.1695548896944583</v>
      </c>
      <c r="F1577" s="18">
        <f t="shared" ca="1" si="171"/>
        <v>-0.2082801586312559</v>
      </c>
      <c r="G1577" s="15">
        <f t="shared" ca="1" si="176"/>
        <v>1.1753593365983255</v>
      </c>
      <c r="H1577" s="15">
        <f t="shared" ca="1" si="177"/>
        <v>2.7868458243991912E-2</v>
      </c>
      <c r="J1577" s="17">
        <f t="shared" ca="1" si="173"/>
        <v>0</v>
      </c>
      <c r="K1577" s="24">
        <f t="shared" ca="1" si="174"/>
        <v>-1</v>
      </c>
      <c r="L1577" s="17">
        <f t="shared" ca="1" si="175"/>
        <v>-1</v>
      </c>
      <c r="N1577" s="24" t="str">
        <f ca="1">IF(AND(L1577=1,L1576&lt;&gt;1),MAX($N$8:N1576)+1,"")</f>
        <v/>
      </c>
      <c r="O1577" s="24" t="str">
        <f ca="1">IF(AND(L1577&lt;&gt;1,L1576=1),MAX($O$8:O1576)+1,"")</f>
        <v/>
      </c>
      <c r="P1577" s="17" t="str">
        <f ca="1">IF(AND(L1577=-1,L1576&lt;&gt;-1),MAX($P$8:P1576)+1,"")</f>
        <v/>
      </c>
      <c r="Q1577" s="24" t="str">
        <f ca="1">IF(AND(L1577&lt;&gt;-1,L1576=-1),MAX($Q$8:Q1576)+1,"")</f>
        <v/>
      </c>
    </row>
    <row r="1578" spans="1:17" x14ac:dyDescent="0.3">
      <c r="A1578" s="3">
        <v>42509</v>
      </c>
      <c r="B1578" s="9">
        <v>14.793547</v>
      </c>
      <c r="C1578" s="9">
        <v>12.493255</v>
      </c>
      <c r="E1578" s="14">
        <f t="shared" si="172"/>
        <v>1.1841227126157274</v>
      </c>
      <c r="F1578" s="18">
        <f t="shared" ca="1" si="171"/>
        <v>0.35158589847745969</v>
      </c>
      <c r="G1578" s="15">
        <f t="shared" ca="1" si="176"/>
        <v>1.1745211313664787</v>
      </c>
      <c r="H1578" s="15">
        <f t="shared" ca="1" si="177"/>
        <v>2.7309346850451863E-2</v>
      </c>
      <c r="J1578" s="17">
        <f t="shared" ca="1" si="173"/>
        <v>0</v>
      </c>
      <c r="K1578" s="24">
        <f t="shared" ca="1" si="174"/>
        <v>0</v>
      </c>
      <c r="L1578" s="17">
        <f t="shared" ca="1" si="175"/>
        <v>0</v>
      </c>
      <c r="N1578" s="24" t="str">
        <f ca="1">IF(AND(L1578=1,L1577&lt;&gt;1),MAX($N$8:N1577)+1,"")</f>
        <v/>
      </c>
      <c r="O1578" s="24" t="str">
        <f ca="1">IF(AND(L1578&lt;&gt;1,L1577=1),MAX($O$8:O1577)+1,"")</f>
        <v/>
      </c>
      <c r="P1578" s="17" t="str">
        <f ca="1">IF(AND(L1578=-1,L1577&lt;&gt;-1),MAX($P$8:P1577)+1,"")</f>
        <v/>
      </c>
      <c r="Q1578" s="24">
        <f ca="1">IF(AND(L1578&lt;&gt;-1,L1577=-1),MAX($Q$8:Q1577)+1,"")</f>
        <v>59</v>
      </c>
    </row>
    <row r="1579" spans="1:17" x14ac:dyDescent="0.3">
      <c r="A1579" s="3">
        <v>42510</v>
      </c>
      <c r="B1579" s="9">
        <v>14.604169000000001</v>
      </c>
      <c r="C1579" s="9">
        <v>12.356372</v>
      </c>
      <c r="E1579" s="14">
        <f t="shared" si="172"/>
        <v>1.1819139954672779</v>
      </c>
      <c r="F1579" s="18">
        <f t="shared" ca="1" si="171"/>
        <v>0.32130589687053984</v>
      </c>
      <c r="G1579" s="15">
        <f t="shared" ca="1" si="176"/>
        <v>1.1734079427864383</v>
      </c>
      <c r="H1579" s="15">
        <f t="shared" ca="1" si="177"/>
        <v>2.6473378682703854E-2</v>
      </c>
      <c r="J1579" s="17">
        <f t="shared" ca="1" si="173"/>
        <v>0</v>
      </c>
      <c r="K1579" s="24">
        <f t="shared" ca="1" si="174"/>
        <v>0</v>
      </c>
      <c r="L1579" s="17">
        <f t="shared" ca="1" si="175"/>
        <v>0</v>
      </c>
      <c r="N1579" s="24" t="str">
        <f ca="1">IF(AND(L1579=1,L1578&lt;&gt;1),MAX($N$8:N1578)+1,"")</f>
        <v/>
      </c>
      <c r="O1579" s="24" t="str">
        <f ca="1">IF(AND(L1579&lt;&gt;1,L1578=1),MAX($O$8:O1578)+1,"")</f>
        <v/>
      </c>
      <c r="P1579" s="17" t="str">
        <f ca="1">IF(AND(L1579=-1,L1578&lt;&gt;-1),MAX($P$8:P1578)+1,"")</f>
        <v/>
      </c>
      <c r="Q1579" s="24" t="str">
        <f ca="1">IF(AND(L1579&lt;&gt;-1,L1578=-1),MAX($Q$8:Q1578)+1,"")</f>
        <v/>
      </c>
    </row>
    <row r="1580" spans="1:17" x14ac:dyDescent="0.3">
      <c r="A1580" s="3">
        <v>42513</v>
      </c>
      <c r="B1580" s="9">
        <v>14.652717000000001</v>
      </c>
      <c r="C1580" s="9">
        <v>12.391829</v>
      </c>
      <c r="E1580" s="14">
        <f t="shared" si="172"/>
        <v>1.1824499030772617</v>
      </c>
      <c r="F1580" s="18">
        <f t="shared" ca="1" si="171"/>
        <v>0.34637962474829592</v>
      </c>
      <c r="G1580" s="15">
        <f t="shared" ca="1" si="176"/>
        <v>1.1732953106247175</v>
      </c>
      <c r="H1580" s="15">
        <f t="shared" ca="1" si="177"/>
        <v>2.6429361886388725E-2</v>
      </c>
      <c r="J1580" s="17">
        <f t="shared" ca="1" si="173"/>
        <v>0</v>
      </c>
      <c r="K1580" s="24">
        <f t="shared" ca="1" si="174"/>
        <v>0</v>
      </c>
      <c r="L1580" s="17">
        <f t="shared" ca="1" si="175"/>
        <v>0</v>
      </c>
      <c r="N1580" s="24" t="str">
        <f ca="1">IF(AND(L1580=1,L1579&lt;&gt;1),MAX($N$8:N1579)+1,"")</f>
        <v/>
      </c>
      <c r="O1580" s="24" t="str">
        <f ca="1">IF(AND(L1580&lt;&gt;1,L1579=1),MAX($O$8:O1579)+1,"")</f>
        <v/>
      </c>
      <c r="P1580" s="17" t="str">
        <f ca="1">IF(AND(L1580=-1,L1579&lt;&gt;-1),MAX($P$8:P1579)+1,"")</f>
        <v/>
      </c>
      <c r="Q1580" s="24" t="str">
        <f ca="1">IF(AND(L1580&lt;&gt;-1,L1579=-1),MAX($Q$8:Q1579)+1,"")</f>
        <v/>
      </c>
    </row>
    <row r="1581" spans="1:17" x14ac:dyDescent="0.3">
      <c r="A1581" s="3">
        <v>42514</v>
      </c>
      <c r="B1581" s="9">
        <v>14.638135</v>
      </c>
      <c r="C1581" s="9">
        <v>12.427364000000001</v>
      </c>
      <c r="E1581" s="14">
        <f t="shared" si="172"/>
        <v>1.177895408873515</v>
      </c>
      <c r="F1581" s="18">
        <f t="shared" ca="1" si="171"/>
        <v>0.19327619056429332</v>
      </c>
      <c r="G1581" s="15">
        <f t="shared" ca="1" si="176"/>
        <v>1.1728221112234112</v>
      </c>
      <c r="H1581" s="15">
        <f t="shared" ca="1" si="177"/>
        <v>2.6248953041198047E-2</v>
      </c>
      <c r="J1581" s="17">
        <f t="shared" ca="1" si="173"/>
        <v>0</v>
      </c>
      <c r="K1581" s="24">
        <f t="shared" ca="1" si="174"/>
        <v>0</v>
      </c>
      <c r="L1581" s="17">
        <f t="shared" ca="1" si="175"/>
        <v>0</v>
      </c>
      <c r="N1581" s="24" t="str">
        <f ca="1">IF(AND(L1581=1,L1580&lt;&gt;1),MAX($N$8:N1580)+1,"")</f>
        <v/>
      </c>
      <c r="O1581" s="24" t="str">
        <f ca="1">IF(AND(L1581&lt;&gt;1,L1580=1),MAX($O$8:O1580)+1,"")</f>
        <v/>
      </c>
      <c r="P1581" s="17" t="str">
        <f ca="1">IF(AND(L1581=-1,L1580&lt;&gt;-1),MAX($P$8:P1580)+1,"")</f>
        <v/>
      </c>
      <c r="Q1581" s="24" t="str">
        <f ca="1">IF(AND(L1581&lt;&gt;-1,L1580=-1),MAX($Q$8:Q1580)+1,"")</f>
        <v/>
      </c>
    </row>
    <row r="1582" spans="1:17" x14ac:dyDescent="0.3">
      <c r="A1582" s="3">
        <v>42515</v>
      </c>
      <c r="B1582" s="9">
        <v>14.570205</v>
      </c>
      <c r="C1582" s="9">
        <v>12.376695</v>
      </c>
      <c r="E1582" s="14">
        <f t="shared" si="172"/>
        <v>1.1772290583229206</v>
      </c>
      <c r="F1582" s="18">
        <f t="shared" ca="1" si="171"/>
        <v>0.22538703992938608</v>
      </c>
      <c r="G1582" s="15">
        <f t="shared" ca="1" si="176"/>
        <v>1.1715304951730354</v>
      </c>
      <c r="H1582" s="15">
        <f t="shared" ca="1" si="177"/>
        <v>2.5283455302800524E-2</v>
      </c>
      <c r="J1582" s="17">
        <f t="shared" ca="1" si="173"/>
        <v>0</v>
      </c>
      <c r="K1582" s="24">
        <f t="shared" ca="1" si="174"/>
        <v>0</v>
      </c>
      <c r="L1582" s="17">
        <f t="shared" ca="1" si="175"/>
        <v>0</v>
      </c>
      <c r="N1582" s="24" t="str">
        <f ca="1">IF(AND(L1582=1,L1581&lt;&gt;1),MAX($N$8:N1581)+1,"")</f>
        <v/>
      </c>
      <c r="O1582" s="24" t="str">
        <f ca="1">IF(AND(L1582&lt;&gt;1,L1581=1),MAX($O$8:O1581)+1,"")</f>
        <v/>
      </c>
      <c r="P1582" s="17" t="str">
        <f ca="1">IF(AND(L1582=-1,L1581&lt;&gt;-1),MAX($P$8:P1581)+1,"")</f>
        <v/>
      </c>
      <c r="Q1582" s="24" t="str">
        <f ca="1">IF(AND(L1582&lt;&gt;-1,L1581=-1),MAX($Q$8:Q1581)+1,"")</f>
        <v/>
      </c>
    </row>
    <row r="1583" spans="1:17" x14ac:dyDescent="0.3">
      <c r="A1583" s="3">
        <v>42517</v>
      </c>
      <c r="B1583" s="9">
        <v>14.424562999999999</v>
      </c>
      <c r="C1583" s="9">
        <v>12.199249999999999</v>
      </c>
      <c r="E1583" s="14">
        <f t="shared" si="172"/>
        <v>1.1824139188884562</v>
      </c>
      <c r="F1583" s="18">
        <f t="shared" ca="1" si="171"/>
        <v>0.48633889260794144</v>
      </c>
      <c r="G1583" s="15">
        <f t="shared" ca="1" si="176"/>
        <v>1.170545725085824</v>
      </c>
      <c r="H1583" s="15">
        <f t="shared" ca="1" si="177"/>
        <v>2.4403135309599047E-2</v>
      </c>
      <c r="J1583" s="17">
        <f t="shared" ca="1" si="173"/>
        <v>0</v>
      </c>
      <c r="K1583" s="24">
        <f t="shared" ca="1" si="174"/>
        <v>0</v>
      </c>
      <c r="L1583" s="17">
        <f t="shared" ca="1" si="175"/>
        <v>0</v>
      </c>
      <c r="N1583" s="24" t="str">
        <f ca="1">IF(AND(L1583=1,L1582&lt;&gt;1),MAX($N$8:N1582)+1,"")</f>
        <v/>
      </c>
      <c r="O1583" s="24" t="str">
        <f ca="1">IF(AND(L1583&lt;&gt;1,L1582=1),MAX($O$8:O1582)+1,"")</f>
        <v/>
      </c>
      <c r="P1583" s="17" t="str">
        <f ca="1">IF(AND(L1583=-1,L1582&lt;&gt;-1),MAX($P$8:P1582)+1,"")</f>
        <v/>
      </c>
      <c r="Q1583" s="24" t="str">
        <f ca="1">IF(AND(L1583&lt;&gt;-1,L1582=-1),MAX($Q$8:Q1582)+1,"")</f>
        <v/>
      </c>
    </row>
    <row r="1584" spans="1:17" x14ac:dyDescent="0.3">
      <c r="A1584" s="3">
        <v>42520</v>
      </c>
      <c r="B1584" s="9">
        <v>14.419670999999999</v>
      </c>
      <c r="C1584" s="9">
        <v>12.163791</v>
      </c>
      <c r="E1584" s="14">
        <f t="shared" si="172"/>
        <v>1.1854586288107054</v>
      </c>
      <c r="F1584" s="18">
        <f t="shared" ca="1" si="171"/>
        <v>0.66515339867941037</v>
      </c>
      <c r="G1584" s="15">
        <f t="shared" ca="1" si="176"/>
        <v>1.1697538202745308</v>
      </c>
      <c r="H1584" s="15">
        <f t="shared" ca="1" si="177"/>
        <v>2.3610807021891198E-2</v>
      </c>
      <c r="J1584" s="17">
        <f t="shared" ca="1" si="173"/>
        <v>0</v>
      </c>
      <c r="K1584" s="24">
        <f t="shared" ca="1" si="174"/>
        <v>0</v>
      </c>
      <c r="L1584" s="17">
        <f t="shared" ca="1" si="175"/>
        <v>0</v>
      </c>
      <c r="N1584" s="24" t="str">
        <f ca="1">IF(AND(L1584=1,L1583&lt;&gt;1),MAX($N$8:N1583)+1,"")</f>
        <v/>
      </c>
      <c r="O1584" s="24" t="str">
        <f ca="1">IF(AND(L1584&lt;&gt;1,L1583=1),MAX($O$8:O1583)+1,"")</f>
        <v/>
      </c>
      <c r="P1584" s="17" t="str">
        <f ca="1">IF(AND(L1584=-1,L1583&lt;&gt;-1),MAX($P$8:P1583)+1,"")</f>
        <v/>
      </c>
      <c r="Q1584" s="24" t="str">
        <f ca="1">IF(AND(L1584&lt;&gt;-1,L1583=-1),MAX($Q$8:Q1583)+1,"")</f>
        <v/>
      </c>
    </row>
    <row r="1585" spans="1:17" x14ac:dyDescent="0.3">
      <c r="A1585" s="3">
        <v>42521</v>
      </c>
      <c r="B1585" s="9">
        <v>14.104122</v>
      </c>
      <c r="C1585" s="9">
        <v>11.555614</v>
      </c>
      <c r="E1585" s="14">
        <f t="shared" si="172"/>
        <v>1.2205428461006054</v>
      </c>
      <c r="F1585" s="18">
        <f t="shared" ca="1" si="171"/>
        <v>2.1421574989205183</v>
      </c>
      <c r="G1585" s="15">
        <f t="shared" ca="1" si="176"/>
        <v>1.1697917583959312</v>
      </c>
      <c r="H1585" s="15">
        <f t="shared" ca="1" si="177"/>
        <v>2.3691576240425272E-2</v>
      </c>
      <c r="J1585" s="17">
        <f t="shared" ca="1" si="173"/>
        <v>1</v>
      </c>
      <c r="K1585" s="24">
        <f t="shared" ca="1" si="174"/>
        <v>0</v>
      </c>
      <c r="L1585" s="17">
        <f t="shared" ca="1" si="175"/>
        <v>1</v>
      </c>
      <c r="N1585" s="24">
        <f ca="1">IF(AND(L1585=1,L1584&lt;&gt;1),MAX($N$8:N1584)+1,"")</f>
        <v>51</v>
      </c>
      <c r="O1585" s="24" t="str">
        <f ca="1">IF(AND(L1585&lt;&gt;1,L1584=1),MAX($O$8:O1584)+1,"")</f>
        <v/>
      </c>
      <c r="P1585" s="17" t="str">
        <f ca="1">IF(AND(L1585=-1,L1584&lt;&gt;-1),MAX($P$8:P1584)+1,"")</f>
        <v/>
      </c>
      <c r="Q1585" s="24" t="str">
        <f ca="1">IF(AND(L1585&lt;&gt;-1,L1584=-1),MAX($Q$8:Q1584)+1,"")</f>
        <v/>
      </c>
    </row>
    <row r="1586" spans="1:17" x14ac:dyDescent="0.3">
      <c r="A1586" s="3">
        <v>42522</v>
      </c>
      <c r="B1586" s="9">
        <v>14.320206000000001</v>
      </c>
      <c r="C1586" s="9">
        <v>11.768433999999999</v>
      </c>
      <c r="E1586" s="14">
        <f t="shared" si="172"/>
        <v>1.2168319081366308</v>
      </c>
      <c r="F1586" s="18">
        <f t="shared" ca="1" si="171"/>
        <v>1.9802904280328155</v>
      </c>
      <c r="G1586" s="15">
        <f t="shared" ca="1" si="176"/>
        <v>1.1698170358271465</v>
      </c>
      <c r="H1586" s="15">
        <f t="shared" ca="1" si="177"/>
        <v>2.3741402596278785E-2</v>
      </c>
      <c r="J1586" s="17">
        <f t="shared" ca="1" si="173"/>
        <v>1</v>
      </c>
      <c r="K1586" s="24">
        <f t="shared" ca="1" si="174"/>
        <v>0</v>
      </c>
      <c r="L1586" s="17">
        <f t="shared" ca="1" si="175"/>
        <v>1</v>
      </c>
      <c r="N1586" s="24" t="str">
        <f ca="1">IF(AND(L1586=1,L1585&lt;&gt;1),MAX($N$8:N1585)+1,"")</f>
        <v/>
      </c>
      <c r="O1586" s="24" t="str">
        <f ca="1">IF(AND(L1586&lt;&gt;1,L1585=1),MAX($O$8:O1585)+1,"")</f>
        <v/>
      </c>
      <c r="P1586" s="17" t="str">
        <f ca="1">IF(AND(L1586=-1,L1585&lt;&gt;-1),MAX($P$8:P1585)+1,"")</f>
        <v/>
      </c>
      <c r="Q1586" s="24" t="str">
        <f ca="1">IF(AND(L1586&lt;&gt;-1,L1585=-1),MAX($Q$8:Q1585)+1,"")</f>
        <v/>
      </c>
    </row>
    <row r="1587" spans="1:17" x14ac:dyDescent="0.3">
      <c r="A1587" s="3">
        <v>42523</v>
      </c>
      <c r="B1587" s="9">
        <v>14.534034999999999</v>
      </c>
      <c r="C1587" s="9">
        <v>12.154318999999999</v>
      </c>
      <c r="E1587" s="14">
        <f t="shared" si="172"/>
        <v>1.1957918004291315</v>
      </c>
      <c r="F1587" s="18">
        <f t="shared" ca="1" si="171"/>
        <v>1.1484441814513173</v>
      </c>
      <c r="G1587" s="15">
        <f t="shared" ca="1" si="176"/>
        <v>1.1693126830544891</v>
      </c>
      <c r="H1587" s="15">
        <f t="shared" ca="1" si="177"/>
        <v>2.3056512281842075E-2</v>
      </c>
      <c r="J1587" s="17">
        <f t="shared" ca="1" si="173"/>
        <v>1</v>
      </c>
      <c r="K1587" s="24">
        <f t="shared" ca="1" si="174"/>
        <v>0</v>
      </c>
      <c r="L1587" s="17">
        <f t="shared" ca="1" si="175"/>
        <v>1</v>
      </c>
      <c r="N1587" s="24" t="str">
        <f ca="1">IF(AND(L1587=1,L1586&lt;&gt;1),MAX($N$8:N1586)+1,"")</f>
        <v/>
      </c>
      <c r="O1587" s="24" t="str">
        <f ca="1">IF(AND(L1587&lt;&gt;1,L1586=1),MAX($O$8:O1586)+1,"")</f>
        <v/>
      </c>
      <c r="P1587" s="17" t="str">
        <f ca="1">IF(AND(L1587=-1,L1586&lt;&gt;-1),MAX($P$8:P1586)+1,"")</f>
        <v/>
      </c>
      <c r="Q1587" s="24" t="str">
        <f ca="1">IF(AND(L1587&lt;&gt;-1,L1586=-1),MAX($Q$8:Q1586)+1,"")</f>
        <v/>
      </c>
    </row>
    <row r="1588" spans="1:17" x14ac:dyDescent="0.3">
      <c r="A1588" s="3">
        <v>42524</v>
      </c>
      <c r="B1588" s="9">
        <v>14.519444999999999</v>
      </c>
      <c r="C1588" s="9">
        <v>12.215192</v>
      </c>
      <c r="E1588" s="14">
        <f t="shared" si="172"/>
        <v>1.1886382956567527</v>
      </c>
      <c r="F1588" s="18">
        <f t="shared" ca="1" si="171"/>
        <v>0.77506285451289392</v>
      </c>
      <c r="G1588" s="15">
        <f t="shared" ca="1" si="176"/>
        <v>1.1705605595773159</v>
      </c>
      <c r="H1588" s="15">
        <f t="shared" ca="1" si="177"/>
        <v>2.3324219415466925E-2</v>
      </c>
      <c r="J1588" s="17">
        <f t="shared" ca="1" si="173"/>
        <v>1</v>
      </c>
      <c r="K1588" s="24">
        <f t="shared" ca="1" si="174"/>
        <v>0</v>
      </c>
      <c r="L1588" s="17">
        <f t="shared" ca="1" si="175"/>
        <v>1</v>
      </c>
      <c r="N1588" s="24" t="str">
        <f ca="1">IF(AND(L1588=1,L1587&lt;&gt;1),MAX($N$8:N1587)+1,"")</f>
        <v/>
      </c>
      <c r="O1588" s="24" t="str">
        <f ca="1">IF(AND(L1588&lt;&gt;1,L1587=1),MAX($O$8:O1587)+1,"")</f>
        <v/>
      </c>
      <c r="P1588" s="17" t="str">
        <f ca="1">IF(AND(L1588=-1,L1587&lt;&gt;-1),MAX($P$8:P1587)+1,"")</f>
        <v/>
      </c>
      <c r="Q1588" s="24" t="str">
        <f ca="1">IF(AND(L1588&lt;&gt;-1,L1587=-1),MAX($Q$8:Q1587)+1,"")</f>
        <v/>
      </c>
    </row>
    <row r="1589" spans="1:17" x14ac:dyDescent="0.3">
      <c r="A1589" s="3">
        <v>42527</v>
      </c>
      <c r="B1589" s="9">
        <v>14.378493000000001</v>
      </c>
      <c r="C1589" s="9">
        <v>12.144187000000001</v>
      </c>
      <c r="E1589" s="14">
        <f t="shared" si="172"/>
        <v>1.1839815213649132</v>
      </c>
      <c r="F1589" s="18">
        <f t="shared" ca="1" si="171"/>
        <v>0.50845910015330353</v>
      </c>
      <c r="G1589" s="15">
        <f t="shared" ca="1" si="176"/>
        <v>1.1725129294303793</v>
      </c>
      <c r="H1589" s="15">
        <f t="shared" ca="1" si="177"/>
        <v>2.2555583981240607E-2</v>
      </c>
      <c r="J1589" s="17">
        <f t="shared" ca="1" si="173"/>
        <v>1</v>
      </c>
      <c r="K1589" s="24">
        <f t="shared" ca="1" si="174"/>
        <v>0</v>
      </c>
      <c r="L1589" s="17">
        <f t="shared" ca="1" si="175"/>
        <v>1</v>
      </c>
      <c r="N1589" s="24" t="str">
        <f ca="1">IF(AND(L1589=1,L1588&lt;&gt;1),MAX($N$8:N1588)+1,"")</f>
        <v/>
      </c>
      <c r="O1589" s="24" t="str">
        <f ca="1">IF(AND(L1589&lt;&gt;1,L1588=1),MAX($O$8:O1588)+1,"")</f>
        <v/>
      </c>
      <c r="P1589" s="17" t="str">
        <f ca="1">IF(AND(L1589=-1,L1588&lt;&gt;-1),MAX($P$8:P1588)+1,"")</f>
        <v/>
      </c>
      <c r="Q1589" s="24" t="str">
        <f ca="1">IF(AND(L1589&lt;&gt;-1,L1588=-1),MAX($Q$8:Q1588)+1,"")</f>
        <v/>
      </c>
    </row>
    <row r="1590" spans="1:17" x14ac:dyDescent="0.3">
      <c r="A1590" s="3">
        <v>42528</v>
      </c>
      <c r="B1590" s="9">
        <v>14.611727999999999</v>
      </c>
      <c r="C1590" s="9">
        <v>12.301517</v>
      </c>
      <c r="E1590" s="14">
        <f t="shared" si="172"/>
        <v>1.1877988706596103</v>
      </c>
      <c r="F1590" s="18">
        <f t="shared" ca="1" si="171"/>
        <v>0.6130954240249249</v>
      </c>
      <c r="G1590" s="15">
        <f t="shared" ca="1" si="176"/>
        <v>1.174096815020258</v>
      </c>
      <c r="H1590" s="15">
        <f t="shared" ca="1" si="177"/>
        <v>2.2348977177809263E-2</v>
      </c>
      <c r="J1590" s="17">
        <f t="shared" ca="1" si="173"/>
        <v>1</v>
      </c>
      <c r="K1590" s="24">
        <f t="shared" ca="1" si="174"/>
        <v>0</v>
      </c>
      <c r="L1590" s="17">
        <f t="shared" ca="1" si="175"/>
        <v>1</v>
      </c>
      <c r="N1590" s="24" t="str">
        <f ca="1">IF(AND(L1590=1,L1589&lt;&gt;1),MAX($N$8:N1589)+1,"")</f>
        <v/>
      </c>
      <c r="O1590" s="24" t="str">
        <f ca="1">IF(AND(L1590&lt;&gt;1,L1589=1),MAX($O$8:O1589)+1,"")</f>
        <v/>
      </c>
      <c r="P1590" s="17" t="str">
        <f ca="1">IF(AND(L1590=-1,L1589&lt;&gt;-1),MAX($P$8:P1589)+1,"")</f>
        <v/>
      </c>
      <c r="Q1590" s="24" t="str">
        <f ca="1">IF(AND(L1590&lt;&gt;-1,L1589=-1),MAX($Q$8:Q1589)+1,"")</f>
        <v/>
      </c>
    </row>
    <row r="1591" spans="1:17" x14ac:dyDescent="0.3">
      <c r="A1591" s="3">
        <v>42529</v>
      </c>
      <c r="B1591" s="9">
        <v>14.835262</v>
      </c>
      <c r="C1591" s="9">
        <v>12.687177999999999</v>
      </c>
      <c r="E1591" s="14">
        <f t="shared" si="172"/>
        <v>1.1693114103073199</v>
      </c>
      <c r="F1591" s="18">
        <f t="shared" ca="1" si="171"/>
        <v>-0.26617613748452751</v>
      </c>
      <c r="G1591" s="15">
        <f t="shared" ca="1" si="176"/>
        <v>1.1750715102148328</v>
      </c>
      <c r="H1591" s="15">
        <f t="shared" ca="1" si="177"/>
        <v>2.1640181430041767E-2</v>
      </c>
      <c r="J1591" s="17">
        <f t="shared" ca="1" si="173"/>
        <v>0</v>
      </c>
      <c r="K1591" s="24">
        <f t="shared" ca="1" si="174"/>
        <v>0</v>
      </c>
      <c r="L1591" s="17">
        <f t="shared" ca="1" si="175"/>
        <v>0</v>
      </c>
      <c r="N1591" s="24" t="str">
        <f ca="1">IF(AND(L1591=1,L1590&lt;&gt;1),MAX($N$8:N1590)+1,"")</f>
        <v/>
      </c>
      <c r="O1591" s="24">
        <f ca="1">IF(AND(L1591&lt;&gt;1,L1590=1),MAX($O$8:O1590)+1,"")</f>
        <v>51</v>
      </c>
      <c r="P1591" s="17" t="str">
        <f ca="1">IF(AND(L1591=-1,L1590&lt;&gt;-1),MAX($P$8:P1590)+1,"")</f>
        <v/>
      </c>
      <c r="Q1591" s="24" t="str">
        <f ca="1">IF(AND(L1591&lt;&gt;-1,L1590=-1),MAX($Q$8:Q1590)+1,"")</f>
        <v/>
      </c>
    </row>
    <row r="1592" spans="1:17" x14ac:dyDescent="0.3">
      <c r="A1592" s="3">
        <v>42530</v>
      </c>
      <c r="B1592" s="9">
        <v>14.801269</v>
      </c>
      <c r="C1592" s="9">
        <v>12.707440999999999</v>
      </c>
      <c r="E1592" s="14">
        <f t="shared" si="172"/>
        <v>1.1647718057475145</v>
      </c>
      <c r="F1592" s="18">
        <f t="shared" ca="1" si="171"/>
        <v>-0.52852053754631634</v>
      </c>
      <c r="G1592" s="15">
        <f t="shared" ca="1" si="176"/>
        <v>1.1758423876719653</v>
      </c>
      <c r="H1592" s="15">
        <f t="shared" ca="1" si="177"/>
        <v>2.0946360903677474E-2</v>
      </c>
      <c r="J1592" s="17">
        <f t="shared" ca="1" si="173"/>
        <v>0</v>
      </c>
      <c r="K1592" s="24">
        <f t="shared" ca="1" si="174"/>
        <v>0</v>
      </c>
      <c r="L1592" s="17">
        <f t="shared" ca="1" si="175"/>
        <v>0</v>
      </c>
      <c r="N1592" s="24" t="str">
        <f ca="1">IF(AND(L1592=1,L1591&lt;&gt;1),MAX($N$8:N1591)+1,"")</f>
        <v/>
      </c>
      <c r="O1592" s="24" t="str">
        <f ca="1">IF(AND(L1592&lt;&gt;1,L1591=1),MAX($O$8:O1591)+1,"")</f>
        <v/>
      </c>
      <c r="P1592" s="17" t="str">
        <f ca="1">IF(AND(L1592=-1,L1591&lt;&gt;-1),MAX($P$8:P1591)+1,"")</f>
        <v/>
      </c>
      <c r="Q1592" s="24" t="str">
        <f ca="1">IF(AND(L1592&lt;&gt;-1,L1591=-1),MAX($Q$8:Q1591)+1,"")</f>
        <v/>
      </c>
    </row>
    <row r="1593" spans="1:17" x14ac:dyDescent="0.3">
      <c r="A1593" s="3">
        <v>42531</v>
      </c>
      <c r="B1593" s="9">
        <v>14.043262</v>
      </c>
      <c r="C1593" s="9">
        <v>12.199956</v>
      </c>
      <c r="E1593" s="14">
        <f t="shared" si="172"/>
        <v>1.1510912006567893</v>
      </c>
      <c r="F1593" s="18">
        <f t="shared" ca="1" si="171"/>
        <v>-1.1102131642305846</v>
      </c>
      <c r="G1593" s="15">
        <f t="shared" ca="1" si="176"/>
        <v>1.1750072182647071</v>
      </c>
      <c r="H1593" s="15">
        <f t="shared" ca="1" si="177"/>
        <v>2.1541824920165174E-2</v>
      </c>
      <c r="J1593" s="17">
        <f t="shared" ca="1" si="173"/>
        <v>0</v>
      </c>
      <c r="K1593" s="24">
        <f t="shared" ca="1" si="174"/>
        <v>-1</v>
      </c>
      <c r="L1593" s="17">
        <f t="shared" ca="1" si="175"/>
        <v>-1</v>
      </c>
      <c r="N1593" s="24" t="str">
        <f ca="1">IF(AND(L1593=1,L1592&lt;&gt;1),MAX($N$8:N1592)+1,"")</f>
        <v/>
      </c>
      <c r="O1593" s="24" t="str">
        <f ca="1">IF(AND(L1593&lt;&gt;1,L1592=1),MAX($O$8:O1592)+1,"")</f>
        <v/>
      </c>
      <c r="P1593" s="17">
        <f ca="1">IF(AND(L1593=-1,L1592&lt;&gt;-1),MAX($P$8:P1592)+1,"")</f>
        <v>60</v>
      </c>
      <c r="Q1593" s="24" t="str">
        <f ca="1">IF(AND(L1593&lt;&gt;-1,L1592=-1),MAX($Q$8:Q1592)+1,"")</f>
        <v/>
      </c>
    </row>
    <row r="1594" spans="1:17" x14ac:dyDescent="0.3">
      <c r="A1594" s="3">
        <v>42534</v>
      </c>
      <c r="B1594" s="9">
        <v>14.106375</v>
      </c>
      <c r="C1594" s="9">
        <v>12.402998</v>
      </c>
      <c r="E1594" s="14">
        <f t="shared" si="172"/>
        <v>1.1373359086246728</v>
      </c>
      <c r="F1594" s="18">
        <f t="shared" ca="1" si="171"/>
        <v>-1.6535010960307535</v>
      </c>
      <c r="G1594" s="15">
        <f t="shared" ca="1" si="176"/>
        <v>1.1743846768646984</v>
      </c>
      <c r="H1594" s="15">
        <f t="shared" ca="1" si="177"/>
        <v>2.2406255628715045E-2</v>
      </c>
      <c r="J1594" s="17">
        <f t="shared" ca="1" si="173"/>
        <v>0</v>
      </c>
      <c r="K1594" s="24">
        <f t="shared" ca="1" si="174"/>
        <v>-1</v>
      </c>
      <c r="L1594" s="17">
        <f t="shared" ca="1" si="175"/>
        <v>-1</v>
      </c>
      <c r="N1594" s="24" t="str">
        <f ca="1">IF(AND(L1594=1,L1593&lt;&gt;1),MAX($N$8:N1593)+1,"")</f>
        <v/>
      </c>
      <c r="O1594" s="24" t="str">
        <f ca="1">IF(AND(L1594&lt;&gt;1,L1593=1),MAX($O$8:O1593)+1,"")</f>
        <v/>
      </c>
      <c r="P1594" s="17" t="str">
        <f ca="1">IF(AND(L1594=-1,L1593&lt;&gt;-1),MAX($P$8:P1593)+1,"")</f>
        <v/>
      </c>
      <c r="Q1594" s="24" t="str">
        <f ca="1">IF(AND(L1594&lt;&gt;-1,L1593=-1),MAX($Q$8:Q1593)+1,"")</f>
        <v/>
      </c>
    </row>
    <row r="1595" spans="1:17" x14ac:dyDescent="0.3">
      <c r="A1595" s="3">
        <v>42535</v>
      </c>
      <c r="B1595" s="9">
        <v>13.902314000000001</v>
      </c>
      <c r="C1595" s="9">
        <v>12.159426</v>
      </c>
      <c r="E1595" s="14">
        <f t="shared" si="172"/>
        <v>1.143336371305685</v>
      </c>
      <c r="F1595" s="18">
        <f t="shared" ca="1" si="171"/>
        <v>-1.4207109029071485</v>
      </c>
      <c r="G1595" s="15">
        <f t="shared" ca="1" si="176"/>
        <v>1.174632346622219</v>
      </c>
      <c r="H1595" s="15">
        <f t="shared" ca="1" si="177"/>
        <v>2.2028391034723708E-2</v>
      </c>
      <c r="J1595" s="17">
        <f t="shared" ca="1" si="173"/>
        <v>0</v>
      </c>
      <c r="K1595" s="24">
        <f t="shared" ca="1" si="174"/>
        <v>-1</v>
      </c>
      <c r="L1595" s="17">
        <f t="shared" ca="1" si="175"/>
        <v>-1</v>
      </c>
      <c r="N1595" s="24" t="str">
        <f ca="1">IF(AND(L1595=1,L1594&lt;&gt;1),MAX($N$8:N1594)+1,"")</f>
        <v/>
      </c>
      <c r="O1595" s="24" t="str">
        <f ca="1">IF(AND(L1595&lt;&gt;1,L1594=1),MAX($O$8:O1594)+1,"")</f>
        <v/>
      </c>
      <c r="P1595" s="17" t="str">
        <f ca="1">IF(AND(L1595=-1,L1594&lt;&gt;-1),MAX($P$8:P1594)+1,"")</f>
        <v/>
      </c>
      <c r="Q1595" s="24" t="str">
        <f ca="1">IF(AND(L1595&lt;&gt;-1,L1594=-1),MAX($Q$8:Q1594)+1,"")</f>
        <v/>
      </c>
    </row>
    <row r="1596" spans="1:17" x14ac:dyDescent="0.3">
      <c r="A1596" s="3">
        <v>42536</v>
      </c>
      <c r="B1596" s="9">
        <v>13.834249</v>
      </c>
      <c r="C1596" s="9">
        <v>12.179691</v>
      </c>
      <c r="E1596" s="14">
        <f t="shared" si="172"/>
        <v>1.135845646658852</v>
      </c>
      <c r="F1596" s="18">
        <f t="shared" ca="1" si="171"/>
        <v>-1.7196488772615253</v>
      </c>
      <c r="G1596" s="15">
        <f t="shared" ca="1" si="176"/>
        <v>1.1743933238761259</v>
      </c>
      <c r="H1596" s="15">
        <f t="shared" ca="1" si="177"/>
        <v>2.241601627342648E-2</v>
      </c>
      <c r="J1596" s="17">
        <f t="shared" ca="1" si="173"/>
        <v>0</v>
      </c>
      <c r="K1596" s="24">
        <f t="shared" ca="1" si="174"/>
        <v>-1</v>
      </c>
      <c r="L1596" s="17">
        <f t="shared" ca="1" si="175"/>
        <v>-1</v>
      </c>
      <c r="N1596" s="24" t="str">
        <f ca="1">IF(AND(L1596=1,L1595&lt;&gt;1),MAX($N$8:N1595)+1,"")</f>
        <v/>
      </c>
      <c r="O1596" s="24" t="str">
        <f ca="1">IF(AND(L1596&lt;&gt;1,L1595=1),MAX($O$8:O1595)+1,"")</f>
        <v/>
      </c>
      <c r="P1596" s="17" t="str">
        <f ca="1">IF(AND(L1596=-1,L1595&lt;&gt;-1),MAX($P$8:P1595)+1,"")</f>
        <v/>
      </c>
      <c r="Q1596" s="24" t="str">
        <f ca="1">IF(AND(L1596&lt;&gt;-1,L1595=-1),MAX($Q$8:Q1595)+1,"")</f>
        <v/>
      </c>
    </row>
    <row r="1597" spans="1:17" x14ac:dyDescent="0.3">
      <c r="A1597" s="3">
        <v>42537</v>
      </c>
      <c r="B1597" s="9">
        <v>14.086964999999999</v>
      </c>
      <c r="C1597" s="9">
        <v>12.36239</v>
      </c>
      <c r="E1597" s="14">
        <f t="shared" si="172"/>
        <v>1.1395017468305078</v>
      </c>
      <c r="F1597" s="18">
        <f t="shared" ca="1" si="171"/>
        <v>-1.5296702250495109</v>
      </c>
      <c r="G1597" s="15">
        <f t="shared" ca="1" si="176"/>
        <v>1.1742062670703053</v>
      </c>
      <c r="H1597" s="15">
        <f t="shared" ca="1" si="177"/>
        <v>2.2687583030305929E-2</v>
      </c>
      <c r="J1597" s="17">
        <f t="shared" ca="1" si="173"/>
        <v>0</v>
      </c>
      <c r="K1597" s="24">
        <f t="shared" ca="1" si="174"/>
        <v>-1</v>
      </c>
      <c r="L1597" s="17">
        <f t="shared" ca="1" si="175"/>
        <v>-1</v>
      </c>
      <c r="N1597" s="24" t="str">
        <f ca="1">IF(AND(L1597=1,L1596&lt;&gt;1),MAX($N$8:N1596)+1,"")</f>
        <v/>
      </c>
      <c r="O1597" s="24" t="str">
        <f ca="1">IF(AND(L1597&lt;&gt;1,L1596=1),MAX($O$8:O1596)+1,"")</f>
        <v/>
      </c>
      <c r="P1597" s="17" t="str">
        <f ca="1">IF(AND(L1597=-1,L1596&lt;&gt;-1),MAX($P$8:P1596)+1,"")</f>
        <v/>
      </c>
      <c r="Q1597" s="24" t="str">
        <f ca="1">IF(AND(L1597&lt;&gt;-1,L1596=-1),MAX($Q$8:Q1596)+1,"")</f>
        <v/>
      </c>
    </row>
    <row r="1598" spans="1:17" x14ac:dyDescent="0.3">
      <c r="A1598" s="3">
        <v>42538</v>
      </c>
      <c r="B1598" s="9">
        <v>14.052968999999999</v>
      </c>
      <c r="C1598" s="9">
        <v>12.286277999999999</v>
      </c>
      <c r="E1598" s="14">
        <f t="shared" si="172"/>
        <v>1.1437938324364791</v>
      </c>
      <c r="F1598" s="18">
        <f t="shared" ca="1" si="171"/>
        <v>-1.2804691554895926</v>
      </c>
      <c r="G1598" s="15">
        <f t="shared" ca="1" si="176"/>
        <v>1.1736187127575357</v>
      </c>
      <c r="H1598" s="15">
        <f t="shared" ca="1" si="177"/>
        <v>2.3292150531851664E-2</v>
      </c>
      <c r="J1598" s="17">
        <f t="shared" ca="1" si="173"/>
        <v>0</v>
      </c>
      <c r="K1598" s="24">
        <f t="shared" ca="1" si="174"/>
        <v>-1</v>
      </c>
      <c r="L1598" s="17">
        <f t="shared" ca="1" si="175"/>
        <v>-1</v>
      </c>
      <c r="N1598" s="24" t="str">
        <f ca="1">IF(AND(L1598=1,L1597&lt;&gt;1),MAX($N$8:N1597)+1,"")</f>
        <v/>
      </c>
      <c r="O1598" s="24" t="str">
        <f ca="1">IF(AND(L1598&lt;&gt;1,L1597=1),MAX($O$8:O1597)+1,"")</f>
        <v/>
      </c>
      <c r="P1598" s="17" t="str">
        <f ca="1">IF(AND(L1598=-1,L1597&lt;&gt;-1),MAX($P$8:P1597)+1,"")</f>
        <v/>
      </c>
      <c r="Q1598" s="24" t="str">
        <f ca="1">IF(AND(L1598&lt;&gt;-1,L1597=-1),MAX($Q$8:Q1597)+1,"")</f>
        <v/>
      </c>
    </row>
    <row r="1599" spans="1:17" x14ac:dyDescent="0.3">
      <c r="A1599" s="3">
        <v>42541</v>
      </c>
      <c r="B1599" s="9">
        <v>14.286208</v>
      </c>
      <c r="C1599" s="9">
        <v>12.489242000000001</v>
      </c>
      <c r="E1599" s="14">
        <f t="shared" si="172"/>
        <v>1.1438811098383712</v>
      </c>
      <c r="F1599" s="18">
        <f t="shared" ca="1" si="171"/>
        <v>-1.1857084741428525</v>
      </c>
      <c r="G1599" s="15">
        <f t="shared" ca="1" si="176"/>
        <v>1.1724517227640774</v>
      </c>
      <c r="H1599" s="15">
        <f t="shared" ca="1" si="177"/>
        <v>2.4095815749617409E-2</v>
      </c>
      <c r="J1599" s="17">
        <f t="shared" ca="1" si="173"/>
        <v>0</v>
      </c>
      <c r="K1599" s="24">
        <f t="shared" ca="1" si="174"/>
        <v>-1</v>
      </c>
      <c r="L1599" s="17">
        <f t="shared" ca="1" si="175"/>
        <v>-1</v>
      </c>
      <c r="N1599" s="24" t="str">
        <f ca="1">IF(AND(L1599=1,L1598&lt;&gt;1),MAX($N$8:N1598)+1,"")</f>
        <v/>
      </c>
      <c r="O1599" s="24" t="str">
        <f ca="1">IF(AND(L1599&lt;&gt;1,L1598=1),MAX($O$8:O1598)+1,"")</f>
        <v/>
      </c>
      <c r="P1599" s="17" t="str">
        <f ca="1">IF(AND(L1599=-1,L1598&lt;&gt;-1),MAX($P$8:P1598)+1,"")</f>
        <v/>
      </c>
      <c r="Q1599" s="24" t="str">
        <f ca="1">IF(AND(L1599&lt;&gt;-1,L1598=-1),MAX($Q$8:Q1598)+1,"")</f>
        <v/>
      </c>
    </row>
    <row r="1600" spans="1:17" x14ac:dyDescent="0.3">
      <c r="A1600" s="3">
        <v>42542</v>
      </c>
      <c r="B1600" s="9">
        <v>14.281314</v>
      </c>
      <c r="C1600" s="9">
        <v>12.636435000000001</v>
      </c>
      <c r="E1600" s="14">
        <f t="shared" si="172"/>
        <v>1.1301695454453728</v>
      </c>
      <c r="F1600" s="18">
        <f t="shared" ca="1" si="171"/>
        <v>-1.5626540272870451</v>
      </c>
      <c r="G1600" s="15">
        <f t="shared" ca="1" si="176"/>
        <v>1.1699993060745157</v>
      </c>
      <c r="H1600" s="15">
        <f t="shared" ca="1" si="177"/>
        <v>2.5488534207595615E-2</v>
      </c>
      <c r="J1600" s="17">
        <f t="shared" ca="1" si="173"/>
        <v>0</v>
      </c>
      <c r="K1600" s="24">
        <f t="shared" ca="1" si="174"/>
        <v>-1</v>
      </c>
      <c r="L1600" s="17">
        <f t="shared" ca="1" si="175"/>
        <v>-1</v>
      </c>
      <c r="N1600" s="24" t="str">
        <f ca="1">IF(AND(L1600=1,L1599&lt;&gt;1),MAX($N$8:N1599)+1,"")</f>
        <v/>
      </c>
      <c r="O1600" s="24" t="str">
        <f ca="1">IF(AND(L1600&lt;&gt;1,L1599=1),MAX($O$8:O1599)+1,"")</f>
        <v/>
      </c>
      <c r="P1600" s="17" t="str">
        <f ca="1">IF(AND(L1600=-1,L1599&lt;&gt;-1),MAX($P$8:P1599)+1,"")</f>
        <v/>
      </c>
      <c r="Q1600" s="24" t="str">
        <f ca="1">IF(AND(L1600&lt;&gt;-1,L1599=-1),MAX($Q$8:Q1599)+1,"")</f>
        <v/>
      </c>
    </row>
    <row r="1601" spans="1:17" x14ac:dyDescent="0.3">
      <c r="A1601" s="3">
        <v>42543</v>
      </c>
      <c r="B1601" s="9">
        <v>14.033484</v>
      </c>
      <c r="C1601" s="9">
        <v>12.611068</v>
      </c>
      <c r="E1601" s="14">
        <f t="shared" si="172"/>
        <v>1.1127910816118032</v>
      </c>
      <c r="F1601" s="18">
        <f t="shared" ca="1" si="171"/>
        <v>-1.9332779811085106</v>
      </c>
      <c r="G1601" s="15">
        <f t="shared" ca="1" si="176"/>
        <v>1.1668573554447215</v>
      </c>
      <c r="H1601" s="15">
        <f t="shared" ca="1" si="177"/>
        <v>2.7966114734269902E-2</v>
      </c>
      <c r="J1601" s="17">
        <f t="shared" ca="1" si="173"/>
        <v>0</v>
      </c>
      <c r="K1601" s="24">
        <f t="shared" ca="1" si="174"/>
        <v>-1</v>
      </c>
      <c r="L1601" s="17">
        <f t="shared" ca="1" si="175"/>
        <v>-1</v>
      </c>
      <c r="N1601" s="24" t="str">
        <f ca="1">IF(AND(L1601=1,L1600&lt;&gt;1),MAX($N$8:N1600)+1,"")</f>
        <v/>
      </c>
      <c r="O1601" s="24" t="str">
        <f ca="1">IF(AND(L1601&lt;&gt;1,L1600=1),MAX($O$8:O1600)+1,"")</f>
        <v/>
      </c>
      <c r="P1601" s="17" t="str">
        <f ca="1">IF(AND(L1601=-1,L1600&lt;&gt;-1),MAX($P$8:P1600)+1,"")</f>
        <v/>
      </c>
      <c r="Q1601" s="24" t="str">
        <f ca="1">IF(AND(L1601&lt;&gt;-1,L1600=-1),MAX($Q$8:Q1600)+1,"")</f>
        <v/>
      </c>
    </row>
    <row r="1602" spans="1:17" x14ac:dyDescent="0.3">
      <c r="A1602" s="3">
        <v>42544</v>
      </c>
      <c r="B1602" s="9">
        <v>14.577735000000001</v>
      </c>
      <c r="C1602" s="9">
        <v>13.08534</v>
      </c>
      <c r="E1602" s="14">
        <f t="shared" si="172"/>
        <v>1.1140509149934201</v>
      </c>
      <c r="F1602" s="18">
        <f t="shared" ref="F1602:F1665" ca="1" si="178">IF(ISNUMBER(G1602),(E1602-G1602)/H1602,"")</f>
        <v>-1.667606691081128</v>
      </c>
      <c r="G1602" s="15">
        <f t="shared" ca="1" si="176"/>
        <v>1.1637483105318196</v>
      </c>
      <c r="H1602" s="15">
        <f t="shared" ca="1" si="177"/>
        <v>2.9801628767860182E-2</v>
      </c>
      <c r="J1602" s="17">
        <f t="shared" ca="1" si="173"/>
        <v>0</v>
      </c>
      <c r="K1602" s="24">
        <f t="shared" ca="1" si="174"/>
        <v>-1</v>
      </c>
      <c r="L1602" s="17">
        <f t="shared" ca="1" si="175"/>
        <v>-1</v>
      </c>
      <c r="N1602" s="24" t="str">
        <f ca="1">IF(AND(L1602=1,L1601&lt;&gt;1),MAX($N$8:N1601)+1,"")</f>
        <v/>
      </c>
      <c r="O1602" s="24" t="str">
        <f ca="1">IF(AND(L1602&lt;&gt;1,L1601=1),MAX($O$8:O1601)+1,"")</f>
        <v/>
      </c>
      <c r="P1602" s="17" t="str">
        <f ca="1">IF(AND(L1602=-1,L1601&lt;&gt;-1),MAX($P$8:P1601)+1,"")</f>
        <v/>
      </c>
      <c r="Q1602" s="24" t="str">
        <f ca="1">IF(AND(L1602&lt;&gt;-1,L1601=-1),MAX($Q$8:Q1601)+1,"")</f>
        <v/>
      </c>
    </row>
    <row r="1603" spans="1:17" x14ac:dyDescent="0.3">
      <c r="A1603" s="3">
        <v>42545</v>
      </c>
      <c r="B1603" s="9">
        <v>14.067562000000001</v>
      </c>
      <c r="C1603" s="9">
        <v>12.761625</v>
      </c>
      <c r="E1603" s="14">
        <f t="shared" ref="E1603:E1666" si="179">IF(ISNUMBER(B1603),B1603/C1603,"")</f>
        <v>1.1023331276385258</v>
      </c>
      <c r="F1603" s="18">
        <f t="shared" ca="1" si="178"/>
        <v>-1.7990338215524295</v>
      </c>
      <c r="G1603" s="15">
        <f t="shared" ca="1" si="176"/>
        <v>1.1603136613847747</v>
      </c>
      <c r="H1603" s="15">
        <f t="shared" ca="1" si="177"/>
        <v>3.2228706904585097E-2</v>
      </c>
      <c r="J1603" s="17">
        <f t="shared" ca="1" si="173"/>
        <v>0</v>
      </c>
      <c r="K1603" s="24">
        <f t="shared" ca="1" si="174"/>
        <v>-1</v>
      </c>
      <c r="L1603" s="17">
        <f t="shared" ca="1" si="175"/>
        <v>-1</v>
      </c>
      <c r="N1603" s="24" t="str">
        <f ca="1">IF(AND(L1603=1,L1602&lt;&gt;1),MAX($N$8:N1602)+1,"")</f>
        <v/>
      </c>
      <c r="O1603" s="24" t="str">
        <f ca="1">IF(AND(L1603&lt;&gt;1,L1602=1),MAX($O$8:O1602)+1,"")</f>
        <v/>
      </c>
      <c r="P1603" s="17" t="str">
        <f ca="1">IF(AND(L1603=-1,L1602&lt;&gt;-1),MAX($P$8:P1602)+1,"")</f>
        <v/>
      </c>
      <c r="Q1603" s="24" t="str">
        <f ca="1">IF(AND(L1603&lt;&gt;-1,L1602=-1),MAX($Q$8:Q1602)+1,"")</f>
        <v/>
      </c>
    </row>
    <row r="1604" spans="1:17" x14ac:dyDescent="0.3">
      <c r="A1604" s="3">
        <v>42548</v>
      </c>
      <c r="B1604" s="9">
        <v>13.596197</v>
      </c>
      <c r="C1604" s="9">
        <v>12.258124</v>
      </c>
      <c r="E1604" s="14">
        <f t="shared" si="179"/>
        <v>1.10915805713827</v>
      </c>
      <c r="F1604" s="18">
        <f t="shared" ca="1" si="178"/>
        <v>-1.4265522078625275</v>
      </c>
      <c r="G1604" s="15">
        <f t="shared" ca="1" si="176"/>
        <v>1.1572195249672905</v>
      </c>
      <c r="H1604" s="15">
        <f t="shared" ca="1" si="177"/>
        <v>3.3690647677755432E-2</v>
      </c>
      <c r="J1604" s="17">
        <f t="shared" ca="1" si="173"/>
        <v>0</v>
      </c>
      <c r="K1604" s="24">
        <f t="shared" ca="1" si="174"/>
        <v>-1</v>
      </c>
      <c r="L1604" s="17">
        <f t="shared" ca="1" si="175"/>
        <v>-1</v>
      </c>
      <c r="N1604" s="24" t="str">
        <f ca="1">IF(AND(L1604=1,L1603&lt;&gt;1),MAX($N$8:N1603)+1,"")</f>
        <v/>
      </c>
      <c r="O1604" s="24" t="str">
        <f ca="1">IF(AND(L1604&lt;&gt;1,L1603=1),MAX($O$8:O1603)+1,"")</f>
        <v/>
      </c>
      <c r="P1604" s="17" t="str">
        <f ca="1">IF(AND(L1604=-1,L1603&lt;&gt;-1),MAX($P$8:P1603)+1,"")</f>
        <v/>
      </c>
      <c r="Q1604" s="24" t="str">
        <f ca="1">IF(AND(L1604&lt;&gt;-1,L1603=-1),MAX($Q$8:Q1603)+1,"")</f>
        <v/>
      </c>
    </row>
    <row r="1605" spans="1:17" x14ac:dyDescent="0.3">
      <c r="A1605" s="3">
        <v>42549</v>
      </c>
      <c r="B1605" s="9">
        <v>14.072373000000001</v>
      </c>
      <c r="C1605" s="9">
        <v>12.561244</v>
      </c>
      <c r="E1605" s="14">
        <f t="shared" si="179"/>
        <v>1.1203009033181746</v>
      </c>
      <c r="F1605" s="18">
        <f t="shared" ca="1" si="178"/>
        <v>-1.0009906510875244</v>
      </c>
      <c r="G1605" s="15">
        <f t="shared" ca="1" si="176"/>
        <v>1.1543962060777324</v>
      </c>
      <c r="H1605" s="15">
        <f t="shared" ca="1" si="177"/>
        <v>3.4061559638459235E-2</v>
      </c>
      <c r="J1605" s="17">
        <f t="shared" ca="1" si="173"/>
        <v>0</v>
      </c>
      <c r="K1605" s="24">
        <f t="shared" ca="1" si="174"/>
        <v>-1</v>
      </c>
      <c r="L1605" s="17">
        <f t="shared" ca="1" si="175"/>
        <v>-1</v>
      </c>
      <c r="N1605" s="24" t="str">
        <f ca="1">IF(AND(L1605=1,L1604&lt;&gt;1),MAX($N$8:N1604)+1,"")</f>
        <v/>
      </c>
      <c r="O1605" s="24" t="str">
        <f ca="1">IF(AND(L1605&lt;&gt;1,L1604=1),MAX($O$8:O1604)+1,"")</f>
        <v/>
      </c>
      <c r="P1605" s="17" t="str">
        <f ca="1">IF(AND(L1605=-1,L1604&lt;&gt;-1),MAX($P$8:P1604)+1,"")</f>
        <v/>
      </c>
      <c r="Q1605" s="24" t="str">
        <f ca="1">IF(AND(L1605&lt;&gt;-1,L1604=-1),MAX($Q$8:Q1604)+1,"")</f>
        <v/>
      </c>
    </row>
    <row r="1606" spans="1:17" x14ac:dyDescent="0.3">
      <c r="A1606" s="3">
        <v>42550</v>
      </c>
      <c r="B1606" s="9">
        <v>14.388272000000001</v>
      </c>
      <c r="C1606" s="9">
        <v>12.864357</v>
      </c>
      <c r="E1606" s="14">
        <f t="shared" si="179"/>
        <v>1.1184602541736055</v>
      </c>
      <c r="F1606" s="18">
        <f t="shared" ca="1" si="178"/>
        <v>-0.96331284922812399</v>
      </c>
      <c r="G1606" s="15">
        <f t="shared" ca="1" si="176"/>
        <v>1.1513508254124096</v>
      </c>
      <c r="H1606" s="15">
        <f t="shared" ca="1" si="177"/>
        <v>3.4143187506694664E-2</v>
      </c>
      <c r="J1606" s="17">
        <f t="shared" ca="1" si="173"/>
        <v>0</v>
      </c>
      <c r="K1606" s="24">
        <f t="shared" ca="1" si="174"/>
        <v>-1</v>
      </c>
      <c r="L1606" s="17">
        <f t="shared" ca="1" si="175"/>
        <v>-1</v>
      </c>
      <c r="N1606" s="24" t="str">
        <f ca="1">IF(AND(L1606=1,L1605&lt;&gt;1),MAX($N$8:N1605)+1,"")</f>
        <v/>
      </c>
      <c r="O1606" s="24" t="str">
        <f ca="1">IF(AND(L1606&lt;&gt;1,L1605=1),MAX($O$8:O1605)+1,"")</f>
        <v/>
      </c>
      <c r="P1606" s="17" t="str">
        <f ca="1">IF(AND(L1606=-1,L1605&lt;&gt;-1),MAX($P$8:P1605)+1,"")</f>
        <v/>
      </c>
      <c r="Q1606" s="24" t="str">
        <f ca="1">IF(AND(L1606&lt;&gt;-1,L1605=-1),MAX($Q$8:Q1605)+1,"")</f>
        <v/>
      </c>
    </row>
    <row r="1607" spans="1:17" x14ac:dyDescent="0.3">
      <c r="A1607" s="3">
        <v>42551</v>
      </c>
      <c r="B1607" s="9">
        <v>14.723497</v>
      </c>
      <c r="C1607" s="9">
        <v>12.936318</v>
      </c>
      <c r="E1607" s="14">
        <f t="shared" si="179"/>
        <v>1.1381520615062184</v>
      </c>
      <c r="F1607" s="18">
        <f t="shared" ca="1" si="178"/>
        <v>-0.30801335298626187</v>
      </c>
      <c r="G1607" s="15">
        <f t="shared" ca="1" si="176"/>
        <v>1.1476057897490284</v>
      </c>
      <c r="H1607" s="15">
        <f t="shared" ca="1" si="177"/>
        <v>3.0692592224180772E-2</v>
      </c>
      <c r="J1607" s="17">
        <f t="shared" ca="1" si="173"/>
        <v>0</v>
      </c>
      <c r="K1607" s="24">
        <f t="shared" ca="1" si="174"/>
        <v>-1</v>
      </c>
      <c r="L1607" s="17">
        <f t="shared" ca="1" si="175"/>
        <v>-1</v>
      </c>
      <c r="N1607" s="24" t="str">
        <f ca="1">IF(AND(L1607=1,L1606&lt;&gt;1),MAX($N$8:N1606)+1,"")</f>
        <v/>
      </c>
      <c r="O1607" s="24" t="str">
        <f ca="1">IF(AND(L1607&lt;&gt;1,L1606=1),MAX($O$8:O1606)+1,"")</f>
        <v/>
      </c>
      <c r="P1607" s="17" t="str">
        <f ca="1">IF(AND(L1607=-1,L1606&lt;&gt;-1),MAX($P$8:P1606)+1,"")</f>
        <v/>
      </c>
      <c r="Q1607" s="24" t="str">
        <f ca="1">IF(AND(L1607&lt;&gt;-1,L1606=-1),MAX($Q$8:Q1606)+1,"")</f>
        <v/>
      </c>
    </row>
    <row r="1608" spans="1:17" x14ac:dyDescent="0.3">
      <c r="A1608" s="3">
        <v>42552</v>
      </c>
      <c r="B1608" s="9">
        <v>15.032190999999999</v>
      </c>
      <c r="C1608" s="9">
        <v>13.162388999999999</v>
      </c>
      <c r="E1608" s="14">
        <f t="shared" si="179"/>
        <v>1.1420564306373258</v>
      </c>
      <c r="F1608" s="18">
        <f t="shared" ca="1" si="178"/>
        <v>-8.0476483090541576E-2</v>
      </c>
      <c r="G1608" s="15">
        <f t="shared" ca="1" si="176"/>
        <v>1.1442069044081509</v>
      </c>
      <c r="H1608" s="15">
        <f t="shared" ca="1" si="177"/>
        <v>2.672176626314151E-2</v>
      </c>
      <c r="J1608" s="17">
        <f t="shared" ref="J1608:J1671" ca="1" si="180">IF(ISNUMBER(F1608),IF(AND(J1607&lt;&gt;1,F1608&gt;$L$1),1,IF(AND(J1607=1,F1608&gt;$N$1),1,0)),"")</f>
        <v>0</v>
      </c>
      <c r="K1608" s="24">
        <f t="shared" ca="1" si="174"/>
        <v>-1</v>
      </c>
      <c r="L1608" s="17">
        <f t="shared" ca="1" si="175"/>
        <v>-1</v>
      </c>
      <c r="N1608" s="24" t="str">
        <f ca="1">IF(AND(L1608=1,L1607&lt;&gt;1),MAX($N$8:N1607)+1,"")</f>
        <v/>
      </c>
      <c r="O1608" s="24" t="str">
        <f ca="1">IF(AND(L1608&lt;&gt;1,L1607=1),MAX($O$8:O1607)+1,"")</f>
        <v/>
      </c>
      <c r="P1608" s="17" t="str">
        <f ca="1">IF(AND(L1608=-1,L1607&lt;&gt;-1),MAX($P$8:P1607)+1,"")</f>
        <v/>
      </c>
      <c r="Q1608" s="24" t="str">
        <f ca="1">IF(AND(L1608&lt;&gt;-1,L1607=-1),MAX($Q$8:Q1607)+1,"")</f>
        <v/>
      </c>
    </row>
    <row r="1609" spans="1:17" x14ac:dyDescent="0.3">
      <c r="A1609" s="3">
        <v>42555</v>
      </c>
      <c r="B1609" s="9">
        <v>15.022489999999999</v>
      </c>
      <c r="C1609" s="9">
        <v>13.224233</v>
      </c>
      <c r="E1609" s="14">
        <f t="shared" si="179"/>
        <v>1.1359819507112434</v>
      </c>
      <c r="F1609" s="18">
        <f t="shared" ca="1" si="178"/>
        <v>-0.22692608975584458</v>
      </c>
      <c r="G1609" s="15">
        <f t="shared" ca="1" si="176"/>
        <v>1.1414882748755195</v>
      </c>
      <c r="H1609" s="15">
        <f t="shared" ca="1" si="177"/>
        <v>2.4264835172546666E-2</v>
      </c>
      <c r="J1609" s="17">
        <f t="shared" ca="1" si="180"/>
        <v>0</v>
      </c>
      <c r="K1609" s="24">
        <f t="shared" ref="K1609:K1672" ca="1" si="181">IF(ISNUMBER(F1609),IF(AND(K1608&lt;&gt;-1,F1609&lt;$P$1),-1,IF(AND(K1608=-1,F1609&lt;R1602),-1,0)),"")</f>
        <v>-1</v>
      </c>
      <c r="L1609" s="17">
        <f t="shared" ref="L1609:L1672" ca="1" si="182">IF(ISNUMBER(F1609),IF(J1609=1,1,IF(K1609=-1,-1,0)),"")</f>
        <v>-1</v>
      </c>
      <c r="N1609" s="24" t="str">
        <f ca="1">IF(AND(L1609=1,L1608&lt;&gt;1),MAX($N$8:N1608)+1,"")</f>
        <v/>
      </c>
      <c r="O1609" s="24" t="str">
        <f ca="1">IF(AND(L1609&lt;&gt;1,L1608=1),MAX($O$8:O1608)+1,"")</f>
        <v/>
      </c>
      <c r="P1609" s="17" t="str">
        <f ca="1">IF(AND(L1609=-1,L1608&lt;&gt;-1),MAX($P$8:P1608)+1,"")</f>
        <v/>
      </c>
      <c r="Q1609" s="24" t="str">
        <f ca="1">IF(AND(L1609&lt;&gt;-1,L1608=-1),MAX($Q$8:Q1608)+1,"")</f>
        <v/>
      </c>
    </row>
    <row r="1610" spans="1:17" x14ac:dyDescent="0.3">
      <c r="A1610" s="3">
        <v>42556</v>
      </c>
      <c r="B1610" s="9">
        <v>14.915514999999999</v>
      </c>
      <c r="C1610" s="9">
        <v>13.219137</v>
      </c>
      <c r="E1610" s="14">
        <f t="shared" si="179"/>
        <v>1.1283274392269329</v>
      </c>
      <c r="F1610" s="18">
        <f t="shared" ca="1" si="178"/>
        <v>-0.47162261815460521</v>
      </c>
      <c r="G1610" s="15">
        <f t="shared" ca="1" si="176"/>
        <v>1.1387468723105276</v>
      </c>
      <c r="H1610" s="15">
        <f t="shared" ca="1" si="177"/>
        <v>2.2092734068532457E-2</v>
      </c>
      <c r="J1610" s="17">
        <f t="shared" ca="1" si="180"/>
        <v>0</v>
      </c>
      <c r="K1610" s="24">
        <f t="shared" ca="1" si="181"/>
        <v>-1</v>
      </c>
      <c r="L1610" s="17">
        <f t="shared" ca="1" si="182"/>
        <v>-1</v>
      </c>
      <c r="N1610" s="24" t="str">
        <f ca="1">IF(AND(L1610=1,L1609&lt;&gt;1),MAX($N$8:N1609)+1,"")</f>
        <v/>
      </c>
      <c r="O1610" s="24" t="str">
        <f ca="1">IF(AND(L1610&lt;&gt;1,L1609=1),MAX($O$8:O1609)+1,"")</f>
        <v/>
      </c>
      <c r="P1610" s="17" t="str">
        <f ca="1">IF(AND(L1610=-1,L1609&lt;&gt;-1),MAX($P$8:P1609)+1,"")</f>
        <v/>
      </c>
      <c r="Q1610" s="24" t="str">
        <f ca="1">IF(AND(L1610&lt;&gt;-1,L1609=-1),MAX($Q$8:Q1609)+1,"")</f>
        <v/>
      </c>
    </row>
    <row r="1611" spans="1:17" x14ac:dyDescent="0.3">
      <c r="A1611" s="3">
        <v>42557</v>
      </c>
      <c r="B1611" s="9">
        <v>14.973858</v>
      </c>
      <c r="C1611" s="9">
        <v>13.219137</v>
      </c>
      <c r="E1611" s="14">
        <f t="shared" si="179"/>
        <v>1.1327409648602629</v>
      </c>
      <c r="F1611" s="18">
        <f t="shared" ca="1" si="178"/>
        <v>-0.18587302607131359</v>
      </c>
      <c r="G1611" s="15">
        <f t="shared" ca="1" si="176"/>
        <v>1.1364177561057709</v>
      </c>
      <c r="H1611" s="15">
        <f t="shared" ca="1" si="177"/>
        <v>1.9781198612957143E-2</v>
      </c>
      <c r="J1611" s="17">
        <f t="shared" ca="1" si="180"/>
        <v>0</v>
      </c>
      <c r="K1611" s="24">
        <f t="shared" ca="1" si="181"/>
        <v>-1</v>
      </c>
      <c r="L1611" s="17">
        <f t="shared" ca="1" si="182"/>
        <v>-1</v>
      </c>
      <c r="N1611" s="24" t="str">
        <f ca="1">IF(AND(L1611=1,L1610&lt;&gt;1),MAX($N$8:N1610)+1,"")</f>
        <v/>
      </c>
      <c r="O1611" s="24" t="str">
        <f ca="1">IF(AND(L1611&lt;&gt;1,L1610=1),MAX($O$8:O1610)+1,"")</f>
        <v/>
      </c>
      <c r="P1611" s="17" t="str">
        <f ca="1">IF(AND(L1611=-1,L1610&lt;&gt;-1),MAX($P$8:P1610)+1,"")</f>
        <v/>
      </c>
      <c r="Q1611" s="24" t="str">
        <f ca="1">IF(AND(L1611&lt;&gt;-1,L1610=-1),MAX($Q$8:Q1610)+1,"")</f>
        <v/>
      </c>
    </row>
    <row r="1612" spans="1:17" x14ac:dyDescent="0.3">
      <c r="A1612" s="3">
        <v>42558</v>
      </c>
      <c r="B1612" s="9">
        <v>15.124625</v>
      </c>
      <c r="C1612" s="9">
        <v>13.270564</v>
      </c>
      <c r="E1612" s="14">
        <f t="shared" si="179"/>
        <v>1.139712298588063</v>
      </c>
      <c r="F1612" s="18">
        <f t="shared" ca="1" si="178"/>
        <v>0.33538186785221413</v>
      </c>
      <c r="G1612" s="15">
        <f t="shared" ca="1" si="176"/>
        <v>1.1342320028297914</v>
      </c>
      <c r="H1612" s="15">
        <f t="shared" ca="1" si="177"/>
        <v>1.6340465253436035E-2</v>
      </c>
      <c r="J1612" s="17">
        <f t="shared" ca="1" si="180"/>
        <v>0</v>
      </c>
      <c r="K1612" s="24">
        <f t="shared" ca="1" si="181"/>
        <v>0</v>
      </c>
      <c r="L1612" s="17">
        <f t="shared" ca="1" si="182"/>
        <v>0</v>
      </c>
      <c r="N1612" s="24" t="str">
        <f ca="1">IF(AND(L1612=1,L1611&lt;&gt;1),MAX($N$8:N1611)+1,"")</f>
        <v/>
      </c>
      <c r="O1612" s="24" t="str">
        <f ca="1">IF(AND(L1612&lt;&gt;1,L1611=1),MAX($O$8:O1611)+1,"")</f>
        <v/>
      </c>
      <c r="P1612" s="17" t="str">
        <f ca="1">IF(AND(L1612=-1,L1611&lt;&gt;-1),MAX($P$8:P1611)+1,"")</f>
        <v/>
      </c>
      <c r="Q1612" s="24">
        <f ca="1">IF(AND(L1612&lt;&gt;-1,L1611=-1),MAX($Q$8:Q1611)+1,"")</f>
        <v>60</v>
      </c>
    </row>
    <row r="1613" spans="1:17" x14ac:dyDescent="0.3">
      <c r="A1613" s="3">
        <v>42559</v>
      </c>
      <c r="B1613" s="9">
        <v>15.533151</v>
      </c>
      <c r="C1613" s="9">
        <v>13.635737000000001</v>
      </c>
      <c r="E1613" s="14">
        <f t="shared" si="179"/>
        <v>1.1391500877436986</v>
      </c>
      <c r="F1613" s="18">
        <f t="shared" ca="1" si="178"/>
        <v>0.43368051605152763</v>
      </c>
      <c r="G1613" s="15">
        <f t="shared" ca="1" si="176"/>
        <v>1.1328610336223539</v>
      </c>
      <c r="H1613" s="15">
        <f t="shared" ca="1" si="177"/>
        <v>1.4501583282098603E-2</v>
      </c>
      <c r="J1613" s="17">
        <f t="shared" ca="1" si="180"/>
        <v>0</v>
      </c>
      <c r="K1613" s="24">
        <f t="shared" ca="1" si="181"/>
        <v>0</v>
      </c>
      <c r="L1613" s="17">
        <f t="shared" ca="1" si="182"/>
        <v>0</v>
      </c>
      <c r="N1613" s="24" t="str">
        <f ca="1">IF(AND(L1613=1,L1612&lt;&gt;1),MAX($N$8:N1612)+1,"")</f>
        <v/>
      </c>
      <c r="O1613" s="24" t="str">
        <f ca="1">IF(AND(L1613&lt;&gt;1,L1612=1),MAX($O$8:O1612)+1,"")</f>
        <v/>
      </c>
      <c r="P1613" s="17" t="str">
        <f ca="1">IF(AND(L1613=-1,L1612&lt;&gt;-1),MAX($P$8:P1612)+1,"")</f>
        <v/>
      </c>
      <c r="Q1613" s="24" t="str">
        <f ca="1">IF(AND(L1613&lt;&gt;-1,L1612=-1),MAX($Q$8:Q1612)+1,"")</f>
        <v/>
      </c>
    </row>
    <row r="1614" spans="1:17" x14ac:dyDescent="0.3">
      <c r="A1614" s="3">
        <v>42562</v>
      </c>
      <c r="B1614" s="9">
        <v>15.683926</v>
      </c>
      <c r="C1614" s="9">
        <v>13.790027</v>
      </c>
      <c r="E1614" s="14">
        <f t="shared" si="179"/>
        <v>1.137338309779959</v>
      </c>
      <c r="F1614" s="18">
        <f t="shared" ca="1" si="178"/>
        <v>0.44785572471187229</v>
      </c>
      <c r="G1614" s="15">
        <f t="shared" ca="1" si="176"/>
        <v>1.1316140565329196</v>
      </c>
      <c r="H1614" s="15">
        <f t="shared" ca="1" si="177"/>
        <v>1.2781467180579407E-2</v>
      </c>
      <c r="J1614" s="17">
        <f t="shared" ca="1" si="180"/>
        <v>0</v>
      </c>
      <c r="K1614" s="24">
        <f t="shared" ca="1" si="181"/>
        <v>0</v>
      </c>
      <c r="L1614" s="17">
        <f t="shared" ca="1" si="182"/>
        <v>0</v>
      </c>
      <c r="N1614" s="24" t="str">
        <f ca="1">IF(AND(L1614=1,L1613&lt;&gt;1),MAX($N$8:N1613)+1,"")</f>
        <v/>
      </c>
      <c r="O1614" s="24" t="str">
        <f ca="1">IF(AND(L1614&lt;&gt;1,L1613=1),MAX($O$8:O1613)+1,"")</f>
        <v/>
      </c>
      <c r="P1614" s="17" t="str">
        <f ca="1">IF(AND(L1614=-1,L1613&lt;&gt;-1),MAX($P$8:P1613)+1,"")</f>
        <v/>
      </c>
      <c r="Q1614" s="24" t="str">
        <f ca="1">IF(AND(L1614&lt;&gt;-1,L1613=-1),MAX($Q$8:Q1613)+1,"")</f>
        <v/>
      </c>
    </row>
    <row r="1615" spans="1:17" x14ac:dyDescent="0.3">
      <c r="A1615" s="3">
        <v>42563</v>
      </c>
      <c r="B1615" s="9">
        <v>15.552562</v>
      </c>
      <c r="C1615" s="9">
        <v>13.6769</v>
      </c>
      <c r="E1615" s="14">
        <f t="shared" si="179"/>
        <v>1.1371408725661516</v>
      </c>
      <c r="F1615" s="18">
        <f t="shared" ca="1" si="178"/>
        <v>0.50795657458190391</v>
      </c>
      <c r="G1615" s="15">
        <f t="shared" ca="1" si="176"/>
        <v>1.130979950710618</v>
      </c>
      <c r="H1615" s="15">
        <f t="shared" ca="1" si="177"/>
        <v>1.2128835738772844E-2</v>
      </c>
      <c r="J1615" s="17">
        <f t="shared" ca="1" si="180"/>
        <v>0</v>
      </c>
      <c r="K1615" s="24">
        <f t="shared" ca="1" si="181"/>
        <v>0</v>
      </c>
      <c r="L1615" s="17">
        <f t="shared" ca="1" si="182"/>
        <v>0</v>
      </c>
      <c r="N1615" s="24" t="str">
        <f ca="1">IF(AND(L1615=1,L1614&lt;&gt;1),MAX($N$8:N1614)+1,"")</f>
        <v/>
      </c>
      <c r="O1615" s="24" t="str">
        <f ca="1">IF(AND(L1615&lt;&gt;1,L1614=1),MAX($O$8:O1614)+1,"")</f>
        <v/>
      </c>
      <c r="P1615" s="17" t="str">
        <f ca="1">IF(AND(L1615=-1,L1614&lt;&gt;-1),MAX($P$8:P1614)+1,"")</f>
        <v/>
      </c>
      <c r="Q1615" s="24" t="str">
        <f ca="1">IF(AND(L1615&lt;&gt;-1,L1614=-1),MAX($Q$8:Q1614)+1,"")</f>
        <v/>
      </c>
    </row>
    <row r="1616" spans="1:17" x14ac:dyDescent="0.3">
      <c r="A1616" s="3">
        <v>42564</v>
      </c>
      <c r="B1616" s="9">
        <v>15.873536</v>
      </c>
      <c r="C1616" s="9">
        <v>13.980373999999999</v>
      </c>
      <c r="E1616" s="14">
        <f t="shared" si="179"/>
        <v>1.135415690595974</v>
      </c>
      <c r="F1616" s="18">
        <f t="shared" ca="1" si="178"/>
        <v>0.37412420334481977</v>
      </c>
      <c r="G1616" s="15">
        <f t="shared" ca="1" si="176"/>
        <v>1.1308926680729496</v>
      </c>
      <c r="H1616" s="15">
        <f t="shared" ca="1" si="177"/>
        <v>1.2089628210596271E-2</v>
      </c>
      <c r="J1616" s="17">
        <f t="shared" ca="1" si="180"/>
        <v>0</v>
      </c>
      <c r="K1616" s="24">
        <f t="shared" ca="1" si="181"/>
        <v>0</v>
      </c>
      <c r="L1616" s="17">
        <f t="shared" ca="1" si="182"/>
        <v>0</v>
      </c>
      <c r="N1616" s="24" t="str">
        <f ca="1">IF(AND(L1616=1,L1615&lt;&gt;1),MAX($N$8:N1615)+1,"")</f>
        <v/>
      </c>
      <c r="O1616" s="24" t="str">
        <f ca="1">IF(AND(L1616&lt;&gt;1,L1615=1),MAX($O$8:O1615)+1,"")</f>
        <v/>
      </c>
      <c r="P1616" s="17" t="str">
        <f ca="1">IF(AND(L1616=-1,L1615&lt;&gt;-1),MAX($P$8:P1615)+1,"")</f>
        <v/>
      </c>
      <c r="Q1616" s="24" t="str">
        <f ca="1">IF(AND(L1616&lt;&gt;-1,L1615=-1),MAX($Q$8:Q1615)+1,"")</f>
        <v/>
      </c>
    </row>
    <row r="1617" spans="1:17" x14ac:dyDescent="0.3">
      <c r="A1617" s="3">
        <v>42565</v>
      </c>
      <c r="B1617" s="9">
        <v>16.325877999999999</v>
      </c>
      <c r="C1617" s="9">
        <v>14.556433999999999</v>
      </c>
      <c r="E1617" s="14">
        <f t="shared" si="179"/>
        <v>1.1215575188263829</v>
      </c>
      <c r="F1617" s="18">
        <f t="shared" ca="1" si="178"/>
        <v>-0.7000628342656493</v>
      </c>
      <c r="G1617" s="15">
        <f t="shared" ca="1" si="176"/>
        <v>1.1299027202329817</v>
      </c>
      <c r="H1617" s="15">
        <f t="shared" ca="1" si="177"/>
        <v>1.192064625935001E-2</v>
      </c>
      <c r="J1617" s="17">
        <f t="shared" ca="1" si="180"/>
        <v>0</v>
      </c>
      <c r="K1617" s="24">
        <f t="shared" ca="1" si="181"/>
        <v>0</v>
      </c>
      <c r="L1617" s="17">
        <f t="shared" ca="1" si="182"/>
        <v>0</v>
      </c>
      <c r="N1617" s="24" t="str">
        <f ca="1">IF(AND(L1617=1,L1616&lt;&gt;1),MAX($N$8:N1616)+1,"")</f>
        <v/>
      </c>
      <c r="O1617" s="24" t="str">
        <f ca="1">IF(AND(L1617&lt;&gt;1,L1616=1),MAX($O$8:O1616)+1,"")</f>
        <v/>
      </c>
      <c r="P1617" s="17" t="str">
        <f ca="1">IF(AND(L1617=-1,L1616&lt;&gt;-1),MAX($P$8:P1616)+1,"")</f>
        <v/>
      </c>
      <c r="Q1617" s="24" t="str">
        <f ca="1">IF(AND(L1617&lt;&gt;-1,L1616=-1),MAX($Q$8:Q1616)+1,"")</f>
        <v/>
      </c>
    </row>
    <row r="1618" spans="1:17" x14ac:dyDescent="0.3">
      <c r="A1618" s="3">
        <v>42566</v>
      </c>
      <c r="B1618" s="9">
        <v>16.272345999999999</v>
      </c>
      <c r="C1618" s="9">
        <v>14.556433999999999</v>
      </c>
      <c r="E1618" s="14">
        <f t="shared" si="179"/>
        <v>1.1178799697783124</v>
      </c>
      <c r="F1618" s="18">
        <f t="shared" ca="1" si="178"/>
        <v>-0.9261584417444122</v>
      </c>
      <c r="G1618" s="15">
        <f t="shared" ca="1" si="176"/>
        <v>1.1290860985565934</v>
      </c>
      <c r="H1618" s="15">
        <f t="shared" ca="1" si="177"/>
        <v>1.2099580669128623E-2</v>
      </c>
      <c r="J1618" s="17">
        <f t="shared" ca="1" si="180"/>
        <v>0</v>
      </c>
      <c r="K1618" s="24">
        <f t="shared" ca="1" si="181"/>
        <v>0</v>
      </c>
      <c r="L1618" s="17">
        <f t="shared" ca="1" si="182"/>
        <v>0</v>
      </c>
      <c r="N1618" s="24" t="str">
        <f ca="1">IF(AND(L1618=1,L1617&lt;&gt;1),MAX($N$8:N1617)+1,"")</f>
        <v/>
      </c>
      <c r="O1618" s="24" t="str">
        <f ca="1">IF(AND(L1618&lt;&gt;1,L1617=1),MAX($O$8:O1617)+1,"")</f>
        <v/>
      </c>
      <c r="P1618" s="17" t="str">
        <f ca="1">IF(AND(L1618=-1,L1617&lt;&gt;-1),MAX($P$8:P1617)+1,"")</f>
        <v/>
      </c>
      <c r="Q1618" s="24" t="str">
        <f ca="1">IF(AND(L1618&lt;&gt;-1,L1617=-1),MAX($Q$8:Q1617)+1,"")</f>
        <v/>
      </c>
    </row>
    <row r="1619" spans="1:17" x14ac:dyDescent="0.3">
      <c r="A1619" s="3">
        <v>42569</v>
      </c>
      <c r="B1619" s="9">
        <v>16.549510999999999</v>
      </c>
      <c r="C1619" s="9">
        <v>14.859909999999999</v>
      </c>
      <c r="E1619" s="14">
        <f t="shared" si="179"/>
        <v>1.1137019672393709</v>
      </c>
      <c r="F1619" s="18">
        <f t="shared" ca="1" si="178"/>
        <v>-1.1570786780027589</v>
      </c>
      <c r="G1619" s="15">
        <f t="shared" ca="1" si="176"/>
        <v>1.1279133813024507</v>
      </c>
      <c r="H1619" s="15">
        <f t="shared" ca="1" si="177"/>
        <v>1.2282150153877359E-2</v>
      </c>
      <c r="J1619" s="17">
        <f t="shared" ca="1" si="180"/>
        <v>0</v>
      </c>
      <c r="K1619" s="24">
        <f t="shared" ca="1" si="181"/>
        <v>-1</v>
      </c>
      <c r="L1619" s="17">
        <f t="shared" ca="1" si="182"/>
        <v>-1</v>
      </c>
      <c r="N1619" s="24" t="str">
        <f ca="1">IF(AND(L1619=1,L1618&lt;&gt;1),MAX($N$8:N1618)+1,"")</f>
        <v/>
      </c>
      <c r="O1619" s="24" t="str">
        <f ca="1">IF(AND(L1619&lt;&gt;1,L1618=1),MAX($O$8:O1618)+1,"")</f>
        <v/>
      </c>
      <c r="P1619" s="17">
        <f ca="1">IF(AND(L1619=-1,L1618&lt;&gt;-1),MAX($P$8:P1618)+1,"")</f>
        <v>61</v>
      </c>
      <c r="Q1619" s="24" t="str">
        <f ca="1">IF(AND(L1619&lt;&gt;-1,L1618=-1),MAX($Q$8:Q1618)+1,"")</f>
        <v/>
      </c>
    </row>
    <row r="1620" spans="1:17" x14ac:dyDescent="0.3">
      <c r="A1620" s="3">
        <v>42570</v>
      </c>
      <c r="B1620" s="9">
        <v>16.452248000000001</v>
      </c>
      <c r="C1620" s="9">
        <v>14.803307</v>
      </c>
      <c r="E1620" s="14">
        <f t="shared" si="179"/>
        <v>1.1113900427789547</v>
      </c>
      <c r="F1620" s="18">
        <f t="shared" ca="1" si="178"/>
        <v>-1.2303870001266461</v>
      </c>
      <c r="G1620" s="15">
        <f t="shared" ca="1" si="176"/>
        <v>1.1264404817725633</v>
      </c>
      <c r="H1620" s="15">
        <f t="shared" ca="1" si="177"/>
        <v>1.2232280568682384E-2</v>
      </c>
      <c r="J1620" s="17">
        <f t="shared" ca="1" si="180"/>
        <v>0</v>
      </c>
      <c r="K1620" s="24">
        <f t="shared" ca="1" si="181"/>
        <v>-1</v>
      </c>
      <c r="L1620" s="17">
        <f t="shared" ca="1" si="182"/>
        <v>-1</v>
      </c>
      <c r="N1620" s="24" t="str">
        <f ca="1">IF(AND(L1620=1,L1619&lt;&gt;1),MAX($N$8:N1619)+1,"")</f>
        <v/>
      </c>
      <c r="O1620" s="24" t="str">
        <f ca="1">IF(AND(L1620&lt;&gt;1,L1619=1),MAX($O$8:O1619)+1,"")</f>
        <v/>
      </c>
      <c r="P1620" s="17" t="str">
        <f ca="1">IF(AND(L1620=-1,L1619&lt;&gt;-1),MAX($P$8:P1619)+1,"")</f>
        <v/>
      </c>
      <c r="Q1620" s="24" t="str">
        <f ca="1">IF(AND(L1620&lt;&gt;-1,L1619=-1),MAX($Q$8:Q1619)+1,"")</f>
        <v/>
      </c>
    </row>
    <row r="1621" spans="1:17" x14ac:dyDescent="0.3">
      <c r="A1621" s="3">
        <v>42571</v>
      </c>
      <c r="B1621" s="9">
        <v>16.709993000000001</v>
      </c>
      <c r="C1621" s="9">
        <v>14.931964000000001</v>
      </c>
      <c r="E1621" s="14">
        <f t="shared" si="179"/>
        <v>1.1190753607495973</v>
      </c>
      <c r="F1621" s="18">
        <f t="shared" ca="1" si="178"/>
        <v>-0.53291909258279568</v>
      </c>
      <c r="G1621" s="15">
        <f t="shared" ca="1" si="176"/>
        <v>1.1253129477230734</v>
      </c>
      <c r="H1621" s="15">
        <f t="shared" ca="1" si="177"/>
        <v>1.1704566528561758E-2</v>
      </c>
      <c r="J1621" s="17">
        <f t="shared" ca="1" si="180"/>
        <v>0</v>
      </c>
      <c r="K1621" s="24">
        <f t="shared" ca="1" si="181"/>
        <v>-1</v>
      </c>
      <c r="L1621" s="17">
        <f t="shared" ca="1" si="182"/>
        <v>-1</v>
      </c>
      <c r="N1621" s="24" t="str">
        <f ca="1">IF(AND(L1621=1,L1620&lt;&gt;1),MAX($N$8:N1620)+1,"")</f>
        <v/>
      </c>
      <c r="O1621" s="24" t="str">
        <f ca="1">IF(AND(L1621&lt;&gt;1,L1620=1),MAX($O$8:O1620)+1,"")</f>
        <v/>
      </c>
      <c r="P1621" s="17" t="str">
        <f ca="1">IF(AND(L1621=-1,L1620&lt;&gt;-1),MAX($P$8:P1620)+1,"")</f>
        <v/>
      </c>
      <c r="Q1621" s="24" t="str">
        <f ca="1">IF(AND(L1621&lt;&gt;-1,L1620=-1),MAX($Q$8:Q1620)+1,"")</f>
        <v/>
      </c>
    </row>
    <row r="1622" spans="1:17" x14ac:dyDescent="0.3">
      <c r="A1622" s="3">
        <v>42572</v>
      </c>
      <c r="B1622" s="9">
        <v>16.486357000000002</v>
      </c>
      <c r="C1622" s="9">
        <v>14.818757</v>
      </c>
      <c r="E1622" s="14">
        <f t="shared" si="179"/>
        <v>1.1125330552353347</v>
      </c>
      <c r="F1622" s="18">
        <f t="shared" ca="1" si="178"/>
        <v>-1.0027015181188266</v>
      </c>
      <c r="G1622" s="15">
        <f t="shared" ca="1" si="176"/>
        <v>1.1245112890771627</v>
      </c>
      <c r="H1622" s="15">
        <f t="shared" ca="1" si="177"/>
        <v>1.1945961610091477E-2</v>
      </c>
      <c r="J1622" s="17">
        <f t="shared" ca="1" si="180"/>
        <v>0</v>
      </c>
      <c r="K1622" s="24">
        <f t="shared" ca="1" si="181"/>
        <v>-1</v>
      </c>
      <c r="L1622" s="17">
        <f t="shared" ca="1" si="182"/>
        <v>-1</v>
      </c>
      <c r="N1622" s="24" t="str">
        <f ca="1">IF(AND(L1622=1,L1621&lt;&gt;1),MAX($N$8:N1621)+1,"")</f>
        <v/>
      </c>
      <c r="O1622" s="24" t="str">
        <f ca="1">IF(AND(L1622&lt;&gt;1,L1621=1),MAX($O$8:O1621)+1,"")</f>
        <v/>
      </c>
      <c r="P1622" s="17" t="str">
        <f ca="1">IF(AND(L1622=-1,L1621&lt;&gt;-1),MAX($P$8:P1621)+1,"")</f>
        <v/>
      </c>
      <c r="Q1622" s="24" t="str">
        <f ca="1">IF(AND(L1622&lt;&gt;-1,L1621=-1),MAX($Q$8:Q1621)+1,"")</f>
        <v/>
      </c>
    </row>
    <row r="1623" spans="1:17" x14ac:dyDescent="0.3">
      <c r="A1623" s="3">
        <v>42573</v>
      </c>
      <c r="B1623" s="9">
        <v>16.588428</v>
      </c>
      <c r="C1623" s="9">
        <v>14.916512000000001</v>
      </c>
      <c r="E1623" s="14">
        <f t="shared" si="179"/>
        <v>1.1120849163665072</v>
      </c>
      <c r="F1623" s="18">
        <f t="shared" ca="1" si="178"/>
        <v>-1.0347260078435341</v>
      </c>
      <c r="G1623" s="15">
        <f t="shared" ca="1" si="176"/>
        <v>1.124479190656922</v>
      </c>
      <c r="H1623" s="15">
        <f t="shared" ca="1" si="177"/>
        <v>1.197831522206122E-2</v>
      </c>
      <c r="J1623" s="17">
        <f t="shared" ca="1" si="180"/>
        <v>0</v>
      </c>
      <c r="K1623" s="24">
        <f t="shared" ca="1" si="181"/>
        <v>-1</v>
      </c>
      <c r="L1623" s="17">
        <f t="shared" ca="1" si="182"/>
        <v>-1</v>
      </c>
      <c r="N1623" s="24" t="str">
        <f ca="1">IF(AND(L1623=1,L1622&lt;&gt;1),MAX($N$8:N1622)+1,"")</f>
        <v/>
      </c>
      <c r="O1623" s="24" t="str">
        <f ca="1">IF(AND(L1623&lt;&gt;1,L1622=1),MAX($O$8:O1622)+1,"")</f>
        <v/>
      </c>
      <c r="P1623" s="17" t="str">
        <f ca="1">IF(AND(L1623=-1,L1622&lt;&gt;-1),MAX($P$8:P1622)+1,"")</f>
        <v/>
      </c>
      <c r="Q1623" s="24" t="str">
        <f ca="1">IF(AND(L1623&lt;&gt;-1,L1622=-1),MAX($Q$8:Q1622)+1,"")</f>
        <v/>
      </c>
    </row>
    <row r="1624" spans="1:17" x14ac:dyDescent="0.3">
      <c r="A1624" s="3">
        <v>42576</v>
      </c>
      <c r="B1624" s="9">
        <v>16.462049</v>
      </c>
      <c r="C1624" s="9">
        <v>14.870184</v>
      </c>
      <c r="E1624" s="14">
        <f t="shared" si="179"/>
        <v>1.1070507937225256</v>
      </c>
      <c r="F1624" s="18">
        <f t="shared" ca="1" si="178"/>
        <v>-1.3867158270513102</v>
      </c>
      <c r="G1624" s="15">
        <f t="shared" ca="1" si="176"/>
        <v>1.1241610033264269</v>
      </c>
      <c r="H1624" s="15">
        <f t="shared" ca="1" si="177"/>
        <v>1.2338656031844805E-2</v>
      </c>
      <c r="J1624" s="17">
        <f t="shared" ca="1" si="180"/>
        <v>0</v>
      </c>
      <c r="K1624" s="24">
        <f t="shared" ca="1" si="181"/>
        <v>-1</v>
      </c>
      <c r="L1624" s="17">
        <f t="shared" ca="1" si="182"/>
        <v>-1</v>
      </c>
      <c r="N1624" s="24" t="str">
        <f ca="1">IF(AND(L1624=1,L1623&lt;&gt;1),MAX($N$8:N1623)+1,"")</f>
        <v/>
      </c>
      <c r="O1624" s="24" t="str">
        <f ca="1">IF(AND(L1624&lt;&gt;1,L1623=1),MAX($O$8:O1623)+1,"")</f>
        <v/>
      </c>
      <c r="P1624" s="17" t="str">
        <f ca="1">IF(AND(L1624=-1,L1623&lt;&gt;-1),MAX($P$8:P1623)+1,"")</f>
        <v/>
      </c>
      <c r="Q1624" s="24" t="str">
        <f ca="1">IF(AND(L1624&lt;&gt;-1,L1623=-1),MAX($Q$8:Q1623)+1,"")</f>
        <v/>
      </c>
    </row>
    <row r="1625" spans="1:17" x14ac:dyDescent="0.3">
      <c r="A1625" s="3">
        <v>42577</v>
      </c>
      <c r="B1625" s="9">
        <v>16.252856999999999</v>
      </c>
      <c r="C1625" s="9">
        <v>14.751882999999999</v>
      </c>
      <c r="E1625" s="14">
        <f t="shared" si="179"/>
        <v>1.1017479599045084</v>
      </c>
      <c r="F1625" s="18">
        <f t="shared" ca="1" si="178"/>
        <v>-1.8073668334943966</v>
      </c>
      <c r="G1625" s="15">
        <f t="shared" ca="1" si="176"/>
        <v>1.1241344047930624</v>
      </c>
      <c r="H1625" s="15">
        <f t="shared" ca="1" si="177"/>
        <v>1.2386220922994169E-2</v>
      </c>
      <c r="J1625" s="17">
        <f t="shared" ca="1" si="180"/>
        <v>0</v>
      </c>
      <c r="K1625" s="24">
        <f t="shared" ca="1" si="181"/>
        <v>-1</v>
      </c>
      <c r="L1625" s="17">
        <f t="shared" ca="1" si="182"/>
        <v>-1</v>
      </c>
      <c r="N1625" s="24" t="str">
        <f ca="1">IF(AND(L1625=1,L1624&lt;&gt;1),MAX($N$8:N1624)+1,"")</f>
        <v/>
      </c>
      <c r="O1625" s="24" t="str">
        <f ca="1">IF(AND(L1625&lt;&gt;1,L1624=1),MAX($O$8:O1624)+1,"")</f>
        <v/>
      </c>
      <c r="P1625" s="17" t="str">
        <f ca="1">IF(AND(L1625=-1,L1624&lt;&gt;-1),MAX($P$8:P1624)+1,"")</f>
        <v/>
      </c>
      <c r="Q1625" s="24" t="str">
        <f ca="1">IF(AND(L1625&lt;&gt;-1,L1624=-1),MAX($Q$8:Q1624)+1,"")</f>
        <v/>
      </c>
    </row>
    <row r="1626" spans="1:17" x14ac:dyDescent="0.3">
      <c r="A1626" s="3">
        <v>42578</v>
      </c>
      <c r="B1626" s="9">
        <v>16.316075999999999</v>
      </c>
      <c r="C1626" s="9">
        <v>14.803307</v>
      </c>
      <c r="E1626" s="14">
        <f t="shared" si="179"/>
        <v>1.1021912873927426</v>
      </c>
      <c r="F1626" s="18">
        <f t="shared" ca="1" si="178"/>
        <v>-1.6835679486453656</v>
      </c>
      <c r="G1626" s="15">
        <f t="shared" ca="1" si="176"/>
        <v>1.1238177334409929</v>
      </c>
      <c r="H1626" s="15">
        <f t="shared" ca="1" si="177"/>
        <v>1.2845603330504928E-2</v>
      </c>
      <c r="J1626" s="17">
        <f t="shared" ca="1" si="180"/>
        <v>0</v>
      </c>
      <c r="K1626" s="24">
        <f t="shared" ca="1" si="181"/>
        <v>-1</v>
      </c>
      <c r="L1626" s="17">
        <f t="shared" ca="1" si="182"/>
        <v>-1</v>
      </c>
      <c r="N1626" s="24" t="str">
        <f ca="1">IF(AND(L1626=1,L1625&lt;&gt;1),MAX($N$8:N1625)+1,"")</f>
        <v/>
      </c>
      <c r="O1626" s="24" t="str">
        <f ca="1">IF(AND(L1626&lt;&gt;1,L1625=1),MAX($O$8:O1625)+1,"")</f>
        <v/>
      </c>
      <c r="P1626" s="17" t="str">
        <f ca="1">IF(AND(L1626=-1,L1625&lt;&gt;-1),MAX($P$8:P1625)+1,"")</f>
        <v/>
      </c>
      <c r="Q1626" s="24" t="str">
        <f ca="1">IF(AND(L1626&lt;&gt;-1,L1625=-1),MAX($Q$8:Q1625)+1,"")</f>
        <v/>
      </c>
    </row>
    <row r="1627" spans="1:17" x14ac:dyDescent="0.3">
      <c r="A1627" s="3">
        <v>42579</v>
      </c>
      <c r="B1627" s="9">
        <v>16.136175000000001</v>
      </c>
      <c r="C1627" s="9">
        <v>14.144926999999999</v>
      </c>
      <c r="E1627" s="14">
        <f t="shared" si="179"/>
        <v>1.1407747102547792</v>
      </c>
      <c r="F1627" s="18">
        <f t="shared" ca="1" si="178"/>
        <v>1.2058027529617656</v>
      </c>
      <c r="G1627" s="15">
        <f t="shared" ca="1" si="176"/>
        <v>1.1247483610290203</v>
      </c>
      <c r="H1627" s="15">
        <f t="shared" ca="1" si="177"/>
        <v>1.3291020597186367E-2</v>
      </c>
      <c r="J1627" s="17">
        <f t="shared" ca="1" si="180"/>
        <v>1</v>
      </c>
      <c r="K1627" s="24">
        <f t="shared" ca="1" si="181"/>
        <v>0</v>
      </c>
      <c r="L1627" s="17">
        <f t="shared" ca="1" si="182"/>
        <v>1</v>
      </c>
      <c r="N1627" s="24">
        <f ca="1">IF(AND(L1627=1,L1626&lt;&gt;1),MAX($N$8:N1626)+1,"")</f>
        <v>52</v>
      </c>
      <c r="O1627" s="24" t="str">
        <f ca="1">IF(AND(L1627&lt;&gt;1,L1626=1),MAX($O$8:O1626)+1,"")</f>
        <v/>
      </c>
      <c r="P1627" s="17" t="str">
        <f ca="1">IF(AND(L1627=-1,L1626&lt;&gt;-1),MAX($P$8:P1626)+1,"")</f>
        <v/>
      </c>
      <c r="Q1627" s="24">
        <f ca="1">IF(AND(L1627&lt;&gt;-1,L1626=-1),MAX($Q$8:Q1626)+1,"")</f>
        <v>61</v>
      </c>
    </row>
    <row r="1628" spans="1:17" x14ac:dyDescent="0.3">
      <c r="A1628" s="3">
        <v>42580</v>
      </c>
      <c r="B1628" s="9">
        <v>16.432829000000002</v>
      </c>
      <c r="C1628" s="9">
        <v>14.587324000000001</v>
      </c>
      <c r="E1628" s="14">
        <f t="shared" si="179"/>
        <v>1.1265142941913131</v>
      </c>
      <c r="F1628" s="18">
        <f t="shared" ca="1" si="178"/>
        <v>0.10585983758980903</v>
      </c>
      <c r="G1628" s="15">
        <f t="shared" ca="1" si="176"/>
        <v>1.1251144537570978</v>
      </c>
      <c r="H1628" s="15">
        <f t="shared" ca="1" si="177"/>
        <v>1.3223527128762768E-2</v>
      </c>
      <c r="J1628" s="17">
        <f t="shared" ca="1" si="180"/>
        <v>1</v>
      </c>
      <c r="K1628" s="24">
        <f t="shared" ca="1" si="181"/>
        <v>0</v>
      </c>
      <c r="L1628" s="17">
        <f t="shared" ca="1" si="182"/>
        <v>1</v>
      </c>
      <c r="N1628" s="24" t="str">
        <f ca="1">IF(AND(L1628=1,L1627&lt;&gt;1),MAX($N$8:N1627)+1,"")</f>
        <v/>
      </c>
      <c r="O1628" s="24" t="str">
        <f ca="1">IF(AND(L1628&lt;&gt;1,L1627=1),MAX($O$8:O1627)+1,"")</f>
        <v/>
      </c>
      <c r="P1628" s="17" t="str">
        <f ca="1">IF(AND(L1628=-1,L1627&lt;&gt;-1),MAX($P$8:P1627)+1,"")</f>
        <v/>
      </c>
      <c r="Q1628" s="24" t="str">
        <f ca="1">IF(AND(L1628&lt;&gt;-1,L1627=-1),MAX($Q$8:Q1627)+1,"")</f>
        <v/>
      </c>
    </row>
    <row r="1629" spans="1:17" x14ac:dyDescent="0.3">
      <c r="A1629" s="3">
        <v>42583</v>
      </c>
      <c r="B1629" s="9">
        <v>16.269665</v>
      </c>
      <c r="C1629" s="9">
        <v>14.607867000000001</v>
      </c>
      <c r="E1629" s="14">
        <f t="shared" si="179"/>
        <v>1.1137604826221377</v>
      </c>
      <c r="F1629" s="18">
        <f t="shared" ca="1" si="178"/>
        <v>-0.7817264301503225</v>
      </c>
      <c r="G1629" s="15">
        <f t="shared" ca="1" si="176"/>
        <v>1.1240057456260033</v>
      </c>
      <c r="H1629" s="15">
        <f t="shared" ca="1" si="177"/>
        <v>1.3105944239208486E-2</v>
      </c>
      <c r="J1629" s="17">
        <f t="shared" ca="1" si="180"/>
        <v>0</v>
      </c>
      <c r="K1629" s="24">
        <f t="shared" ca="1" si="181"/>
        <v>0</v>
      </c>
      <c r="L1629" s="17">
        <f t="shared" ca="1" si="182"/>
        <v>0</v>
      </c>
      <c r="N1629" s="24" t="str">
        <f ca="1">IF(AND(L1629=1,L1628&lt;&gt;1),MAX($N$8:N1628)+1,"")</f>
        <v/>
      </c>
      <c r="O1629" s="24">
        <f ca="1">IF(AND(L1629&lt;&gt;1,L1628=1),MAX($O$8:O1628)+1,"")</f>
        <v>52</v>
      </c>
      <c r="P1629" s="17" t="str">
        <f ca="1">IF(AND(L1629=-1,L1628&lt;&gt;-1),MAX($P$8:P1628)+1,"")</f>
        <v/>
      </c>
      <c r="Q1629" s="24" t="str">
        <f ca="1">IF(AND(L1629&lt;&gt;-1,L1628=-1),MAX($Q$8:Q1628)+1,"")</f>
        <v/>
      </c>
    </row>
    <row r="1630" spans="1:17" x14ac:dyDescent="0.3">
      <c r="A1630" s="3">
        <v>42584</v>
      </c>
      <c r="B1630" s="9">
        <v>16.464306000000001</v>
      </c>
      <c r="C1630" s="9">
        <v>14.433001000000001</v>
      </c>
      <c r="E1630" s="14">
        <f t="shared" si="179"/>
        <v>1.140740307577059</v>
      </c>
      <c r="F1630" s="18">
        <f t="shared" ca="1" si="178"/>
        <v>1.2892800023712463</v>
      </c>
      <c r="G1630" s="15">
        <f t="shared" ca="1" si="176"/>
        <v>1.1239459218505365</v>
      </c>
      <c r="H1630" s="15">
        <f t="shared" ca="1" si="177"/>
        <v>1.3026174062759221E-2</v>
      </c>
      <c r="J1630" s="17">
        <f t="shared" ca="1" si="180"/>
        <v>1</v>
      </c>
      <c r="K1630" s="24">
        <f t="shared" ca="1" si="181"/>
        <v>0</v>
      </c>
      <c r="L1630" s="17">
        <f t="shared" ca="1" si="182"/>
        <v>1</v>
      </c>
      <c r="N1630" s="24">
        <f ca="1">IF(AND(L1630=1,L1629&lt;&gt;1),MAX($N$8:N1629)+1,"")</f>
        <v>53</v>
      </c>
      <c r="O1630" s="24" t="str">
        <f ca="1">IF(AND(L1630&lt;&gt;1,L1629=1),MAX($O$8:O1629)+1,"")</f>
        <v/>
      </c>
      <c r="P1630" s="17" t="str">
        <f ca="1">IF(AND(L1630=-1,L1629&lt;&gt;-1),MAX($P$8:P1629)+1,"")</f>
        <v/>
      </c>
      <c r="Q1630" s="24" t="str">
        <f ca="1">IF(AND(L1630&lt;&gt;-1,L1629=-1),MAX($Q$8:Q1629)+1,"")</f>
        <v/>
      </c>
    </row>
    <row r="1631" spans="1:17" x14ac:dyDescent="0.3">
      <c r="A1631" s="3">
        <v>42585</v>
      </c>
      <c r="B1631" s="9">
        <v>17.150579</v>
      </c>
      <c r="C1631" s="9">
        <v>14.767638</v>
      </c>
      <c r="E1631" s="14">
        <f t="shared" si="179"/>
        <v>1.1613623654642673</v>
      </c>
      <c r="F1631" s="18">
        <f t="shared" ca="1" si="178"/>
        <v>2.4153657169611131</v>
      </c>
      <c r="G1631" s="15">
        <f t="shared" ref="G1631:G1694" ca="1" si="183">IF(ISNUMBER(E1631),IF(ROW(E1631)&gt;$J$1,AVERAGE(OFFSET(E1631,0,0,-$J$1)),""),"")</f>
        <v>1.1250995770665833</v>
      </c>
      <c r="H1631" s="15">
        <f t="shared" ref="H1631:H1694" ca="1" si="184">IF(ISNUMBER(E1631),IF(ROW(E1631)&gt;$J$1,_xlfn.STDEV.P(OFFSET(E1631,0,0,-$J$1)),""),"")</f>
        <v>1.501337381045053E-2</v>
      </c>
      <c r="J1631" s="17">
        <f t="shared" ca="1" si="180"/>
        <v>1</v>
      </c>
      <c r="K1631" s="24">
        <f t="shared" ca="1" si="181"/>
        <v>0</v>
      </c>
      <c r="L1631" s="17">
        <f t="shared" ca="1" si="182"/>
        <v>1</v>
      </c>
      <c r="N1631" s="24" t="str">
        <f ca="1">IF(AND(L1631=1,L1630&lt;&gt;1),MAX($N$8:N1630)+1,"")</f>
        <v/>
      </c>
      <c r="O1631" s="24" t="str">
        <f ca="1">IF(AND(L1631&lt;&gt;1,L1630=1),MAX($O$8:O1630)+1,"")</f>
        <v/>
      </c>
      <c r="P1631" s="17" t="str">
        <f ca="1">IF(AND(L1631=-1,L1630&lt;&gt;-1),MAX($P$8:P1630)+1,"")</f>
        <v/>
      </c>
      <c r="Q1631" s="24" t="str">
        <f ca="1">IF(AND(L1631&lt;&gt;-1,L1630=-1),MAX($Q$8:Q1630)+1,"")</f>
        <v/>
      </c>
    </row>
    <row r="1632" spans="1:17" x14ac:dyDescent="0.3">
      <c r="A1632" s="3">
        <v>42586</v>
      </c>
      <c r="B1632" s="9">
        <v>17.247896000000001</v>
      </c>
      <c r="C1632" s="9">
        <v>14.927267000000001</v>
      </c>
      <c r="E1632" s="14">
        <f t="shared" si="179"/>
        <v>1.1554624165294289</v>
      </c>
      <c r="F1632" s="18">
        <f t="shared" ca="1" si="178"/>
        <v>1.7883571884075369</v>
      </c>
      <c r="G1632" s="15">
        <f t="shared" ca="1" si="183"/>
        <v>1.1263329851257877</v>
      </c>
      <c r="H1632" s="15">
        <f t="shared" ca="1" si="184"/>
        <v>1.628837437647445E-2</v>
      </c>
      <c r="J1632" s="17">
        <f t="shared" ca="1" si="180"/>
        <v>1</v>
      </c>
      <c r="K1632" s="24">
        <f t="shared" ca="1" si="181"/>
        <v>0</v>
      </c>
      <c r="L1632" s="17">
        <f t="shared" ca="1" si="182"/>
        <v>1</v>
      </c>
      <c r="N1632" s="24" t="str">
        <f ca="1">IF(AND(L1632=1,L1631&lt;&gt;1),MAX($N$8:N1631)+1,"")</f>
        <v/>
      </c>
      <c r="O1632" s="24" t="str">
        <f ca="1">IF(AND(L1632&lt;&gt;1,L1631=1),MAX($O$8:O1631)+1,"")</f>
        <v/>
      </c>
      <c r="P1632" s="17" t="str">
        <f ca="1">IF(AND(L1632=-1,L1631&lt;&gt;-1),MAX($P$8:P1631)+1,"")</f>
        <v/>
      </c>
      <c r="Q1632" s="24" t="str">
        <f ca="1">IF(AND(L1632&lt;&gt;-1,L1631=-1),MAX($Q$8:Q1631)+1,"")</f>
        <v/>
      </c>
    </row>
    <row r="1633" spans="1:17" x14ac:dyDescent="0.3">
      <c r="A1633" s="3">
        <v>42587</v>
      </c>
      <c r="B1633" s="9">
        <v>17.145672000000001</v>
      </c>
      <c r="C1633" s="9">
        <v>15.019958000000001</v>
      </c>
      <c r="E1633" s="14">
        <f t="shared" si="179"/>
        <v>1.1415259616571498</v>
      </c>
      <c r="F1633" s="18">
        <f t="shared" ca="1" si="178"/>
        <v>0.89408095105569274</v>
      </c>
      <c r="G1633" s="15">
        <f t="shared" ca="1" si="183"/>
        <v>1.1267323031620096</v>
      </c>
      <c r="H1633" s="15">
        <f t="shared" ca="1" si="184"/>
        <v>1.6546218189384895E-2</v>
      </c>
      <c r="J1633" s="17">
        <f t="shared" ca="1" si="180"/>
        <v>1</v>
      </c>
      <c r="K1633" s="24">
        <f t="shared" ca="1" si="181"/>
        <v>0</v>
      </c>
      <c r="L1633" s="17">
        <f t="shared" ca="1" si="182"/>
        <v>1</v>
      </c>
      <c r="N1633" s="24" t="str">
        <f ca="1">IF(AND(L1633=1,L1632&lt;&gt;1),MAX($N$8:N1632)+1,"")</f>
        <v/>
      </c>
      <c r="O1633" s="24" t="str">
        <f ca="1">IF(AND(L1633&lt;&gt;1,L1632=1),MAX($O$8:O1632)+1,"")</f>
        <v/>
      </c>
      <c r="P1633" s="17" t="str">
        <f ca="1">IF(AND(L1633=-1,L1632&lt;&gt;-1),MAX($P$8:P1632)+1,"")</f>
        <v/>
      </c>
      <c r="Q1633" s="24" t="str">
        <f ca="1">IF(AND(L1633&lt;&gt;-1,L1632=-1),MAX($Q$8:Q1632)+1,"")</f>
        <v/>
      </c>
    </row>
    <row r="1634" spans="1:17" x14ac:dyDescent="0.3">
      <c r="A1634" s="3">
        <v>42590</v>
      </c>
      <c r="B1634" s="9">
        <v>17.033733000000002</v>
      </c>
      <c r="C1634" s="9">
        <v>14.870614</v>
      </c>
      <c r="E1634" s="14">
        <f t="shared" si="179"/>
        <v>1.1454626554088487</v>
      </c>
      <c r="F1634" s="18">
        <f t="shared" ca="1" si="178"/>
        <v>1.0998162481849101</v>
      </c>
      <c r="G1634" s="15">
        <f t="shared" ca="1" si="183"/>
        <v>1.1269936830175</v>
      </c>
      <c r="H1634" s="15">
        <f t="shared" ca="1" si="184"/>
        <v>1.6792780086518189E-2</v>
      </c>
      <c r="J1634" s="17">
        <f t="shared" ca="1" si="180"/>
        <v>1</v>
      </c>
      <c r="K1634" s="24">
        <f t="shared" ca="1" si="181"/>
        <v>0</v>
      </c>
      <c r="L1634" s="17">
        <f t="shared" ca="1" si="182"/>
        <v>1</v>
      </c>
      <c r="N1634" s="24" t="str">
        <f ca="1">IF(AND(L1634=1,L1633&lt;&gt;1),MAX($N$8:N1633)+1,"")</f>
        <v/>
      </c>
      <c r="O1634" s="24" t="str">
        <f ca="1">IF(AND(L1634&lt;&gt;1,L1633=1),MAX($O$8:O1633)+1,"")</f>
        <v/>
      </c>
      <c r="P1634" s="17" t="str">
        <f ca="1">IF(AND(L1634=-1,L1633&lt;&gt;-1),MAX($P$8:P1633)+1,"")</f>
        <v/>
      </c>
      <c r="Q1634" s="24" t="str">
        <f ca="1">IF(AND(L1634&lt;&gt;-1,L1633=-1),MAX($Q$8:Q1633)+1,"")</f>
        <v/>
      </c>
    </row>
    <row r="1635" spans="1:17" x14ac:dyDescent="0.3">
      <c r="A1635" s="3">
        <v>42591</v>
      </c>
      <c r="B1635" s="9">
        <v>17.067782999999999</v>
      </c>
      <c r="C1635" s="9">
        <v>14.793384</v>
      </c>
      <c r="E1635" s="14">
        <f t="shared" si="179"/>
        <v>1.153744335981544</v>
      </c>
      <c r="F1635" s="18">
        <f t="shared" ca="1" si="178"/>
        <v>1.487989584931062</v>
      </c>
      <c r="G1635" s="15">
        <f t="shared" ca="1" si="183"/>
        <v>1.1276570579374019</v>
      </c>
      <c r="H1635" s="15">
        <f t="shared" ca="1" si="184"/>
        <v>1.7531895591426965E-2</v>
      </c>
      <c r="J1635" s="17">
        <f t="shared" ca="1" si="180"/>
        <v>1</v>
      </c>
      <c r="K1635" s="24">
        <f t="shared" ca="1" si="181"/>
        <v>0</v>
      </c>
      <c r="L1635" s="17">
        <f t="shared" ca="1" si="182"/>
        <v>1</v>
      </c>
      <c r="N1635" s="24" t="str">
        <f ca="1">IF(AND(L1635=1,L1634&lt;&gt;1),MAX($N$8:N1634)+1,"")</f>
        <v/>
      </c>
      <c r="O1635" s="24" t="str">
        <f ca="1">IF(AND(L1635&lt;&gt;1,L1634=1),MAX($O$8:O1634)+1,"")</f>
        <v/>
      </c>
      <c r="P1635" s="17" t="str">
        <f ca="1">IF(AND(L1635=-1,L1634&lt;&gt;-1),MAX($P$8:P1634)+1,"")</f>
        <v/>
      </c>
      <c r="Q1635" s="24" t="str">
        <f ca="1">IF(AND(L1635&lt;&gt;-1,L1634=-1),MAX($Q$8:Q1634)+1,"")</f>
        <v/>
      </c>
    </row>
    <row r="1636" spans="1:17" x14ac:dyDescent="0.3">
      <c r="A1636" s="3">
        <v>42592</v>
      </c>
      <c r="B1636" s="9">
        <v>16.926689</v>
      </c>
      <c r="C1636" s="9">
        <v>14.582271</v>
      </c>
      <c r="E1636" s="14">
        <f t="shared" si="179"/>
        <v>1.1607718029653953</v>
      </c>
      <c r="F1636" s="18">
        <f t="shared" ca="1" si="178"/>
        <v>1.7086921020881625</v>
      </c>
      <c r="G1636" s="15">
        <f t="shared" ca="1" si="183"/>
        <v>1.1287222167185584</v>
      </c>
      <c r="H1636" s="15">
        <f t="shared" ca="1" si="184"/>
        <v>1.8756794280063455E-2</v>
      </c>
      <c r="J1636" s="17">
        <f t="shared" ca="1" si="180"/>
        <v>1</v>
      </c>
      <c r="K1636" s="24">
        <f t="shared" ca="1" si="181"/>
        <v>0</v>
      </c>
      <c r="L1636" s="17">
        <f t="shared" ca="1" si="182"/>
        <v>1</v>
      </c>
      <c r="N1636" s="24" t="str">
        <f ca="1">IF(AND(L1636=1,L1635&lt;&gt;1),MAX($N$8:N1635)+1,"")</f>
        <v/>
      </c>
      <c r="O1636" s="24" t="str">
        <f ca="1">IF(AND(L1636&lt;&gt;1,L1635=1),MAX($O$8:O1635)+1,"")</f>
        <v/>
      </c>
      <c r="P1636" s="17" t="str">
        <f ca="1">IF(AND(L1636=-1,L1635&lt;&gt;-1),MAX($P$8:P1635)+1,"")</f>
        <v/>
      </c>
      <c r="Q1636" s="24" t="str">
        <f ca="1">IF(AND(L1636&lt;&gt;-1,L1635=-1),MAX($Q$8:Q1635)+1,"")</f>
        <v/>
      </c>
    </row>
    <row r="1637" spans="1:17" x14ac:dyDescent="0.3">
      <c r="A1637" s="3">
        <v>42593</v>
      </c>
      <c r="B1637" s="9">
        <v>17.359846000000001</v>
      </c>
      <c r="C1637" s="9">
        <v>15.014859</v>
      </c>
      <c r="E1637" s="14">
        <f t="shared" si="179"/>
        <v>1.1561777569806018</v>
      </c>
      <c r="F1637" s="18">
        <f t="shared" ca="1" si="178"/>
        <v>1.3602768181355613</v>
      </c>
      <c r="G1637" s="15">
        <f t="shared" ca="1" si="183"/>
        <v>1.1295875296464877</v>
      </c>
      <c r="H1637" s="15">
        <f t="shared" ca="1" si="184"/>
        <v>1.9547658961474843E-2</v>
      </c>
      <c r="J1637" s="17">
        <f t="shared" ca="1" si="180"/>
        <v>1</v>
      </c>
      <c r="K1637" s="24">
        <f t="shared" ca="1" si="181"/>
        <v>0</v>
      </c>
      <c r="L1637" s="17">
        <f t="shared" ca="1" si="182"/>
        <v>1</v>
      </c>
      <c r="N1637" s="24" t="str">
        <f ca="1">IF(AND(L1637=1,L1636&lt;&gt;1),MAX($N$8:N1636)+1,"")</f>
        <v/>
      </c>
      <c r="O1637" s="24" t="str">
        <f ca="1">IF(AND(L1637&lt;&gt;1,L1636=1),MAX($O$8:O1636)+1,"")</f>
        <v/>
      </c>
      <c r="P1637" s="17" t="str">
        <f ca="1">IF(AND(L1637=-1,L1636&lt;&gt;-1),MAX($P$8:P1636)+1,"")</f>
        <v/>
      </c>
      <c r="Q1637" s="24" t="str">
        <f ca="1">IF(AND(L1637&lt;&gt;-1,L1636=-1),MAX($Q$8:Q1636)+1,"")</f>
        <v/>
      </c>
    </row>
    <row r="1638" spans="1:17" x14ac:dyDescent="0.3">
      <c r="A1638" s="3">
        <v>42594</v>
      </c>
      <c r="B1638" s="9">
        <v>17.491215</v>
      </c>
      <c r="C1638" s="9">
        <v>15.035418999999999</v>
      </c>
      <c r="E1638" s="14">
        <f t="shared" si="179"/>
        <v>1.1633340580664897</v>
      </c>
      <c r="F1638" s="18">
        <f t="shared" ca="1" si="178"/>
        <v>1.5648923521619293</v>
      </c>
      <c r="G1638" s="15">
        <f t="shared" ca="1" si="183"/>
        <v>1.1308565463496931</v>
      </c>
      <c r="H1638" s="15">
        <f t="shared" ca="1" si="184"/>
        <v>2.0753831196074456E-2</v>
      </c>
      <c r="J1638" s="17">
        <f t="shared" ca="1" si="180"/>
        <v>1</v>
      </c>
      <c r="K1638" s="24">
        <f t="shared" ca="1" si="181"/>
        <v>0</v>
      </c>
      <c r="L1638" s="17">
        <f t="shared" ca="1" si="182"/>
        <v>1</v>
      </c>
      <c r="N1638" s="24" t="str">
        <f ca="1">IF(AND(L1638=1,L1637&lt;&gt;1),MAX($N$8:N1637)+1,"")</f>
        <v/>
      </c>
      <c r="O1638" s="24" t="str">
        <f ca="1">IF(AND(L1638&lt;&gt;1,L1637=1),MAX($O$8:O1637)+1,"")</f>
        <v/>
      </c>
      <c r="P1638" s="17" t="str">
        <f ca="1">IF(AND(L1638=-1,L1637&lt;&gt;-1),MAX($P$8:P1637)+1,"")</f>
        <v/>
      </c>
      <c r="Q1638" s="24" t="str">
        <f ca="1">IF(AND(L1638&lt;&gt;-1,L1637=-1),MAX($Q$8:Q1637)+1,"")</f>
        <v/>
      </c>
    </row>
    <row r="1639" spans="1:17" x14ac:dyDescent="0.3">
      <c r="A1639" s="3">
        <v>42597</v>
      </c>
      <c r="B1639" s="9">
        <v>18.005991000000002</v>
      </c>
      <c r="C1639" s="9">
        <v>15.256815</v>
      </c>
      <c r="E1639" s="14">
        <f t="shared" si="179"/>
        <v>1.1801933103337756</v>
      </c>
      <c r="F1639" s="18">
        <f t="shared" ca="1" si="178"/>
        <v>2.0266515370477327</v>
      </c>
      <c r="G1639" s="15">
        <f t="shared" ca="1" si="183"/>
        <v>1.133521809600029</v>
      </c>
      <c r="H1639" s="15">
        <f t="shared" ca="1" si="184"/>
        <v>2.3028872936752601E-2</v>
      </c>
      <c r="J1639" s="17">
        <f t="shared" ca="1" si="180"/>
        <v>1</v>
      </c>
      <c r="K1639" s="24">
        <f t="shared" ca="1" si="181"/>
        <v>0</v>
      </c>
      <c r="L1639" s="17">
        <f t="shared" ca="1" si="182"/>
        <v>1</v>
      </c>
      <c r="N1639" s="24" t="str">
        <f ca="1">IF(AND(L1639=1,L1638&lt;&gt;1),MAX($N$8:N1638)+1,"")</f>
        <v/>
      </c>
      <c r="O1639" s="24" t="str">
        <f ca="1">IF(AND(L1639&lt;&gt;1,L1638=1),MAX($O$8:O1638)+1,"")</f>
        <v/>
      </c>
      <c r="P1639" s="17" t="str">
        <f ca="1">IF(AND(L1639=-1,L1638&lt;&gt;-1),MAX($P$8:P1638)+1,"")</f>
        <v/>
      </c>
      <c r="Q1639" s="24" t="str">
        <f ca="1">IF(AND(L1639&lt;&gt;-1,L1638=-1),MAX($Q$8:Q1638)+1,"")</f>
        <v/>
      </c>
    </row>
    <row r="1640" spans="1:17" x14ac:dyDescent="0.3">
      <c r="A1640" s="3">
        <v>42598</v>
      </c>
      <c r="B1640" s="9">
        <v>17.931635</v>
      </c>
      <c r="C1640" s="9">
        <v>15.025134</v>
      </c>
      <c r="E1640" s="14">
        <f t="shared" si="179"/>
        <v>1.1934426009112464</v>
      </c>
      <c r="F1640" s="18">
        <f t="shared" ca="1" si="178"/>
        <v>2.1812478736491512</v>
      </c>
      <c r="G1640" s="15">
        <f t="shared" ca="1" si="183"/>
        <v>1.1369564746515264</v>
      </c>
      <c r="H1640" s="15">
        <f t="shared" ca="1" si="184"/>
        <v>2.5896243587034764E-2</v>
      </c>
      <c r="J1640" s="17">
        <f t="shared" ca="1" si="180"/>
        <v>1</v>
      </c>
      <c r="K1640" s="24">
        <f t="shared" ca="1" si="181"/>
        <v>0</v>
      </c>
      <c r="L1640" s="17">
        <f t="shared" ca="1" si="182"/>
        <v>1</v>
      </c>
      <c r="N1640" s="24" t="str">
        <f ca="1">IF(AND(L1640=1,L1639&lt;&gt;1),MAX($N$8:N1639)+1,"")</f>
        <v/>
      </c>
      <c r="O1640" s="24" t="str">
        <f ca="1">IF(AND(L1640&lt;&gt;1,L1639=1),MAX($O$8:O1639)+1,"")</f>
        <v/>
      </c>
      <c r="P1640" s="17" t="str">
        <f ca="1">IF(AND(L1640=-1,L1639&lt;&gt;-1),MAX($P$8:P1639)+1,"")</f>
        <v/>
      </c>
      <c r="Q1640" s="24" t="str">
        <f ca="1">IF(AND(L1640&lt;&gt;-1,L1639=-1),MAX($Q$8:Q1639)+1,"")</f>
        <v/>
      </c>
    </row>
    <row r="1641" spans="1:17" x14ac:dyDescent="0.3">
      <c r="A1641" s="3">
        <v>42599</v>
      </c>
      <c r="B1641" s="9">
        <v>18.169585999999999</v>
      </c>
      <c r="C1641" s="9">
        <v>15.195055</v>
      </c>
      <c r="E1641" s="14">
        <f t="shared" si="179"/>
        <v>1.1957565142080762</v>
      </c>
      <c r="F1641" s="18">
        <f t="shared" ca="1" si="178"/>
        <v>1.9602058572733307</v>
      </c>
      <c r="G1641" s="15">
        <f t="shared" ca="1" si="183"/>
        <v>1.1406862267864672</v>
      </c>
      <c r="H1641" s="15">
        <f t="shared" ca="1" si="184"/>
        <v>2.8094134714102079E-2</v>
      </c>
      <c r="J1641" s="17">
        <f t="shared" ca="1" si="180"/>
        <v>1</v>
      </c>
      <c r="K1641" s="24">
        <f t="shared" ca="1" si="181"/>
        <v>0</v>
      </c>
      <c r="L1641" s="17">
        <f t="shared" ca="1" si="182"/>
        <v>1</v>
      </c>
      <c r="N1641" s="24" t="str">
        <f ca="1">IF(AND(L1641=1,L1640&lt;&gt;1),MAX($N$8:N1640)+1,"")</f>
        <v/>
      </c>
      <c r="O1641" s="24" t="str">
        <f ca="1">IF(AND(L1641&lt;&gt;1,L1640=1),MAX($O$8:O1640)+1,"")</f>
        <v/>
      </c>
      <c r="P1641" s="17" t="str">
        <f ca="1">IF(AND(L1641=-1,L1640&lt;&gt;-1),MAX($P$8:P1640)+1,"")</f>
        <v/>
      </c>
      <c r="Q1641" s="24" t="str">
        <f ca="1">IF(AND(L1641&lt;&gt;-1,L1640=-1),MAX($Q$8:Q1640)+1,"")</f>
        <v/>
      </c>
    </row>
    <row r="1642" spans="1:17" x14ac:dyDescent="0.3">
      <c r="A1642" s="3">
        <v>42600</v>
      </c>
      <c r="B1642" s="9">
        <v>18.134909</v>
      </c>
      <c r="C1642" s="9">
        <v>15.236252</v>
      </c>
      <c r="E1642" s="14">
        <f t="shared" si="179"/>
        <v>1.1902473784235126</v>
      </c>
      <c r="F1642" s="18">
        <f t="shared" ca="1" si="178"/>
        <v>1.5778516383163865</v>
      </c>
      <c r="G1642" s="15">
        <f t="shared" ca="1" si="183"/>
        <v>1.1442706511339471</v>
      </c>
      <c r="H1642" s="15">
        <f t="shared" ca="1" si="184"/>
        <v>2.9138815192171031E-2</v>
      </c>
      <c r="J1642" s="17">
        <f t="shared" ca="1" si="180"/>
        <v>1</v>
      </c>
      <c r="K1642" s="24">
        <f t="shared" ca="1" si="181"/>
        <v>0</v>
      </c>
      <c r="L1642" s="17">
        <f t="shared" ca="1" si="182"/>
        <v>1</v>
      </c>
      <c r="N1642" s="24" t="str">
        <f ca="1">IF(AND(L1642=1,L1641&lt;&gt;1),MAX($N$8:N1641)+1,"")</f>
        <v/>
      </c>
      <c r="O1642" s="24" t="str">
        <f ca="1">IF(AND(L1642&lt;&gt;1,L1641=1),MAX($O$8:O1641)+1,"")</f>
        <v/>
      </c>
      <c r="P1642" s="17" t="str">
        <f ca="1">IF(AND(L1642=-1,L1641&lt;&gt;-1),MAX($P$8:P1641)+1,"")</f>
        <v/>
      </c>
      <c r="Q1642" s="24" t="str">
        <f ca="1">IF(AND(L1642&lt;&gt;-1,L1641=-1),MAX($Q$8:Q1641)+1,"")</f>
        <v/>
      </c>
    </row>
    <row r="1643" spans="1:17" x14ac:dyDescent="0.3">
      <c r="A1643" s="3">
        <v>42601</v>
      </c>
      <c r="B1643" s="9">
        <v>18.015884</v>
      </c>
      <c r="C1643" s="9">
        <v>15.148667</v>
      </c>
      <c r="E1643" s="14">
        <f t="shared" si="179"/>
        <v>1.1892719009533974</v>
      </c>
      <c r="F1643" s="18">
        <f t="shared" ca="1" si="178"/>
        <v>1.3920712880380346</v>
      </c>
      <c r="G1643" s="15">
        <f t="shared" ca="1" si="183"/>
        <v>1.1474614029613925</v>
      </c>
      <c r="H1643" s="15">
        <f t="shared" ca="1" si="184"/>
        <v>3.0034739133893054E-2</v>
      </c>
      <c r="J1643" s="17">
        <f t="shared" ca="1" si="180"/>
        <v>1</v>
      </c>
      <c r="K1643" s="24">
        <f t="shared" ca="1" si="181"/>
        <v>0</v>
      </c>
      <c r="L1643" s="17">
        <f t="shared" ca="1" si="182"/>
        <v>1</v>
      </c>
      <c r="N1643" s="24" t="str">
        <f ca="1">IF(AND(L1643=1,L1642&lt;&gt;1),MAX($N$8:N1642)+1,"")</f>
        <v/>
      </c>
      <c r="O1643" s="24" t="str">
        <f ca="1">IF(AND(L1643&lt;&gt;1,L1642=1),MAX($O$8:O1642)+1,"")</f>
        <v/>
      </c>
      <c r="P1643" s="17" t="str">
        <f ca="1">IF(AND(L1643=-1,L1642&lt;&gt;-1),MAX($P$8:P1642)+1,"")</f>
        <v/>
      </c>
      <c r="Q1643" s="24" t="str">
        <f ca="1">IF(AND(L1643&lt;&gt;-1,L1642=-1),MAX($Q$8:Q1642)+1,"")</f>
        <v/>
      </c>
    </row>
    <row r="1644" spans="1:17" x14ac:dyDescent="0.3">
      <c r="A1644" s="3">
        <v>42604</v>
      </c>
      <c r="B1644" s="9">
        <v>17.668887999999999</v>
      </c>
      <c r="C1644" s="9">
        <v>14.741901</v>
      </c>
      <c r="E1644" s="14">
        <f t="shared" si="179"/>
        <v>1.1985488167367289</v>
      </c>
      <c r="F1644" s="18">
        <f t="shared" ca="1" si="178"/>
        <v>1.5306615597941697</v>
      </c>
      <c r="G1644" s="15">
        <f t="shared" ca="1" si="183"/>
        <v>1.1513712103023654</v>
      </c>
      <c r="H1644" s="15">
        <f t="shared" ca="1" si="184"/>
        <v>3.0821709823762387E-2</v>
      </c>
      <c r="J1644" s="17">
        <f t="shared" ca="1" si="180"/>
        <v>1</v>
      </c>
      <c r="K1644" s="24">
        <f t="shared" ca="1" si="181"/>
        <v>0</v>
      </c>
      <c r="L1644" s="17">
        <f t="shared" ca="1" si="182"/>
        <v>1</v>
      </c>
      <c r="N1644" s="24" t="str">
        <f ca="1">IF(AND(L1644=1,L1643&lt;&gt;1),MAX($N$8:N1643)+1,"")</f>
        <v/>
      </c>
      <c r="O1644" s="24" t="str">
        <f ca="1">IF(AND(L1644&lt;&gt;1,L1643=1),MAX($O$8:O1643)+1,"")</f>
        <v/>
      </c>
      <c r="P1644" s="17" t="str">
        <f ca="1">IF(AND(L1644=-1,L1643&lt;&gt;-1),MAX($P$8:P1643)+1,"")</f>
        <v/>
      </c>
      <c r="Q1644" s="24" t="str">
        <f ca="1">IF(AND(L1644&lt;&gt;-1,L1643=-1),MAX($Q$8:Q1643)+1,"")</f>
        <v/>
      </c>
    </row>
    <row r="1645" spans="1:17" x14ac:dyDescent="0.3">
      <c r="A1645" s="3">
        <v>42605</v>
      </c>
      <c r="B1645" s="9">
        <v>17.639109000000001</v>
      </c>
      <c r="C1645" s="9">
        <v>14.582271</v>
      </c>
      <c r="E1645" s="14">
        <f t="shared" si="179"/>
        <v>1.2096270190013614</v>
      </c>
      <c r="F1645" s="18">
        <f t="shared" ca="1" si="178"/>
        <v>1.6898585732274634</v>
      </c>
      <c r="G1645" s="15">
        <f t="shared" ca="1" si="183"/>
        <v>1.1558049422403132</v>
      </c>
      <c r="H1645" s="15">
        <f t="shared" ca="1" si="184"/>
        <v>3.1850048053579633E-2</v>
      </c>
      <c r="J1645" s="17">
        <f t="shared" ca="1" si="180"/>
        <v>1</v>
      </c>
      <c r="K1645" s="24">
        <f t="shared" ca="1" si="181"/>
        <v>0</v>
      </c>
      <c r="L1645" s="17">
        <f t="shared" ca="1" si="182"/>
        <v>1</v>
      </c>
      <c r="N1645" s="24" t="str">
        <f ca="1">IF(AND(L1645=1,L1644&lt;&gt;1),MAX($N$8:N1644)+1,"")</f>
        <v/>
      </c>
      <c r="O1645" s="24" t="str">
        <f ca="1">IF(AND(L1645&lt;&gt;1,L1644=1),MAX($O$8:O1644)+1,"")</f>
        <v/>
      </c>
      <c r="P1645" s="17" t="str">
        <f ca="1">IF(AND(L1645=-1,L1644&lt;&gt;-1),MAX($P$8:P1644)+1,"")</f>
        <v/>
      </c>
      <c r="Q1645" s="24" t="str">
        <f ca="1">IF(AND(L1645&lt;&gt;-1,L1644=-1),MAX($Q$8:Q1644)+1,"")</f>
        <v/>
      </c>
    </row>
    <row r="1646" spans="1:17" x14ac:dyDescent="0.3">
      <c r="A1646" s="3">
        <v>42606</v>
      </c>
      <c r="B1646" s="9">
        <v>17.554852</v>
      </c>
      <c r="C1646" s="9">
        <v>14.479298999999999</v>
      </c>
      <c r="E1646" s="14">
        <f t="shared" si="179"/>
        <v>1.2124103521862488</v>
      </c>
      <c r="F1646" s="18">
        <f t="shared" ca="1" si="178"/>
        <v>1.6152506288620734</v>
      </c>
      <c r="G1646" s="15">
        <f t="shared" ca="1" si="183"/>
        <v>1.1605940130795735</v>
      </c>
      <c r="H1646" s="15">
        <f t="shared" ca="1" si="184"/>
        <v>3.2079442150212516E-2</v>
      </c>
      <c r="J1646" s="17">
        <f t="shared" ca="1" si="180"/>
        <v>1</v>
      </c>
      <c r="K1646" s="24">
        <f t="shared" ca="1" si="181"/>
        <v>0</v>
      </c>
      <c r="L1646" s="17">
        <f t="shared" ca="1" si="182"/>
        <v>1</v>
      </c>
      <c r="N1646" s="24" t="str">
        <f ca="1">IF(AND(L1646=1,L1645&lt;&gt;1),MAX($N$8:N1645)+1,"")</f>
        <v/>
      </c>
      <c r="O1646" s="24" t="str">
        <f ca="1">IF(AND(L1646&lt;&gt;1,L1645=1),MAX($O$8:O1645)+1,"")</f>
        <v/>
      </c>
      <c r="P1646" s="17" t="str">
        <f ca="1">IF(AND(L1646=-1,L1645&lt;&gt;-1),MAX($P$8:P1645)+1,"")</f>
        <v/>
      </c>
      <c r="Q1646" s="24" t="str">
        <f ca="1">IF(AND(L1646&lt;&gt;-1,L1645=-1),MAX($Q$8:Q1645)+1,"")</f>
        <v/>
      </c>
    </row>
    <row r="1647" spans="1:17" x14ac:dyDescent="0.3">
      <c r="A1647" s="3">
        <v>42607</v>
      </c>
      <c r="B1647" s="9">
        <v>17.500298999999998</v>
      </c>
      <c r="C1647" s="9">
        <v>14.546246999999999</v>
      </c>
      <c r="E1647" s="14">
        <f t="shared" si="179"/>
        <v>1.2030800109471536</v>
      </c>
      <c r="F1647" s="18">
        <f t="shared" ca="1" si="178"/>
        <v>1.240453910465658</v>
      </c>
      <c r="G1647" s="15">
        <f t="shared" ca="1" si="183"/>
        <v>1.1652000153996935</v>
      </c>
      <c r="H1647" s="15">
        <f t="shared" ca="1" si="184"/>
        <v>3.053720515358779E-2</v>
      </c>
      <c r="J1647" s="17">
        <f t="shared" ca="1" si="180"/>
        <v>1</v>
      </c>
      <c r="K1647" s="24">
        <f t="shared" ca="1" si="181"/>
        <v>0</v>
      </c>
      <c r="L1647" s="17">
        <f t="shared" ca="1" si="182"/>
        <v>1</v>
      </c>
      <c r="N1647" s="24" t="str">
        <f ca="1">IF(AND(L1647=1,L1646&lt;&gt;1),MAX($N$8:N1646)+1,"")</f>
        <v/>
      </c>
      <c r="O1647" s="24" t="str">
        <f ca="1">IF(AND(L1647&lt;&gt;1,L1646=1),MAX($O$8:O1646)+1,"")</f>
        <v/>
      </c>
      <c r="P1647" s="17" t="str">
        <f ca="1">IF(AND(L1647=-1,L1646&lt;&gt;-1),MAX($P$8:P1646)+1,"")</f>
        <v/>
      </c>
      <c r="Q1647" s="24" t="str">
        <f ca="1">IF(AND(L1647&lt;&gt;-1,L1646=-1),MAX($Q$8:Q1646)+1,"")</f>
        <v/>
      </c>
    </row>
    <row r="1648" spans="1:17" x14ac:dyDescent="0.3">
      <c r="A1648" s="3">
        <v>42608</v>
      </c>
      <c r="B1648" s="9">
        <v>17.713460999999999</v>
      </c>
      <c r="C1648" s="9">
        <v>14.747082000000001</v>
      </c>
      <c r="E1648" s="14">
        <f t="shared" si="179"/>
        <v>1.2011502343311036</v>
      </c>
      <c r="F1648" s="18">
        <f t="shared" ca="1" si="178"/>
        <v>1.1186080282412052</v>
      </c>
      <c r="G1648" s="15">
        <f t="shared" ca="1" si="183"/>
        <v>1.1696981493514373</v>
      </c>
      <c r="H1648" s="15">
        <f t="shared" ca="1" si="184"/>
        <v>2.8117163640527906E-2</v>
      </c>
      <c r="J1648" s="17">
        <f t="shared" ca="1" si="180"/>
        <v>1</v>
      </c>
      <c r="K1648" s="24">
        <f t="shared" ca="1" si="181"/>
        <v>0</v>
      </c>
      <c r="L1648" s="17">
        <f t="shared" ca="1" si="182"/>
        <v>1</v>
      </c>
      <c r="N1648" s="24" t="str">
        <f ca="1">IF(AND(L1648=1,L1647&lt;&gt;1),MAX($N$8:N1647)+1,"")</f>
        <v/>
      </c>
      <c r="O1648" s="24" t="str">
        <f ca="1">IF(AND(L1648&lt;&gt;1,L1647=1),MAX($O$8:O1647)+1,"")</f>
        <v/>
      </c>
      <c r="P1648" s="17" t="str">
        <f ca="1">IF(AND(L1648=-1,L1647&lt;&gt;-1),MAX($P$8:P1647)+1,"")</f>
        <v/>
      </c>
      <c r="Q1648" s="24" t="str">
        <f ca="1">IF(AND(L1648&lt;&gt;-1,L1647=-1),MAX($Q$8:Q1647)+1,"")</f>
        <v/>
      </c>
    </row>
    <row r="1649" spans="1:17" x14ac:dyDescent="0.3">
      <c r="A1649" s="3">
        <v>42611</v>
      </c>
      <c r="B1649" s="9">
        <v>18.025860000000002</v>
      </c>
      <c r="C1649" s="9">
        <v>15.014859</v>
      </c>
      <c r="E1649" s="14">
        <f t="shared" si="179"/>
        <v>1.2005347502763764</v>
      </c>
      <c r="F1649" s="18">
        <f t="shared" ca="1" si="178"/>
        <v>1.0014921432679591</v>
      </c>
      <c r="G1649" s="15">
        <f t="shared" ca="1" si="183"/>
        <v>1.1724145148069645</v>
      </c>
      <c r="H1649" s="15">
        <f t="shared" ca="1" si="184"/>
        <v>2.8078338565545837E-2</v>
      </c>
      <c r="J1649" s="17">
        <f t="shared" ca="1" si="180"/>
        <v>1</v>
      </c>
      <c r="K1649" s="24">
        <f t="shared" ca="1" si="181"/>
        <v>0</v>
      </c>
      <c r="L1649" s="17">
        <f t="shared" ca="1" si="182"/>
        <v>1</v>
      </c>
      <c r="N1649" s="24" t="str">
        <f ca="1">IF(AND(L1649=1,L1648&lt;&gt;1),MAX($N$8:N1648)+1,"")</f>
        <v/>
      </c>
      <c r="O1649" s="24" t="str">
        <f ca="1">IF(AND(L1649&lt;&gt;1,L1648=1),MAX($O$8:O1648)+1,"")</f>
        <v/>
      </c>
      <c r="P1649" s="17" t="str">
        <f ca="1">IF(AND(L1649=-1,L1648&lt;&gt;-1),MAX($P$8:P1648)+1,"")</f>
        <v/>
      </c>
      <c r="Q1649" s="24" t="str">
        <f ca="1">IF(AND(L1649&lt;&gt;-1,L1648=-1),MAX($Q$8:Q1648)+1,"")</f>
        <v/>
      </c>
    </row>
    <row r="1650" spans="1:17" x14ac:dyDescent="0.3">
      <c r="A1650" s="3">
        <v>42612</v>
      </c>
      <c r="B1650" s="9">
        <v>18.144801999999999</v>
      </c>
      <c r="C1650" s="9">
        <v>15.061161999999999</v>
      </c>
      <c r="E1650" s="14">
        <f t="shared" si="179"/>
        <v>1.2047411746849279</v>
      </c>
      <c r="F1650" s="18">
        <f t="shared" ca="1" si="178"/>
        <v>1.0666974494973667</v>
      </c>
      <c r="G1650" s="15">
        <f t="shared" ca="1" si="183"/>
        <v>1.1759702821021287</v>
      </c>
      <c r="H1650" s="15">
        <f t="shared" ca="1" si="184"/>
        <v>2.6971933415942995E-2</v>
      </c>
      <c r="J1650" s="17">
        <f t="shared" ca="1" si="180"/>
        <v>1</v>
      </c>
      <c r="K1650" s="24">
        <f t="shared" ca="1" si="181"/>
        <v>0</v>
      </c>
      <c r="L1650" s="17">
        <f t="shared" ca="1" si="182"/>
        <v>1</v>
      </c>
      <c r="N1650" s="24" t="str">
        <f ca="1">IF(AND(L1650=1,L1649&lt;&gt;1),MAX($N$8:N1649)+1,"")</f>
        <v/>
      </c>
      <c r="O1650" s="24" t="str">
        <f ca="1">IF(AND(L1650&lt;&gt;1,L1649=1),MAX($O$8:O1649)+1,"")</f>
        <v/>
      </c>
      <c r="P1650" s="17" t="str">
        <f ca="1">IF(AND(L1650=-1,L1649&lt;&gt;-1),MAX($P$8:P1649)+1,"")</f>
        <v/>
      </c>
      <c r="Q1650" s="24" t="str">
        <f ca="1">IF(AND(L1650&lt;&gt;-1,L1649=-1),MAX($Q$8:Q1649)+1,"")</f>
        <v/>
      </c>
    </row>
    <row r="1651" spans="1:17" x14ac:dyDescent="0.3">
      <c r="A1651" s="3">
        <v>42613</v>
      </c>
      <c r="B1651" s="9">
        <v>17.773019999999999</v>
      </c>
      <c r="C1651" s="9">
        <v>14.963297000000001</v>
      </c>
      <c r="E1651" s="14">
        <f t="shared" si="179"/>
        <v>1.1877743254043542</v>
      </c>
      <c r="F1651" s="18">
        <f t="shared" ca="1" si="178"/>
        <v>0.36099462901091595</v>
      </c>
      <c r="G1651" s="15">
        <f t="shared" ca="1" si="183"/>
        <v>1.1793345476831385</v>
      </c>
      <c r="H1651" s="15">
        <f t="shared" ca="1" si="184"/>
        <v>2.33792334925862E-2</v>
      </c>
      <c r="J1651" s="17">
        <f t="shared" ca="1" si="180"/>
        <v>1</v>
      </c>
      <c r="K1651" s="24">
        <f t="shared" ca="1" si="181"/>
        <v>0</v>
      </c>
      <c r="L1651" s="17">
        <f t="shared" ca="1" si="182"/>
        <v>1</v>
      </c>
      <c r="N1651" s="24" t="str">
        <f ca="1">IF(AND(L1651=1,L1650&lt;&gt;1),MAX($N$8:N1650)+1,"")</f>
        <v/>
      </c>
      <c r="O1651" s="24" t="str">
        <f ca="1">IF(AND(L1651&lt;&gt;1,L1650=1),MAX($O$8:O1650)+1,"")</f>
        <v/>
      </c>
      <c r="P1651" s="17" t="str">
        <f ca="1">IF(AND(L1651=-1,L1650&lt;&gt;-1),MAX($P$8:P1650)+1,"")</f>
        <v/>
      </c>
      <c r="Q1651" s="24" t="str">
        <f ca="1">IF(AND(L1651&lt;&gt;-1,L1650=-1),MAX($Q$8:Q1650)+1,"")</f>
        <v/>
      </c>
    </row>
    <row r="1652" spans="1:17" x14ac:dyDescent="0.3">
      <c r="A1652" s="3">
        <v>42614</v>
      </c>
      <c r="B1652" s="9">
        <v>17.953921999999999</v>
      </c>
      <c r="C1652" s="9">
        <v>14.814026999999999</v>
      </c>
      <c r="E1652" s="14">
        <f t="shared" si="179"/>
        <v>1.2119541836936034</v>
      </c>
      <c r="F1652" s="18">
        <f t="shared" ca="1" si="178"/>
        <v>1.2925338082088826</v>
      </c>
      <c r="G1652" s="15">
        <f t="shared" ca="1" si="183"/>
        <v>1.1825715420520722</v>
      </c>
      <c r="H1652" s="15">
        <f t="shared" ca="1" si="184"/>
        <v>2.2732590401057282E-2</v>
      </c>
      <c r="J1652" s="17">
        <f t="shared" ca="1" si="180"/>
        <v>1</v>
      </c>
      <c r="K1652" s="24">
        <f t="shared" ca="1" si="181"/>
        <v>0</v>
      </c>
      <c r="L1652" s="17">
        <f t="shared" ca="1" si="182"/>
        <v>1</v>
      </c>
      <c r="N1652" s="24" t="str">
        <f ca="1">IF(AND(L1652=1,L1651&lt;&gt;1),MAX($N$8:N1651)+1,"")</f>
        <v/>
      </c>
      <c r="O1652" s="24" t="str">
        <f ca="1">IF(AND(L1652&lt;&gt;1,L1651=1),MAX($O$8:O1651)+1,"")</f>
        <v/>
      </c>
      <c r="P1652" s="17" t="str">
        <f ca="1">IF(AND(L1652=-1,L1651&lt;&gt;-1),MAX($P$8:P1651)+1,"")</f>
        <v/>
      </c>
      <c r="Q1652" s="24" t="str">
        <f ca="1">IF(AND(L1652&lt;&gt;-1,L1651=-1),MAX($Q$8:Q1651)+1,"")</f>
        <v/>
      </c>
    </row>
    <row r="1653" spans="1:17" x14ac:dyDescent="0.3">
      <c r="A1653" s="3">
        <v>42615</v>
      </c>
      <c r="B1653" s="9">
        <v>18.216847999999999</v>
      </c>
      <c r="C1653" s="9">
        <v>15.252318000000001</v>
      </c>
      <c r="E1653" s="14">
        <f t="shared" si="179"/>
        <v>1.1943658662243994</v>
      </c>
      <c r="F1653" s="18">
        <f t="shared" ca="1" si="178"/>
        <v>0.46018666887293619</v>
      </c>
      <c r="G1653" s="15">
        <f t="shared" ca="1" si="183"/>
        <v>1.1840717011775328</v>
      </c>
      <c r="H1653" s="15">
        <f t="shared" ca="1" si="184"/>
        <v>2.2369542064481236E-2</v>
      </c>
      <c r="J1653" s="17">
        <f t="shared" ca="1" si="180"/>
        <v>1</v>
      </c>
      <c r="K1653" s="24">
        <f t="shared" ca="1" si="181"/>
        <v>0</v>
      </c>
      <c r="L1653" s="17">
        <f t="shared" ca="1" si="182"/>
        <v>1</v>
      </c>
      <c r="N1653" s="24" t="str">
        <f ca="1">IF(AND(L1653=1,L1652&lt;&gt;1),MAX($N$8:N1652)+1,"")</f>
        <v/>
      </c>
      <c r="O1653" s="24" t="str">
        <f ca="1">IF(AND(L1653&lt;&gt;1,L1652=1),MAX($O$8:O1652)+1,"")</f>
        <v/>
      </c>
      <c r="P1653" s="17" t="str">
        <f ca="1">IF(AND(L1653=-1,L1652&lt;&gt;-1),MAX($P$8:P1652)+1,"")</f>
        <v/>
      </c>
      <c r="Q1653" s="24" t="str">
        <f ca="1">IF(AND(L1653&lt;&gt;-1,L1652=-1),MAX($Q$8:Q1652)+1,"")</f>
        <v/>
      </c>
    </row>
    <row r="1654" spans="1:17" x14ac:dyDescent="0.3">
      <c r="A1654" s="3">
        <v>42618</v>
      </c>
      <c r="B1654" s="9">
        <v>18.22184</v>
      </c>
      <c r="C1654" s="9">
        <v>15.303858999999999</v>
      </c>
      <c r="E1654" s="14">
        <f t="shared" si="179"/>
        <v>1.1906696213027055</v>
      </c>
      <c r="F1654" s="18">
        <f t="shared" ca="1" si="178"/>
        <v>0.23235571440358788</v>
      </c>
      <c r="G1654" s="15">
        <f t="shared" ca="1" si="183"/>
        <v>1.1856720286672273</v>
      </c>
      <c r="H1654" s="15">
        <f t="shared" ca="1" si="184"/>
        <v>2.1508369821271741E-2</v>
      </c>
      <c r="J1654" s="17">
        <f t="shared" ca="1" si="180"/>
        <v>1</v>
      </c>
      <c r="K1654" s="24">
        <f t="shared" ca="1" si="181"/>
        <v>0</v>
      </c>
      <c r="L1654" s="17">
        <f t="shared" ca="1" si="182"/>
        <v>1</v>
      </c>
      <c r="N1654" s="24" t="str">
        <f ca="1">IF(AND(L1654=1,L1653&lt;&gt;1),MAX($N$8:N1653)+1,"")</f>
        <v/>
      </c>
      <c r="O1654" s="24" t="str">
        <f ca="1">IF(AND(L1654&lt;&gt;1,L1653=1),MAX($O$8:O1653)+1,"")</f>
        <v/>
      </c>
      <c r="P1654" s="17" t="str">
        <f ca="1">IF(AND(L1654=-1,L1653&lt;&gt;-1),MAX($P$8:P1653)+1,"")</f>
        <v/>
      </c>
      <c r="Q1654" s="24" t="str">
        <f ca="1">IF(AND(L1654&lt;&gt;-1,L1653=-1),MAX($Q$8:Q1653)+1,"")</f>
        <v/>
      </c>
    </row>
    <row r="1655" spans="1:17" x14ac:dyDescent="0.3">
      <c r="A1655" s="3">
        <v>42619</v>
      </c>
      <c r="B1655" s="9">
        <v>18.395464</v>
      </c>
      <c r="C1655" s="9">
        <v>15.463652</v>
      </c>
      <c r="E1655" s="14">
        <f t="shared" si="179"/>
        <v>1.1895937647846706</v>
      </c>
      <c r="F1655" s="18">
        <f t="shared" ca="1" si="178"/>
        <v>9.0299899782190163E-2</v>
      </c>
      <c r="G1655" s="15">
        <f t="shared" ca="1" si="183"/>
        <v>1.1878569288093872</v>
      </c>
      <c r="H1655" s="15">
        <f t="shared" ca="1" si="184"/>
        <v>1.923408530322597E-2</v>
      </c>
      <c r="J1655" s="17">
        <f t="shared" ca="1" si="180"/>
        <v>1</v>
      </c>
      <c r="K1655" s="24">
        <f t="shared" ca="1" si="181"/>
        <v>0</v>
      </c>
      <c r="L1655" s="17">
        <f t="shared" ca="1" si="182"/>
        <v>1</v>
      </c>
      <c r="N1655" s="24" t="str">
        <f ca="1">IF(AND(L1655=1,L1654&lt;&gt;1),MAX($N$8:N1654)+1,"")</f>
        <v/>
      </c>
      <c r="O1655" s="24" t="str">
        <f ca="1">IF(AND(L1655&lt;&gt;1,L1654=1),MAX($O$8:O1654)+1,"")</f>
        <v/>
      </c>
      <c r="P1655" s="17" t="str">
        <f ca="1">IF(AND(L1655=-1,L1654&lt;&gt;-1),MAX($P$8:P1654)+1,"")</f>
        <v/>
      </c>
      <c r="Q1655" s="24" t="str">
        <f ca="1">IF(AND(L1655&lt;&gt;-1,L1654=-1),MAX($Q$8:Q1654)+1,"")</f>
        <v/>
      </c>
    </row>
    <row r="1656" spans="1:17" x14ac:dyDescent="0.3">
      <c r="A1656" s="3">
        <v>42621</v>
      </c>
      <c r="B1656" s="9">
        <v>18.177225</v>
      </c>
      <c r="C1656" s="9">
        <v>15.669805999999999</v>
      </c>
      <c r="E1656" s="14">
        <f t="shared" si="179"/>
        <v>1.1600159568025283</v>
      </c>
      <c r="F1656" s="18">
        <f t="shared" ca="1" si="178"/>
        <v>-1.5857958821084746</v>
      </c>
      <c r="G1656" s="15">
        <f t="shared" ca="1" si="183"/>
        <v>1.1885184425091</v>
      </c>
      <c r="H1656" s="15">
        <f t="shared" ca="1" si="184"/>
        <v>1.7973615664000051E-2</v>
      </c>
      <c r="J1656" s="17">
        <f t="shared" ca="1" si="180"/>
        <v>0</v>
      </c>
      <c r="K1656" s="24">
        <f t="shared" ca="1" si="181"/>
        <v>-1</v>
      </c>
      <c r="L1656" s="17">
        <f t="shared" ca="1" si="182"/>
        <v>-1</v>
      </c>
      <c r="N1656" s="24" t="str">
        <f ca="1">IF(AND(L1656=1,L1655&lt;&gt;1),MAX($N$8:N1655)+1,"")</f>
        <v/>
      </c>
      <c r="O1656" s="24">
        <f ca="1">IF(AND(L1656&lt;&gt;1,L1655=1),MAX($O$8:O1655)+1,"")</f>
        <v>53</v>
      </c>
      <c r="P1656" s="17">
        <f ca="1">IF(AND(L1656=-1,L1655&lt;&gt;-1),MAX($P$8:P1655)+1,"")</f>
        <v>62</v>
      </c>
      <c r="Q1656" s="24" t="str">
        <f ca="1">IF(AND(L1656&lt;&gt;-1,L1655=-1),MAX($Q$8:Q1655)+1,"")</f>
        <v/>
      </c>
    </row>
    <row r="1657" spans="1:17" x14ac:dyDescent="0.3">
      <c r="A1657" s="3">
        <v>42622</v>
      </c>
      <c r="B1657" s="9">
        <v>17.487579</v>
      </c>
      <c r="C1657" s="9">
        <v>14.803876000000001</v>
      </c>
      <c r="E1657" s="14">
        <f t="shared" si="179"/>
        <v>1.1812838070245928</v>
      </c>
      <c r="F1657" s="18">
        <f t="shared" ca="1" si="178"/>
        <v>-0.51752528312202128</v>
      </c>
      <c r="G1657" s="15">
        <f t="shared" ca="1" si="183"/>
        <v>1.1897702366474205</v>
      </c>
      <c r="H1657" s="15">
        <f t="shared" ca="1" si="184"/>
        <v>1.639809667197812E-2</v>
      </c>
      <c r="J1657" s="17">
        <f t="shared" ca="1" si="180"/>
        <v>0</v>
      </c>
      <c r="K1657" s="24">
        <f t="shared" ca="1" si="181"/>
        <v>-1</v>
      </c>
      <c r="L1657" s="17">
        <f t="shared" ca="1" si="182"/>
        <v>-1</v>
      </c>
      <c r="N1657" s="24" t="str">
        <f ca="1">IF(AND(L1657=1,L1656&lt;&gt;1),MAX($N$8:N1656)+1,"")</f>
        <v/>
      </c>
      <c r="O1657" s="24" t="str">
        <f ca="1">IF(AND(L1657&lt;&gt;1,L1656=1),MAX($O$8:O1656)+1,"")</f>
        <v/>
      </c>
      <c r="P1657" s="17" t="str">
        <f ca="1">IF(AND(L1657=-1,L1656&lt;&gt;-1),MAX($P$8:P1656)+1,"")</f>
        <v/>
      </c>
      <c r="Q1657" s="24" t="str">
        <f ca="1">IF(AND(L1657&lt;&gt;-1,L1656=-1),MAX($Q$8:Q1656)+1,"")</f>
        <v/>
      </c>
    </row>
    <row r="1658" spans="1:17" x14ac:dyDescent="0.3">
      <c r="A1658" s="3">
        <v>42625</v>
      </c>
      <c r="B1658" s="9">
        <v>17.715800999999999</v>
      </c>
      <c r="C1658" s="9">
        <v>14.855413</v>
      </c>
      <c r="E1658" s="14">
        <f t="shared" si="179"/>
        <v>1.1925485343288671</v>
      </c>
      <c r="F1658" s="18">
        <f t="shared" ca="1" si="178"/>
        <v>8.8158386641632391E-2</v>
      </c>
      <c r="G1658" s="15">
        <f t="shared" ca="1" si="183"/>
        <v>1.1912146335275784</v>
      </c>
      <c r="H1658" s="15">
        <f t="shared" ca="1" si="184"/>
        <v>1.5130730632708433E-2</v>
      </c>
      <c r="J1658" s="17">
        <f t="shared" ca="1" si="180"/>
        <v>0</v>
      </c>
      <c r="K1658" s="24">
        <f t="shared" ca="1" si="181"/>
        <v>0</v>
      </c>
      <c r="L1658" s="17">
        <f t="shared" ca="1" si="182"/>
        <v>0</v>
      </c>
      <c r="N1658" s="24" t="str">
        <f ca="1">IF(AND(L1658=1,L1657&lt;&gt;1),MAX($N$8:N1657)+1,"")</f>
        <v/>
      </c>
      <c r="O1658" s="24" t="str">
        <f ca="1">IF(AND(L1658&lt;&gt;1,L1657=1),MAX($O$8:O1657)+1,"")</f>
        <v/>
      </c>
      <c r="P1658" s="17" t="str">
        <f ca="1">IF(AND(L1658=-1,L1657&lt;&gt;-1),MAX($P$8:P1657)+1,"")</f>
        <v/>
      </c>
      <c r="Q1658" s="24">
        <f ca="1">IF(AND(L1658&lt;&gt;-1,L1657=-1),MAX($Q$8:Q1657)+1,"")</f>
        <v>62</v>
      </c>
    </row>
    <row r="1659" spans="1:17" x14ac:dyDescent="0.3">
      <c r="A1659" s="3">
        <v>42626</v>
      </c>
      <c r="B1659" s="9">
        <v>17.363571</v>
      </c>
      <c r="C1659" s="9">
        <v>14.236886999999999</v>
      </c>
      <c r="E1659" s="14">
        <f t="shared" si="179"/>
        <v>1.2196185163231261</v>
      </c>
      <c r="F1659" s="18">
        <f t="shared" ca="1" si="178"/>
        <v>1.7978397347634996</v>
      </c>
      <c r="G1659" s="15">
        <f t="shared" ca="1" si="183"/>
        <v>1.1940983044067839</v>
      </c>
      <c r="H1659" s="15">
        <f t="shared" ca="1" si="184"/>
        <v>1.4194931518575735E-2</v>
      </c>
      <c r="J1659" s="17">
        <f t="shared" ca="1" si="180"/>
        <v>1</v>
      </c>
      <c r="K1659" s="24">
        <f t="shared" ca="1" si="181"/>
        <v>0</v>
      </c>
      <c r="L1659" s="17">
        <f t="shared" ca="1" si="182"/>
        <v>1</v>
      </c>
      <c r="N1659" s="24">
        <f ca="1">IF(AND(L1659=1,L1658&lt;&gt;1),MAX($N$8:N1658)+1,"")</f>
        <v>54</v>
      </c>
      <c r="O1659" s="24" t="str">
        <f ca="1">IF(AND(L1659&lt;&gt;1,L1658=1),MAX($O$8:O1658)+1,"")</f>
        <v/>
      </c>
      <c r="P1659" s="17" t="str">
        <f ca="1">IF(AND(L1659=-1,L1658&lt;&gt;-1),MAX($P$8:P1658)+1,"")</f>
        <v/>
      </c>
      <c r="Q1659" s="24" t="str">
        <f ca="1">IF(AND(L1659&lt;&gt;-1,L1658=-1),MAX($Q$8:Q1658)+1,"")</f>
        <v/>
      </c>
    </row>
    <row r="1660" spans="1:17" x14ac:dyDescent="0.3">
      <c r="A1660" s="3">
        <v>42627</v>
      </c>
      <c r="B1660" s="9">
        <v>17.378468999999999</v>
      </c>
      <c r="C1660" s="9">
        <v>14.355435999999999</v>
      </c>
      <c r="E1660" s="14">
        <f t="shared" si="179"/>
        <v>1.2105845479022721</v>
      </c>
      <c r="F1660" s="18">
        <f t="shared" ca="1" si="178"/>
        <v>1.1121540076134049</v>
      </c>
      <c r="G1660" s="15">
        <f t="shared" ca="1" si="183"/>
        <v>1.1962460539447741</v>
      </c>
      <c r="H1660" s="15">
        <f t="shared" ca="1" si="184"/>
        <v>1.289254353204846E-2</v>
      </c>
      <c r="J1660" s="17">
        <f t="shared" ca="1" si="180"/>
        <v>1</v>
      </c>
      <c r="K1660" s="24">
        <f t="shared" ca="1" si="181"/>
        <v>0</v>
      </c>
      <c r="L1660" s="17">
        <f t="shared" ca="1" si="182"/>
        <v>1</v>
      </c>
      <c r="N1660" s="24" t="str">
        <f ca="1">IF(AND(L1660=1,L1659&lt;&gt;1),MAX($N$8:N1659)+1,"")</f>
        <v/>
      </c>
      <c r="O1660" s="24" t="str">
        <f ca="1">IF(AND(L1660&lt;&gt;1,L1659=1),MAX($O$8:O1659)+1,"")</f>
        <v/>
      </c>
      <c r="P1660" s="17" t="str">
        <f ca="1">IF(AND(L1660=-1,L1659&lt;&gt;-1),MAX($P$8:P1659)+1,"")</f>
        <v/>
      </c>
      <c r="Q1660" s="24" t="str">
        <f ca="1">IF(AND(L1660&lt;&gt;-1,L1659=-1),MAX($Q$8:Q1659)+1,"")</f>
        <v/>
      </c>
    </row>
    <row r="1661" spans="1:17" x14ac:dyDescent="0.3">
      <c r="A1661" s="3">
        <v>42628</v>
      </c>
      <c r="B1661" s="9">
        <v>17.755503000000001</v>
      </c>
      <c r="C1661" s="9">
        <v>14.747152</v>
      </c>
      <c r="E1661" s="14">
        <f t="shared" si="179"/>
        <v>1.2039953883977057</v>
      </c>
      <c r="F1661" s="18">
        <f t="shared" ca="1" si="178"/>
        <v>0.53371222216986691</v>
      </c>
      <c r="G1661" s="15">
        <f t="shared" ca="1" si="183"/>
        <v>1.1973279665840435</v>
      </c>
      <c r="H1661" s="15">
        <f t="shared" ca="1" si="184"/>
        <v>1.2492540992512872E-2</v>
      </c>
      <c r="J1661" s="17">
        <f t="shared" ca="1" si="180"/>
        <v>1</v>
      </c>
      <c r="K1661" s="24">
        <f t="shared" ca="1" si="181"/>
        <v>0</v>
      </c>
      <c r="L1661" s="17">
        <f t="shared" ca="1" si="182"/>
        <v>1</v>
      </c>
      <c r="N1661" s="24" t="str">
        <f ca="1">IF(AND(L1661=1,L1660&lt;&gt;1),MAX($N$8:N1660)+1,"")</f>
        <v/>
      </c>
      <c r="O1661" s="24" t="str">
        <f ca="1">IF(AND(L1661&lt;&gt;1,L1660=1),MAX($O$8:O1660)+1,"")</f>
        <v/>
      </c>
      <c r="P1661" s="17" t="str">
        <f ca="1">IF(AND(L1661=-1,L1660&lt;&gt;-1),MAX($P$8:P1660)+1,"")</f>
        <v/>
      </c>
      <c r="Q1661" s="24" t="str">
        <f ca="1">IF(AND(L1661&lt;&gt;-1,L1660=-1),MAX($Q$8:Q1660)+1,"")</f>
        <v/>
      </c>
    </row>
    <row r="1662" spans="1:17" x14ac:dyDescent="0.3">
      <c r="A1662" s="3">
        <v>42629</v>
      </c>
      <c r="B1662" s="9">
        <v>17.353667999999999</v>
      </c>
      <c r="C1662" s="9">
        <v>14.479092</v>
      </c>
      <c r="E1662" s="14">
        <f t="shared" si="179"/>
        <v>1.1985328914271696</v>
      </c>
      <c r="F1662" s="18">
        <f t="shared" ca="1" si="178"/>
        <v>7.8099102178100288E-2</v>
      </c>
      <c r="G1662" s="15">
        <f t="shared" ca="1" si="183"/>
        <v>1.1975593434256764</v>
      </c>
      <c r="H1662" s="15">
        <f t="shared" ca="1" si="184"/>
        <v>1.246554664960255E-2</v>
      </c>
      <c r="J1662" s="17">
        <f t="shared" ca="1" si="180"/>
        <v>1</v>
      </c>
      <c r="K1662" s="24">
        <f t="shared" ca="1" si="181"/>
        <v>0</v>
      </c>
      <c r="L1662" s="17">
        <f t="shared" ca="1" si="182"/>
        <v>1</v>
      </c>
      <c r="N1662" s="24" t="str">
        <f ca="1">IF(AND(L1662=1,L1661&lt;&gt;1),MAX($N$8:N1661)+1,"")</f>
        <v/>
      </c>
      <c r="O1662" s="24" t="str">
        <f ca="1">IF(AND(L1662&lt;&gt;1,L1661=1),MAX($O$8:O1661)+1,"")</f>
        <v/>
      </c>
      <c r="P1662" s="17" t="str">
        <f ca="1">IF(AND(L1662=-1,L1661&lt;&gt;-1),MAX($P$8:P1661)+1,"")</f>
        <v/>
      </c>
      <c r="Q1662" s="24" t="str">
        <f ca="1">IF(AND(L1662&lt;&gt;-1,L1661=-1),MAX($Q$8:Q1661)+1,"")</f>
        <v/>
      </c>
    </row>
    <row r="1663" spans="1:17" x14ac:dyDescent="0.3">
      <c r="A1663" s="3">
        <v>42632</v>
      </c>
      <c r="B1663" s="9">
        <v>17.477679999999999</v>
      </c>
      <c r="C1663" s="9">
        <v>14.556406000000001</v>
      </c>
      <c r="E1663" s="14">
        <f t="shared" si="179"/>
        <v>1.2006864881345023</v>
      </c>
      <c r="F1663" s="18">
        <f t="shared" ca="1" si="178"/>
        <v>0.23270176090534506</v>
      </c>
      <c r="G1663" s="15">
        <f t="shared" ca="1" si="183"/>
        <v>1.1977834331496047</v>
      </c>
      <c r="H1663" s="15">
        <f t="shared" ca="1" si="184"/>
        <v>1.2475431958929117E-2</v>
      </c>
      <c r="J1663" s="17">
        <f t="shared" ca="1" si="180"/>
        <v>1</v>
      </c>
      <c r="K1663" s="24">
        <f t="shared" ca="1" si="181"/>
        <v>0</v>
      </c>
      <c r="L1663" s="17">
        <f t="shared" ca="1" si="182"/>
        <v>1</v>
      </c>
      <c r="N1663" s="24" t="str">
        <f ca="1">IF(AND(L1663=1,L1662&lt;&gt;1),MAX($N$8:N1662)+1,"")</f>
        <v/>
      </c>
      <c r="O1663" s="24" t="str">
        <f ca="1">IF(AND(L1663&lt;&gt;1,L1662=1),MAX($O$8:O1662)+1,"")</f>
        <v/>
      </c>
      <c r="P1663" s="17" t="str">
        <f ca="1">IF(AND(L1663=-1,L1662&lt;&gt;-1),MAX($P$8:P1662)+1,"")</f>
        <v/>
      </c>
      <c r="Q1663" s="24" t="str">
        <f ca="1">IF(AND(L1663&lt;&gt;-1,L1662=-1),MAX($Q$8:Q1662)+1,"")</f>
        <v/>
      </c>
    </row>
    <row r="1664" spans="1:17" x14ac:dyDescent="0.3">
      <c r="A1664" s="3">
        <v>42633</v>
      </c>
      <c r="B1664" s="9">
        <v>17.517384</v>
      </c>
      <c r="C1664" s="9">
        <v>14.716198</v>
      </c>
      <c r="E1664" s="14">
        <f t="shared" si="179"/>
        <v>1.1903471263433667</v>
      </c>
      <c r="F1664" s="18">
        <f t="shared" ca="1" si="178"/>
        <v>-0.59656969012718897</v>
      </c>
      <c r="G1664" s="15">
        <f t="shared" ca="1" si="183"/>
        <v>1.1977879671459617</v>
      </c>
      <c r="H1664" s="15">
        <f t="shared" ca="1" si="184"/>
        <v>1.2472710105350145E-2</v>
      </c>
      <c r="J1664" s="17">
        <f t="shared" ca="1" si="180"/>
        <v>0</v>
      </c>
      <c r="K1664" s="24">
        <f t="shared" ca="1" si="181"/>
        <v>0</v>
      </c>
      <c r="L1664" s="17">
        <f t="shared" ca="1" si="182"/>
        <v>0</v>
      </c>
      <c r="N1664" s="24" t="str">
        <f ca="1">IF(AND(L1664=1,L1663&lt;&gt;1),MAX($N$8:N1663)+1,"")</f>
        <v/>
      </c>
      <c r="O1664" s="24">
        <f ca="1">IF(AND(L1664&lt;&gt;1,L1663=1),MAX($O$8:O1663)+1,"")</f>
        <v>54</v>
      </c>
      <c r="P1664" s="17" t="str">
        <f ca="1">IF(AND(L1664=-1,L1663&lt;&gt;-1),MAX($P$8:P1663)+1,"")</f>
        <v/>
      </c>
      <c r="Q1664" s="24" t="str">
        <f ca="1">IF(AND(L1664&lt;&gt;-1,L1663=-1),MAX($Q$8:Q1663)+1,"")</f>
        <v/>
      </c>
    </row>
    <row r="1665" spans="1:17" x14ac:dyDescent="0.3">
      <c r="A1665" s="3">
        <v>42634</v>
      </c>
      <c r="B1665" s="9">
        <v>17.686084999999999</v>
      </c>
      <c r="C1665" s="9">
        <v>15.004842</v>
      </c>
      <c r="E1665" s="14">
        <f t="shared" si="179"/>
        <v>1.1786918516036355</v>
      </c>
      <c r="F1665" s="18">
        <f t="shared" ca="1" si="178"/>
        <v>-1.4335673911709181</v>
      </c>
      <c r="G1665" s="15">
        <f t="shared" ca="1" si="183"/>
        <v>1.1973070558118817</v>
      </c>
      <c r="H1665" s="15">
        <f t="shared" ca="1" si="184"/>
        <v>1.2985231334706557E-2</v>
      </c>
      <c r="J1665" s="17">
        <f t="shared" ca="1" si="180"/>
        <v>0</v>
      </c>
      <c r="K1665" s="24">
        <f t="shared" ca="1" si="181"/>
        <v>-1</v>
      </c>
      <c r="L1665" s="17">
        <f t="shared" ca="1" si="182"/>
        <v>-1</v>
      </c>
      <c r="N1665" s="24" t="str">
        <f ca="1">IF(AND(L1665=1,L1664&lt;&gt;1),MAX($N$8:N1664)+1,"")</f>
        <v/>
      </c>
      <c r="O1665" s="24" t="str">
        <f ca="1">IF(AND(L1665&lt;&gt;1,L1664=1),MAX($O$8:O1664)+1,"")</f>
        <v/>
      </c>
      <c r="P1665" s="17">
        <f ca="1">IF(AND(L1665=-1,L1664&lt;&gt;-1),MAX($P$8:P1664)+1,"")</f>
        <v>63</v>
      </c>
      <c r="Q1665" s="24" t="str">
        <f ca="1">IF(AND(L1665&lt;&gt;-1,L1664=-1),MAX($Q$8:Q1664)+1,"")</f>
        <v/>
      </c>
    </row>
    <row r="1666" spans="1:17" x14ac:dyDescent="0.3">
      <c r="A1666" s="3">
        <v>42635</v>
      </c>
      <c r="B1666" s="9">
        <v>17.968824000000001</v>
      </c>
      <c r="C1666" s="9">
        <v>15.293563000000001</v>
      </c>
      <c r="E1666" s="14">
        <f t="shared" si="179"/>
        <v>1.1749272553426564</v>
      </c>
      <c r="F1666" s="18">
        <f t="shared" ref="F1666:F1729" ca="1" si="185">IF(ISNUMBER(G1666),(E1666-G1666)/H1666,"")</f>
        <v>-1.5450582622224018</v>
      </c>
      <c r="G1666" s="15">
        <f t="shared" ca="1" si="183"/>
        <v>1.1962333484757872</v>
      </c>
      <c r="H1666" s="15">
        <f t="shared" ca="1" si="184"/>
        <v>1.3789831525501351E-2</v>
      </c>
      <c r="J1666" s="17">
        <f t="shared" ca="1" si="180"/>
        <v>0</v>
      </c>
      <c r="K1666" s="24">
        <f t="shared" ca="1" si="181"/>
        <v>-1</v>
      </c>
      <c r="L1666" s="17">
        <f t="shared" ca="1" si="182"/>
        <v>-1</v>
      </c>
      <c r="N1666" s="24" t="str">
        <f ca="1">IF(AND(L1666=1,L1665&lt;&gt;1),MAX($N$8:N1665)+1,"")</f>
        <v/>
      </c>
      <c r="O1666" s="24" t="str">
        <f ca="1">IF(AND(L1666&lt;&gt;1,L1665=1),MAX($O$8:O1665)+1,"")</f>
        <v/>
      </c>
      <c r="P1666" s="17" t="str">
        <f ca="1">IF(AND(L1666=-1,L1665&lt;&gt;-1),MAX($P$8:P1665)+1,"")</f>
        <v/>
      </c>
      <c r="Q1666" s="24" t="str">
        <f ca="1">IF(AND(L1666&lt;&gt;-1,L1665=-1),MAX($Q$8:Q1665)+1,"")</f>
        <v/>
      </c>
    </row>
    <row r="1667" spans="1:17" x14ac:dyDescent="0.3">
      <c r="A1667" s="3">
        <v>42636</v>
      </c>
      <c r="B1667" s="9">
        <v>17.924213000000002</v>
      </c>
      <c r="C1667" s="9">
        <v>15.324441</v>
      </c>
      <c r="E1667" s="14">
        <f t="shared" ref="E1667:E1730" si="186">IF(ISNUMBER(B1667),B1667/C1667,"")</f>
        <v>1.169648733027195</v>
      </c>
      <c r="F1667" s="18">
        <f t="shared" ca="1" si="185"/>
        <v>-1.7057558486800048</v>
      </c>
      <c r="G1667" s="15">
        <f t="shared" ca="1" si="183"/>
        <v>1.1944161536587798</v>
      </c>
      <c r="H1667" s="15">
        <f t="shared" ca="1" si="184"/>
        <v>1.4519909546698075E-2</v>
      </c>
      <c r="J1667" s="17">
        <f t="shared" ca="1" si="180"/>
        <v>0</v>
      </c>
      <c r="K1667" s="24">
        <f t="shared" ca="1" si="181"/>
        <v>-1</v>
      </c>
      <c r="L1667" s="17">
        <f t="shared" ca="1" si="182"/>
        <v>-1</v>
      </c>
      <c r="N1667" s="24" t="str">
        <f ca="1">IF(AND(L1667=1,L1666&lt;&gt;1),MAX($N$8:N1666)+1,"")</f>
        <v/>
      </c>
      <c r="O1667" s="24" t="str">
        <f ca="1">IF(AND(L1667&lt;&gt;1,L1666=1),MAX($O$8:O1666)+1,"")</f>
        <v/>
      </c>
      <c r="P1667" s="17" t="str">
        <f ca="1">IF(AND(L1667=-1,L1666&lt;&gt;-1),MAX($P$8:P1666)+1,"")</f>
        <v/>
      </c>
      <c r="Q1667" s="24" t="str">
        <f ca="1">IF(AND(L1667&lt;&gt;-1,L1666=-1),MAX($Q$8:Q1666)+1,"")</f>
        <v/>
      </c>
    </row>
    <row r="1668" spans="1:17" x14ac:dyDescent="0.3">
      <c r="A1668" s="3">
        <v>42639</v>
      </c>
      <c r="B1668" s="9">
        <v>17.785297</v>
      </c>
      <c r="C1668" s="9">
        <v>15.133772</v>
      </c>
      <c r="E1668" s="14">
        <f t="shared" si="186"/>
        <v>1.1752058244302874</v>
      </c>
      <c r="F1668" s="18">
        <f t="shared" ca="1" si="185"/>
        <v>-1.2088700695655445</v>
      </c>
      <c r="G1668" s="15">
        <f t="shared" ca="1" si="183"/>
        <v>1.1927250387607815</v>
      </c>
      <c r="H1668" s="15">
        <f t="shared" ca="1" si="184"/>
        <v>1.4492222755411842E-2</v>
      </c>
      <c r="J1668" s="17">
        <f t="shared" ca="1" si="180"/>
        <v>0</v>
      </c>
      <c r="K1668" s="24">
        <f t="shared" ca="1" si="181"/>
        <v>-1</v>
      </c>
      <c r="L1668" s="17">
        <f t="shared" ca="1" si="182"/>
        <v>-1</v>
      </c>
      <c r="N1668" s="24" t="str">
        <f ca="1">IF(AND(L1668=1,L1667&lt;&gt;1),MAX($N$8:N1667)+1,"")</f>
        <v/>
      </c>
      <c r="O1668" s="24" t="str">
        <f ca="1">IF(AND(L1668&lt;&gt;1,L1667=1),MAX($O$8:O1667)+1,"")</f>
        <v/>
      </c>
      <c r="P1668" s="17" t="str">
        <f ca="1">IF(AND(L1668=-1,L1667&lt;&gt;-1),MAX($P$8:P1667)+1,"")</f>
        <v/>
      </c>
      <c r="Q1668" s="24" t="str">
        <f ca="1">IF(AND(L1668&lt;&gt;-1,L1667=-1),MAX($Q$8:Q1667)+1,"")</f>
        <v/>
      </c>
    </row>
    <row r="1669" spans="1:17" x14ac:dyDescent="0.3">
      <c r="A1669" s="3">
        <v>42640</v>
      </c>
      <c r="B1669" s="9">
        <v>17.988712</v>
      </c>
      <c r="C1669" s="9">
        <v>15.448185</v>
      </c>
      <c r="E1669" s="14">
        <f t="shared" si="186"/>
        <v>1.1644547239691911</v>
      </c>
      <c r="F1669" s="18">
        <f t="shared" ca="1" si="185"/>
        <v>-1.7172597347989642</v>
      </c>
      <c r="G1669" s="15">
        <f t="shared" ca="1" si="183"/>
        <v>1.1909693438981468</v>
      </c>
      <c r="H1669" s="15">
        <f t="shared" ca="1" si="184"/>
        <v>1.5440075482850391E-2</v>
      </c>
      <c r="J1669" s="17">
        <f t="shared" ca="1" si="180"/>
        <v>0</v>
      </c>
      <c r="K1669" s="24">
        <f t="shared" ca="1" si="181"/>
        <v>-1</v>
      </c>
      <c r="L1669" s="17">
        <f t="shared" ca="1" si="182"/>
        <v>-1</v>
      </c>
      <c r="N1669" s="24" t="str">
        <f ca="1">IF(AND(L1669=1,L1668&lt;&gt;1),MAX($N$8:N1668)+1,"")</f>
        <v/>
      </c>
      <c r="O1669" s="24" t="str">
        <f ca="1">IF(AND(L1669&lt;&gt;1,L1668=1),MAX($O$8:O1668)+1,"")</f>
        <v/>
      </c>
      <c r="P1669" s="17" t="str">
        <f ca="1">IF(AND(L1669=-1,L1668&lt;&gt;-1),MAX($P$8:P1668)+1,"")</f>
        <v/>
      </c>
      <c r="Q1669" s="24" t="str">
        <f ca="1">IF(AND(L1669&lt;&gt;-1,L1668=-1),MAX($Q$8:Q1668)+1,"")</f>
        <v/>
      </c>
    </row>
    <row r="1670" spans="1:17" x14ac:dyDescent="0.3">
      <c r="A1670" s="3">
        <v>42641</v>
      </c>
      <c r="B1670" s="9">
        <v>18.117640000000002</v>
      </c>
      <c r="C1670" s="9">
        <v>15.540967</v>
      </c>
      <c r="E1670" s="14">
        <f t="shared" si="186"/>
        <v>1.1657987562807386</v>
      </c>
      <c r="F1670" s="18">
        <f t="shared" ca="1" si="185"/>
        <v>-1.4616382710470386</v>
      </c>
      <c r="G1670" s="15">
        <f t="shared" ca="1" si="183"/>
        <v>1.1893624585322211</v>
      </c>
      <c r="H1670" s="15">
        <f t="shared" ca="1" si="184"/>
        <v>1.6121432175282849E-2</v>
      </c>
      <c r="J1670" s="17">
        <f t="shared" ca="1" si="180"/>
        <v>0</v>
      </c>
      <c r="K1670" s="24">
        <f t="shared" ca="1" si="181"/>
        <v>-1</v>
      </c>
      <c r="L1670" s="17">
        <f t="shared" ca="1" si="182"/>
        <v>-1</v>
      </c>
      <c r="N1670" s="24" t="str">
        <f ca="1">IF(AND(L1670=1,L1669&lt;&gt;1),MAX($N$8:N1669)+1,"")</f>
        <v/>
      </c>
      <c r="O1670" s="24" t="str">
        <f ca="1">IF(AND(L1670&lt;&gt;1,L1669=1),MAX($O$8:O1669)+1,"")</f>
        <v/>
      </c>
      <c r="P1670" s="17" t="str">
        <f ca="1">IF(AND(L1670=-1,L1669&lt;&gt;-1),MAX($P$8:P1669)+1,"")</f>
        <v/>
      </c>
      <c r="Q1670" s="24" t="str">
        <f ca="1">IF(AND(L1670&lt;&gt;-1,L1669=-1),MAX($Q$8:Q1669)+1,"")</f>
        <v/>
      </c>
    </row>
    <row r="1671" spans="1:17" x14ac:dyDescent="0.3">
      <c r="A1671" s="3">
        <v>42642</v>
      </c>
      <c r="B1671" s="9">
        <v>17.656288</v>
      </c>
      <c r="C1671" s="9">
        <v>15.283191</v>
      </c>
      <c r="E1671" s="14">
        <f t="shared" si="186"/>
        <v>1.1552749684277321</v>
      </c>
      <c r="F1671" s="18">
        <f t="shared" ca="1" si="185"/>
        <v>-1.8406631521450845</v>
      </c>
      <c r="G1671" s="15">
        <f t="shared" ca="1" si="183"/>
        <v>1.1873051957209191</v>
      </c>
      <c r="H1671" s="15">
        <f t="shared" ca="1" si="184"/>
        <v>1.7401460585473958E-2</v>
      </c>
      <c r="J1671" s="17">
        <f t="shared" ca="1" si="180"/>
        <v>0</v>
      </c>
      <c r="K1671" s="24">
        <f t="shared" ca="1" si="181"/>
        <v>-1</v>
      </c>
      <c r="L1671" s="17">
        <f t="shared" ca="1" si="182"/>
        <v>-1</v>
      </c>
      <c r="N1671" s="24" t="str">
        <f ca="1">IF(AND(L1671=1,L1670&lt;&gt;1),MAX($N$8:N1670)+1,"")</f>
        <v/>
      </c>
      <c r="O1671" s="24" t="str">
        <f ca="1">IF(AND(L1671&lt;&gt;1,L1670=1),MAX($O$8:O1670)+1,"")</f>
        <v/>
      </c>
      <c r="P1671" s="17" t="str">
        <f ca="1">IF(AND(L1671=-1,L1670&lt;&gt;-1),MAX($P$8:P1670)+1,"")</f>
        <v/>
      </c>
      <c r="Q1671" s="24" t="str">
        <f ca="1">IF(AND(L1671&lt;&gt;-1,L1670=-1),MAX($Q$8:Q1670)+1,"")</f>
        <v/>
      </c>
    </row>
    <row r="1672" spans="1:17" x14ac:dyDescent="0.3">
      <c r="A1672" s="3">
        <v>42643</v>
      </c>
      <c r="B1672" s="9">
        <v>17.621578</v>
      </c>
      <c r="C1672" s="9">
        <v>15.293563000000001</v>
      </c>
      <c r="E1672" s="14">
        <f t="shared" si="186"/>
        <v>1.1522218857698496</v>
      </c>
      <c r="F1672" s="18">
        <f t="shared" ca="1" si="185"/>
        <v>-1.775177589450029</v>
      </c>
      <c r="G1672" s="15">
        <f t="shared" ca="1" si="183"/>
        <v>1.1849179553156886</v>
      </c>
      <c r="H1672" s="15">
        <f t="shared" ca="1" si="184"/>
        <v>1.8418478094897849E-2</v>
      </c>
      <c r="J1672" s="17">
        <f t="shared" ref="J1672:J1735" ca="1" si="187">IF(ISNUMBER(F1672),IF(AND(J1671&lt;&gt;1,F1672&gt;$L$1),1,IF(AND(J1671=1,F1672&gt;$N$1),1,0)),"")</f>
        <v>0</v>
      </c>
      <c r="K1672" s="24">
        <f t="shared" ca="1" si="181"/>
        <v>-1</v>
      </c>
      <c r="L1672" s="17">
        <f t="shared" ca="1" si="182"/>
        <v>-1</v>
      </c>
      <c r="N1672" s="24" t="str">
        <f ca="1">IF(AND(L1672=1,L1671&lt;&gt;1),MAX($N$8:N1671)+1,"")</f>
        <v/>
      </c>
      <c r="O1672" s="24" t="str">
        <f ca="1">IF(AND(L1672&lt;&gt;1,L1671=1),MAX($O$8:O1671)+1,"")</f>
        <v/>
      </c>
      <c r="P1672" s="17" t="str">
        <f ca="1">IF(AND(L1672=-1,L1671&lt;&gt;-1),MAX($P$8:P1671)+1,"")</f>
        <v/>
      </c>
      <c r="Q1672" s="24" t="str">
        <f ca="1">IF(AND(L1672&lt;&gt;-1,L1671=-1),MAX($Q$8:Q1671)+1,"")</f>
        <v/>
      </c>
    </row>
    <row r="1673" spans="1:17" x14ac:dyDescent="0.3">
      <c r="A1673" s="3">
        <v>42646</v>
      </c>
      <c r="B1673" s="9">
        <v>18.045897</v>
      </c>
      <c r="C1673" s="9">
        <v>15.355396000000001</v>
      </c>
      <c r="E1673" s="14">
        <f t="shared" si="186"/>
        <v>1.1752153444951858</v>
      </c>
      <c r="F1673" s="18">
        <f t="shared" ca="1" si="185"/>
        <v>-0.49319552305098296</v>
      </c>
      <c r="G1673" s="15">
        <f t="shared" ca="1" si="183"/>
        <v>1.18434709254709</v>
      </c>
      <c r="H1673" s="15">
        <f t="shared" ca="1" si="184"/>
        <v>1.8515472312915185E-2</v>
      </c>
      <c r="J1673" s="17">
        <f t="shared" ca="1" si="187"/>
        <v>0</v>
      </c>
      <c r="K1673" s="24">
        <f t="shared" ref="K1673:K1736" ca="1" si="188">IF(ISNUMBER(F1673),IF(AND(K1672&lt;&gt;-1,F1673&lt;$P$1),-1,IF(AND(K1672=-1,F1673&lt;R1666),-1,0)),"")</f>
        <v>-1</v>
      </c>
      <c r="L1673" s="17">
        <f t="shared" ref="L1673:L1736" ca="1" si="189">IF(ISNUMBER(F1673),IF(J1673=1,1,IF(K1673=-1,-1,0)),"")</f>
        <v>-1</v>
      </c>
      <c r="N1673" s="24" t="str">
        <f ca="1">IF(AND(L1673=1,L1672&lt;&gt;1),MAX($N$8:N1672)+1,"")</f>
        <v/>
      </c>
      <c r="O1673" s="24" t="str">
        <f ca="1">IF(AND(L1673&lt;&gt;1,L1672=1),MAX($O$8:O1672)+1,"")</f>
        <v/>
      </c>
      <c r="P1673" s="17" t="str">
        <f ca="1">IF(AND(L1673=-1,L1672&lt;&gt;-1),MAX($P$8:P1672)+1,"")</f>
        <v/>
      </c>
      <c r="Q1673" s="24" t="str">
        <f ca="1">IF(AND(L1673&lt;&gt;-1,L1672=-1),MAX($Q$8:Q1672)+1,"")</f>
        <v/>
      </c>
    </row>
    <row r="1674" spans="1:17" x14ac:dyDescent="0.3">
      <c r="A1674" s="3">
        <v>42647</v>
      </c>
      <c r="B1674" s="9">
        <v>18.204733000000001</v>
      </c>
      <c r="C1674" s="9">
        <v>15.582585999999999</v>
      </c>
      <c r="E1674" s="14">
        <f t="shared" si="186"/>
        <v>1.1682741876091685</v>
      </c>
      <c r="F1674" s="18">
        <f t="shared" ca="1" si="185"/>
        <v>-0.79250598201530797</v>
      </c>
      <c r="G1674" s="15">
        <f t="shared" ca="1" si="183"/>
        <v>1.1823616381796158</v>
      </c>
      <c r="H1674" s="15">
        <f t="shared" ca="1" si="184"/>
        <v>1.7775828687909192E-2</v>
      </c>
      <c r="J1674" s="17">
        <f t="shared" ca="1" si="187"/>
        <v>0</v>
      </c>
      <c r="K1674" s="24">
        <f t="shared" ca="1" si="188"/>
        <v>-1</v>
      </c>
      <c r="L1674" s="17">
        <f t="shared" ca="1" si="189"/>
        <v>-1</v>
      </c>
      <c r="N1674" s="24" t="str">
        <f ca="1">IF(AND(L1674=1,L1673&lt;&gt;1),MAX($N$8:N1673)+1,"")</f>
        <v/>
      </c>
      <c r="O1674" s="24" t="str">
        <f ca="1">IF(AND(L1674&lt;&gt;1,L1673=1),MAX($O$8:O1673)+1,"")</f>
        <v/>
      </c>
      <c r="P1674" s="17" t="str">
        <f ca="1">IF(AND(L1674=-1,L1673&lt;&gt;-1),MAX($P$8:P1673)+1,"")</f>
        <v/>
      </c>
      <c r="Q1674" s="24" t="str">
        <f ca="1">IF(AND(L1674&lt;&gt;-1,L1673=-1),MAX($Q$8:Q1673)+1,"")</f>
        <v/>
      </c>
    </row>
    <row r="1675" spans="1:17" x14ac:dyDescent="0.3">
      <c r="A1675" s="3">
        <v>42648</v>
      </c>
      <c r="B1675" s="9">
        <v>18.562201000000002</v>
      </c>
      <c r="C1675" s="9">
        <v>15.706367</v>
      </c>
      <c r="E1675" s="14">
        <f t="shared" si="186"/>
        <v>1.1818265165967408</v>
      </c>
      <c r="F1675" s="18">
        <f t="shared" ca="1" si="185"/>
        <v>1.9821031196971301E-3</v>
      </c>
      <c r="G1675" s="15">
        <f t="shared" ca="1" si="183"/>
        <v>1.1817916677419948</v>
      </c>
      <c r="H1675" s="15">
        <f t="shared" ca="1" si="184"/>
        <v>1.7581756670279551E-2</v>
      </c>
      <c r="J1675" s="17">
        <f t="shared" ca="1" si="187"/>
        <v>0</v>
      </c>
      <c r="K1675" s="24">
        <f t="shared" ca="1" si="188"/>
        <v>0</v>
      </c>
      <c r="L1675" s="17">
        <f t="shared" ca="1" si="189"/>
        <v>0</v>
      </c>
      <c r="N1675" s="24" t="str">
        <f ca="1">IF(AND(L1675=1,L1674&lt;&gt;1),MAX($N$8:N1674)+1,"")</f>
        <v/>
      </c>
      <c r="O1675" s="24" t="str">
        <f ca="1">IF(AND(L1675&lt;&gt;1,L1674=1),MAX($O$8:O1674)+1,"")</f>
        <v/>
      </c>
      <c r="P1675" s="17" t="str">
        <f ca="1">IF(AND(L1675=-1,L1674&lt;&gt;-1),MAX($P$8:P1674)+1,"")</f>
        <v/>
      </c>
      <c r="Q1675" s="24">
        <f ca="1">IF(AND(L1675&lt;&gt;-1,L1674=-1),MAX($Q$8:Q1674)+1,"")</f>
        <v>63</v>
      </c>
    </row>
    <row r="1676" spans="1:17" x14ac:dyDescent="0.3">
      <c r="A1676" s="3">
        <v>42649</v>
      </c>
      <c r="B1676" s="9">
        <v>18.716111999999999</v>
      </c>
      <c r="C1676" s="9">
        <v>15.706367</v>
      </c>
      <c r="E1676" s="14">
        <f t="shared" si="186"/>
        <v>1.1916257909929138</v>
      </c>
      <c r="F1676" s="18">
        <f t="shared" ca="1" si="185"/>
        <v>0.5561353762846184</v>
      </c>
      <c r="G1676" s="15">
        <f t="shared" ca="1" si="183"/>
        <v>1.1818351300006407</v>
      </c>
      <c r="H1676" s="15">
        <f t="shared" ca="1" si="184"/>
        <v>1.7604816039004233E-2</v>
      </c>
      <c r="J1676" s="17">
        <f t="shared" ca="1" si="187"/>
        <v>0</v>
      </c>
      <c r="K1676" s="24">
        <f t="shared" ca="1" si="188"/>
        <v>0</v>
      </c>
      <c r="L1676" s="17">
        <f t="shared" ca="1" si="189"/>
        <v>0</v>
      </c>
      <c r="N1676" s="24" t="str">
        <f ca="1">IF(AND(L1676=1,L1675&lt;&gt;1),MAX($N$8:N1675)+1,"")</f>
        <v/>
      </c>
      <c r="O1676" s="24" t="str">
        <f ca="1">IF(AND(L1676&lt;&gt;1,L1675=1),MAX($O$8:O1675)+1,"")</f>
        <v/>
      </c>
      <c r="P1676" s="17" t="str">
        <f ca="1">IF(AND(L1676=-1,L1675&lt;&gt;-1),MAX($P$8:P1675)+1,"")</f>
        <v/>
      </c>
      <c r="Q1676" s="24" t="str">
        <f ca="1">IF(AND(L1676&lt;&gt;-1,L1675=-1),MAX($Q$8:Q1675)+1,"")</f>
        <v/>
      </c>
    </row>
    <row r="1677" spans="1:17" x14ac:dyDescent="0.3">
      <c r="A1677" s="3">
        <v>42650</v>
      </c>
      <c r="B1677" s="9">
        <v>18.889852999999999</v>
      </c>
      <c r="C1677" s="9">
        <v>15.928305</v>
      </c>
      <c r="E1677" s="14">
        <f t="shared" si="186"/>
        <v>1.1859298902174462</v>
      </c>
      <c r="F1677" s="18">
        <f t="shared" ca="1" si="185"/>
        <v>0.24283858415614845</v>
      </c>
      <c r="G1677" s="15">
        <f t="shared" ca="1" si="183"/>
        <v>1.1816685902475852</v>
      </c>
      <c r="H1677" s="15">
        <f t="shared" ca="1" si="184"/>
        <v>1.7547870263981396E-2</v>
      </c>
      <c r="J1677" s="17">
        <f t="shared" ca="1" si="187"/>
        <v>0</v>
      </c>
      <c r="K1677" s="24">
        <f t="shared" ca="1" si="188"/>
        <v>0</v>
      </c>
      <c r="L1677" s="17">
        <f t="shared" ca="1" si="189"/>
        <v>0</v>
      </c>
      <c r="N1677" s="24" t="str">
        <f ca="1">IF(AND(L1677=1,L1676&lt;&gt;1),MAX($N$8:N1676)+1,"")</f>
        <v/>
      </c>
      <c r="O1677" s="24" t="str">
        <f ca="1">IF(AND(L1677&lt;&gt;1,L1676=1),MAX($O$8:O1676)+1,"")</f>
        <v/>
      </c>
      <c r="P1677" s="17" t="str">
        <f ca="1">IF(AND(L1677=-1,L1676&lt;&gt;-1),MAX($P$8:P1676)+1,"")</f>
        <v/>
      </c>
      <c r="Q1677" s="24" t="str">
        <f ca="1">IF(AND(L1677&lt;&gt;-1,L1676=-1),MAX($Q$8:Q1676)+1,"")</f>
        <v/>
      </c>
    </row>
    <row r="1678" spans="1:17" x14ac:dyDescent="0.3">
      <c r="A1678" s="3">
        <v>42653</v>
      </c>
      <c r="B1678" s="9">
        <v>18.914681999999999</v>
      </c>
      <c r="C1678" s="9">
        <v>15.923120000000001</v>
      </c>
      <c r="E1678" s="14">
        <f t="shared" si="186"/>
        <v>1.1878753661342751</v>
      </c>
      <c r="F1678" s="18">
        <f t="shared" ca="1" si="185"/>
        <v>0.29174462839127485</v>
      </c>
      <c r="G1678" s="15">
        <f t="shared" ca="1" si="183"/>
        <v>1.1829349270353917</v>
      </c>
      <c r="H1678" s="15">
        <f t="shared" ca="1" si="184"/>
        <v>1.693412189326593E-2</v>
      </c>
      <c r="J1678" s="17">
        <f t="shared" ca="1" si="187"/>
        <v>0</v>
      </c>
      <c r="K1678" s="24">
        <f t="shared" ca="1" si="188"/>
        <v>0</v>
      </c>
      <c r="L1678" s="17">
        <f t="shared" ca="1" si="189"/>
        <v>0</v>
      </c>
      <c r="N1678" s="24" t="str">
        <f ca="1">IF(AND(L1678=1,L1677&lt;&gt;1),MAX($N$8:N1677)+1,"")</f>
        <v/>
      </c>
      <c r="O1678" s="24" t="str">
        <f ca="1">IF(AND(L1678&lt;&gt;1,L1677=1),MAX($O$8:O1677)+1,"")</f>
        <v/>
      </c>
      <c r="P1678" s="17" t="str">
        <f ca="1">IF(AND(L1678=-1,L1677&lt;&gt;-1),MAX($P$8:P1677)+1,"")</f>
        <v/>
      </c>
      <c r="Q1678" s="24" t="str">
        <f ca="1">IF(AND(L1678&lt;&gt;-1,L1677=-1),MAX($Q$8:Q1677)+1,"")</f>
        <v/>
      </c>
    </row>
    <row r="1679" spans="1:17" x14ac:dyDescent="0.3">
      <c r="A1679" s="3">
        <v>42654</v>
      </c>
      <c r="B1679" s="9">
        <v>18.850121999999999</v>
      </c>
      <c r="C1679" s="9">
        <v>15.866329</v>
      </c>
      <c r="E1679" s="14">
        <f t="shared" si="186"/>
        <v>1.1880581828348573</v>
      </c>
      <c r="F1679" s="18">
        <f t="shared" ca="1" si="185"/>
        <v>0.28387476444860138</v>
      </c>
      <c r="G1679" s="15">
        <f t="shared" ca="1" si="183"/>
        <v>1.1832428532085855</v>
      </c>
      <c r="H1679" s="15">
        <f t="shared" ca="1" si="184"/>
        <v>1.6962866127340159E-2</v>
      </c>
      <c r="J1679" s="17">
        <f t="shared" ca="1" si="187"/>
        <v>0</v>
      </c>
      <c r="K1679" s="24">
        <f t="shared" ca="1" si="188"/>
        <v>0</v>
      </c>
      <c r="L1679" s="17">
        <f t="shared" ca="1" si="189"/>
        <v>0</v>
      </c>
      <c r="N1679" s="24" t="str">
        <f ca="1">IF(AND(L1679=1,L1678&lt;&gt;1),MAX($N$8:N1678)+1,"")</f>
        <v/>
      </c>
      <c r="O1679" s="24" t="str">
        <f ca="1">IF(AND(L1679&lt;&gt;1,L1678=1),MAX($O$8:O1678)+1,"")</f>
        <v/>
      </c>
      <c r="P1679" s="17" t="str">
        <f ca="1">IF(AND(L1679=-1,L1678&lt;&gt;-1),MAX($P$8:P1678)+1,"")</f>
        <v/>
      </c>
      <c r="Q1679" s="24" t="str">
        <f ca="1">IF(AND(L1679&lt;&gt;-1,L1678=-1),MAX($Q$8:Q1678)+1,"")</f>
        <v/>
      </c>
    </row>
    <row r="1680" spans="1:17" x14ac:dyDescent="0.3">
      <c r="A1680" s="3">
        <v>42656</v>
      </c>
      <c r="B1680" s="9">
        <v>19.063597000000001</v>
      </c>
      <c r="C1680" s="9">
        <v>15.887017999999999</v>
      </c>
      <c r="E1680" s="14">
        <f t="shared" si="186"/>
        <v>1.1999480959862954</v>
      </c>
      <c r="F1680" s="18">
        <f t="shared" ca="1" si="185"/>
        <v>0.95082193512527857</v>
      </c>
      <c r="G1680" s="15">
        <f t="shared" ca="1" si="183"/>
        <v>1.1835791969202871</v>
      </c>
      <c r="H1680" s="15">
        <f t="shared" ca="1" si="184"/>
        <v>1.7215525285343265E-2</v>
      </c>
      <c r="J1680" s="17">
        <f t="shared" ca="1" si="187"/>
        <v>0</v>
      </c>
      <c r="K1680" s="24">
        <f t="shared" ca="1" si="188"/>
        <v>0</v>
      </c>
      <c r="L1680" s="17">
        <f t="shared" ca="1" si="189"/>
        <v>0</v>
      </c>
      <c r="N1680" s="24" t="str">
        <f ca="1">IF(AND(L1680=1,L1679&lt;&gt;1),MAX($N$8:N1679)+1,"")</f>
        <v/>
      </c>
      <c r="O1680" s="24" t="str">
        <f ca="1">IF(AND(L1680&lt;&gt;1,L1679=1),MAX($O$8:O1679)+1,"")</f>
        <v/>
      </c>
      <c r="P1680" s="17" t="str">
        <f ca="1">IF(AND(L1680=-1,L1679&lt;&gt;-1),MAX($P$8:P1679)+1,"")</f>
        <v/>
      </c>
      <c r="Q1680" s="24" t="str">
        <f ca="1">IF(AND(L1680&lt;&gt;-1,L1679=-1),MAX($Q$8:Q1679)+1,"")</f>
        <v/>
      </c>
    </row>
    <row r="1681" spans="1:17" x14ac:dyDescent="0.3">
      <c r="A1681" s="3">
        <v>42657</v>
      </c>
      <c r="B1681" s="9">
        <v>19.426067</v>
      </c>
      <c r="C1681" s="9">
        <v>16.015993000000002</v>
      </c>
      <c r="E1681" s="14">
        <f t="shared" si="186"/>
        <v>1.2129168013497507</v>
      </c>
      <c r="F1681" s="18">
        <f t="shared" ca="1" si="185"/>
        <v>1.7830700195265703</v>
      </c>
      <c r="G1681" s="15">
        <f t="shared" ca="1" si="183"/>
        <v>1.1832745735124062</v>
      </c>
      <c r="H1681" s="15">
        <f t="shared" ca="1" si="184"/>
        <v>1.6624264618175181E-2</v>
      </c>
      <c r="J1681" s="17">
        <f t="shared" ca="1" si="187"/>
        <v>1</v>
      </c>
      <c r="K1681" s="24">
        <f t="shared" ca="1" si="188"/>
        <v>0</v>
      </c>
      <c r="L1681" s="17">
        <f t="shared" ca="1" si="189"/>
        <v>1</v>
      </c>
      <c r="N1681" s="24">
        <f ca="1">IF(AND(L1681=1,L1680&lt;&gt;1),MAX($N$8:N1680)+1,"")</f>
        <v>55</v>
      </c>
      <c r="O1681" s="24" t="str">
        <f ca="1">IF(AND(L1681&lt;&gt;1,L1680=1),MAX($O$8:O1680)+1,"")</f>
        <v/>
      </c>
      <c r="P1681" s="17" t="str">
        <f ca="1">IF(AND(L1681=-1,L1680&lt;&gt;-1),MAX($P$8:P1680)+1,"")</f>
        <v/>
      </c>
      <c r="Q1681" s="24" t="str">
        <f ca="1">IF(AND(L1681&lt;&gt;-1,L1680=-1),MAX($Q$8:Q1680)+1,"")</f>
        <v/>
      </c>
    </row>
    <row r="1682" spans="1:17" x14ac:dyDescent="0.3">
      <c r="A1682" s="3">
        <v>42660</v>
      </c>
      <c r="B1682" s="9">
        <v>19.853003999999999</v>
      </c>
      <c r="C1682" s="9">
        <v>16.335917999999999</v>
      </c>
      <c r="E1682" s="14">
        <f t="shared" si="186"/>
        <v>1.2152977261516615</v>
      </c>
      <c r="F1682" s="18">
        <f t="shared" ca="1" si="185"/>
        <v>1.8710107125501296</v>
      </c>
      <c r="G1682" s="15">
        <f t="shared" ca="1" si="183"/>
        <v>1.1834888088873783</v>
      </c>
      <c r="H1682" s="15">
        <f t="shared" ca="1" si="184"/>
        <v>1.7000927386956907E-2</v>
      </c>
      <c r="J1682" s="17">
        <f t="shared" ca="1" si="187"/>
        <v>1</v>
      </c>
      <c r="K1682" s="24">
        <f t="shared" ca="1" si="188"/>
        <v>0</v>
      </c>
      <c r="L1682" s="17">
        <f t="shared" ca="1" si="189"/>
        <v>1</v>
      </c>
      <c r="N1682" s="24" t="str">
        <f ca="1">IF(AND(L1682=1,L1681&lt;&gt;1),MAX($N$8:N1681)+1,"")</f>
        <v/>
      </c>
      <c r="O1682" s="24" t="str">
        <f ca="1">IF(AND(L1682&lt;&gt;1,L1681=1),MAX($O$8:O1681)+1,"")</f>
        <v/>
      </c>
      <c r="P1682" s="17" t="str">
        <f ca="1">IF(AND(L1682=-1,L1681&lt;&gt;-1),MAX($P$8:P1681)+1,"")</f>
        <v/>
      </c>
      <c r="Q1682" s="24" t="str">
        <f ca="1">IF(AND(L1682&lt;&gt;-1,L1681=-1),MAX($Q$8:Q1681)+1,"")</f>
        <v/>
      </c>
    </row>
    <row r="1683" spans="1:17" x14ac:dyDescent="0.3">
      <c r="A1683" s="3">
        <v>42661</v>
      </c>
      <c r="B1683" s="9">
        <v>20.128971</v>
      </c>
      <c r="C1683" s="9">
        <v>16.733229000000001</v>
      </c>
      <c r="E1683" s="14">
        <f t="shared" si="186"/>
        <v>1.2029340541505766</v>
      </c>
      <c r="F1683" s="18">
        <f t="shared" ca="1" si="185"/>
        <v>1.1504601195740285</v>
      </c>
      <c r="G1683" s="15">
        <f t="shared" ca="1" si="183"/>
        <v>1.1834405664215997</v>
      </c>
      <c r="H1683" s="15">
        <f t="shared" ca="1" si="184"/>
        <v>1.694407950116051E-2</v>
      </c>
      <c r="J1683" s="17">
        <f t="shared" ca="1" si="187"/>
        <v>1</v>
      </c>
      <c r="K1683" s="24">
        <f t="shared" ca="1" si="188"/>
        <v>0</v>
      </c>
      <c r="L1683" s="17">
        <f t="shared" ca="1" si="189"/>
        <v>1</v>
      </c>
      <c r="N1683" s="24" t="str">
        <f ca="1">IF(AND(L1683=1,L1682&lt;&gt;1),MAX($N$8:N1682)+1,"")</f>
        <v/>
      </c>
      <c r="O1683" s="24" t="str">
        <f ca="1">IF(AND(L1683&lt;&gt;1,L1682=1),MAX($O$8:O1682)+1,"")</f>
        <v/>
      </c>
      <c r="P1683" s="17" t="str">
        <f ca="1">IF(AND(L1683=-1,L1682&lt;&gt;-1),MAX($P$8:P1682)+1,"")</f>
        <v/>
      </c>
      <c r="Q1683" s="24" t="str">
        <f ca="1">IF(AND(L1683&lt;&gt;-1,L1682=-1),MAX($Q$8:Q1682)+1,"")</f>
        <v/>
      </c>
    </row>
    <row r="1684" spans="1:17" x14ac:dyDescent="0.3">
      <c r="A1684" s="3">
        <v>42662</v>
      </c>
      <c r="B1684" s="9">
        <v>19.801310999999998</v>
      </c>
      <c r="C1684" s="9">
        <v>16.614546000000001</v>
      </c>
      <c r="E1684" s="14">
        <f t="shared" si="186"/>
        <v>1.1918057225277174</v>
      </c>
      <c r="F1684" s="18">
        <f t="shared" ca="1" si="185"/>
        <v>0.5183398629342767</v>
      </c>
      <c r="G1684" s="15">
        <f t="shared" ca="1" si="183"/>
        <v>1.1831347860170796</v>
      </c>
      <c r="H1684" s="15">
        <f t="shared" ca="1" si="184"/>
        <v>1.672828414460055E-2</v>
      </c>
      <c r="J1684" s="17">
        <f t="shared" ca="1" si="187"/>
        <v>1</v>
      </c>
      <c r="K1684" s="24">
        <f t="shared" ca="1" si="188"/>
        <v>0</v>
      </c>
      <c r="L1684" s="17">
        <f t="shared" ca="1" si="189"/>
        <v>1</v>
      </c>
      <c r="N1684" s="24" t="str">
        <f ca="1">IF(AND(L1684=1,L1683&lt;&gt;1),MAX($N$8:N1683)+1,"")</f>
        <v/>
      </c>
      <c r="O1684" s="24" t="str">
        <f ca="1">IF(AND(L1684&lt;&gt;1,L1683=1),MAX($O$8:O1683)+1,"")</f>
        <v/>
      </c>
      <c r="P1684" s="17" t="str">
        <f ca="1">IF(AND(L1684=-1,L1683&lt;&gt;-1),MAX($P$8:P1683)+1,"")</f>
        <v/>
      </c>
      <c r="Q1684" s="24" t="str">
        <f ca="1">IF(AND(L1684&lt;&gt;-1,L1683=-1),MAX($Q$8:Q1683)+1,"")</f>
        <v/>
      </c>
    </row>
    <row r="1685" spans="1:17" x14ac:dyDescent="0.3">
      <c r="A1685" s="3">
        <v>42663</v>
      </c>
      <c r="B1685" s="9">
        <v>19.861439000000001</v>
      </c>
      <c r="C1685" s="9">
        <v>16.857004</v>
      </c>
      <c r="E1685" s="14">
        <f t="shared" si="186"/>
        <v>1.1782306630525805</v>
      </c>
      <c r="F1685" s="18">
        <f t="shared" ca="1" si="185"/>
        <v>-0.23815869209340404</v>
      </c>
      <c r="G1685" s="15">
        <f t="shared" ca="1" si="183"/>
        <v>1.1821140666951739</v>
      </c>
      <c r="H1685" s="15">
        <f t="shared" ca="1" si="184"/>
        <v>1.6305949652555149E-2</v>
      </c>
      <c r="J1685" s="17">
        <f t="shared" ca="1" si="187"/>
        <v>0</v>
      </c>
      <c r="K1685" s="24">
        <f t="shared" ca="1" si="188"/>
        <v>0</v>
      </c>
      <c r="L1685" s="17">
        <f t="shared" ca="1" si="189"/>
        <v>0</v>
      </c>
      <c r="N1685" s="24" t="str">
        <f ca="1">IF(AND(L1685=1,L1684&lt;&gt;1),MAX($N$8:N1684)+1,"")</f>
        <v/>
      </c>
      <c r="O1685" s="24">
        <f ca="1">IF(AND(L1685&lt;&gt;1,L1684=1),MAX($O$8:O1684)+1,"")</f>
        <v>55</v>
      </c>
      <c r="P1685" s="17" t="str">
        <f ca="1">IF(AND(L1685=-1,L1684&lt;&gt;-1),MAX($P$8:P1684)+1,"")</f>
        <v/>
      </c>
      <c r="Q1685" s="24" t="str">
        <f ca="1">IF(AND(L1685&lt;&gt;-1,L1684=-1),MAX($Q$8:Q1684)+1,"")</f>
        <v/>
      </c>
    </row>
    <row r="1686" spans="1:17" x14ac:dyDescent="0.3">
      <c r="A1686" s="3">
        <v>42664</v>
      </c>
      <c r="B1686" s="9">
        <v>19.828678</v>
      </c>
      <c r="C1686" s="9">
        <v>16.697132</v>
      </c>
      <c r="E1686" s="14">
        <f t="shared" si="186"/>
        <v>1.1875499337251452</v>
      </c>
      <c r="F1686" s="18">
        <f t="shared" ca="1" si="185"/>
        <v>0.34229553366313242</v>
      </c>
      <c r="G1686" s="15">
        <f t="shared" ca="1" si="183"/>
        <v>1.1819869215761638</v>
      </c>
      <c r="H1686" s="15">
        <f t="shared" ca="1" si="184"/>
        <v>1.6252073433292758E-2</v>
      </c>
      <c r="J1686" s="17">
        <f t="shared" ca="1" si="187"/>
        <v>0</v>
      </c>
      <c r="K1686" s="24">
        <f t="shared" ca="1" si="188"/>
        <v>0</v>
      </c>
      <c r="L1686" s="17">
        <f t="shared" ca="1" si="189"/>
        <v>0</v>
      </c>
      <c r="N1686" s="24" t="str">
        <f ca="1">IF(AND(L1686=1,L1685&lt;&gt;1),MAX($N$8:N1685)+1,"")</f>
        <v/>
      </c>
      <c r="O1686" s="24" t="str">
        <f ca="1">IF(AND(L1686&lt;&gt;1,L1685=1),MAX($O$8:O1685)+1,"")</f>
        <v/>
      </c>
      <c r="P1686" s="17" t="str">
        <f ca="1">IF(AND(L1686=-1,L1685&lt;&gt;-1),MAX($P$8:P1685)+1,"")</f>
        <v/>
      </c>
      <c r="Q1686" s="24" t="str">
        <f ca="1">IF(AND(L1686&lt;&gt;-1,L1685=-1),MAX($Q$8:Q1685)+1,"")</f>
        <v/>
      </c>
    </row>
    <row r="1687" spans="1:17" x14ac:dyDescent="0.3">
      <c r="A1687" s="3">
        <v>42667</v>
      </c>
      <c r="B1687" s="9">
        <v>19.659352999999999</v>
      </c>
      <c r="C1687" s="9">
        <v>16.53717</v>
      </c>
      <c r="E1687" s="14">
        <f t="shared" si="186"/>
        <v>1.1887979019384816</v>
      </c>
      <c r="F1687" s="18">
        <f t="shared" ca="1" si="185"/>
        <v>0.38978407213187649</v>
      </c>
      <c r="G1687" s="15">
        <f t="shared" ca="1" si="183"/>
        <v>1.1824462875004749</v>
      </c>
      <c r="H1687" s="15">
        <f t="shared" ca="1" si="184"/>
        <v>1.629521289381403E-2</v>
      </c>
      <c r="J1687" s="17">
        <f t="shared" ca="1" si="187"/>
        <v>0</v>
      </c>
      <c r="K1687" s="24">
        <f t="shared" ca="1" si="188"/>
        <v>0</v>
      </c>
      <c r="L1687" s="17">
        <f t="shared" ca="1" si="189"/>
        <v>0</v>
      </c>
      <c r="N1687" s="24" t="str">
        <f ca="1">IF(AND(L1687=1,L1686&lt;&gt;1),MAX($N$8:N1686)+1,"")</f>
        <v/>
      </c>
      <c r="O1687" s="24" t="str">
        <f ca="1">IF(AND(L1687&lt;&gt;1,L1686=1),MAX($O$8:O1686)+1,"")</f>
        <v/>
      </c>
      <c r="P1687" s="17" t="str">
        <f ca="1">IF(AND(L1687=-1,L1686&lt;&gt;-1),MAX($P$8:P1686)+1,"")</f>
        <v/>
      </c>
      <c r="Q1687" s="24" t="str">
        <f ca="1">IF(AND(L1687&lt;&gt;-1,L1686=-1),MAX($Q$8:Q1686)+1,"")</f>
        <v/>
      </c>
    </row>
    <row r="1688" spans="1:17" x14ac:dyDescent="0.3">
      <c r="A1688" s="3">
        <v>42668</v>
      </c>
      <c r="B1688" s="9">
        <v>19.555568999999998</v>
      </c>
      <c r="C1688" s="9">
        <v>16.459783999999999</v>
      </c>
      <c r="E1688" s="14">
        <f t="shared" si="186"/>
        <v>1.188081751255059</v>
      </c>
      <c r="F1688" s="18">
        <f t="shared" ca="1" si="185"/>
        <v>0.31000919934488896</v>
      </c>
      <c r="G1688" s="15">
        <f t="shared" ca="1" si="183"/>
        <v>1.1830442191328567</v>
      </c>
      <c r="H1688" s="15">
        <f t="shared" ca="1" si="184"/>
        <v>1.6249621407518119E-2</v>
      </c>
      <c r="J1688" s="17">
        <f t="shared" ca="1" si="187"/>
        <v>0</v>
      </c>
      <c r="K1688" s="24">
        <f t="shared" ca="1" si="188"/>
        <v>0</v>
      </c>
      <c r="L1688" s="17">
        <f t="shared" ca="1" si="189"/>
        <v>0</v>
      </c>
      <c r="N1688" s="24" t="str">
        <f ca="1">IF(AND(L1688=1,L1687&lt;&gt;1),MAX($N$8:N1687)+1,"")</f>
        <v/>
      </c>
      <c r="O1688" s="24" t="str">
        <f ca="1">IF(AND(L1688&lt;&gt;1,L1687=1),MAX($O$8:O1687)+1,"")</f>
        <v/>
      </c>
      <c r="P1688" s="17" t="str">
        <f ca="1">IF(AND(L1688=-1,L1687&lt;&gt;-1),MAX($P$8:P1687)+1,"")</f>
        <v/>
      </c>
      <c r="Q1688" s="24" t="str">
        <f ca="1">IF(AND(L1688&lt;&gt;-1,L1687=-1),MAX($Q$8:Q1687)+1,"")</f>
        <v/>
      </c>
    </row>
    <row r="1689" spans="1:17" x14ac:dyDescent="0.3">
      <c r="A1689" s="3">
        <v>42669</v>
      </c>
      <c r="B1689" s="9">
        <v>19.675740999999999</v>
      </c>
      <c r="C1689" s="9">
        <v>16.392702</v>
      </c>
      <c r="E1689" s="14">
        <f t="shared" si="186"/>
        <v>1.2002744269980627</v>
      </c>
      <c r="F1689" s="18">
        <f t="shared" ca="1" si="185"/>
        <v>0.96846110432018384</v>
      </c>
      <c r="G1689" s="15">
        <f t="shared" ca="1" si="183"/>
        <v>1.1844362961315327</v>
      </c>
      <c r="H1689" s="15">
        <f t="shared" ca="1" si="184"/>
        <v>1.6353915294974836E-2</v>
      </c>
      <c r="J1689" s="17">
        <f t="shared" ca="1" si="187"/>
        <v>0</v>
      </c>
      <c r="K1689" s="24">
        <f t="shared" ca="1" si="188"/>
        <v>0</v>
      </c>
      <c r="L1689" s="17">
        <f t="shared" ca="1" si="189"/>
        <v>0</v>
      </c>
      <c r="N1689" s="24" t="str">
        <f ca="1">IF(AND(L1689=1,L1688&lt;&gt;1),MAX($N$8:N1688)+1,"")</f>
        <v/>
      </c>
      <c r="O1689" s="24" t="str">
        <f ca="1">IF(AND(L1689&lt;&gt;1,L1688=1),MAX($O$8:O1688)+1,"")</f>
        <v/>
      </c>
      <c r="P1689" s="17" t="str">
        <f ca="1">IF(AND(L1689=-1,L1688&lt;&gt;-1),MAX($P$8:P1688)+1,"")</f>
        <v/>
      </c>
      <c r="Q1689" s="24" t="str">
        <f ca="1">IF(AND(L1689&lt;&gt;-1,L1688=-1),MAX($Q$8:Q1688)+1,"")</f>
        <v/>
      </c>
    </row>
    <row r="1690" spans="1:17" x14ac:dyDescent="0.3">
      <c r="A1690" s="3">
        <v>42670</v>
      </c>
      <c r="B1690" s="9">
        <v>20.096201000000001</v>
      </c>
      <c r="C1690" s="9">
        <v>16.666143000000002</v>
      </c>
      <c r="E1690" s="14">
        <f t="shared" si="186"/>
        <v>1.2058099465485204</v>
      </c>
      <c r="F1690" s="18">
        <f t="shared" ca="1" si="185"/>
        <v>1.1890844646162226</v>
      </c>
      <c r="G1690" s="15">
        <f t="shared" ca="1" si="183"/>
        <v>1.1858273925914524</v>
      </c>
      <c r="H1690" s="15">
        <f t="shared" ca="1" si="184"/>
        <v>1.680499119422716E-2</v>
      </c>
      <c r="J1690" s="17">
        <f t="shared" ca="1" si="187"/>
        <v>1</v>
      </c>
      <c r="K1690" s="24">
        <f t="shared" ca="1" si="188"/>
        <v>0</v>
      </c>
      <c r="L1690" s="17">
        <f t="shared" ca="1" si="189"/>
        <v>1</v>
      </c>
      <c r="N1690" s="24">
        <f ca="1">IF(AND(L1690=1,L1689&lt;&gt;1),MAX($N$8:N1689)+1,"")</f>
        <v>56</v>
      </c>
      <c r="O1690" s="24" t="str">
        <f ca="1">IF(AND(L1690&lt;&gt;1,L1689=1),MAX($O$8:O1689)+1,"")</f>
        <v/>
      </c>
      <c r="P1690" s="17" t="str">
        <f ca="1">IF(AND(L1690=-1,L1689&lt;&gt;-1),MAX($P$8:P1689)+1,"")</f>
        <v/>
      </c>
      <c r="Q1690" s="24" t="str">
        <f ca="1">IF(AND(L1690&lt;&gt;-1,L1689=-1),MAX($Q$8:Q1689)+1,"")</f>
        <v/>
      </c>
    </row>
    <row r="1691" spans="1:17" x14ac:dyDescent="0.3">
      <c r="A1691" s="3">
        <v>42671</v>
      </c>
      <c r="B1691" s="9">
        <v>20.265516000000002</v>
      </c>
      <c r="C1691" s="9">
        <v>16.728037</v>
      </c>
      <c r="E1691" s="14">
        <f t="shared" si="186"/>
        <v>1.2114700607130413</v>
      </c>
      <c r="F1691" s="18">
        <f t="shared" ca="1" si="185"/>
        <v>1.3875744490849042</v>
      </c>
      <c r="G1691" s="15">
        <f t="shared" ca="1" si="183"/>
        <v>1.1879644533525364</v>
      </c>
      <c r="H1691" s="15">
        <f t="shared" ca="1" si="184"/>
        <v>1.6940069324573304E-2</v>
      </c>
      <c r="J1691" s="17">
        <f t="shared" ca="1" si="187"/>
        <v>1</v>
      </c>
      <c r="K1691" s="24">
        <f t="shared" ca="1" si="188"/>
        <v>0</v>
      </c>
      <c r="L1691" s="17">
        <f t="shared" ca="1" si="189"/>
        <v>1</v>
      </c>
      <c r="N1691" s="24" t="str">
        <f ca="1">IF(AND(L1691=1,L1690&lt;&gt;1),MAX($N$8:N1690)+1,"")</f>
        <v/>
      </c>
      <c r="O1691" s="24" t="str">
        <f ca="1">IF(AND(L1691&lt;&gt;1,L1690=1),MAX($O$8:O1690)+1,"")</f>
        <v/>
      </c>
      <c r="P1691" s="17" t="str">
        <f ca="1">IF(AND(L1691=-1,L1690&lt;&gt;-1),MAX($P$8:P1690)+1,"")</f>
        <v/>
      </c>
      <c r="Q1691" s="24" t="str">
        <f ca="1">IF(AND(L1691&lt;&gt;-1,L1690=-1),MAX($Q$8:Q1690)+1,"")</f>
        <v/>
      </c>
    </row>
    <row r="1692" spans="1:17" x14ac:dyDescent="0.3">
      <c r="A1692" s="3">
        <v>42674</v>
      </c>
      <c r="B1692" s="9">
        <v>20.96998</v>
      </c>
      <c r="C1692" s="9">
        <v>17.254315999999999</v>
      </c>
      <c r="E1692" s="14">
        <f t="shared" si="186"/>
        <v>1.2153469311678307</v>
      </c>
      <c r="F1692" s="18">
        <f t="shared" ca="1" si="185"/>
        <v>1.4665193928147739</v>
      </c>
      <c r="G1692" s="15">
        <f t="shared" ca="1" si="183"/>
        <v>1.1902166431201313</v>
      </c>
      <c r="H1692" s="15">
        <f t="shared" ca="1" si="184"/>
        <v>1.713600800018427E-2</v>
      </c>
      <c r="J1692" s="17">
        <f t="shared" ca="1" si="187"/>
        <v>1</v>
      </c>
      <c r="K1692" s="24">
        <f t="shared" ca="1" si="188"/>
        <v>0</v>
      </c>
      <c r="L1692" s="17">
        <f t="shared" ca="1" si="189"/>
        <v>1</v>
      </c>
      <c r="N1692" s="24" t="str">
        <f ca="1">IF(AND(L1692=1,L1691&lt;&gt;1),MAX($N$8:N1691)+1,"")</f>
        <v/>
      </c>
      <c r="O1692" s="24" t="str">
        <f ca="1">IF(AND(L1692&lt;&gt;1,L1691=1),MAX($O$8:O1691)+1,"")</f>
        <v/>
      </c>
      <c r="P1692" s="17" t="str">
        <f ca="1">IF(AND(L1692=-1,L1691&lt;&gt;-1),MAX($P$8:P1691)+1,"")</f>
        <v/>
      </c>
      <c r="Q1692" s="24" t="str">
        <f ca="1">IF(AND(L1692&lt;&gt;-1,L1691=-1),MAX($Q$8:Q1691)+1,"")</f>
        <v/>
      </c>
    </row>
    <row r="1693" spans="1:17" x14ac:dyDescent="0.3">
      <c r="A1693" s="3">
        <v>42675</v>
      </c>
      <c r="B1693" s="9">
        <v>20.353874000000001</v>
      </c>
      <c r="C1693" s="9">
        <v>16.748723999999999</v>
      </c>
      <c r="E1693" s="14">
        <f t="shared" si="186"/>
        <v>1.2152492333147291</v>
      </c>
      <c r="F1693" s="18">
        <f t="shared" ca="1" si="185"/>
        <v>1.3855283116000896</v>
      </c>
      <c r="G1693" s="15">
        <f t="shared" ca="1" si="183"/>
        <v>1.1929427460695403</v>
      </c>
      <c r="H1693" s="15">
        <f t="shared" ca="1" si="184"/>
        <v>1.6099625722860875E-2</v>
      </c>
      <c r="J1693" s="17">
        <f t="shared" ca="1" si="187"/>
        <v>1</v>
      </c>
      <c r="K1693" s="24">
        <f t="shared" ca="1" si="188"/>
        <v>0</v>
      </c>
      <c r="L1693" s="17">
        <f t="shared" ca="1" si="189"/>
        <v>1</v>
      </c>
      <c r="N1693" s="24" t="str">
        <f ca="1">IF(AND(L1693=1,L1692&lt;&gt;1),MAX($N$8:N1692)+1,"")</f>
        <v/>
      </c>
      <c r="O1693" s="24" t="str">
        <f ca="1">IF(AND(L1693&lt;&gt;1,L1692=1),MAX($O$8:O1692)+1,"")</f>
        <v/>
      </c>
      <c r="P1693" s="17" t="str">
        <f ca="1">IF(AND(L1693=-1,L1692&lt;&gt;-1),MAX($P$8:P1692)+1,"")</f>
        <v/>
      </c>
      <c r="Q1693" s="24" t="str">
        <f ca="1">IF(AND(L1693&lt;&gt;-1,L1692=-1),MAX($Q$8:Q1692)+1,"")</f>
        <v/>
      </c>
    </row>
    <row r="1694" spans="1:17" x14ac:dyDescent="0.3">
      <c r="A1694" s="3">
        <v>42677</v>
      </c>
      <c r="B1694" s="9">
        <v>19.916771000000001</v>
      </c>
      <c r="C1694" s="9">
        <v>16.356301999999999</v>
      </c>
      <c r="E1694" s="14">
        <f t="shared" si="186"/>
        <v>1.2176817840609693</v>
      </c>
      <c r="F1694" s="18">
        <f t="shared" ca="1" si="185"/>
        <v>1.5282893501014698</v>
      </c>
      <c r="G1694" s="15">
        <f t="shared" ca="1" si="183"/>
        <v>1.1959181959918639</v>
      </c>
      <c r="H1694" s="15">
        <f t="shared" ca="1" si="184"/>
        <v>1.4240489255297376E-2</v>
      </c>
      <c r="J1694" s="17">
        <f t="shared" ca="1" si="187"/>
        <v>1</v>
      </c>
      <c r="K1694" s="24">
        <f t="shared" ca="1" si="188"/>
        <v>0</v>
      </c>
      <c r="L1694" s="17">
        <f t="shared" ca="1" si="189"/>
        <v>1</v>
      </c>
      <c r="N1694" s="24" t="str">
        <f ca="1">IF(AND(L1694=1,L1693&lt;&gt;1),MAX($N$8:N1693)+1,"")</f>
        <v/>
      </c>
      <c r="O1694" s="24" t="str">
        <f ca="1">IF(AND(L1694&lt;&gt;1,L1693=1),MAX($O$8:O1693)+1,"")</f>
        <v/>
      </c>
      <c r="P1694" s="17" t="str">
        <f ca="1">IF(AND(L1694=-1,L1693&lt;&gt;-1),MAX($P$8:P1693)+1,"")</f>
        <v/>
      </c>
      <c r="Q1694" s="24" t="str">
        <f ca="1">IF(AND(L1694&lt;&gt;-1,L1693=-1),MAX($Q$8:Q1693)+1,"")</f>
        <v/>
      </c>
    </row>
    <row r="1695" spans="1:17" x14ac:dyDescent="0.3">
      <c r="A1695" s="3">
        <v>42678</v>
      </c>
      <c r="B1695" s="9">
        <v>20.080690000000001</v>
      </c>
      <c r="C1695" s="9">
        <v>16.356301999999999</v>
      </c>
      <c r="E1695" s="14">
        <f t="shared" si="186"/>
        <v>1.2277035481492089</v>
      </c>
      <c r="F1695" s="18">
        <f t="shared" ca="1" si="185"/>
        <v>1.9663571372285076</v>
      </c>
      <c r="G1695" s="15">
        <f t="shared" ref="G1695:G1758" ca="1" si="190">IF(ISNUMBER(E1695),IF(ROW(E1695)&gt;$J$1,AVERAGE(OFFSET(E1695,0,0,-$J$1)),""),"")</f>
        <v>1.1983040234306832</v>
      </c>
      <c r="H1695" s="15">
        <f t="shared" ref="H1695:H1758" ca="1" si="191">IF(ISNUMBER(E1695),IF(ROW(E1695)&gt;$J$1,_xlfn.STDEV.P(OFFSET(E1695,0,0,-$J$1)),""),"")</f>
        <v>1.4951264021124367E-2</v>
      </c>
      <c r="J1695" s="17">
        <f t="shared" ca="1" si="187"/>
        <v>1</v>
      </c>
      <c r="K1695" s="24">
        <f t="shared" ca="1" si="188"/>
        <v>0</v>
      </c>
      <c r="L1695" s="17">
        <f t="shared" ca="1" si="189"/>
        <v>1</v>
      </c>
      <c r="N1695" s="24" t="str">
        <f ca="1">IF(AND(L1695=1,L1694&lt;&gt;1),MAX($N$8:N1694)+1,"")</f>
        <v/>
      </c>
      <c r="O1695" s="24" t="str">
        <f ca="1">IF(AND(L1695&lt;&gt;1,L1694=1),MAX($O$8:O1694)+1,"")</f>
        <v/>
      </c>
      <c r="P1695" s="17" t="str">
        <f ca="1">IF(AND(L1695=-1,L1694&lt;&gt;-1),MAX($P$8:P1694)+1,"")</f>
        <v/>
      </c>
      <c r="Q1695" s="24" t="str">
        <f ca="1">IF(AND(L1695&lt;&gt;-1,L1694=-1),MAX($Q$8:Q1694)+1,"")</f>
        <v/>
      </c>
    </row>
    <row r="1696" spans="1:17" x14ac:dyDescent="0.3">
      <c r="A1696" s="3">
        <v>42681</v>
      </c>
      <c r="B1696" s="9">
        <v>20.801952</v>
      </c>
      <c r="C1696" s="9">
        <v>16.924489999999999</v>
      </c>
      <c r="E1696" s="14">
        <f t="shared" si="186"/>
        <v>1.2291036243928177</v>
      </c>
      <c r="F1696" s="18">
        <f t="shared" ca="1" si="185"/>
        <v>1.8986417603054702</v>
      </c>
      <c r="G1696" s="15">
        <f t="shared" ca="1" si="190"/>
        <v>1.2010689978299398</v>
      </c>
      <c r="H1696" s="15">
        <f t="shared" ca="1" si="191"/>
        <v>1.4765622008844608E-2</v>
      </c>
      <c r="J1696" s="17">
        <f t="shared" ca="1" si="187"/>
        <v>1</v>
      </c>
      <c r="K1696" s="24">
        <f t="shared" ca="1" si="188"/>
        <v>0</v>
      </c>
      <c r="L1696" s="17">
        <f t="shared" ca="1" si="189"/>
        <v>1</v>
      </c>
      <c r="N1696" s="24" t="str">
        <f ca="1">IF(AND(L1696=1,L1695&lt;&gt;1),MAX($N$8:N1695)+1,"")</f>
        <v/>
      </c>
      <c r="O1696" s="24" t="str">
        <f ca="1">IF(AND(L1696&lt;&gt;1,L1695=1),MAX($O$8:O1695)+1,"")</f>
        <v/>
      </c>
      <c r="P1696" s="17" t="str">
        <f ca="1">IF(AND(L1696=-1,L1695&lt;&gt;-1),MAX($P$8:P1695)+1,"")</f>
        <v/>
      </c>
      <c r="Q1696" s="24" t="str">
        <f ca="1">IF(AND(L1696&lt;&gt;-1,L1695=-1),MAX($Q$8:Q1695)+1,"")</f>
        <v/>
      </c>
    </row>
    <row r="1697" spans="1:17" x14ac:dyDescent="0.3">
      <c r="A1697" s="3">
        <v>42682</v>
      </c>
      <c r="B1697" s="9">
        <v>20.851139</v>
      </c>
      <c r="C1697" s="9">
        <v>16.914089000000001</v>
      </c>
      <c r="E1697" s="14">
        <f t="shared" si="186"/>
        <v>1.2327674875070125</v>
      </c>
      <c r="F1697" s="18">
        <f t="shared" ca="1" si="185"/>
        <v>1.8907490925625654</v>
      </c>
      <c r="G1697" s="15">
        <f t="shared" ca="1" si="190"/>
        <v>1.2033844965076794</v>
      </c>
      <c r="H1697" s="15">
        <f t="shared" ca="1" si="191"/>
        <v>1.5540396721550068E-2</v>
      </c>
      <c r="J1697" s="17">
        <f t="shared" ca="1" si="187"/>
        <v>1</v>
      </c>
      <c r="K1697" s="24">
        <f t="shared" ca="1" si="188"/>
        <v>0</v>
      </c>
      <c r="L1697" s="17">
        <f t="shared" ca="1" si="189"/>
        <v>1</v>
      </c>
      <c r="N1697" s="24" t="str">
        <f ca="1">IF(AND(L1697=1,L1696&lt;&gt;1),MAX($N$8:N1696)+1,"")</f>
        <v/>
      </c>
      <c r="O1697" s="24" t="str">
        <f ca="1">IF(AND(L1697&lt;&gt;1,L1696=1),MAX($O$8:O1696)+1,"")</f>
        <v/>
      </c>
      <c r="P1697" s="17" t="str">
        <f ca="1">IF(AND(L1697=-1,L1696&lt;&gt;-1),MAX($P$8:P1696)+1,"")</f>
        <v/>
      </c>
      <c r="Q1697" s="24" t="str">
        <f ca="1">IF(AND(L1697&lt;&gt;-1,L1696=-1),MAX($Q$8:Q1696)+1,"")</f>
        <v/>
      </c>
    </row>
    <row r="1698" spans="1:17" x14ac:dyDescent="0.3">
      <c r="A1698" s="3">
        <v>42683</v>
      </c>
      <c r="B1698" s="9">
        <v>20.184538</v>
      </c>
      <c r="C1698" s="9">
        <v>16.449341</v>
      </c>
      <c r="E1698" s="14">
        <f t="shared" si="186"/>
        <v>1.2270727441299927</v>
      </c>
      <c r="F1698" s="18">
        <f t="shared" ca="1" si="185"/>
        <v>1.374111734105377</v>
      </c>
      <c r="G1698" s="15">
        <f t="shared" ca="1" si="190"/>
        <v>1.2049957216502738</v>
      </c>
      <c r="H1698" s="15">
        <f t="shared" ca="1" si="191"/>
        <v>1.6066395426054814E-2</v>
      </c>
      <c r="J1698" s="17">
        <f t="shared" ca="1" si="187"/>
        <v>1</v>
      </c>
      <c r="K1698" s="24">
        <f t="shared" ca="1" si="188"/>
        <v>0</v>
      </c>
      <c r="L1698" s="17">
        <f t="shared" ca="1" si="189"/>
        <v>1</v>
      </c>
      <c r="N1698" s="24" t="str">
        <f ca="1">IF(AND(L1698=1,L1697&lt;&gt;1),MAX($N$8:N1697)+1,"")</f>
        <v/>
      </c>
      <c r="O1698" s="24" t="str">
        <f ca="1">IF(AND(L1698&lt;&gt;1,L1697=1),MAX($O$8:O1697)+1,"")</f>
        <v/>
      </c>
      <c r="P1698" s="17" t="str">
        <f ca="1">IF(AND(L1698=-1,L1697&lt;&gt;-1),MAX($P$8:P1697)+1,"")</f>
        <v/>
      </c>
      <c r="Q1698" s="24" t="str">
        <f ca="1">IF(AND(L1698&lt;&gt;-1,L1697=-1),MAX($Q$8:Q1697)+1,"")</f>
        <v/>
      </c>
    </row>
    <row r="1699" spans="1:17" x14ac:dyDescent="0.3">
      <c r="A1699" s="3">
        <v>42684</v>
      </c>
      <c r="B1699" s="9">
        <v>19.179106000000001</v>
      </c>
      <c r="C1699" s="9">
        <v>14.982519999999999</v>
      </c>
      <c r="E1699" s="14">
        <f t="shared" si="186"/>
        <v>1.2800988084781466</v>
      </c>
      <c r="F1699" s="18">
        <f t="shared" ca="1" si="185"/>
        <v>3.2337122840091763</v>
      </c>
      <c r="G1699" s="15">
        <f t="shared" ca="1" si="190"/>
        <v>1.2092761270257604</v>
      </c>
      <c r="H1699" s="15">
        <f t="shared" ca="1" si="191"/>
        <v>2.1901355232686267E-2</v>
      </c>
      <c r="J1699" s="17">
        <f t="shared" ca="1" si="187"/>
        <v>1</v>
      </c>
      <c r="K1699" s="24">
        <f t="shared" ca="1" si="188"/>
        <v>0</v>
      </c>
      <c r="L1699" s="17">
        <f t="shared" ca="1" si="189"/>
        <v>1</v>
      </c>
      <c r="N1699" s="24" t="str">
        <f ca="1">IF(AND(L1699=1,L1698&lt;&gt;1),MAX($N$8:N1698)+1,"")</f>
        <v/>
      </c>
      <c r="O1699" s="24" t="str">
        <f ca="1">IF(AND(L1699&lt;&gt;1,L1698=1),MAX($O$8:O1698)+1,"")</f>
        <v/>
      </c>
      <c r="P1699" s="17" t="str">
        <f ca="1">IF(AND(L1699=-1,L1698&lt;&gt;-1),MAX($P$8:P1698)+1,"")</f>
        <v/>
      </c>
      <c r="Q1699" s="24" t="str">
        <f ca="1">IF(AND(L1699&lt;&gt;-1,L1698=-1),MAX($Q$8:Q1698)+1,"")</f>
        <v/>
      </c>
    </row>
    <row r="1700" spans="1:17" x14ac:dyDescent="0.3">
      <c r="A1700" s="3">
        <v>42685</v>
      </c>
      <c r="B1700" s="9">
        <v>18.933223999999999</v>
      </c>
      <c r="C1700" s="9">
        <v>15.00834</v>
      </c>
      <c r="E1700" s="14">
        <f t="shared" si="186"/>
        <v>1.2615135318096471</v>
      </c>
      <c r="F1700" s="18">
        <f t="shared" ca="1" si="185"/>
        <v>2.0447714798977104</v>
      </c>
      <c r="G1700" s="15">
        <f t="shared" ca="1" si="190"/>
        <v>1.2126233163746409</v>
      </c>
      <c r="H1700" s="15">
        <f t="shared" ca="1" si="191"/>
        <v>2.3909867638339657E-2</v>
      </c>
      <c r="J1700" s="17">
        <f t="shared" ca="1" si="187"/>
        <v>1</v>
      </c>
      <c r="K1700" s="24">
        <f t="shared" ca="1" si="188"/>
        <v>0</v>
      </c>
      <c r="L1700" s="17">
        <f t="shared" ca="1" si="189"/>
        <v>1</v>
      </c>
      <c r="N1700" s="24" t="str">
        <f ca="1">IF(AND(L1700=1,L1699&lt;&gt;1),MAX($N$8:N1699)+1,"")</f>
        <v/>
      </c>
      <c r="O1700" s="24" t="str">
        <f ca="1">IF(AND(L1700&lt;&gt;1,L1699=1),MAX($O$8:O1699)+1,"")</f>
        <v/>
      </c>
      <c r="P1700" s="17" t="str">
        <f ca="1">IF(AND(L1700=-1,L1699&lt;&gt;-1),MAX($P$8:P1699)+1,"")</f>
        <v/>
      </c>
      <c r="Q1700" s="24" t="str">
        <f ca="1">IF(AND(L1700&lt;&gt;-1,L1699=-1),MAX($Q$8:Q1699)+1,"")</f>
        <v/>
      </c>
    </row>
    <row r="1701" spans="1:17" x14ac:dyDescent="0.3">
      <c r="A1701" s="3">
        <v>42688</v>
      </c>
      <c r="B1701" s="9">
        <v>18.818480999999998</v>
      </c>
      <c r="C1701" s="9">
        <v>15.116816999999999</v>
      </c>
      <c r="E1701" s="14">
        <f t="shared" si="186"/>
        <v>1.2448705967665017</v>
      </c>
      <c r="F1701" s="18">
        <f t="shared" ca="1" si="185"/>
        <v>1.22664847728793</v>
      </c>
      <c r="G1701" s="15">
        <f t="shared" ca="1" si="190"/>
        <v>1.2152056988260791</v>
      </c>
      <c r="H1701" s="15">
        <f t="shared" ca="1" si="191"/>
        <v>2.4183699315398394E-2</v>
      </c>
      <c r="J1701" s="17">
        <f t="shared" ca="1" si="187"/>
        <v>1</v>
      </c>
      <c r="K1701" s="24">
        <f t="shared" ca="1" si="188"/>
        <v>0</v>
      </c>
      <c r="L1701" s="17">
        <f t="shared" ca="1" si="189"/>
        <v>1</v>
      </c>
      <c r="N1701" s="24" t="str">
        <f ca="1">IF(AND(L1701=1,L1700&lt;&gt;1),MAX($N$8:N1700)+1,"")</f>
        <v/>
      </c>
      <c r="O1701" s="24" t="str">
        <f ca="1">IF(AND(L1701&lt;&gt;1,L1700=1),MAX($O$8:O1700)+1,"")</f>
        <v/>
      </c>
      <c r="P1701" s="17" t="str">
        <f ca="1">IF(AND(L1701=-1,L1700&lt;&gt;-1),MAX($P$8:P1700)+1,"")</f>
        <v/>
      </c>
      <c r="Q1701" s="24" t="str">
        <f ca="1">IF(AND(L1701&lt;&gt;-1,L1700=-1),MAX($Q$8:Q1700)+1,"")</f>
        <v/>
      </c>
    </row>
    <row r="1702" spans="1:17" x14ac:dyDescent="0.3">
      <c r="A1702" s="3">
        <v>42690</v>
      </c>
      <c r="B1702" s="9">
        <v>19.747347000000001</v>
      </c>
      <c r="C1702" s="9">
        <v>15.344075999999999</v>
      </c>
      <c r="E1702" s="14">
        <f t="shared" si="186"/>
        <v>1.2869687949929343</v>
      </c>
      <c r="F1702" s="18">
        <f t="shared" ca="1" si="185"/>
        <v>2.4083559759540298</v>
      </c>
      <c r="G1702" s="15">
        <f t="shared" ca="1" si="190"/>
        <v>1.2191611851445627</v>
      </c>
      <c r="H1702" s="15">
        <f t="shared" ca="1" si="191"/>
        <v>2.8155144225101809E-2</v>
      </c>
      <c r="J1702" s="17">
        <f t="shared" ca="1" si="187"/>
        <v>1</v>
      </c>
      <c r="K1702" s="24">
        <f t="shared" ca="1" si="188"/>
        <v>0</v>
      </c>
      <c r="L1702" s="17">
        <f t="shared" ca="1" si="189"/>
        <v>1</v>
      </c>
      <c r="N1702" s="24" t="str">
        <f ca="1">IF(AND(L1702=1,L1701&lt;&gt;1),MAX($N$8:N1701)+1,"")</f>
        <v/>
      </c>
      <c r="O1702" s="24" t="str">
        <f ca="1">IF(AND(L1702&lt;&gt;1,L1701=1),MAX($O$8:O1701)+1,"")</f>
        <v/>
      </c>
      <c r="P1702" s="17" t="str">
        <f ca="1">IF(AND(L1702=-1,L1701&lt;&gt;-1),MAX($P$8:P1701)+1,"")</f>
        <v/>
      </c>
      <c r="Q1702" s="24" t="str">
        <f ca="1">IF(AND(L1702&lt;&gt;-1,L1701=-1),MAX($Q$8:Q1701)+1,"")</f>
        <v/>
      </c>
    </row>
    <row r="1703" spans="1:17" x14ac:dyDescent="0.3">
      <c r="A1703" s="3">
        <v>42691</v>
      </c>
      <c r="B1703" s="9">
        <v>19.157229999999998</v>
      </c>
      <c r="C1703" s="9">
        <v>14.863733999999999</v>
      </c>
      <c r="E1703" s="14">
        <f t="shared" si="186"/>
        <v>1.2888571606569386</v>
      </c>
      <c r="F1703" s="18">
        <f t="shared" ca="1" si="185"/>
        <v>2.0950107866952026</v>
      </c>
      <c r="G1703" s="15">
        <f t="shared" ca="1" si="190"/>
        <v>1.2226130196585261</v>
      </c>
      <c r="H1703" s="15">
        <f t="shared" ca="1" si="191"/>
        <v>3.1619952230847466E-2</v>
      </c>
      <c r="J1703" s="17">
        <f t="shared" ca="1" si="187"/>
        <v>1</v>
      </c>
      <c r="K1703" s="24">
        <f t="shared" ca="1" si="188"/>
        <v>0</v>
      </c>
      <c r="L1703" s="17">
        <f t="shared" ca="1" si="189"/>
        <v>1</v>
      </c>
      <c r="N1703" s="24" t="str">
        <f ca="1">IF(AND(L1703=1,L1702&lt;&gt;1),MAX($N$8:N1702)+1,"")</f>
        <v/>
      </c>
      <c r="O1703" s="24" t="str">
        <f ca="1">IF(AND(L1703&lt;&gt;1,L1702=1),MAX($O$8:O1702)+1,"")</f>
        <v/>
      </c>
      <c r="P1703" s="17" t="str">
        <f ca="1">IF(AND(L1703=-1,L1702&lt;&gt;-1),MAX($P$8:P1702)+1,"")</f>
        <v/>
      </c>
      <c r="Q1703" s="24" t="str">
        <f ca="1">IF(AND(L1703&lt;&gt;-1,L1702=-1),MAX($Q$8:Q1702)+1,"")</f>
        <v/>
      </c>
    </row>
    <row r="1704" spans="1:17" x14ac:dyDescent="0.3">
      <c r="A1704" s="3">
        <v>42692</v>
      </c>
      <c r="B1704" s="9">
        <v>19.337540000000001</v>
      </c>
      <c r="C1704" s="9">
        <v>15.12201</v>
      </c>
      <c r="E1704" s="14">
        <f t="shared" si="186"/>
        <v>1.2787678357572836</v>
      </c>
      <c r="F1704" s="18">
        <f t="shared" ca="1" si="185"/>
        <v>1.583000862485727</v>
      </c>
      <c r="G1704" s="15">
        <f t="shared" ca="1" si="190"/>
        <v>1.2254980246405998</v>
      </c>
      <c r="H1704" s="15">
        <f t="shared" ca="1" si="191"/>
        <v>3.3651157355047957E-2</v>
      </c>
      <c r="J1704" s="17">
        <f t="shared" ca="1" si="187"/>
        <v>1</v>
      </c>
      <c r="K1704" s="24">
        <f t="shared" ca="1" si="188"/>
        <v>0</v>
      </c>
      <c r="L1704" s="17">
        <f t="shared" ca="1" si="189"/>
        <v>1</v>
      </c>
      <c r="N1704" s="24" t="str">
        <f ca="1">IF(AND(L1704=1,L1703&lt;&gt;1),MAX($N$8:N1703)+1,"")</f>
        <v/>
      </c>
      <c r="O1704" s="24" t="str">
        <f ca="1">IF(AND(L1704&lt;&gt;1,L1703=1),MAX($O$8:O1703)+1,"")</f>
        <v/>
      </c>
      <c r="P1704" s="17" t="str">
        <f ca="1">IF(AND(L1704=-1,L1703&lt;&gt;-1),MAX($P$8:P1703)+1,"")</f>
        <v/>
      </c>
      <c r="Q1704" s="24" t="str">
        <f ca="1">IF(AND(L1704&lt;&gt;-1,L1703=-1),MAX($Q$8:Q1703)+1,"")</f>
        <v/>
      </c>
    </row>
    <row r="1705" spans="1:17" x14ac:dyDescent="0.3">
      <c r="A1705" s="3">
        <v>42695</v>
      </c>
      <c r="B1705" s="9">
        <v>19.496061000000001</v>
      </c>
      <c r="C1705" s="9">
        <v>15.209773</v>
      </c>
      <c r="E1705" s="14">
        <f t="shared" si="186"/>
        <v>1.2818114379484822</v>
      </c>
      <c r="F1705" s="18">
        <f t="shared" ca="1" si="185"/>
        <v>1.4970455169110022</v>
      </c>
      <c r="G1705" s="15">
        <f t="shared" ca="1" si="190"/>
        <v>1.2290833602677773</v>
      </c>
      <c r="H1705" s="15">
        <f t="shared" ca="1" si="191"/>
        <v>3.5221425858516162E-2</v>
      </c>
      <c r="J1705" s="17">
        <f t="shared" ca="1" si="187"/>
        <v>1</v>
      </c>
      <c r="K1705" s="24">
        <f t="shared" ca="1" si="188"/>
        <v>0</v>
      </c>
      <c r="L1705" s="17">
        <f t="shared" ca="1" si="189"/>
        <v>1</v>
      </c>
      <c r="N1705" s="24" t="str">
        <f ca="1">IF(AND(L1705=1,L1704&lt;&gt;1),MAX($N$8:N1704)+1,"")</f>
        <v/>
      </c>
      <c r="O1705" s="24" t="str">
        <f ca="1">IF(AND(L1705&lt;&gt;1,L1704=1),MAX($O$8:O1704)+1,"")</f>
        <v/>
      </c>
      <c r="P1705" s="17" t="str">
        <f ca="1">IF(AND(L1705=-1,L1704&lt;&gt;-1),MAX($P$8:P1704)+1,"")</f>
        <v/>
      </c>
      <c r="Q1705" s="24" t="str">
        <f ca="1">IF(AND(L1705&lt;&gt;-1,L1704=-1),MAX($Q$8:Q1704)+1,"")</f>
        <v/>
      </c>
    </row>
    <row r="1706" spans="1:17" x14ac:dyDescent="0.3">
      <c r="A1706" s="3">
        <v>42696</v>
      </c>
      <c r="B1706" s="9">
        <v>19.561626</v>
      </c>
      <c r="C1706" s="9">
        <v>15.313052000000001</v>
      </c>
      <c r="E1706" s="14">
        <f t="shared" si="186"/>
        <v>1.2774478921641486</v>
      </c>
      <c r="F1706" s="18">
        <f t="shared" ca="1" si="185"/>
        <v>1.2486171456264976</v>
      </c>
      <c r="G1706" s="15">
        <f t="shared" ca="1" si="190"/>
        <v>1.2329761861603423</v>
      </c>
      <c r="H1706" s="15">
        <f t="shared" ca="1" si="191"/>
        <v>3.5616767044707218E-2</v>
      </c>
      <c r="J1706" s="17">
        <f t="shared" ca="1" si="187"/>
        <v>1</v>
      </c>
      <c r="K1706" s="24">
        <f t="shared" ca="1" si="188"/>
        <v>0</v>
      </c>
      <c r="L1706" s="17">
        <f t="shared" ca="1" si="189"/>
        <v>1</v>
      </c>
      <c r="N1706" s="24" t="str">
        <f ca="1">IF(AND(L1706=1,L1705&lt;&gt;1),MAX($N$8:N1705)+1,"")</f>
        <v/>
      </c>
      <c r="O1706" s="24" t="str">
        <f ca="1">IF(AND(L1706&lt;&gt;1,L1705=1),MAX($O$8:O1705)+1,"")</f>
        <v/>
      </c>
      <c r="P1706" s="17" t="str">
        <f ca="1">IF(AND(L1706=-1,L1705&lt;&gt;-1),MAX($P$8:P1705)+1,"")</f>
        <v/>
      </c>
      <c r="Q1706" s="24" t="str">
        <f ca="1">IF(AND(L1706&lt;&gt;-1,L1705=-1),MAX($Q$8:Q1705)+1,"")</f>
        <v/>
      </c>
    </row>
    <row r="1707" spans="1:17" x14ac:dyDescent="0.3">
      <c r="A1707" s="3">
        <v>42697</v>
      </c>
      <c r="B1707" s="9">
        <v>19.381311</v>
      </c>
      <c r="C1707" s="9">
        <v>15.380205</v>
      </c>
      <c r="E1707" s="14">
        <f t="shared" si="186"/>
        <v>1.2601464674885672</v>
      </c>
      <c r="F1707" s="18">
        <f t="shared" ca="1" si="185"/>
        <v>0.69080448360848801</v>
      </c>
      <c r="G1707" s="15">
        <f t="shared" ca="1" si="190"/>
        <v>1.2366996318165235</v>
      </c>
      <c r="H1707" s="15">
        <f t="shared" ca="1" si="191"/>
        <v>3.3941348425486025E-2</v>
      </c>
      <c r="J1707" s="17">
        <f t="shared" ca="1" si="187"/>
        <v>1</v>
      </c>
      <c r="K1707" s="24">
        <f t="shared" ca="1" si="188"/>
        <v>0</v>
      </c>
      <c r="L1707" s="17">
        <f t="shared" ca="1" si="189"/>
        <v>1</v>
      </c>
      <c r="N1707" s="24" t="str">
        <f ca="1">IF(AND(L1707=1,L1706&lt;&gt;1),MAX($N$8:N1706)+1,"")</f>
        <v/>
      </c>
      <c r="O1707" s="24" t="str">
        <f ca="1">IF(AND(L1707&lt;&gt;1,L1706=1),MAX($O$8:O1706)+1,"")</f>
        <v/>
      </c>
      <c r="P1707" s="17" t="str">
        <f ca="1">IF(AND(L1707=-1,L1706&lt;&gt;-1),MAX($P$8:P1706)+1,"")</f>
        <v/>
      </c>
      <c r="Q1707" s="24" t="str">
        <f ca="1">IF(AND(L1707&lt;&gt;-1,L1706=-1),MAX($Q$8:Q1706)+1,"")</f>
        <v/>
      </c>
    </row>
    <row r="1708" spans="1:17" x14ac:dyDescent="0.3">
      <c r="A1708" s="3">
        <v>42698</v>
      </c>
      <c r="B1708" s="9">
        <v>19.179106000000001</v>
      </c>
      <c r="C1708" s="9">
        <v>15.235595999999999</v>
      </c>
      <c r="E1708" s="14">
        <f t="shared" si="186"/>
        <v>1.258835295973981</v>
      </c>
      <c r="F1708" s="18">
        <f t="shared" ca="1" si="185"/>
        <v>0.58202222791209202</v>
      </c>
      <c r="G1708" s="15">
        <f t="shared" ca="1" si="190"/>
        <v>1.239939875555107</v>
      </c>
      <c r="H1708" s="15">
        <f t="shared" ca="1" si="191"/>
        <v>3.2465118190860551E-2</v>
      </c>
      <c r="J1708" s="17">
        <f t="shared" ca="1" si="187"/>
        <v>1</v>
      </c>
      <c r="K1708" s="24">
        <f t="shared" ca="1" si="188"/>
        <v>0</v>
      </c>
      <c r="L1708" s="17">
        <f t="shared" ca="1" si="189"/>
        <v>1</v>
      </c>
      <c r="N1708" s="24" t="str">
        <f ca="1">IF(AND(L1708=1,L1707&lt;&gt;1),MAX($N$8:N1707)+1,"")</f>
        <v/>
      </c>
      <c r="O1708" s="24" t="str">
        <f ca="1">IF(AND(L1708&lt;&gt;1,L1707=1),MAX($O$8:O1707)+1,"")</f>
        <v/>
      </c>
      <c r="P1708" s="17" t="str">
        <f ca="1">IF(AND(L1708=-1,L1707&lt;&gt;-1),MAX($P$8:P1707)+1,"")</f>
        <v/>
      </c>
      <c r="Q1708" s="24" t="str">
        <f ca="1">IF(AND(L1708&lt;&gt;-1,L1707=-1),MAX($Q$8:Q1707)+1,"")</f>
        <v/>
      </c>
    </row>
    <row r="1709" spans="1:17" x14ac:dyDescent="0.3">
      <c r="A1709" s="3">
        <v>42699</v>
      </c>
      <c r="B1709" s="9">
        <v>19.047974</v>
      </c>
      <c r="C1709" s="9">
        <v>15.307938999999999</v>
      </c>
      <c r="E1709" s="14">
        <f t="shared" si="186"/>
        <v>1.2443199571150629</v>
      </c>
      <c r="F1709" s="18">
        <f t="shared" ca="1" si="185"/>
        <v>6.0885257797665446E-2</v>
      </c>
      <c r="G1709" s="15">
        <f t="shared" ca="1" si="190"/>
        <v>1.2424636053358609</v>
      </c>
      <c r="H1709" s="15">
        <f t="shared" ca="1" si="191"/>
        <v>3.0489347443861017E-2</v>
      </c>
      <c r="J1709" s="17">
        <f t="shared" ca="1" si="187"/>
        <v>1</v>
      </c>
      <c r="K1709" s="24">
        <f t="shared" ca="1" si="188"/>
        <v>0</v>
      </c>
      <c r="L1709" s="17">
        <f t="shared" ca="1" si="189"/>
        <v>1</v>
      </c>
      <c r="N1709" s="24" t="str">
        <f ca="1">IF(AND(L1709=1,L1708&lt;&gt;1),MAX($N$8:N1708)+1,"")</f>
        <v/>
      </c>
      <c r="O1709" s="24" t="str">
        <f ca="1">IF(AND(L1709&lt;&gt;1,L1708=1),MAX($O$8:O1708)+1,"")</f>
        <v/>
      </c>
      <c r="P1709" s="17" t="str">
        <f ca="1">IF(AND(L1709=-1,L1708&lt;&gt;-1),MAX($P$8:P1708)+1,"")</f>
        <v/>
      </c>
      <c r="Q1709" s="24" t="str">
        <f ca="1">IF(AND(L1709&lt;&gt;-1,L1708=-1),MAX($Q$8:Q1708)+1,"")</f>
        <v/>
      </c>
    </row>
    <row r="1710" spans="1:17" x14ac:dyDescent="0.3">
      <c r="A1710" s="3">
        <v>42702</v>
      </c>
      <c r="B1710" s="9">
        <v>19.452283999999999</v>
      </c>
      <c r="C1710" s="9">
        <v>15.498989999999999</v>
      </c>
      <c r="E1710" s="14">
        <f t="shared" si="186"/>
        <v>1.25506784635644</v>
      </c>
      <c r="F1710" s="18">
        <f t="shared" ca="1" si="185"/>
        <v>0.33943837856252129</v>
      </c>
      <c r="G1710" s="15">
        <f t="shared" ca="1" si="190"/>
        <v>1.2455084278404689</v>
      </c>
      <c r="H1710" s="15">
        <f t="shared" ca="1" si="191"/>
        <v>2.8162456338773525E-2</v>
      </c>
      <c r="J1710" s="17">
        <f t="shared" ca="1" si="187"/>
        <v>1</v>
      </c>
      <c r="K1710" s="24">
        <f t="shared" ca="1" si="188"/>
        <v>0</v>
      </c>
      <c r="L1710" s="17">
        <f t="shared" ca="1" si="189"/>
        <v>1</v>
      </c>
      <c r="N1710" s="24" t="str">
        <f ca="1">IF(AND(L1710=1,L1709&lt;&gt;1),MAX($N$8:N1709)+1,"")</f>
        <v/>
      </c>
      <c r="O1710" s="24" t="str">
        <f ca="1">IF(AND(L1710&lt;&gt;1,L1709=1),MAX($O$8:O1709)+1,"")</f>
        <v/>
      </c>
      <c r="P1710" s="17" t="str">
        <f ca="1">IF(AND(L1710=-1,L1709&lt;&gt;-1),MAX($P$8:P1709)+1,"")</f>
        <v/>
      </c>
      <c r="Q1710" s="24" t="str">
        <f ca="1">IF(AND(L1710&lt;&gt;-1,L1709=-1),MAX($Q$8:Q1709)+1,"")</f>
        <v/>
      </c>
    </row>
    <row r="1711" spans="1:17" x14ac:dyDescent="0.3">
      <c r="A1711" s="3">
        <v>42703</v>
      </c>
      <c r="B1711" s="9">
        <v>18.982399000000001</v>
      </c>
      <c r="C1711" s="9">
        <v>15.00834</v>
      </c>
      <c r="E1711" s="14">
        <f t="shared" si="186"/>
        <v>1.264790043402535</v>
      </c>
      <c r="F1711" s="18">
        <f t="shared" ca="1" si="185"/>
        <v>0.61425497960813369</v>
      </c>
      <c r="G1711" s="15">
        <f t="shared" ca="1" si="190"/>
        <v>1.2484409558588541</v>
      </c>
      <c r="H1711" s="15">
        <f t="shared" ca="1" si="191"/>
        <v>2.6616125365578443E-2</v>
      </c>
      <c r="J1711" s="17">
        <f t="shared" ca="1" si="187"/>
        <v>1</v>
      </c>
      <c r="K1711" s="24">
        <f t="shared" ca="1" si="188"/>
        <v>0</v>
      </c>
      <c r="L1711" s="17">
        <f t="shared" ca="1" si="189"/>
        <v>1</v>
      </c>
      <c r="N1711" s="24" t="str">
        <f ca="1">IF(AND(L1711=1,L1710&lt;&gt;1),MAX($N$8:N1710)+1,"")</f>
        <v/>
      </c>
      <c r="O1711" s="24" t="str">
        <f ca="1">IF(AND(L1711&lt;&gt;1,L1710=1),MAX($O$8:O1710)+1,"")</f>
        <v/>
      </c>
      <c r="P1711" s="17" t="str">
        <f ca="1">IF(AND(L1711=-1,L1710&lt;&gt;-1),MAX($P$8:P1710)+1,"")</f>
        <v/>
      </c>
      <c r="Q1711" s="24" t="str">
        <f ca="1">IF(AND(L1711&lt;&gt;-1,L1710=-1),MAX($Q$8:Q1710)+1,"")</f>
        <v/>
      </c>
    </row>
    <row r="1712" spans="1:17" x14ac:dyDescent="0.3">
      <c r="A1712" s="3">
        <v>42704</v>
      </c>
      <c r="B1712" s="9">
        <v>19.353936999999998</v>
      </c>
      <c r="C1712" s="9">
        <v>15.364772</v>
      </c>
      <c r="E1712" s="14">
        <f t="shared" si="186"/>
        <v>1.2596306017427397</v>
      </c>
      <c r="F1712" s="18">
        <f t="shared" ca="1" si="185"/>
        <v>0.34958600264551198</v>
      </c>
      <c r="G1712" s="15">
        <f t="shared" ca="1" si="190"/>
        <v>1.2508873492767731</v>
      </c>
      <c r="H1712" s="15">
        <f t="shared" ca="1" si="191"/>
        <v>2.5010304759920193E-2</v>
      </c>
      <c r="J1712" s="17">
        <f t="shared" ca="1" si="187"/>
        <v>1</v>
      </c>
      <c r="K1712" s="24">
        <f t="shared" ca="1" si="188"/>
        <v>0</v>
      </c>
      <c r="L1712" s="17">
        <f t="shared" ca="1" si="189"/>
        <v>1</v>
      </c>
      <c r="N1712" s="24" t="str">
        <f ca="1">IF(AND(L1712=1,L1711&lt;&gt;1),MAX($N$8:N1711)+1,"")</f>
        <v/>
      </c>
      <c r="O1712" s="24" t="str">
        <f ca="1">IF(AND(L1712&lt;&gt;1,L1711=1),MAX($O$8:O1711)+1,"")</f>
        <v/>
      </c>
      <c r="P1712" s="17" t="str">
        <f ca="1">IF(AND(L1712=-1,L1711&lt;&gt;-1),MAX($P$8:P1711)+1,"")</f>
        <v/>
      </c>
      <c r="Q1712" s="24" t="str">
        <f ca="1">IF(AND(L1712&lt;&gt;-1,L1711=-1),MAX($Q$8:Q1711)+1,"")</f>
        <v/>
      </c>
    </row>
    <row r="1713" spans="1:17" x14ac:dyDescent="0.3">
      <c r="A1713" s="3">
        <v>42705</v>
      </c>
      <c r="B1713" s="9">
        <v>18.480484000000001</v>
      </c>
      <c r="C1713" s="9">
        <v>14.507379999999999</v>
      </c>
      <c r="E1713" s="14">
        <f t="shared" si="186"/>
        <v>1.2738677831558836</v>
      </c>
      <c r="F1713" s="18">
        <f t="shared" ca="1" si="185"/>
        <v>0.84311687202300067</v>
      </c>
      <c r="G1713" s="15">
        <f t="shared" ca="1" si="190"/>
        <v>1.2537236093878112</v>
      </c>
      <c r="H1713" s="15">
        <f t="shared" ca="1" si="191"/>
        <v>2.3892504629563115E-2</v>
      </c>
      <c r="J1713" s="17">
        <f t="shared" ca="1" si="187"/>
        <v>1</v>
      </c>
      <c r="K1713" s="24">
        <f t="shared" ca="1" si="188"/>
        <v>0</v>
      </c>
      <c r="L1713" s="17">
        <f t="shared" ca="1" si="189"/>
        <v>1</v>
      </c>
      <c r="N1713" s="24" t="str">
        <f ca="1">IF(AND(L1713=1,L1712&lt;&gt;1),MAX($N$8:N1712)+1,"")</f>
        <v/>
      </c>
      <c r="O1713" s="24" t="str">
        <f ca="1">IF(AND(L1713&lt;&gt;1,L1712=1),MAX($O$8:O1712)+1,"")</f>
        <v/>
      </c>
      <c r="P1713" s="17" t="str">
        <f ca="1">IF(AND(L1713=-1,L1712&lt;&gt;-1),MAX($P$8:P1712)+1,"")</f>
        <v/>
      </c>
      <c r="Q1713" s="24" t="str">
        <f ca="1">IF(AND(L1713&lt;&gt;-1,L1712=-1),MAX($Q$8:Q1712)+1,"")</f>
        <v/>
      </c>
    </row>
    <row r="1714" spans="1:17" x14ac:dyDescent="0.3">
      <c r="A1714" s="3">
        <v>42706</v>
      </c>
      <c r="B1714" s="9">
        <v>18.557085000000001</v>
      </c>
      <c r="C1714" s="9">
        <v>14.745437000000001</v>
      </c>
      <c r="E1714" s="14">
        <f t="shared" si="186"/>
        <v>1.258496781072002</v>
      </c>
      <c r="F1714" s="18">
        <f t="shared" ca="1" si="185"/>
        <v>0.12561054102680055</v>
      </c>
      <c r="G1714" s="15">
        <f t="shared" ca="1" si="190"/>
        <v>1.2556849662016374</v>
      </c>
      <c r="H1714" s="15">
        <f t="shared" ca="1" si="191"/>
        <v>2.238518238500941E-2</v>
      </c>
      <c r="J1714" s="17">
        <f t="shared" ca="1" si="187"/>
        <v>1</v>
      </c>
      <c r="K1714" s="24">
        <f t="shared" ca="1" si="188"/>
        <v>0</v>
      </c>
      <c r="L1714" s="17">
        <f t="shared" ca="1" si="189"/>
        <v>1</v>
      </c>
      <c r="N1714" s="24" t="str">
        <f ca="1">IF(AND(L1714=1,L1713&lt;&gt;1),MAX($N$8:N1713)+1,"")</f>
        <v/>
      </c>
      <c r="O1714" s="24" t="str">
        <f ca="1">IF(AND(L1714&lt;&gt;1,L1713=1),MAX($O$8:O1713)+1,"")</f>
        <v/>
      </c>
      <c r="P1714" s="17" t="str">
        <f ca="1">IF(AND(L1714=-1,L1713&lt;&gt;-1),MAX($P$8:P1713)+1,"")</f>
        <v/>
      </c>
      <c r="Q1714" s="24" t="str">
        <f ca="1">IF(AND(L1714&lt;&gt;-1,L1713=-1),MAX($Q$8:Q1713)+1,"")</f>
        <v/>
      </c>
    </row>
    <row r="1715" spans="1:17" x14ac:dyDescent="0.3">
      <c r="A1715" s="3">
        <v>42709</v>
      </c>
      <c r="B1715" s="9">
        <v>18.491478000000001</v>
      </c>
      <c r="C1715" s="9">
        <v>14.667808000000001</v>
      </c>
      <c r="E1715" s="14">
        <f t="shared" si="186"/>
        <v>1.2606844867344869</v>
      </c>
      <c r="F1715" s="18">
        <f t="shared" ca="1" si="185"/>
        <v>0.14256068546734713</v>
      </c>
      <c r="G1715" s="15">
        <f t="shared" ca="1" si="190"/>
        <v>1.2577502049934444</v>
      </c>
      <c r="H1715" s="15">
        <f t="shared" ca="1" si="191"/>
        <v>2.0582685411642272E-2</v>
      </c>
      <c r="J1715" s="17">
        <f t="shared" ca="1" si="187"/>
        <v>1</v>
      </c>
      <c r="K1715" s="24">
        <f t="shared" ca="1" si="188"/>
        <v>0</v>
      </c>
      <c r="L1715" s="17">
        <f t="shared" ca="1" si="189"/>
        <v>1</v>
      </c>
      <c r="N1715" s="24" t="str">
        <f ca="1">IF(AND(L1715=1,L1714&lt;&gt;1),MAX($N$8:N1714)+1,"")</f>
        <v/>
      </c>
      <c r="O1715" s="24" t="str">
        <f ca="1">IF(AND(L1715&lt;&gt;1,L1714=1),MAX($O$8:O1714)+1,"")</f>
        <v/>
      </c>
      <c r="P1715" s="17" t="str">
        <f ca="1">IF(AND(L1715=-1,L1714&lt;&gt;-1),MAX($P$8:P1714)+1,"")</f>
        <v/>
      </c>
      <c r="Q1715" s="24" t="str">
        <f ca="1">IF(AND(L1715&lt;&gt;-1,L1714=-1),MAX($Q$8:Q1714)+1,"")</f>
        <v/>
      </c>
    </row>
    <row r="1716" spans="1:17" x14ac:dyDescent="0.3">
      <c r="A1716" s="3">
        <v>42710</v>
      </c>
      <c r="B1716" s="9">
        <v>18.737514000000001</v>
      </c>
      <c r="C1716" s="9">
        <v>14.983262</v>
      </c>
      <c r="E1716" s="14">
        <f t="shared" si="186"/>
        <v>1.2505630616350432</v>
      </c>
      <c r="F1716" s="18">
        <f t="shared" ca="1" si="185"/>
        <v>-0.46353951031700558</v>
      </c>
      <c r="G1716" s="15">
        <f t="shared" ca="1" si="190"/>
        <v>1.2592448085195385</v>
      </c>
      <c r="H1716" s="15">
        <f t="shared" ca="1" si="191"/>
        <v>1.872924894483757E-2</v>
      </c>
      <c r="J1716" s="17">
        <f t="shared" ca="1" si="187"/>
        <v>0</v>
      </c>
      <c r="K1716" s="24">
        <f t="shared" ca="1" si="188"/>
        <v>0</v>
      </c>
      <c r="L1716" s="17">
        <f t="shared" ca="1" si="189"/>
        <v>0</v>
      </c>
      <c r="N1716" s="24" t="str">
        <f ca="1">IF(AND(L1716=1,L1715&lt;&gt;1),MAX($N$8:N1715)+1,"")</f>
        <v/>
      </c>
      <c r="O1716" s="24">
        <f ca="1">IF(AND(L1716&lt;&gt;1,L1715=1),MAX($O$8:O1715)+1,"")</f>
        <v>56</v>
      </c>
      <c r="P1716" s="17" t="str">
        <f ca="1">IF(AND(L1716=-1,L1715&lt;&gt;-1),MAX($P$8:P1715)+1,"")</f>
        <v/>
      </c>
      <c r="Q1716" s="24" t="str">
        <f ca="1">IF(AND(L1716&lt;&gt;-1,L1715=-1),MAX($Q$8:Q1715)+1,"")</f>
        <v/>
      </c>
    </row>
    <row r="1717" spans="1:17" x14ac:dyDescent="0.3">
      <c r="A1717" s="3">
        <v>42711</v>
      </c>
      <c r="B1717" s="9">
        <v>18.589897000000001</v>
      </c>
      <c r="C1717" s="9">
        <v>14.890192000000001</v>
      </c>
      <c r="E1717" s="14">
        <f t="shared" si="186"/>
        <v>1.2484659029245559</v>
      </c>
      <c r="F1717" s="18">
        <f t="shared" ca="1" si="185"/>
        <v>-0.66585033437185859</v>
      </c>
      <c r="G1717" s="15">
        <f t="shared" ca="1" si="190"/>
        <v>1.2601885519184182</v>
      </c>
      <c r="H1717" s="15">
        <f t="shared" ca="1" si="191"/>
        <v>1.7605531436611772E-2</v>
      </c>
      <c r="J1717" s="17">
        <f t="shared" ca="1" si="187"/>
        <v>0</v>
      </c>
      <c r="K1717" s="24">
        <f t="shared" ca="1" si="188"/>
        <v>0</v>
      </c>
      <c r="L1717" s="17">
        <f t="shared" ca="1" si="189"/>
        <v>0</v>
      </c>
      <c r="N1717" s="24" t="str">
        <f ca="1">IF(AND(L1717=1,L1716&lt;&gt;1),MAX($N$8:N1716)+1,"")</f>
        <v/>
      </c>
      <c r="O1717" s="24" t="str">
        <f ca="1">IF(AND(L1717&lt;&gt;1,L1716=1),MAX($O$8:O1716)+1,"")</f>
        <v/>
      </c>
      <c r="P1717" s="17" t="str">
        <f ca="1">IF(AND(L1717=-1,L1716&lt;&gt;-1),MAX($P$8:P1716)+1,"")</f>
        <v/>
      </c>
      <c r="Q1717" s="24" t="str">
        <f ca="1">IF(AND(L1717&lt;&gt;-1,L1716=-1),MAX($Q$8:Q1716)+1,"")</f>
        <v/>
      </c>
    </row>
    <row r="1718" spans="1:17" x14ac:dyDescent="0.3">
      <c r="A1718" s="3">
        <v>42712</v>
      </c>
      <c r="B1718" s="9">
        <v>18.480484000000001</v>
      </c>
      <c r="C1718" s="9">
        <v>14.735033</v>
      </c>
      <c r="E1718" s="14">
        <f t="shared" si="186"/>
        <v>1.2541868077255069</v>
      </c>
      <c r="F1718" s="18">
        <f t="shared" ca="1" si="185"/>
        <v>-0.43759254666481862</v>
      </c>
      <c r="G1718" s="15">
        <f t="shared" ca="1" si="190"/>
        <v>1.2613286966153585</v>
      </c>
      <c r="H1718" s="15">
        <f t="shared" ca="1" si="191"/>
        <v>1.6320865024517926E-2</v>
      </c>
      <c r="J1718" s="17">
        <f t="shared" ca="1" si="187"/>
        <v>0</v>
      </c>
      <c r="K1718" s="24">
        <f t="shared" ca="1" si="188"/>
        <v>0</v>
      </c>
      <c r="L1718" s="17">
        <f t="shared" ca="1" si="189"/>
        <v>0</v>
      </c>
      <c r="N1718" s="24" t="str">
        <f ca="1">IF(AND(L1718=1,L1717&lt;&gt;1),MAX($N$8:N1717)+1,"")</f>
        <v/>
      </c>
      <c r="O1718" s="24" t="str">
        <f ca="1">IF(AND(L1718&lt;&gt;1,L1717=1),MAX($O$8:O1717)+1,"")</f>
        <v/>
      </c>
      <c r="P1718" s="17" t="str">
        <f ca="1">IF(AND(L1718=-1,L1717&lt;&gt;-1),MAX($P$8:P1717)+1,"")</f>
        <v/>
      </c>
      <c r="Q1718" s="24" t="str">
        <f ca="1">IF(AND(L1718&lt;&gt;-1,L1717=-1),MAX($Q$8:Q1717)+1,"")</f>
        <v/>
      </c>
    </row>
    <row r="1719" spans="1:17" x14ac:dyDescent="0.3">
      <c r="A1719" s="3">
        <v>42713</v>
      </c>
      <c r="B1719" s="9">
        <v>18.535191000000001</v>
      </c>
      <c r="C1719" s="9">
        <v>14.931488</v>
      </c>
      <c r="E1719" s="14">
        <f t="shared" si="186"/>
        <v>1.2413492211894757</v>
      </c>
      <c r="F1719" s="18">
        <f t="shared" ca="1" si="185"/>
        <v>-1.2953397957141302</v>
      </c>
      <c r="G1719" s="15">
        <f t="shared" ca="1" si="190"/>
        <v>1.261718775419107</v>
      </c>
      <c r="H1719" s="15">
        <f t="shared" ca="1" si="191"/>
        <v>1.5725259346642321E-2</v>
      </c>
      <c r="J1719" s="17">
        <f t="shared" ca="1" si="187"/>
        <v>0</v>
      </c>
      <c r="K1719" s="24">
        <f t="shared" ca="1" si="188"/>
        <v>-1</v>
      </c>
      <c r="L1719" s="17">
        <f t="shared" ca="1" si="189"/>
        <v>-1</v>
      </c>
      <c r="N1719" s="24" t="str">
        <f ca="1">IF(AND(L1719=1,L1718&lt;&gt;1),MAX($N$8:N1718)+1,"")</f>
        <v/>
      </c>
      <c r="O1719" s="24" t="str">
        <f ca="1">IF(AND(L1719&lt;&gt;1,L1718=1),MAX($O$8:O1718)+1,"")</f>
        <v/>
      </c>
      <c r="P1719" s="17">
        <f ca="1">IF(AND(L1719=-1,L1718&lt;&gt;-1),MAX($P$8:P1718)+1,"")</f>
        <v>64</v>
      </c>
      <c r="Q1719" s="24" t="str">
        <f ca="1">IF(AND(L1719&lt;&gt;-1,L1718=-1),MAX($Q$8:Q1718)+1,"")</f>
        <v/>
      </c>
    </row>
    <row r="1720" spans="1:17" x14ac:dyDescent="0.3">
      <c r="A1720" s="3">
        <v>42716</v>
      </c>
      <c r="B1720" s="9">
        <v>17.769750999999999</v>
      </c>
      <c r="C1720" s="9">
        <v>14.311071999999999</v>
      </c>
      <c r="E1720" s="14">
        <f t="shared" si="186"/>
        <v>1.2416785409227205</v>
      </c>
      <c r="F1720" s="18">
        <f t="shared" ca="1" si="185"/>
        <v>-1.426898407419712</v>
      </c>
      <c r="G1720" s="15">
        <f t="shared" ca="1" si="190"/>
        <v>1.262382675273322</v>
      </c>
      <c r="H1720" s="15">
        <f t="shared" ca="1" si="191"/>
        <v>1.450988678867564E-2</v>
      </c>
      <c r="J1720" s="17">
        <f t="shared" ca="1" si="187"/>
        <v>0</v>
      </c>
      <c r="K1720" s="24">
        <f t="shared" ca="1" si="188"/>
        <v>-1</v>
      </c>
      <c r="L1720" s="17">
        <f t="shared" ca="1" si="189"/>
        <v>-1</v>
      </c>
      <c r="N1720" s="24" t="str">
        <f ca="1">IF(AND(L1720=1,L1719&lt;&gt;1),MAX($N$8:N1719)+1,"")</f>
        <v/>
      </c>
      <c r="O1720" s="24" t="str">
        <f ca="1">IF(AND(L1720&lt;&gt;1,L1719=1),MAX($O$8:O1719)+1,"")</f>
        <v/>
      </c>
      <c r="P1720" s="17" t="str">
        <f ca="1">IF(AND(L1720=-1,L1719&lt;&gt;-1),MAX($P$8:P1719)+1,"")</f>
        <v/>
      </c>
      <c r="Q1720" s="24" t="str">
        <f ca="1">IF(AND(L1720&lt;&gt;-1,L1719=-1),MAX($Q$8:Q1719)+1,"")</f>
        <v/>
      </c>
    </row>
    <row r="1721" spans="1:17" x14ac:dyDescent="0.3">
      <c r="A1721" s="3">
        <v>42717</v>
      </c>
      <c r="B1721" s="9">
        <v>17.851762999999998</v>
      </c>
      <c r="C1721" s="9">
        <v>14.367972999999999</v>
      </c>
      <c r="E1721" s="14">
        <f t="shared" si="186"/>
        <v>1.2424691360430591</v>
      </c>
      <c r="F1721" s="18">
        <f t="shared" ca="1" si="185"/>
        <v>-1.2520565280759026</v>
      </c>
      <c r="G1721" s="15">
        <f t="shared" ca="1" si="190"/>
        <v>1.2606722356171813</v>
      </c>
      <c r="H1721" s="15">
        <f t="shared" ca="1" si="191"/>
        <v>1.4538560493028103E-2</v>
      </c>
      <c r="J1721" s="17">
        <f t="shared" ca="1" si="187"/>
        <v>0</v>
      </c>
      <c r="K1721" s="24">
        <f t="shared" ca="1" si="188"/>
        <v>-1</v>
      </c>
      <c r="L1721" s="17">
        <f t="shared" ca="1" si="189"/>
        <v>-1</v>
      </c>
      <c r="N1721" s="24" t="str">
        <f ca="1">IF(AND(L1721=1,L1720&lt;&gt;1),MAX($N$8:N1720)+1,"")</f>
        <v/>
      </c>
      <c r="O1721" s="24" t="str">
        <f ca="1">IF(AND(L1721&lt;&gt;1,L1720=1),MAX($O$8:O1720)+1,"")</f>
        <v/>
      </c>
      <c r="P1721" s="17" t="str">
        <f ca="1">IF(AND(L1721=-1,L1720&lt;&gt;-1),MAX($P$8:P1720)+1,"")</f>
        <v/>
      </c>
      <c r="Q1721" s="24" t="str">
        <f ca="1">IF(AND(L1721&lt;&gt;-1,L1720=-1),MAX($Q$8:Q1720)+1,"")</f>
        <v/>
      </c>
    </row>
    <row r="1722" spans="1:17" x14ac:dyDescent="0.3">
      <c r="A1722" s="3">
        <v>42718</v>
      </c>
      <c r="B1722" s="9">
        <v>17.813461</v>
      </c>
      <c r="C1722" s="9">
        <v>14.197362</v>
      </c>
      <c r="E1722" s="14">
        <f t="shared" si="186"/>
        <v>1.2547021763620594</v>
      </c>
      <c r="F1722" s="18">
        <f t="shared" ca="1" si="185"/>
        <v>-0.38797369024542688</v>
      </c>
      <c r="G1722" s="15">
        <f t="shared" ca="1" si="190"/>
        <v>1.260362628551382</v>
      </c>
      <c r="H1722" s="15">
        <f t="shared" ca="1" si="191"/>
        <v>1.4589783615847575E-2</v>
      </c>
      <c r="J1722" s="17">
        <f t="shared" ca="1" si="187"/>
        <v>0</v>
      </c>
      <c r="K1722" s="24">
        <f t="shared" ca="1" si="188"/>
        <v>-1</v>
      </c>
      <c r="L1722" s="17">
        <f t="shared" ca="1" si="189"/>
        <v>-1</v>
      </c>
      <c r="N1722" s="24" t="str">
        <f ca="1">IF(AND(L1722=1,L1721&lt;&gt;1),MAX($N$8:N1721)+1,"")</f>
        <v/>
      </c>
      <c r="O1722" s="24" t="str">
        <f ca="1">IF(AND(L1722&lt;&gt;1,L1721=1),MAX($O$8:O1721)+1,"")</f>
        <v/>
      </c>
      <c r="P1722" s="17" t="str">
        <f ca="1">IF(AND(L1722=-1,L1721&lt;&gt;-1),MAX($P$8:P1721)+1,"")</f>
        <v/>
      </c>
      <c r="Q1722" s="24" t="str">
        <f ca="1">IF(AND(L1722&lt;&gt;-1,L1721=-1),MAX($Q$8:Q1721)+1,"")</f>
        <v/>
      </c>
    </row>
    <row r="1723" spans="1:17" x14ac:dyDescent="0.3">
      <c r="A1723" s="3">
        <v>42719</v>
      </c>
      <c r="B1723" s="9">
        <v>17.742363000000001</v>
      </c>
      <c r="C1723" s="9">
        <v>14.243855</v>
      </c>
      <c r="E1723" s="14">
        <f t="shared" si="186"/>
        <v>1.245615249523391</v>
      </c>
      <c r="F1723" s="18">
        <f t="shared" ca="1" si="185"/>
        <v>-1.0155690820108187</v>
      </c>
      <c r="G1723" s="15">
        <f t="shared" ca="1" si="190"/>
        <v>1.2603964764039679</v>
      </c>
      <c r="H1723" s="15">
        <f t="shared" ca="1" si="191"/>
        <v>1.455462473444959E-2</v>
      </c>
      <c r="J1723" s="17">
        <f t="shared" ca="1" si="187"/>
        <v>0</v>
      </c>
      <c r="K1723" s="24">
        <f t="shared" ca="1" si="188"/>
        <v>-1</v>
      </c>
      <c r="L1723" s="17">
        <f t="shared" ca="1" si="189"/>
        <v>-1</v>
      </c>
      <c r="N1723" s="24" t="str">
        <f ca="1">IF(AND(L1723=1,L1722&lt;&gt;1),MAX($N$8:N1722)+1,"")</f>
        <v/>
      </c>
      <c r="O1723" s="24" t="str">
        <f ca="1">IF(AND(L1723&lt;&gt;1,L1722=1),MAX($O$8:O1722)+1,"")</f>
        <v/>
      </c>
      <c r="P1723" s="17" t="str">
        <f ca="1">IF(AND(L1723=-1,L1722&lt;&gt;-1),MAX($P$8:P1722)+1,"")</f>
        <v/>
      </c>
      <c r="Q1723" s="24" t="str">
        <f ca="1">IF(AND(L1723&lt;&gt;-1,L1722=-1),MAX($Q$8:Q1722)+1,"")</f>
        <v/>
      </c>
    </row>
    <row r="1724" spans="1:17" x14ac:dyDescent="0.3">
      <c r="A1724" s="3">
        <v>42720</v>
      </c>
      <c r="B1724" s="9">
        <v>17.425293</v>
      </c>
      <c r="C1724" s="9">
        <v>14.166316</v>
      </c>
      <c r="E1724" s="14">
        <f t="shared" si="186"/>
        <v>1.2300511297361996</v>
      </c>
      <c r="F1724" s="18">
        <f t="shared" ca="1" si="185"/>
        <v>-1.8935100087096908</v>
      </c>
      <c r="G1724" s="15">
        <f t="shared" ca="1" si="190"/>
        <v>1.2578093098013889</v>
      </c>
      <c r="H1724" s="15">
        <f t="shared" ca="1" si="191"/>
        <v>1.4659642641184056E-2</v>
      </c>
      <c r="J1724" s="17">
        <f t="shared" ca="1" si="187"/>
        <v>0</v>
      </c>
      <c r="K1724" s="24">
        <f t="shared" ca="1" si="188"/>
        <v>-1</v>
      </c>
      <c r="L1724" s="17">
        <f t="shared" ca="1" si="189"/>
        <v>-1</v>
      </c>
      <c r="N1724" s="24" t="str">
        <f ca="1">IF(AND(L1724=1,L1723&lt;&gt;1),MAX($N$8:N1723)+1,"")</f>
        <v/>
      </c>
      <c r="O1724" s="24" t="str">
        <f ca="1">IF(AND(L1724&lt;&gt;1,L1723=1),MAX($O$8:O1723)+1,"")</f>
        <v/>
      </c>
      <c r="P1724" s="17" t="str">
        <f ca="1">IF(AND(L1724=-1,L1723&lt;&gt;-1),MAX($P$8:P1723)+1,"")</f>
        <v/>
      </c>
      <c r="Q1724" s="24" t="str">
        <f ca="1">IF(AND(L1724&lt;&gt;-1,L1723=-1),MAX($Q$8:Q1723)+1,"")</f>
        <v/>
      </c>
    </row>
    <row r="1725" spans="1:17" x14ac:dyDescent="0.3">
      <c r="A1725" s="3">
        <v>42723</v>
      </c>
      <c r="B1725" s="9">
        <v>16.955024999999999</v>
      </c>
      <c r="C1725" s="9">
        <v>13.85615</v>
      </c>
      <c r="E1725" s="14">
        <f t="shared" si="186"/>
        <v>1.2236461787726027</v>
      </c>
      <c r="F1725" s="18">
        <f t="shared" ca="1" si="185"/>
        <v>-2.1260085735083956</v>
      </c>
      <c r="G1725" s="15">
        <f t="shared" ca="1" si="190"/>
        <v>1.2548451742611919</v>
      </c>
      <c r="H1725" s="15">
        <f t="shared" ca="1" si="191"/>
        <v>1.4674915180188463E-2</v>
      </c>
      <c r="J1725" s="17">
        <f t="shared" ca="1" si="187"/>
        <v>0</v>
      </c>
      <c r="K1725" s="24">
        <f t="shared" ca="1" si="188"/>
        <v>-1</v>
      </c>
      <c r="L1725" s="17">
        <f t="shared" ca="1" si="189"/>
        <v>-1</v>
      </c>
      <c r="N1725" s="24" t="str">
        <f ca="1">IF(AND(L1725=1,L1724&lt;&gt;1),MAX($N$8:N1724)+1,"")</f>
        <v/>
      </c>
      <c r="O1725" s="24" t="str">
        <f ca="1">IF(AND(L1725&lt;&gt;1,L1724=1),MAX($O$8:O1724)+1,"")</f>
        <v/>
      </c>
      <c r="P1725" s="17" t="str">
        <f ca="1">IF(AND(L1725=-1,L1724&lt;&gt;-1),MAX($P$8:P1724)+1,"")</f>
        <v/>
      </c>
      <c r="Q1725" s="24" t="str">
        <f ca="1">IF(AND(L1725&lt;&gt;-1,L1724=-1),MAX($Q$8:Q1724)+1,"")</f>
        <v/>
      </c>
    </row>
    <row r="1726" spans="1:17" x14ac:dyDescent="0.3">
      <c r="A1726" s="3">
        <v>42724</v>
      </c>
      <c r="B1726" s="9">
        <v>17.386987999999999</v>
      </c>
      <c r="C1726" s="9">
        <v>14.155993</v>
      </c>
      <c r="E1726" s="14">
        <f t="shared" si="186"/>
        <v>1.228242201023976</v>
      </c>
      <c r="F1726" s="18">
        <f t="shared" ca="1" si="185"/>
        <v>-1.6529415122669731</v>
      </c>
      <c r="G1726" s="15">
        <f t="shared" ca="1" si="190"/>
        <v>1.2525485545005872</v>
      </c>
      <c r="H1726" s="15">
        <f t="shared" ca="1" si="191"/>
        <v>1.4704908368642531E-2</v>
      </c>
      <c r="J1726" s="17">
        <f t="shared" ca="1" si="187"/>
        <v>0</v>
      </c>
      <c r="K1726" s="24">
        <f t="shared" ca="1" si="188"/>
        <v>-1</v>
      </c>
      <c r="L1726" s="17">
        <f t="shared" ca="1" si="189"/>
        <v>-1</v>
      </c>
      <c r="N1726" s="24" t="str">
        <f ca="1">IF(AND(L1726=1,L1725&lt;&gt;1),MAX($N$8:N1725)+1,"")</f>
        <v/>
      </c>
      <c r="O1726" s="24" t="str">
        <f ca="1">IF(AND(L1726&lt;&gt;1,L1725=1),MAX($O$8:O1725)+1,"")</f>
        <v/>
      </c>
      <c r="P1726" s="17" t="str">
        <f ca="1">IF(AND(L1726=-1,L1725&lt;&gt;-1),MAX($P$8:P1725)+1,"")</f>
        <v/>
      </c>
      <c r="Q1726" s="24" t="str">
        <f ca="1">IF(AND(L1726&lt;&gt;-1,L1725=-1),MAX($Q$8:Q1725)+1,"")</f>
        <v/>
      </c>
    </row>
    <row r="1727" spans="1:17" x14ac:dyDescent="0.3">
      <c r="A1727" s="3">
        <v>42725</v>
      </c>
      <c r="B1727" s="9">
        <v>17.381491</v>
      </c>
      <c r="C1727" s="9">
        <v>14.037079</v>
      </c>
      <c r="E1727" s="14">
        <f t="shared" si="186"/>
        <v>1.2382555516001583</v>
      </c>
      <c r="F1727" s="18">
        <f t="shared" ca="1" si="185"/>
        <v>-0.91102126681512741</v>
      </c>
      <c r="G1727" s="15">
        <f t="shared" ca="1" si="190"/>
        <v>1.2505687414847542</v>
      </c>
      <c r="H1727" s="15">
        <f t="shared" ca="1" si="191"/>
        <v>1.3515809491080241E-2</v>
      </c>
      <c r="J1727" s="17">
        <f t="shared" ca="1" si="187"/>
        <v>0</v>
      </c>
      <c r="K1727" s="24">
        <f t="shared" ca="1" si="188"/>
        <v>-1</v>
      </c>
      <c r="L1727" s="17">
        <f t="shared" ca="1" si="189"/>
        <v>-1</v>
      </c>
      <c r="N1727" s="24" t="str">
        <f ca="1">IF(AND(L1727=1,L1726&lt;&gt;1),MAX($N$8:N1726)+1,"")</f>
        <v/>
      </c>
      <c r="O1727" s="24" t="str">
        <f ca="1">IF(AND(L1727&lt;&gt;1,L1726=1),MAX($O$8:O1726)+1,"")</f>
        <v/>
      </c>
      <c r="P1727" s="17" t="str">
        <f ca="1">IF(AND(L1727=-1,L1726&lt;&gt;-1),MAX($P$8:P1726)+1,"")</f>
        <v/>
      </c>
      <c r="Q1727" s="24" t="str">
        <f ca="1">IF(AND(L1727&lt;&gt;-1,L1726=-1),MAX($Q$8:Q1726)+1,"")</f>
        <v/>
      </c>
    </row>
    <row r="1728" spans="1:17" x14ac:dyDescent="0.3">
      <c r="A1728" s="3">
        <v>42726</v>
      </c>
      <c r="B1728" s="9">
        <v>17.523713999999998</v>
      </c>
      <c r="C1728" s="9">
        <v>14.063946</v>
      </c>
      <c r="E1728" s="14">
        <f t="shared" si="186"/>
        <v>1.2460026510340696</v>
      </c>
      <c r="F1728" s="18">
        <f t="shared" ca="1" si="185"/>
        <v>-0.25719677275019964</v>
      </c>
      <c r="G1728" s="15">
        <f t="shared" ca="1" si="190"/>
        <v>1.2491394123424779</v>
      </c>
      <c r="H1728" s="15">
        <f t="shared" ca="1" si="191"/>
        <v>1.2195959050601685E-2</v>
      </c>
      <c r="J1728" s="17">
        <f t="shared" ca="1" si="187"/>
        <v>0</v>
      </c>
      <c r="K1728" s="24">
        <f t="shared" ca="1" si="188"/>
        <v>-1</v>
      </c>
      <c r="L1728" s="17">
        <f t="shared" ca="1" si="189"/>
        <v>-1</v>
      </c>
      <c r="N1728" s="24" t="str">
        <f ca="1">IF(AND(L1728=1,L1727&lt;&gt;1),MAX($N$8:N1727)+1,"")</f>
        <v/>
      </c>
      <c r="O1728" s="24" t="str">
        <f ca="1">IF(AND(L1728&lt;&gt;1,L1727=1),MAX($O$8:O1727)+1,"")</f>
        <v/>
      </c>
      <c r="P1728" s="17" t="str">
        <f ca="1">IF(AND(L1728=-1,L1727&lt;&gt;-1),MAX($P$8:P1727)+1,"")</f>
        <v/>
      </c>
      <c r="Q1728" s="24" t="str">
        <f ca="1">IF(AND(L1728&lt;&gt;-1,L1727=-1),MAX($Q$8:Q1727)+1,"")</f>
        <v/>
      </c>
    </row>
    <row r="1729" spans="1:17" x14ac:dyDescent="0.3">
      <c r="A1729" s="3">
        <v>42727</v>
      </c>
      <c r="B1729" s="9">
        <v>18.153867999999999</v>
      </c>
      <c r="C1729" s="9">
        <v>14.358351000000001</v>
      </c>
      <c r="E1729" s="14">
        <f t="shared" si="186"/>
        <v>1.2643421239667423</v>
      </c>
      <c r="F1729" s="18">
        <f t="shared" ca="1" si="185"/>
        <v>1.2108674352457971</v>
      </c>
      <c r="G1729" s="15">
        <f t="shared" ca="1" si="190"/>
        <v>1.2493301240005767</v>
      </c>
      <c r="H1729" s="15">
        <f t="shared" ca="1" si="191"/>
        <v>1.2397723755051857E-2</v>
      </c>
      <c r="J1729" s="17">
        <f t="shared" ca="1" si="187"/>
        <v>1</v>
      </c>
      <c r="K1729" s="24">
        <f t="shared" ca="1" si="188"/>
        <v>0</v>
      </c>
      <c r="L1729" s="17">
        <f t="shared" ca="1" si="189"/>
        <v>1</v>
      </c>
      <c r="N1729" s="24">
        <f ca="1">IF(AND(L1729=1,L1728&lt;&gt;1),MAX($N$8:N1728)+1,"")</f>
        <v>57</v>
      </c>
      <c r="O1729" s="24" t="str">
        <f ca="1">IF(AND(L1729&lt;&gt;1,L1728=1),MAX($O$8:O1728)+1,"")</f>
        <v/>
      </c>
      <c r="P1729" s="17" t="str">
        <f ca="1">IF(AND(L1729=-1,L1728&lt;&gt;-1),MAX($P$8:P1728)+1,"")</f>
        <v/>
      </c>
      <c r="Q1729" s="24">
        <f ca="1">IF(AND(L1729&lt;&gt;-1,L1728=-1),MAX($Q$8:Q1728)+1,"")</f>
        <v>64</v>
      </c>
    </row>
    <row r="1730" spans="1:17" x14ac:dyDescent="0.3">
      <c r="A1730" s="3">
        <v>42730</v>
      </c>
      <c r="B1730" s="9">
        <v>18.299195999999998</v>
      </c>
      <c r="C1730" s="9">
        <v>14.621198</v>
      </c>
      <c r="E1730" s="14">
        <f t="shared" si="186"/>
        <v>1.2515524377687792</v>
      </c>
      <c r="F1730" s="18">
        <f t="shared" ref="F1730:F1793" ca="1" si="192">IF(ISNUMBER(G1730),(E1730-G1730)/H1730,"")</f>
        <v>0.20868101167331449</v>
      </c>
      <c r="G1730" s="15">
        <f t="shared" ca="1" si="190"/>
        <v>1.2489990849912493</v>
      </c>
      <c r="H1730" s="15">
        <f t="shared" ca="1" si="191"/>
        <v>1.2235673754194272E-2</v>
      </c>
      <c r="J1730" s="17">
        <f t="shared" ca="1" si="187"/>
        <v>1</v>
      </c>
      <c r="K1730" s="24">
        <f t="shared" ca="1" si="188"/>
        <v>0</v>
      </c>
      <c r="L1730" s="17">
        <f t="shared" ca="1" si="189"/>
        <v>1</v>
      </c>
      <c r="N1730" s="24" t="str">
        <f ca="1">IF(AND(L1730=1,L1729&lt;&gt;1),MAX($N$8:N1729)+1,"")</f>
        <v/>
      </c>
      <c r="O1730" s="24" t="str">
        <f ca="1">IF(AND(L1730&lt;&gt;1,L1729=1),MAX($O$8:O1729)+1,"")</f>
        <v/>
      </c>
      <c r="P1730" s="17" t="str">
        <f ca="1">IF(AND(L1730=-1,L1729&lt;&gt;-1),MAX($P$8:P1729)+1,"")</f>
        <v/>
      </c>
      <c r="Q1730" s="24" t="str">
        <f ca="1">IF(AND(L1730&lt;&gt;-1,L1729=-1),MAX($Q$8:Q1729)+1,"")</f>
        <v/>
      </c>
    </row>
    <row r="1731" spans="1:17" x14ac:dyDescent="0.3">
      <c r="A1731" s="3">
        <v>42731</v>
      </c>
      <c r="B1731" s="9">
        <v>18.288042000000001</v>
      </c>
      <c r="C1731" s="9">
        <v>14.479276</v>
      </c>
      <c r="E1731" s="14">
        <f t="shared" ref="E1731:E1794" si="193">IF(ISNUMBER(B1731),B1731/C1731,"")</f>
        <v>1.2630494784407729</v>
      </c>
      <c r="F1731" s="18">
        <f t="shared" ca="1" si="192"/>
        <v>1.0535161626715612</v>
      </c>
      <c r="G1731" s="15">
        <f t="shared" ca="1" si="190"/>
        <v>1.2498504268696911</v>
      </c>
      <c r="H1731" s="15">
        <f t="shared" ca="1" si="191"/>
        <v>1.2528570551410399E-2</v>
      </c>
      <c r="J1731" s="17">
        <f t="shared" ca="1" si="187"/>
        <v>1</v>
      </c>
      <c r="K1731" s="24">
        <f t="shared" ca="1" si="188"/>
        <v>0</v>
      </c>
      <c r="L1731" s="17">
        <f t="shared" ca="1" si="189"/>
        <v>1</v>
      </c>
      <c r="N1731" s="24" t="str">
        <f ca="1">IF(AND(L1731=1,L1730&lt;&gt;1),MAX($N$8:N1730)+1,"")</f>
        <v/>
      </c>
      <c r="O1731" s="24" t="str">
        <f ca="1">IF(AND(L1731&lt;&gt;1,L1730=1),MAX($O$8:O1730)+1,"")</f>
        <v/>
      </c>
      <c r="P1731" s="17" t="str">
        <f ca="1">IF(AND(L1731=-1,L1730&lt;&gt;-1),MAX($P$8:P1730)+1,"")</f>
        <v/>
      </c>
      <c r="Q1731" s="24" t="str">
        <f ca="1">IF(AND(L1731&lt;&gt;-1,L1730=-1),MAX($Q$8:Q1730)+1,"")</f>
        <v/>
      </c>
    </row>
    <row r="1732" spans="1:17" x14ac:dyDescent="0.3">
      <c r="A1732" s="3">
        <v>42732</v>
      </c>
      <c r="B1732" s="9">
        <v>18.718525</v>
      </c>
      <c r="C1732" s="9">
        <v>14.999743</v>
      </c>
      <c r="E1732" s="14">
        <f t="shared" si="193"/>
        <v>1.2479230477482179</v>
      </c>
      <c r="F1732" s="18">
        <f t="shared" ca="1" si="192"/>
        <v>-0.12839792265945307</v>
      </c>
      <c r="G1732" s="15">
        <f t="shared" ca="1" si="190"/>
        <v>1.2495256632965899</v>
      </c>
      <c r="H1732" s="15">
        <f t="shared" ca="1" si="191"/>
        <v>1.2481631440584239E-2</v>
      </c>
      <c r="J1732" s="17">
        <f t="shared" ca="1" si="187"/>
        <v>0</v>
      </c>
      <c r="K1732" s="24">
        <f t="shared" ca="1" si="188"/>
        <v>0</v>
      </c>
      <c r="L1732" s="17">
        <f t="shared" ca="1" si="189"/>
        <v>0</v>
      </c>
      <c r="N1732" s="24" t="str">
        <f ca="1">IF(AND(L1732=1,L1731&lt;&gt;1),MAX($N$8:N1731)+1,"")</f>
        <v/>
      </c>
      <c r="O1732" s="24">
        <f ca="1">IF(AND(L1732&lt;&gt;1,L1731=1),MAX($O$8:O1731)+1,"")</f>
        <v>57</v>
      </c>
      <c r="P1732" s="17" t="str">
        <f ca="1">IF(AND(L1732=-1,L1731&lt;&gt;-1),MAX($P$8:P1731)+1,"")</f>
        <v/>
      </c>
      <c r="Q1732" s="24" t="str">
        <f ca="1">IF(AND(L1732&lt;&gt;-1,L1731=-1),MAX($Q$8:Q1731)+1,"")</f>
        <v/>
      </c>
    </row>
    <row r="1733" spans="1:17" x14ac:dyDescent="0.3">
      <c r="A1733" s="3">
        <v>42733</v>
      </c>
      <c r="B1733" s="9">
        <v>18.925412999999999</v>
      </c>
      <c r="C1733" s="9">
        <v>15.246874</v>
      </c>
      <c r="E1733" s="14">
        <f t="shared" si="193"/>
        <v>1.2412651275271245</v>
      </c>
      <c r="F1733" s="18">
        <f t="shared" ca="1" si="192"/>
        <v>-0.59280268630939115</v>
      </c>
      <c r="G1733" s="15">
        <f t="shared" ca="1" si="190"/>
        <v>1.2484563489386167</v>
      </c>
      <c r="H1733" s="15">
        <f t="shared" ca="1" si="191"/>
        <v>1.2130885330939629E-2</v>
      </c>
      <c r="J1733" s="17">
        <f t="shared" ca="1" si="187"/>
        <v>0</v>
      </c>
      <c r="K1733" s="24">
        <f t="shared" ca="1" si="188"/>
        <v>0</v>
      </c>
      <c r="L1733" s="17">
        <f t="shared" ca="1" si="189"/>
        <v>0</v>
      </c>
      <c r="N1733" s="24" t="str">
        <f ca="1">IF(AND(L1733=1,L1732&lt;&gt;1),MAX($N$8:N1732)+1,"")</f>
        <v/>
      </c>
      <c r="O1733" s="24" t="str">
        <f ca="1">IF(AND(L1733&lt;&gt;1,L1732=1),MAX($O$8:O1732)+1,"")</f>
        <v/>
      </c>
      <c r="P1733" s="17" t="str">
        <f ca="1">IF(AND(L1733=-1,L1732&lt;&gt;-1),MAX($P$8:P1732)+1,"")</f>
        <v/>
      </c>
      <c r="Q1733" s="24" t="str">
        <f ca="1">IF(AND(L1733&lt;&gt;-1,L1732=-1),MAX($Q$8:Q1732)+1,"")</f>
        <v/>
      </c>
    </row>
    <row r="1734" spans="1:17" x14ac:dyDescent="0.3">
      <c r="A1734" s="3">
        <v>42737</v>
      </c>
      <c r="B1734" s="9">
        <v>18.758918999999999</v>
      </c>
      <c r="C1734" s="9">
        <v>15.141738999999999</v>
      </c>
      <c r="E1734" s="14">
        <f t="shared" si="193"/>
        <v>1.2388880167595016</v>
      </c>
      <c r="F1734" s="18">
        <f t="shared" ca="1" si="192"/>
        <v>-0.71691295008741052</v>
      </c>
      <c r="G1734" s="15">
        <f t="shared" ca="1" si="190"/>
        <v>1.2475135041666512</v>
      </c>
      <c r="H1734" s="15">
        <f t="shared" ca="1" si="191"/>
        <v>1.2031429207824969E-2</v>
      </c>
      <c r="J1734" s="17">
        <f t="shared" ca="1" si="187"/>
        <v>0</v>
      </c>
      <c r="K1734" s="24">
        <f t="shared" ca="1" si="188"/>
        <v>0</v>
      </c>
      <c r="L1734" s="17">
        <f t="shared" ca="1" si="189"/>
        <v>0</v>
      </c>
      <c r="N1734" s="24" t="str">
        <f ca="1">IF(AND(L1734=1,L1733&lt;&gt;1),MAX($N$8:N1733)+1,"")</f>
        <v/>
      </c>
      <c r="O1734" s="24" t="str">
        <f ca="1">IF(AND(L1734&lt;&gt;1,L1733=1),MAX($O$8:O1733)+1,"")</f>
        <v/>
      </c>
      <c r="P1734" s="17" t="str">
        <f ca="1">IF(AND(L1734=-1,L1733&lt;&gt;-1),MAX($P$8:P1733)+1,"")</f>
        <v/>
      </c>
      <c r="Q1734" s="24" t="str">
        <f ca="1">IF(AND(L1734&lt;&gt;-1,L1733=-1),MAX($Q$8:Q1733)+1,"")</f>
        <v/>
      </c>
    </row>
    <row r="1735" spans="1:17" x14ac:dyDescent="0.3">
      <c r="A1735" s="3">
        <v>42738</v>
      </c>
      <c r="B1735" s="9">
        <v>19.553391999999999</v>
      </c>
      <c r="C1735" s="9">
        <v>15.789242</v>
      </c>
      <c r="E1735" s="14">
        <f t="shared" si="193"/>
        <v>1.2383996647844144</v>
      </c>
      <c r="F1735" s="18">
        <f t="shared" ca="1" si="192"/>
        <v>-0.7014832969563809</v>
      </c>
      <c r="G1735" s="15">
        <f t="shared" ca="1" si="190"/>
        <v>1.2459013169679478</v>
      </c>
      <c r="H1735" s="15">
        <f t="shared" ca="1" si="191"/>
        <v>1.0693985467767798E-2</v>
      </c>
      <c r="J1735" s="17">
        <f t="shared" ca="1" si="187"/>
        <v>0</v>
      </c>
      <c r="K1735" s="24">
        <f t="shared" ca="1" si="188"/>
        <v>0</v>
      </c>
      <c r="L1735" s="17">
        <f t="shared" ca="1" si="189"/>
        <v>0</v>
      </c>
      <c r="N1735" s="24" t="str">
        <f ca="1">IF(AND(L1735=1,L1734&lt;&gt;1),MAX($N$8:N1734)+1,"")</f>
        <v/>
      </c>
      <c r="O1735" s="24" t="str">
        <f ca="1">IF(AND(L1735&lt;&gt;1,L1734=1),MAX($O$8:O1734)+1,"")</f>
        <v/>
      </c>
      <c r="P1735" s="17" t="str">
        <f ca="1">IF(AND(L1735=-1,L1734&lt;&gt;-1),MAX($P$8:P1734)+1,"")</f>
        <v/>
      </c>
      <c r="Q1735" s="24" t="str">
        <f ca="1">IF(AND(L1735&lt;&gt;-1,L1734=-1),MAX($Q$8:Q1734)+1,"")</f>
        <v/>
      </c>
    </row>
    <row r="1736" spans="1:17" x14ac:dyDescent="0.3">
      <c r="A1736" s="3">
        <v>42739</v>
      </c>
      <c r="B1736" s="9">
        <v>19.637308000000001</v>
      </c>
      <c r="C1736" s="9">
        <v>15.689215000000001</v>
      </c>
      <c r="E1736" s="14">
        <f t="shared" si="193"/>
        <v>1.2516437565550602</v>
      </c>
      <c r="F1736" s="18">
        <f t="shared" ca="1" si="192"/>
        <v>0.58105764337053767</v>
      </c>
      <c r="G1736" s="15">
        <f t="shared" ca="1" si="190"/>
        <v>1.2455898158535417</v>
      </c>
      <c r="H1736" s="15">
        <f t="shared" ca="1" si="191"/>
        <v>1.0418829819364369E-2</v>
      </c>
      <c r="J1736" s="17">
        <f t="shared" ref="J1736:J1799" ca="1" si="194">IF(ISNUMBER(F1736),IF(AND(J1735&lt;&gt;1,F1736&gt;$L$1),1,IF(AND(J1735=1,F1736&gt;$N$1),1,0)),"")</f>
        <v>0</v>
      </c>
      <c r="K1736" s="24">
        <f t="shared" ca="1" si="188"/>
        <v>0</v>
      </c>
      <c r="L1736" s="17">
        <f t="shared" ca="1" si="189"/>
        <v>0</v>
      </c>
      <c r="N1736" s="24" t="str">
        <f ca="1">IF(AND(L1736=1,L1735&lt;&gt;1),MAX($N$8:N1735)+1,"")</f>
        <v/>
      </c>
      <c r="O1736" s="24" t="str">
        <f ca="1">IF(AND(L1736&lt;&gt;1,L1735=1),MAX($O$8:O1735)+1,"")</f>
        <v/>
      </c>
      <c r="P1736" s="17" t="str">
        <f ca="1">IF(AND(L1736=-1,L1735&lt;&gt;-1),MAX($P$8:P1735)+1,"")</f>
        <v/>
      </c>
      <c r="Q1736" s="24" t="str">
        <f ca="1">IF(AND(L1736&lt;&gt;-1,L1735=-1),MAX($Q$8:Q1735)+1,"")</f>
        <v/>
      </c>
    </row>
    <row r="1737" spans="1:17" x14ac:dyDescent="0.3">
      <c r="A1737" s="3">
        <v>42740</v>
      </c>
      <c r="B1737" s="9">
        <v>19.905854999999999</v>
      </c>
      <c r="C1737" s="9">
        <v>15.862890999999999</v>
      </c>
      <c r="E1737" s="14">
        <f t="shared" si="193"/>
        <v>1.2548693047187931</v>
      </c>
      <c r="F1737" s="18">
        <f t="shared" ca="1" si="192"/>
        <v>0.94479602000547813</v>
      </c>
      <c r="G1737" s="15">
        <f t="shared" ca="1" si="190"/>
        <v>1.2453254893982828</v>
      </c>
      <c r="H1737" s="15">
        <f t="shared" ca="1" si="191"/>
        <v>1.0101455889341023E-2</v>
      </c>
      <c r="J1737" s="17">
        <f t="shared" ca="1" si="194"/>
        <v>0</v>
      </c>
      <c r="K1737" s="24">
        <f t="shared" ref="K1737:K1800" ca="1" si="195">IF(ISNUMBER(F1737),IF(AND(K1736&lt;&gt;-1,F1737&lt;$P$1),-1,IF(AND(K1736=-1,F1737&lt;R1730),-1,0)),"")</f>
        <v>0</v>
      </c>
      <c r="L1737" s="17">
        <f t="shared" ref="L1737:L1800" ca="1" si="196">IF(ISNUMBER(F1737),IF(J1737=1,1,IF(K1737=-1,-1,0)),"")</f>
        <v>0</v>
      </c>
      <c r="N1737" s="24" t="str">
        <f ca="1">IF(AND(L1737=1,L1736&lt;&gt;1),MAX($N$8:N1736)+1,"")</f>
        <v/>
      </c>
      <c r="O1737" s="24" t="str">
        <f ca="1">IF(AND(L1737&lt;&gt;1,L1736=1),MAX($O$8:O1736)+1,"")</f>
        <v/>
      </c>
      <c r="P1737" s="17" t="str">
        <f ca="1">IF(AND(L1737=-1,L1736&lt;&gt;-1),MAX($P$8:P1736)+1,"")</f>
        <v/>
      </c>
      <c r="Q1737" s="24" t="str">
        <f ca="1">IF(AND(L1737&lt;&gt;-1,L1736=-1),MAX($Q$8:Q1736)+1,"")</f>
        <v/>
      </c>
    </row>
    <row r="1738" spans="1:17" x14ac:dyDescent="0.3">
      <c r="A1738" s="3">
        <v>42741</v>
      </c>
      <c r="B1738" s="9">
        <v>19.972992000000001</v>
      </c>
      <c r="C1738" s="9">
        <v>15.96292</v>
      </c>
      <c r="E1738" s="14">
        <f t="shared" si="193"/>
        <v>1.2512116830755275</v>
      </c>
      <c r="F1738" s="18">
        <f t="shared" ca="1" si="192"/>
        <v>0.57886175252035621</v>
      </c>
      <c r="G1738" s="15">
        <f t="shared" ca="1" si="190"/>
        <v>1.2453549721910322</v>
      </c>
      <c r="H1738" s="15">
        <f t="shared" ca="1" si="191"/>
        <v>1.0117633198246928E-2</v>
      </c>
      <c r="J1738" s="17">
        <f t="shared" ca="1" si="194"/>
        <v>0</v>
      </c>
      <c r="K1738" s="24">
        <f t="shared" ca="1" si="195"/>
        <v>0</v>
      </c>
      <c r="L1738" s="17">
        <f t="shared" ca="1" si="196"/>
        <v>0</v>
      </c>
      <c r="N1738" s="24" t="str">
        <f ca="1">IF(AND(L1738=1,L1737&lt;&gt;1),MAX($N$8:N1737)+1,"")</f>
        <v/>
      </c>
      <c r="O1738" s="24" t="str">
        <f ca="1">IF(AND(L1738&lt;&gt;1,L1737=1),MAX($O$8:O1737)+1,"")</f>
        <v/>
      </c>
      <c r="P1738" s="17" t="str">
        <f ca="1">IF(AND(L1738=-1,L1737&lt;&gt;-1),MAX($P$8:P1737)+1,"")</f>
        <v/>
      </c>
      <c r="Q1738" s="24" t="str">
        <f ca="1">IF(AND(L1738&lt;&gt;-1,L1737=-1),MAX($Q$8:Q1737)+1,"")</f>
        <v/>
      </c>
    </row>
    <row r="1739" spans="1:17" x14ac:dyDescent="0.3">
      <c r="A1739" s="3">
        <v>42744</v>
      </c>
      <c r="B1739" s="9">
        <v>20.068076999999999</v>
      </c>
      <c r="C1739" s="9">
        <v>15.983933</v>
      </c>
      <c r="E1739" s="14">
        <f t="shared" si="193"/>
        <v>1.2555155855570714</v>
      </c>
      <c r="F1739" s="18">
        <f t="shared" ca="1" si="192"/>
        <v>0.9534418024117074</v>
      </c>
      <c r="G1739" s="15">
        <f t="shared" ca="1" si="190"/>
        <v>1.2456754123106917</v>
      </c>
      <c r="H1739" s="15">
        <f t="shared" ca="1" si="191"/>
        <v>1.0320685773887072E-2</v>
      </c>
      <c r="J1739" s="17">
        <f t="shared" ca="1" si="194"/>
        <v>0</v>
      </c>
      <c r="K1739" s="24">
        <f t="shared" ca="1" si="195"/>
        <v>0</v>
      </c>
      <c r="L1739" s="17">
        <f t="shared" ca="1" si="196"/>
        <v>0</v>
      </c>
      <c r="N1739" s="24" t="str">
        <f ca="1">IF(AND(L1739=1,L1738&lt;&gt;1),MAX($N$8:N1738)+1,"")</f>
        <v/>
      </c>
      <c r="O1739" s="24" t="str">
        <f ca="1">IF(AND(L1739&lt;&gt;1,L1738=1),MAX($O$8:O1738)+1,"")</f>
        <v/>
      </c>
      <c r="P1739" s="17" t="str">
        <f ca="1">IF(AND(L1739=-1,L1738&lt;&gt;-1),MAX($P$8:P1738)+1,"")</f>
        <v/>
      </c>
      <c r="Q1739" s="24" t="str">
        <f ca="1">IF(AND(L1739&lt;&gt;-1,L1738=-1),MAX($Q$8:Q1738)+1,"")</f>
        <v/>
      </c>
    </row>
    <row r="1740" spans="1:17" x14ac:dyDescent="0.3">
      <c r="A1740" s="3">
        <v>42745</v>
      </c>
      <c r="B1740" s="9">
        <v>20.000934999999998</v>
      </c>
      <c r="C1740" s="9">
        <v>15.983933</v>
      </c>
      <c r="E1740" s="14">
        <f t="shared" si="193"/>
        <v>1.2513149923739044</v>
      </c>
      <c r="F1740" s="18">
        <f t="shared" ca="1" si="192"/>
        <v>0.56404046840243538</v>
      </c>
      <c r="G1740" s="15">
        <f t="shared" ca="1" si="190"/>
        <v>1.2455448752492553</v>
      </c>
      <c r="H1740" s="15">
        <f t="shared" ca="1" si="191"/>
        <v>1.0229970095926241E-2</v>
      </c>
      <c r="J1740" s="17">
        <f t="shared" ca="1" si="194"/>
        <v>0</v>
      </c>
      <c r="K1740" s="24">
        <f t="shared" ca="1" si="195"/>
        <v>0</v>
      </c>
      <c r="L1740" s="17">
        <f t="shared" ca="1" si="196"/>
        <v>0</v>
      </c>
      <c r="N1740" s="24" t="str">
        <f ca="1">IF(AND(L1740=1,L1739&lt;&gt;1),MAX($N$8:N1739)+1,"")</f>
        <v/>
      </c>
      <c r="O1740" s="24" t="str">
        <f ca="1">IF(AND(L1740&lt;&gt;1,L1739=1),MAX($O$8:O1739)+1,"")</f>
        <v/>
      </c>
      <c r="P1740" s="17" t="str">
        <f ca="1">IF(AND(L1740=-1,L1739&lt;&gt;-1),MAX($P$8:P1739)+1,"")</f>
        <v/>
      </c>
      <c r="Q1740" s="24" t="str">
        <f ca="1">IF(AND(L1740&lt;&gt;-1,L1739=-1),MAX($Q$8:Q1739)+1,"")</f>
        <v/>
      </c>
    </row>
    <row r="1741" spans="1:17" x14ac:dyDescent="0.3">
      <c r="A1741" s="3">
        <v>42746</v>
      </c>
      <c r="B1741" s="9">
        <v>20.040123000000001</v>
      </c>
      <c r="C1741" s="9">
        <v>16.104984000000002</v>
      </c>
      <c r="E1741" s="14">
        <f t="shared" si="193"/>
        <v>1.2443429313559082</v>
      </c>
      <c r="F1741" s="18">
        <f t="shared" ca="1" si="192"/>
        <v>-0.13126739552756542</v>
      </c>
      <c r="G1741" s="15">
        <f t="shared" ca="1" si="190"/>
        <v>1.2456809529840933</v>
      </c>
      <c r="H1741" s="15">
        <f t="shared" ca="1" si="191"/>
        <v>1.0193099534027892E-2</v>
      </c>
      <c r="J1741" s="17">
        <f t="shared" ca="1" si="194"/>
        <v>0</v>
      </c>
      <c r="K1741" s="24">
        <f t="shared" ca="1" si="195"/>
        <v>0</v>
      </c>
      <c r="L1741" s="17">
        <f t="shared" ca="1" si="196"/>
        <v>0</v>
      </c>
      <c r="N1741" s="24" t="str">
        <f ca="1">IF(AND(L1741=1,L1740&lt;&gt;1),MAX($N$8:N1740)+1,"")</f>
        <v/>
      </c>
      <c r="O1741" s="24" t="str">
        <f ca="1">IF(AND(L1741&lt;&gt;1,L1740=1),MAX($O$8:O1740)+1,"")</f>
        <v/>
      </c>
      <c r="P1741" s="17" t="str">
        <f ca="1">IF(AND(L1741=-1,L1740&lt;&gt;-1),MAX($P$8:P1740)+1,"")</f>
        <v/>
      </c>
      <c r="Q1741" s="24" t="str">
        <f ca="1">IF(AND(L1741&lt;&gt;-1,L1740=-1),MAX($Q$8:Q1740)+1,"")</f>
        <v/>
      </c>
    </row>
    <row r="1742" spans="1:17" x14ac:dyDescent="0.3">
      <c r="A1742" s="3">
        <v>42747</v>
      </c>
      <c r="B1742" s="9">
        <v>20.549274</v>
      </c>
      <c r="C1742" s="9">
        <v>16.483934000000001</v>
      </c>
      <c r="E1742" s="14">
        <f t="shared" si="193"/>
        <v>1.2466243798355416</v>
      </c>
      <c r="F1742" s="18">
        <f t="shared" ca="1" si="192"/>
        <v>7.0752047258541992E-2</v>
      </c>
      <c r="G1742" s="15">
        <f t="shared" ca="1" si="190"/>
        <v>1.2459057638437672</v>
      </c>
      <c r="H1742" s="15">
        <f t="shared" ca="1" si="191"/>
        <v>1.0156822588447635E-2</v>
      </c>
      <c r="J1742" s="17">
        <f t="shared" ca="1" si="194"/>
        <v>0</v>
      </c>
      <c r="K1742" s="24">
        <f t="shared" ca="1" si="195"/>
        <v>0</v>
      </c>
      <c r="L1742" s="17">
        <f t="shared" ca="1" si="196"/>
        <v>0</v>
      </c>
      <c r="N1742" s="24" t="str">
        <f ca="1">IF(AND(L1742=1,L1741&lt;&gt;1),MAX($N$8:N1741)+1,"")</f>
        <v/>
      </c>
      <c r="O1742" s="24" t="str">
        <f ca="1">IF(AND(L1742&lt;&gt;1,L1741=1),MAX($O$8:O1741)+1,"")</f>
        <v/>
      </c>
      <c r="P1742" s="17" t="str">
        <f ca="1">IF(AND(L1742=-1,L1741&lt;&gt;-1),MAX($P$8:P1741)+1,"")</f>
        <v/>
      </c>
      <c r="Q1742" s="24" t="str">
        <f ca="1">IF(AND(L1742&lt;&gt;-1,L1741=-1),MAX($Q$8:Q1741)+1,"")</f>
        <v/>
      </c>
    </row>
    <row r="1743" spans="1:17" x14ac:dyDescent="0.3">
      <c r="A1743" s="3">
        <v>42748</v>
      </c>
      <c r="B1743" s="9">
        <v>20.129669</v>
      </c>
      <c r="C1743" s="9">
        <v>16.352381000000001</v>
      </c>
      <c r="E1743" s="14">
        <f t="shared" si="193"/>
        <v>1.2309931501718312</v>
      </c>
      <c r="F1743" s="18">
        <f t="shared" ca="1" si="192"/>
        <v>-1.3570322999139768</v>
      </c>
      <c r="G1743" s="15">
        <f t="shared" ca="1" si="190"/>
        <v>1.2453841281223477</v>
      </c>
      <c r="H1743" s="15">
        <f t="shared" ca="1" si="191"/>
        <v>1.060474238632988E-2</v>
      </c>
      <c r="J1743" s="17">
        <f t="shared" ca="1" si="194"/>
        <v>0</v>
      </c>
      <c r="K1743" s="24">
        <f t="shared" ca="1" si="195"/>
        <v>-1</v>
      </c>
      <c r="L1743" s="17">
        <f t="shared" ca="1" si="196"/>
        <v>-1</v>
      </c>
      <c r="N1743" s="24" t="str">
        <f ca="1">IF(AND(L1743=1,L1742&lt;&gt;1),MAX($N$8:N1742)+1,"")</f>
        <v/>
      </c>
      <c r="O1743" s="24" t="str">
        <f ca="1">IF(AND(L1743&lt;&gt;1,L1742=1),MAX($O$8:O1742)+1,"")</f>
        <v/>
      </c>
      <c r="P1743" s="17">
        <f ca="1">IF(AND(L1743=-1,L1742&lt;&gt;-1),MAX($P$8:P1742)+1,"")</f>
        <v>65</v>
      </c>
      <c r="Q1743" s="24" t="str">
        <f ca="1">IF(AND(L1743&lt;&gt;-1,L1742=-1),MAX($Q$8:Q1742)+1,"")</f>
        <v/>
      </c>
    </row>
    <row r="1744" spans="1:17" x14ac:dyDescent="0.3">
      <c r="A1744" s="3">
        <v>42751</v>
      </c>
      <c r="B1744" s="9">
        <v>20.146460000000001</v>
      </c>
      <c r="C1744" s="9">
        <v>16.383987000000001</v>
      </c>
      <c r="E1744" s="14">
        <f t="shared" si="193"/>
        <v>1.2296433096535049</v>
      </c>
      <c r="F1744" s="18">
        <f t="shared" ca="1" si="192"/>
        <v>-1.3414830687143087</v>
      </c>
      <c r="G1744" s="15">
        <f t="shared" ca="1" si="190"/>
        <v>1.244245088726504</v>
      </c>
      <c r="H1744" s="15">
        <f t="shared" ca="1" si="191"/>
        <v>1.0884803106008327E-2</v>
      </c>
      <c r="J1744" s="17">
        <f t="shared" ca="1" si="194"/>
        <v>0</v>
      </c>
      <c r="K1744" s="24">
        <f t="shared" ca="1" si="195"/>
        <v>-1</v>
      </c>
      <c r="L1744" s="17">
        <f t="shared" ca="1" si="196"/>
        <v>-1</v>
      </c>
      <c r="N1744" s="24" t="str">
        <f ca="1">IF(AND(L1744=1,L1743&lt;&gt;1),MAX($N$8:N1743)+1,"")</f>
        <v/>
      </c>
      <c r="O1744" s="24" t="str">
        <f ca="1">IF(AND(L1744&lt;&gt;1,L1743=1),MAX($O$8:O1743)+1,"")</f>
        <v/>
      </c>
      <c r="P1744" s="17" t="str">
        <f ca="1">IF(AND(L1744=-1,L1743&lt;&gt;-1),MAX($P$8:P1743)+1,"")</f>
        <v/>
      </c>
      <c r="Q1744" s="24" t="str">
        <f ca="1">IF(AND(L1744&lt;&gt;-1,L1743=-1),MAX($Q$8:Q1743)+1,"")</f>
        <v/>
      </c>
    </row>
    <row r="1745" spans="1:17" x14ac:dyDescent="0.3">
      <c r="A1745" s="3">
        <v>42752</v>
      </c>
      <c r="B1745" s="9">
        <v>20.689087000000001</v>
      </c>
      <c r="C1745" s="9">
        <v>16.852388000000001</v>
      </c>
      <c r="E1745" s="14">
        <f t="shared" si="193"/>
        <v>1.2276650051019475</v>
      </c>
      <c r="F1745" s="18">
        <f t="shared" ca="1" si="192"/>
        <v>-1.3814226946252406</v>
      </c>
      <c r="G1745" s="15">
        <f t="shared" ca="1" si="190"/>
        <v>1.2434291685255294</v>
      </c>
      <c r="H1745" s="15">
        <f t="shared" ca="1" si="191"/>
        <v>1.1411542234622454E-2</v>
      </c>
      <c r="J1745" s="17">
        <f t="shared" ca="1" si="194"/>
        <v>0</v>
      </c>
      <c r="K1745" s="24">
        <f t="shared" ca="1" si="195"/>
        <v>-1</v>
      </c>
      <c r="L1745" s="17">
        <f t="shared" ca="1" si="196"/>
        <v>-1</v>
      </c>
      <c r="N1745" s="24" t="str">
        <f ca="1">IF(AND(L1745=1,L1744&lt;&gt;1),MAX($N$8:N1744)+1,"")</f>
        <v/>
      </c>
      <c r="O1745" s="24" t="str">
        <f ca="1">IF(AND(L1745&lt;&gt;1,L1744=1),MAX($O$8:O1744)+1,"")</f>
        <v/>
      </c>
      <c r="P1745" s="17" t="str">
        <f ca="1">IF(AND(L1745=-1,L1744&lt;&gt;-1),MAX($P$8:P1744)+1,"")</f>
        <v/>
      </c>
      <c r="Q1745" s="24" t="str">
        <f ca="1">IF(AND(L1745&lt;&gt;-1,L1744=-1),MAX($Q$8:Q1744)+1,"")</f>
        <v/>
      </c>
    </row>
    <row r="1746" spans="1:17" x14ac:dyDescent="0.3">
      <c r="A1746" s="3">
        <v>42753</v>
      </c>
      <c r="B1746" s="9">
        <v>20.526871</v>
      </c>
      <c r="C1746" s="9">
        <v>16.683928000000002</v>
      </c>
      <c r="E1746" s="14">
        <f t="shared" si="193"/>
        <v>1.230338023515805</v>
      </c>
      <c r="F1746" s="18">
        <f t="shared" ca="1" si="192"/>
        <v>-1.1498529980401737</v>
      </c>
      <c r="G1746" s="15">
        <f t="shared" ca="1" si="190"/>
        <v>1.2434422091518751</v>
      </c>
      <c r="H1746" s="15">
        <f t="shared" ca="1" si="191"/>
        <v>1.1396400808107681E-2</v>
      </c>
      <c r="J1746" s="17">
        <f t="shared" ca="1" si="194"/>
        <v>0</v>
      </c>
      <c r="K1746" s="24">
        <f t="shared" ca="1" si="195"/>
        <v>-1</v>
      </c>
      <c r="L1746" s="17">
        <f t="shared" ca="1" si="196"/>
        <v>-1</v>
      </c>
      <c r="N1746" s="24" t="str">
        <f ca="1">IF(AND(L1746=1,L1745&lt;&gt;1),MAX($N$8:N1745)+1,"")</f>
        <v/>
      </c>
      <c r="O1746" s="24" t="str">
        <f ca="1">IF(AND(L1746&lt;&gt;1,L1745=1),MAX($O$8:O1745)+1,"")</f>
        <v/>
      </c>
      <c r="P1746" s="17" t="str">
        <f ca="1">IF(AND(L1746=-1,L1745&lt;&gt;-1),MAX($P$8:P1745)+1,"")</f>
        <v/>
      </c>
      <c r="Q1746" s="24" t="str">
        <f ca="1">IF(AND(L1746&lt;&gt;-1,L1745=-1),MAX($Q$8:Q1745)+1,"")</f>
        <v/>
      </c>
    </row>
    <row r="1747" spans="1:17" x14ac:dyDescent="0.3">
      <c r="A1747" s="3">
        <v>42754</v>
      </c>
      <c r="B1747" s="9">
        <v>20.414999000000002</v>
      </c>
      <c r="C1747" s="9">
        <v>16.668118</v>
      </c>
      <c r="E1747" s="14">
        <f t="shared" si="193"/>
        <v>1.2247932850007424</v>
      </c>
      <c r="F1747" s="18">
        <f t="shared" ca="1" si="192"/>
        <v>-1.6537919840236903</v>
      </c>
      <c r="G1747" s="15">
        <f t="shared" ca="1" si="190"/>
        <v>1.2434943503440634</v>
      </c>
      <c r="H1747" s="15">
        <f t="shared" ca="1" si="191"/>
        <v>1.1307991285470619E-2</v>
      </c>
      <c r="J1747" s="17">
        <f t="shared" ca="1" si="194"/>
        <v>0</v>
      </c>
      <c r="K1747" s="24">
        <f t="shared" ca="1" si="195"/>
        <v>-1</v>
      </c>
      <c r="L1747" s="17">
        <f t="shared" ca="1" si="196"/>
        <v>-1</v>
      </c>
      <c r="N1747" s="24" t="str">
        <f ca="1">IF(AND(L1747=1,L1746&lt;&gt;1),MAX($N$8:N1746)+1,"")</f>
        <v/>
      </c>
      <c r="O1747" s="24" t="str">
        <f ca="1">IF(AND(L1747&lt;&gt;1,L1746=1),MAX($O$8:O1746)+1,"")</f>
        <v/>
      </c>
      <c r="P1747" s="17" t="str">
        <f ca="1">IF(AND(L1747=-1,L1746&lt;&gt;-1),MAX($P$8:P1746)+1,"")</f>
        <v/>
      </c>
      <c r="Q1747" s="24" t="str">
        <f ca="1">IF(AND(L1747&lt;&gt;-1,L1746=-1),MAX($Q$8:Q1746)+1,"")</f>
        <v/>
      </c>
    </row>
    <row r="1748" spans="1:17" x14ac:dyDescent="0.3">
      <c r="A1748" s="3">
        <v>42755</v>
      </c>
      <c r="B1748" s="9">
        <v>20.476514999999999</v>
      </c>
      <c r="C1748" s="9">
        <v>16.589182000000001</v>
      </c>
      <c r="E1748" s="14">
        <f t="shared" si="193"/>
        <v>1.2343293961088617</v>
      </c>
      <c r="F1748" s="18">
        <f t="shared" ca="1" si="192"/>
        <v>-0.85819616909449725</v>
      </c>
      <c r="G1748" s="15">
        <f t="shared" ca="1" si="190"/>
        <v>1.24377104102974</v>
      </c>
      <c r="H1748" s="15">
        <f t="shared" ca="1" si="191"/>
        <v>1.1001732774967276E-2</v>
      </c>
      <c r="J1748" s="17">
        <f t="shared" ca="1" si="194"/>
        <v>0</v>
      </c>
      <c r="K1748" s="24">
        <f t="shared" ca="1" si="195"/>
        <v>-1</v>
      </c>
      <c r="L1748" s="17">
        <f t="shared" ca="1" si="196"/>
        <v>-1</v>
      </c>
      <c r="N1748" s="24" t="str">
        <f ca="1">IF(AND(L1748=1,L1747&lt;&gt;1),MAX($N$8:N1747)+1,"")</f>
        <v/>
      </c>
      <c r="O1748" s="24" t="str">
        <f ca="1">IF(AND(L1748&lt;&gt;1,L1747=1),MAX($O$8:O1747)+1,"")</f>
        <v/>
      </c>
      <c r="P1748" s="17" t="str">
        <f ca="1">IF(AND(L1748=-1,L1747&lt;&gt;-1),MAX($P$8:P1747)+1,"")</f>
        <v/>
      </c>
      <c r="Q1748" s="24" t="str">
        <f ca="1">IF(AND(L1748&lt;&gt;-1,L1747=-1),MAX($Q$8:Q1747)+1,"")</f>
        <v/>
      </c>
    </row>
    <row r="1749" spans="1:17" x14ac:dyDescent="0.3">
      <c r="A1749" s="3">
        <v>42758</v>
      </c>
      <c r="B1749" s="9">
        <v>21.164657999999999</v>
      </c>
      <c r="C1749" s="9">
        <v>16.968133999999999</v>
      </c>
      <c r="E1749" s="14">
        <f t="shared" si="193"/>
        <v>1.2473179431515569</v>
      </c>
      <c r="F1749" s="18">
        <f t="shared" ca="1" si="192"/>
        <v>0.28611420413380306</v>
      </c>
      <c r="G1749" s="15">
        <f t="shared" ca="1" si="190"/>
        <v>1.24418296791844</v>
      </c>
      <c r="H1749" s="15">
        <f t="shared" ca="1" si="191"/>
        <v>1.095707653734943E-2</v>
      </c>
      <c r="J1749" s="17">
        <f t="shared" ca="1" si="194"/>
        <v>0</v>
      </c>
      <c r="K1749" s="24">
        <f t="shared" ca="1" si="195"/>
        <v>0</v>
      </c>
      <c r="L1749" s="17">
        <f t="shared" ca="1" si="196"/>
        <v>0</v>
      </c>
      <c r="N1749" s="24" t="str">
        <f ca="1">IF(AND(L1749=1,L1748&lt;&gt;1),MAX($N$8:N1748)+1,"")</f>
        <v/>
      </c>
      <c r="O1749" s="24" t="str">
        <f ca="1">IF(AND(L1749&lt;&gt;1,L1748=1),MAX($O$8:O1748)+1,"")</f>
        <v/>
      </c>
      <c r="P1749" s="17" t="str">
        <f ca="1">IF(AND(L1749=-1,L1748&lt;&gt;-1),MAX($P$8:P1748)+1,"")</f>
        <v/>
      </c>
      <c r="Q1749" s="24">
        <f ca="1">IF(AND(L1749&lt;&gt;-1,L1748=-1),MAX($Q$8:Q1748)+1,"")</f>
        <v>65</v>
      </c>
    </row>
    <row r="1750" spans="1:17" x14ac:dyDescent="0.3">
      <c r="A1750" s="3">
        <v>42759</v>
      </c>
      <c r="B1750" s="9">
        <v>21.114312999999999</v>
      </c>
      <c r="C1750" s="9">
        <v>16.904999</v>
      </c>
      <c r="E1750" s="14">
        <f t="shared" si="193"/>
        <v>1.2489981809522732</v>
      </c>
      <c r="F1750" s="18">
        <f t="shared" ca="1" si="192"/>
        <v>0.42546970274004475</v>
      </c>
      <c r="G1750" s="15">
        <f t="shared" ca="1" si="190"/>
        <v>1.2443191283692676</v>
      </c>
      <c r="H1750" s="15">
        <f t="shared" ca="1" si="191"/>
        <v>1.0997381371393281E-2</v>
      </c>
      <c r="J1750" s="17">
        <f t="shared" ca="1" si="194"/>
        <v>0</v>
      </c>
      <c r="K1750" s="24">
        <f t="shared" ca="1" si="195"/>
        <v>0</v>
      </c>
      <c r="L1750" s="17">
        <f t="shared" ca="1" si="196"/>
        <v>0</v>
      </c>
      <c r="N1750" s="24" t="str">
        <f ca="1">IF(AND(L1750=1,L1749&lt;&gt;1),MAX($N$8:N1749)+1,"")</f>
        <v/>
      </c>
      <c r="O1750" s="24" t="str">
        <f ca="1">IF(AND(L1750&lt;&gt;1,L1749=1),MAX($O$8:O1749)+1,"")</f>
        <v/>
      </c>
      <c r="P1750" s="17" t="str">
        <f ca="1">IF(AND(L1750=-1,L1749&lt;&gt;-1),MAX($P$8:P1749)+1,"")</f>
        <v/>
      </c>
      <c r="Q1750" s="24" t="str">
        <f ca="1">IF(AND(L1750&lt;&gt;-1,L1749=-1),MAX($Q$8:Q1749)+1,"")</f>
        <v/>
      </c>
    </row>
    <row r="1751" spans="1:17" x14ac:dyDescent="0.3">
      <c r="A1751" s="3">
        <v>42761</v>
      </c>
      <c r="B1751" s="9">
        <v>21.399639000000001</v>
      </c>
      <c r="C1751" s="9">
        <v>17.283953</v>
      </c>
      <c r="E1751" s="14">
        <f t="shared" si="193"/>
        <v>1.2381218000303518</v>
      </c>
      <c r="F1751" s="18">
        <f t="shared" ca="1" si="192"/>
        <v>-0.49310069844806043</v>
      </c>
      <c r="G1751" s="15">
        <f t="shared" ca="1" si="190"/>
        <v>1.2431272954630681</v>
      </c>
      <c r="H1751" s="15">
        <f t="shared" ca="1" si="191"/>
        <v>1.0151061331833777E-2</v>
      </c>
      <c r="J1751" s="17">
        <f t="shared" ca="1" si="194"/>
        <v>0</v>
      </c>
      <c r="K1751" s="24">
        <f t="shared" ca="1" si="195"/>
        <v>0</v>
      </c>
      <c r="L1751" s="17">
        <f t="shared" ca="1" si="196"/>
        <v>0</v>
      </c>
      <c r="N1751" s="24" t="str">
        <f ca="1">IF(AND(L1751=1,L1750&lt;&gt;1),MAX($N$8:N1750)+1,"")</f>
        <v/>
      </c>
      <c r="O1751" s="24" t="str">
        <f ca="1">IF(AND(L1751&lt;&gt;1,L1750=1),MAX($O$8:O1750)+1,"")</f>
        <v/>
      </c>
      <c r="P1751" s="17" t="str">
        <f ca="1">IF(AND(L1751=-1,L1750&lt;&gt;-1),MAX($P$8:P1750)+1,"")</f>
        <v/>
      </c>
      <c r="Q1751" s="24" t="str">
        <f ca="1">IF(AND(L1751&lt;&gt;-1,L1750=-1),MAX($Q$8:Q1750)+1,"")</f>
        <v/>
      </c>
    </row>
    <row r="1752" spans="1:17" x14ac:dyDescent="0.3">
      <c r="A1752" s="3">
        <v>42762</v>
      </c>
      <c r="B1752" s="9">
        <v>21.287766999999999</v>
      </c>
      <c r="C1752" s="9">
        <v>17.336580000000001</v>
      </c>
      <c r="E1752" s="14">
        <f t="shared" si="193"/>
        <v>1.2279104067814988</v>
      </c>
      <c r="F1752" s="18">
        <f t="shared" ca="1" si="192"/>
        <v>-1.353416126862192</v>
      </c>
      <c r="G1752" s="15">
        <f t="shared" ca="1" si="190"/>
        <v>1.2420526576909188</v>
      </c>
      <c r="H1752" s="15">
        <f t="shared" ca="1" si="191"/>
        <v>1.0449299833753202E-2</v>
      </c>
      <c r="J1752" s="17">
        <f t="shared" ca="1" si="194"/>
        <v>0</v>
      </c>
      <c r="K1752" s="24">
        <f t="shared" ca="1" si="195"/>
        <v>-1</v>
      </c>
      <c r="L1752" s="17">
        <f t="shared" ca="1" si="196"/>
        <v>-1</v>
      </c>
      <c r="N1752" s="24" t="str">
        <f ca="1">IF(AND(L1752=1,L1751&lt;&gt;1),MAX($N$8:N1751)+1,"")</f>
        <v/>
      </c>
      <c r="O1752" s="24" t="str">
        <f ca="1">IF(AND(L1752&lt;&gt;1,L1751=1),MAX($O$8:O1751)+1,"")</f>
        <v/>
      </c>
      <c r="P1752" s="17">
        <f ca="1">IF(AND(L1752=-1,L1751&lt;&gt;-1),MAX($P$8:P1751)+1,"")</f>
        <v>66</v>
      </c>
      <c r="Q1752" s="24" t="str">
        <f ca="1">IF(AND(L1752&lt;&gt;-1,L1751=-1),MAX($Q$8:Q1751)+1,"")</f>
        <v/>
      </c>
    </row>
    <row r="1753" spans="1:17" x14ac:dyDescent="0.3">
      <c r="A1753" s="3">
        <v>42765</v>
      </c>
      <c r="B1753" s="9">
        <v>20.834602</v>
      </c>
      <c r="C1753" s="9">
        <v>17.031352999999999</v>
      </c>
      <c r="E1753" s="14">
        <f t="shared" si="193"/>
        <v>1.2233086825221695</v>
      </c>
      <c r="F1753" s="18">
        <f t="shared" ca="1" si="192"/>
        <v>-1.6782611355132564</v>
      </c>
      <c r="G1753" s="15">
        <f t="shared" ca="1" si="190"/>
        <v>1.2402462578764368</v>
      </c>
      <c r="H1753" s="15">
        <f t="shared" ca="1" si="191"/>
        <v>1.0092336047028441E-2</v>
      </c>
      <c r="J1753" s="17">
        <f t="shared" ca="1" si="194"/>
        <v>0</v>
      </c>
      <c r="K1753" s="24">
        <f t="shared" ca="1" si="195"/>
        <v>-1</v>
      </c>
      <c r="L1753" s="17">
        <f t="shared" ca="1" si="196"/>
        <v>-1</v>
      </c>
      <c r="N1753" s="24" t="str">
        <f ca="1">IF(AND(L1753=1,L1752&lt;&gt;1),MAX($N$8:N1752)+1,"")</f>
        <v/>
      </c>
      <c r="O1753" s="24" t="str">
        <f ca="1">IF(AND(L1753&lt;&gt;1,L1752=1),MAX($O$8:O1752)+1,"")</f>
        <v/>
      </c>
      <c r="P1753" s="17" t="str">
        <f ca="1">IF(AND(L1753=-1,L1752&lt;&gt;-1),MAX($P$8:P1752)+1,"")</f>
        <v/>
      </c>
      <c r="Q1753" s="24" t="str">
        <f ca="1">IF(AND(L1753&lt;&gt;-1,L1752=-1),MAX($Q$8:Q1752)+1,"")</f>
        <v/>
      </c>
    </row>
    <row r="1754" spans="1:17" x14ac:dyDescent="0.3">
      <c r="A1754" s="3">
        <v>42766</v>
      </c>
      <c r="B1754" s="9">
        <v>20.834602</v>
      </c>
      <c r="C1754" s="9">
        <v>17.210239000000001</v>
      </c>
      <c r="E1754" s="14">
        <f t="shared" si="193"/>
        <v>1.2105934147689639</v>
      </c>
      <c r="F1754" s="18">
        <f t="shared" ca="1" si="192"/>
        <v>-2.3948776997544075</v>
      </c>
      <c r="G1754" s="15">
        <f t="shared" ca="1" si="190"/>
        <v>1.23854945637738</v>
      </c>
      <c r="H1754" s="15">
        <f t="shared" ca="1" si="191"/>
        <v>1.1673264823202873E-2</v>
      </c>
      <c r="J1754" s="17">
        <f t="shared" ca="1" si="194"/>
        <v>0</v>
      </c>
      <c r="K1754" s="24">
        <f t="shared" ca="1" si="195"/>
        <v>-1</v>
      </c>
      <c r="L1754" s="17">
        <f t="shared" ca="1" si="196"/>
        <v>-1</v>
      </c>
      <c r="N1754" s="24" t="str">
        <f ca="1">IF(AND(L1754=1,L1753&lt;&gt;1),MAX($N$8:N1753)+1,"")</f>
        <v/>
      </c>
      <c r="O1754" s="24" t="str">
        <f ca="1">IF(AND(L1754&lt;&gt;1,L1753=1),MAX($O$8:O1753)+1,"")</f>
        <v/>
      </c>
      <c r="P1754" s="17" t="str">
        <f ca="1">IF(AND(L1754=-1,L1753&lt;&gt;-1),MAX($P$8:P1753)+1,"")</f>
        <v/>
      </c>
      <c r="Q1754" s="24" t="str">
        <f ca="1">IF(AND(L1754&lt;&gt;-1,L1753=-1),MAX($Q$8:Q1753)+1,"")</f>
        <v/>
      </c>
    </row>
    <row r="1755" spans="1:17" x14ac:dyDescent="0.3">
      <c r="A1755" s="3">
        <v>42767</v>
      </c>
      <c r="B1755" s="9">
        <v>21.059891</v>
      </c>
      <c r="C1755" s="9">
        <v>17.068172000000001</v>
      </c>
      <c r="E1755" s="14">
        <f t="shared" si="193"/>
        <v>1.2338691571657467</v>
      </c>
      <c r="F1755" s="18">
        <f t="shared" ca="1" si="192"/>
        <v>-0.37139726112677329</v>
      </c>
      <c r="G1755" s="15">
        <f t="shared" ca="1" si="190"/>
        <v>1.238213275906408</v>
      </c>
      <c r="H1755" s="15">
        <f t="shared" ca="1" si="191"/>
        <v>1.1696690297288915E-2</v>
      </c>
      <c r="J1755" s="17">
        <f t="shared" ca="1" si="194"/>
        <v>0</v>
      </c>
      <c r="K1755" s="24">
        <f t="shared" ca="1" si="195"/>
        <v>-1</v>
      </c>
      <c r="L1755" s="17">
        <f t="shared" ca="1" si="196"/>
        <v>-1</v>
      </c>
      <c r="N1755" s="24" t="str">
        <f ca="1">IF(AND(L1755=1,L1754&lt;&gt;1),MAX($N$8:N1754)+1,"")</f>
        <v/>
      </c>
      <c r="O1755" s="24" t="str">
        <f ca="1">IF(AND(L1755&lt;&gt;1,L1754=1),MAX($O$8:O1754)+1,"")</f>
        <v/>
      </c>
      <c r="P1755" s="17" t="str">
        <f ca="1">IF(AND(L1755=-1,L1754&lt;&gt;-1),MAX($P$8:P1754)+1,"")</f>
        <v/>
      </c>
      <c r="Q1755" s="24" t="str">
        <f ca="1">IF(AND(L1755&lt;&gt;-1,L1754=-1),MAX($Q$8:Q1754)+1,"")</f>
        <v/>
      </c>
    </row>
    <row r="1756" spans="1:17" x14ac:dyDescent="0.3">
      <c r="A1756" s="3">
        <v>42768</v>
      </c>
      <c r="B1756" s="9">
        <v>20.998343999999999</v>
      </c>
      <c r="C1756" s="9">
        <v>16.436171000000002</v>
      </c>
      <c r="E1756" s="14">
        <f t="shared" si="193"/>
        <v>1.2775690883235515</v>
      </c>
      <c r="F1756" s="18">
        <f t="shared" ca="1" si="192"/>
        <v>2.6316856815302514</v>
      </c>
      <c r="G1756" s="15">
        <f t="shared" ca="1" si="190"/>
        <v>1.2399715064320469</v>
      </c>
      <c r="H1756" s="15">
        <f t="shared" ca="1" si="191"/>
        <v>1.428650167281478E-2</v>
      </c>
      <c r="J1756" s="17">
        <f t="shared" ca="1" si="194"/>
        <v>1</v>
      </c>
      <c r="K1756" s="24">
        <f t="shared" ca="1" si="195"/>
        <v>0</v>
      </c>
      <c r="L1756" s="17">
        <f t="shared" ca="1" si="196"/>
        <v>1</v>
      </c>
      <c r="N1756" s="24">
        <f ca="1">IF(AND(L1756=1,L1755&lt;&gt;1),MAX($N$8:N1755)+1,"")</f>
        <v>58</v>
      </c>
      <c r="O1756" s="24" t="str">
        <f ca="1">IF(AND(L1756&lt;&gt;1,L1755=1),MAX($O$8:O1755)+1,"")</f>
        <v/>
      </c>
      <c r="P1756" s="17" t="str">
        <f ca="1">IF(AND(L1756=-1,L1755&lt;&gt;-1),MAX($P$8:P1755)+1,"")</f>
        <v/>
      </c>
      <c r="Q1756" s="24">
        <f ca="1">IF(AND(L1756&lt;&gt;-1,L1755=-1),MAX($Q$8:Q1755)+1,"")</f>
        <v>66</v>
      </c>
    </row>
    <row r="1757" spans="1:17" x14ac:dyDescent="0.3">
      <c r="A1757" s="3">
        <v>42769</v>
      </c>
      <c r="B1757" s="9">
        <v>21.434989999999999</v>
      </c>
      <c r="C1757" s="9">
        <v>16.836504000000001</v>
      </c>
      <c r="E1757" s="14">
        <f t="shared" si="193"/>
        <v>1.2731259411098645</v>
      </c>
      <c r="F1757" s="18">
        <f t="shared" ca="1" si="192"/>
        <v>1.9912151653730026</v>
      </c>
      <c r="G1757" s="15">
        <f t="shared" ca="1" si="190"/>
        <v>1.2415499735377491</v>
      </c>
      <c r="H1757" s="15">
        <f t="shared" ca="1" si="191"/>
        <v>1.5857637146009036E-2</v>
      </c>
      <c r="J1757" s="17">
        <f t="shared" ca="1" si="194"/>
        <v>1</v>
      </c>
      <c r="K1757" s="24">
        <f t="shared" ca="1" si="195"/>
        <v>0</v>
      </c>
      <c r="L1757" s="17">
        <f t="shared" ca="1" si="196"/>
        <v>1</v>
      </c>
      <c r="N1757" s="24" t="str">
        <f ca="1">IF(AND(L1757=1,L1756&lt;&gt;1),MAX($N$8:N1756)+1,"")</f>
        <v/>
      </c>
      <c r="O1757" s="24" t="str">
        <f ca="1">IF(AND(L1757&lt;&gt;1,L1756=1),MAX($O$8:O1756)+1,"")</f>
        <v/>
      </c>
      <c r="P1757" s="17" t="str">
        <f ca="1">IF(AND(L1757=-1,L1756&lt;&gt;-1),MAX($P$8:P1756)+1,"")</f>
        <v/>
      </c>
      <c r="Q1757" s="24" t="str">
        <f ca="1">IF(AND(L1757&lt;&gt;-1,L1756=-1),MAX($Q$8:Q1756)+1,"")</f>
        <v/>
      </c>
    </row>
    <row r="1758" spans="1:17" x14ac:dyDescent="0.3">
      <c r="A1758" s="3">
        <v>42772</v>
      </c>
      <c r="B1758" s="9">
        <v>21.278223000000001</v>
      </c>
      <c r="C1758" s="9">
        <v>16.488838000000001</v>
      </c>
      <c r="E1758" s="14">
        <f t="shared" si="193"/>
        <v>1.2904622508875396</v>
      </c>
      <c r="F1758" s="18">
        <f t="shared" ca="1" si="192"/>
        <v>2.5113240196703215</v>
      </c>
      <c r="G1758" s="15">
        <f t="shared" ca="1" si="190"/>
        <v>1.2433144505528617</v>
      </c>
      <c r="H1758" s="15">
        <f t="shared" ca="1" si="191"/>
        <v>1.8774080909267663E-2</v>
      </c>
      <c r="J1758" s="17">
        <f t="shared" ca="1" si="194"/>
        <v>1</v>
      </c>
      <c r="K1758" s="24">
        <f t="shared" ca="1" si="195"/>
        <v>0</v>
      </c>
      <c r="L1758" s="17">
        <f t="shared" ca="1" si="196"/>
        <v>1</v>
      </c>
      <c r="N1758" s="24" t="str">
        <f ca="1">IF(AND(L1758=1,L1757&lt;&gt;1),MAX($N$8:N1757)+1,"")</f>
        <v/>
      </c>
      <c r="O1758" s="24" t="str">
        <f ca="1">IF(AND(L1758&lt;&gt;1,L1757=1),MAX($O$8:O1757)+1,"")</f>
        <v/>
      </c>
      <c r="P1758" s="17" t="str">
        <f ca="1">IF(AND(L1758=-1,L1757&lt;&gt;-1),MAX($P$8:P1757)+1,"")</f>
        <v/>
      </c>
      <c r="Q1758" s="24" t="str">
        <f ca="1">IF(AND(L1758&lt;&gt;-1,L1757=-1),MAX($Q$8:Q1757)+1,"")</f>
        <v/>
      </c>
    </row>
    <row r="1759" spans="1:17" x14ac:dyDescent="0.3">
      <c r="A1759" s="3">
        <v>42773</v>
      </c>
      <c r="B1759" s="9">
        <v>21.692447999999999</v>
      </c>
      <c r="C1759" s="9">
        <v>16.462498</v>
      </c>
      <c r="E1759" s="14">
        <f t="shared" si="193"/>
        <v>1.3176887250039453</v>
      </c>
      <c r="F1759" s="18">
        <f t="shared" ca="1" si="192"/>
        <v>2.9451903475100107</v>
      </c>
      <c r="G1759" s="15">
        <f t="shared" ref="G1759:G1822" ca="1" si="197">IF(ISNUMBER(E1759),IF(ROW(E1759)&gt;$J$1,AVERAGE(OFFSET(E1759,0,0,-$J$1)),""),"")</f>
        <v>1.2461698787476416</v>
      </c>
      <c r="H1759" s="15">
        <f t="shared" ref="H1759:H1822" ca="1" si="198">IF(ISNUMBER(E1759),IF(ROW(E1759)&gt;$J$1,_xlfn.STDEV.P(OFFSET(E1759,0,0,-$J$1)),""),"")</f>
        <v>2.4283267910601685E-2</v>
      </c>
      <c r="J1759" s="17">
        <f t="shared" ca="1" si="194"/>
        <v>1</v>
      </c>
      <c r="K1759" s="24">
        <f t="shared" ca="1" si="195"/>
        <v>0</v>
      </c>
      <c r="L1759" s="17">
        <f t="shared" ca="1" si="196"/>
        <v>1</v>
      </c>
      <c r="N1759" s="24" t="str">
        <f ca="1">IF(AND(L1759=1,L1758&lt;&gt;1),MAX($N$8:N1758)+1,"")</f>
        <v/>
      </c>
      <c r="O1759" s="24" t="str">
        <f ca="1">IF(AND(L1759&lt;&gt;1,L1758=1),MAX($O$8:O1758)+1,"")</f>
        <v/>
      </c>
      <c r="P1759" s="17" t="str">
        <f ca="1">IF(AND(L1759=-1,L1758&lt;&gt;-1),MAX($P$8:P1758)+1,"")</f>
        <v/>
      </c>
      <c r="Q1759" s="24" t="str">
        <f ca="1">IF(AND(L1759&lt;&gt;-1,L1758=-1),MAX($Q$8:Q1758)+1,"")</f>
        <v/>
      </c>
    </row>
    <row r="1760" spans="1:17" x14ac:dyDescent="0.3">
      <c r="A1760" s="3">
        <v>42774</v>
      </c>
      <c r="B1760" s="9">
        <v>22.252281</v>
      </c>
      <c r="C1760" s="9">
        <v>16.768013</v>
      </c>
      <c r="E1760" s="14">
        <f t="shared" si="193"/>
        <v>1.3270672559712353</v>
      </c>
      <c r="F1760" s="18">
        <f t="shared" ca="1" si="192"/>
        <v>2.6196073291275095</v>
      </c>
      <c r="G1760" s="15">
        <f t="shared" ca="1" si="197"/>
        <v>1.2496178593338101</v>
      </c>
      <c r="H1760" s="15">
        <f t="shared" ca="1" si="198"/>
        <v>2.9565269487629903E-2</v>
      </c>
      <c r="J1760" s="17">
        <f t="shared" ca="1" si="194"/>
        <v>1</v>
      </c>
      <c r="K1760" s="24">
        <f t="shared" ca="1" si="195"/>
        <v>0</v>
      </c>
      <c r="L1760" s="17">
        <f t="shared" ca="1" si="196"/>
        <v>1</v>
      </c>
      <c r="N1760" s="24" t="str">
        <f ca="1">IF(AND(L1760=1,L1759&lt;&gt;1),MAX($N$8:N1759)+1,"")</f>
        <v/>
      </c>
      <c r="O1760" s="24" t="str">
        <f ca="1">IF(AND(L1760&lt;&gt;1,L1759=1),MAX($O$8:O1759)+1,"")</f>
        <v/>
      </c>
      <c r="P1760" s="17" t="str">
        <f ca="1">IF(AND(L1760=-1,L1759&lt;&gt;-1),MAX($P$8:P1759)+1,"")</f>
        <v/>
      </c>
      <c r="Q1760" s="24" t="str">
        <f ca="1">IF(AND(L1760&lt;&gt;-1,L1759=-1),MAX($Q$8:Q1759)+1,"")</f>
        <v/>
      </c>
    </row>
    <row r="1761" spans="1:17" x14ac:dyDescent="0.3">
      <c r="A1761" s="3">
        <v>42775</v>
      </c>
      <c r="B1761" s="9">
        <v>22.353048000000001</v>
      </c>
      <c r="C1761" s="9">
        <v>16.868144999999998</v>
      </c>
      <c r="E1761" s="14">
        <f t="shared" si="193"/>
        <v>1.3251633774786737</v>
      </c>
      <c r="F1761" s="18">
        <f t="shared" ca="1" si="192"/>
        <v>2.1609093977325262</v>
      </c>
      <c r="G1761" s="15">
        <f t="shared" ca="1" si="197"/>
        <v>1.2527836680575193</v>
      </c>
      <c r="H1761" s="15">
        <f t="shared" ca="1" si="198"/>
        <v>3.3495022742324847E-2</v>
      </c>
      <c r="J1761" s="17">
        <f t="shared" ca="1" si="194"/>
        <v>1</v>
      </c>
      <c r="K1761" s="24">
        <f t="shared" ca="1" si="195"/>
        <v>0</v>
      </c>
      <c r="L1761" s="17">
        <f t="shared" ca="1" si="196"/>
        <v>1</v>
      </c>
      <c r="N1761" s="24" t="str">
        <f ca="1">IF(AND(L1761=1,L1760&lt;&gt;1),MAX($N$8:N1760)+1,"")</f>
        <v/>
      </c>
      <c r="O1761" s="24" t="str">
        <f ca="1">IF(AND(L1761&lt;&gt;1,L1760=1),MAX($O$8:O1760)+1,"")</f>
        <v/>
      </c>
      <c r="P1761" s="17" t="str">
        <f ca="1">IF(AND(L1761=-1,L1760&lt;&gt;-1),MAX($P$8:P1760)+1,"")</f>
        <v/>
      </c>
      <c r="Q1761" s="24" t="str">
        <f ca="1">IF(AND(L1761&lt;&gt;-1,L1760=-1),MAX($Q$8:Q1760)+1,"")</f>
        <v/>
      </c>
    </row>
    <row r="1762" spans="1:17" x14ac:dyDescent="0.3">
      <c r="A1762" s="3">
        <v>42776</v>
      </c>
      <c r="B1762" s="9">
        <v>22.425841999999999</v>
      </c>
      <c r="C1762" s="9">
        <v>17.120987</v>
      </c>
      <c r="E1762" s="14">
        <f t="shared" si="193"/>
        <v>1.3098451625481637</v>
      </c>
      <c r="F1762" s="18">
        <f t="shared" ca="1" si="192"/>
        <v>1.5309111436508582</v>
      </c>
      <c r="G1762" s="15">
        <f t="shared" ca="1" si="197"/>
        <v>1.2554441303381674</v>
      </c>
      <c r="H1762" s="15">
        <f t="shared" ca="1" si="198"/>
        <v>3.5535068403945949E-2</v>
      </c>
      <c r="J1762" s="17">
        <f t="shared" ca="1" si="194"/>
        <v>1</v>
      </c>
      <c r="K1762" s="24">
        <f t="shared" ca="1" si="195"/>
        <v>0</v>
      </c>
      <c r="L1762" s="17">
        <f t="shared" ca="1" si="196"/>
        <v>1</v>
      </c>
      <c r="N1762" s="24" t="str">
        <f ca="1">IF(AND(L1762=1,L1761&lt;&gt;1),MAX($N$8:N1761)+1,"")</f>
        <v/>
      </c>
      <c r="O1762" s="24" t="str">
        <f ca="1">IF(AND(L1762&lt;&gt;1,L1761=1),MAX($O$8:O1761)+1,"")</f>
        <v/>
      </c>
      <c r="P1762" s="17" t="str">
        <f ca="1">IF(AND(L1762=-1,L1761&lt;&gt;-1),MAX($P$8:P1761)+1,"")</f>
        <v/>
      </c>
      <c r="Q1762" s="24" t="str">
        <f ca="1">IF(AND(L1762&lt;&gt;-1,L1761=-1),MAX($Q$8:Q1761)+1,"")</f>
        <v/>
      </c>
    </row>
    <row r="1763" spans="1:17" x14ac:dyDescent="0.3">
      <c r="A1763" s="3">
        <v>42779</v>
      </c>
      <c r="B1763" s="9">
        <v>22.319455999999999</v>
      </c>
      <c r="C1763" s="9">
        <v>17.168445999999999</v>
      </c>
      <c r="E1763" s="14">
        <f t="shared" si="193"/>
        <v>1.3000277369308788</v>
      </c>
      <c r="F1763" s="18">
        <f t="shared" ca="1" si="192"/>
        <v>1.1483223546965784</v>
      </c>
      <c r="G1763" s="15">
        <f t="shared" ca="1" si="197"/>
        <v>1.2579752578643024</v>
      </c>
      <c r="H1763" s="15">
        <f t="shared" ca="1" si="198"/>
        <v>3.6620796324815887E-2</v>
      </c>
      <c r="J1763" s="17">
        <f t="shared" ca="1" si="194"/>
        <v>1</v>
      </c>
      <c r="K1763" s="24">
        <f t="shared" ca="1" si="195"/>
        <v>0</v>
      </c>
      <c r="L1763" s="17">
        <f t="shared" ca="1" si="196"/>
        <v>1</v>
      </c>
      <c r="N1763" s="24" t="str">
        <f ca="1">IF(AND(L1763=1,L1762&lt;&gt;1),MAX($N$8:N1762)+1,"")</f>
        <v/>
      </c>
      <c r="O1763" s="24" t="str">
        <f ca="1">IF(AND(L1763&lt;&gt;1,L1762=1),MAX($O$8:O1762)+1,"")</f>
        <v/>
      </c>
      <c r="P1763" s="17" t="str">
        <f ca="1">IF(AND(L1763=-1,L1762&lt;&gt;-1),MAX($P$8:P1762)+1,"")</f>
        <v/>
      </c>
      <c r="Q1763" s="24" t="str">
        <f ca="1">IF(AND(L1763&lt;&gt;-1,L1762=-1),MAX($Q$8:Q1762)+1,"")</f>
        <v/>
      </c>
    </row>
    <row r="1764" spans="1:17" x14ac:dyDescent="0.3">
      <c r="A1764" s="3">
        <v>42780</v>
      </c>
      <c r="B1764" s="9">
        <v>22.392261999999999</v>
      </c>
      <c r="C1764" s="9">
        <v>17.063013000000002</v>
      </c>
      <c r="E1764" s="14">
        <f t="shared" si="193"/>
        <v>1.3123275473094931</v>
      </c>
      <c r="F1764" s="18">
        <f t="shared" ca="1" si="192"/>
        <v>1.3440335425621548</v>
      </c>
      <c r="G1764" s="15">
        <f t="shared" ca="1" si="197"/>
        <v>1.2609617654767546</v>
      </c>
      <c r="H1764" s="15">
        <f t="shared" ca="1" si="198"/>
        <v>3.8217633865609439E-2</v>
      </c>
      <c r="J1764" s="17">
        <f t="shared" ca="1" si="194"/>
        <v>1</v>
      </c>
      <c r="K1764" s="24">
        <f t="shared" ca="1" si="195"/>
        <v>0</v>
      </c>
      <c r="L1764" s="17">
        <f t="shared" ca="1" si="196"/>
        <v>1</v>
      </c>
      <c r="N1764" s="24" t="str">
        <f ca="1">IF(AND(L1764=1,L1763&lt;&gt;1),MAX($N$8:N1763)+1,"")</f>
        <v/>
      </c>
      <c r="O1764" s="24" t="str">
        <f ca="1">IF(AND(L1764&lt;&gt;1,L1763=1),MAX($O$8:O1763)+1,"")</f>
        <v/>
      </c>
      <c r="P1764" s="17" t="str">
        <f ca="1">IF(AND(L1764=-1,L1763&lt;&gt;-1),MAX($P$8:P1763)+1,"")</f>
        <v/>
      </c>
      <c r="Q1764" s="24" t="str">
        <f ca="1">IF(AND(L1764&lt;&gt;-1,L1763=-1),MAX($Q$8:Q1763)+1,"")</f>
        <v/>
      </c>
    </row>
    <row r="1765" spans="1:17" x14ac:dyDescent="0.3">
      <c r="A1765" s="3">
        <v>42781</v>
      </c>
      <c r="B1765" s="9">
        <v>23.332730999999999</v>
      </c>
      <c r="C1765" s="9">
        <v>17.431801</v>
      </c>
      <c r="E1765" s="14">
        <f t="shared" si="193"/>
        <v>1.338515222838994</v>
      </c>
      <c r="F1765" s="18">
        <f t="shared" ca="1" si="192"/>
        <v>1.7785621733977304</v>
      </c>
      <c r="G1765" s="15">
        <f t="shared" ca="1" si="197"/>
        <v>1.2658491324161709</v>
      </c>
      <c r="H1765" s="15">
        <f t="shared" ca="1" si="198"/>
        <v>4.0856648988549696E-2</v>
      </c>
      <c r="J1765" s="17">
        <f t="shared" ca="1" si="194"/>
        <v>1</v>
      </c>
      <c r="K1765" s="24">
        <f t="shared" ca="1" si="195"/>
        <v>0</v>
      </c>
      <c r="L1765" s="17">
        <f t="shared" ca="1" si="196"/>
        <v>1</v>
      </c>
      <c r="N1765" s="24" t="str">
        <f ca="1">IF(AND(L1765=1,L1764&lt;&gt;1),MAX($N$8:N1764)+1,"")</f>
        <v/>
      </c>
      <c r="O1765" s="24" t="str">
        <f ca="1">IF(AND(L1765&lt;&gt;1,L1764=1),MAX($O$8:O1764)+1,"")</f>
        <v/>
      </c>
      <c r="P1765" s="17" t="str">
        <f ca="1">IF(AND(L1765=-1,L1764&lt;&gt;-1),MAX($P$8:P1764)+1,"")</f>
        <v/>
      </c>
      <c r="Q1765" s="24" t="str">
        <f ca="1">IF(AND(L1765&lt;&gt;-1,L1764=-1),MAX($Q$8:Q1764)+1,"")</f>
        <v/>
      </c>
    </row>
    <row r="1766" spans="1:17" x14ac:dyDescent="0.3">
      <c r="A1766" s="3">
        <v>42782</v>
      </c>
      <c r="B1766" s="9">
        <v>22.879294999999999</v>
      </c>
      <c r="C1766" s="9">
        <v>17.373823000000002</v>
      </c>
      <c r="E1766" s="14">
        <f t="shared" si="193"/>
        <v>1.3168831638264069</v>
      </c>
      <c r="F1766" s="18">
        <f t="shared" ca="1" si="192"/>
        <v>1.1374594946020402</v>
      </c>
      <c r="G1766" s="15">
        <f t="shared" ca="1" si="197"/>
        <v>1.2698145803331211</v>
      </c>
      <c r="H1766" s="15">
        <f t="shared" ca="1" si="198"/>
        <v>4.1380448021802789E-2</v>
      </c>
      <c r="J1766" s="17">
        <f t="shared" ca="1" si="194"/>
        <v>1</v>
      </c>
      <c r="K1766" s="24">
        <f t="shared" ca="1" si="195"/>
        <v>0</v>
      </c>
      <c r="L1766" s="17">
        <f t="shared" ca="1" si="196"/>
        <v>1</v>
      </c>
      <c r="N1766" s="24" t="str">
        <f ca="1">IF(AND(L1766=1,L1765&lt;&gt;1),MAX($N$8:N1765)+1,"")</f>
        <v/>
      </c>
      <c r="O1766" s="24" t="str">
        <f ca="1">IF(AND(L1766&lt;&gt;1,L1765=1),MAX($O$8:O1765)+1,"")</f>
        <v/>
      </c>
      <c r="P1766" s="17" t="str">
        <f ca="1">IF(AND(L1766=-1,L1765&lt;&gt;-1),MAX($P$8:P1765)+1,"")</f>
        <v/>
      </c>
      <c r="Q1766" s="24" t="str">
        <f ca="1">IF(AND(L1766&lt;&gt;-1,L1765=-1),MAX($Q$8:Q1765)+1,"")</f>
        <v/>
      </c>
    </row>
    <row r="1767" spans="1:17" x14ac:dyDescent="0.3">
      <c r="A1767" s="3">
        <v>42783</v>
      </c>
      <c r="B1767" s="9">
        <v>22.868036</v>
      </c>
      <c r="C1767" s="9">
        <v>17.336970999999998</v>
      </c>
      <c r="E1767" s="14">
        <f t="shared" si="193"/>
        <v>1.3190329498734239</v>
      </c>
      <c r="F1767" s="18">
        <f t="shared" ca="1" si="192"/>
        <v>1.0852172738565558</v>
      </c>
      <c r="G1767" s="15">
        <f t="shared" ca="1" si="197"/>
        <v>1.2739676687318247</v>
      </c>
      <c r="H1767" s="15">
        <f t="shared" ca="1" si="198"/>
        <v>4.1526505546165847E-2</v>
      </c>
      <c r="J1767" s="17">
        <f t="shared" ca="1" si="194"/>
        <v>1</v>
      </c>
      <c r="K1767" s="24">
        <f t="shared" ca="1" si="195"/>
        <v>0</v>
      </c>
      <c r="L1767" s="17">
        <f t="shared" ca="1" si="196"/>
        <v>1</v>
      </c>
      <c r="N1767" s="24" t="str">
        <f ca="1">IF(AND(L1767=1,L1766&lt;&gt;1),MAX($N$8:N1766)+1,"")</f>
        <v/>
      </c>
      <c r="O1767" s="24" t="str">
        <f ca="1">IF(AND(L1767&lt;&gt;1,L1766=1),MAX($O$8:O1766)+1,"")</f>
        <v/>
      </c>
      <c r="P1767" s="17" t="str">
        <f ca="1">IF(AND(L1767=-1,L1766&lt;&gt;-1),MAX($P$8:P1766)+1,"")</f>
        <v/>
      </c>
      <c r="Q1767" s="24" t="str">
        <f ca="1">IF(AND(L1767&lt;&gt;-1,L1766=-1),MAX($Q$8:Q1766)+1,"")</f>
        <v/>
      </c>
    </row>
    <row r="1768" spans="1:17" x14ac:dyDescent="0.3">
      <c r="A1768" s="3">
        <v>42786</v>
      </c>
      <c r="B1768" s="9">
        <v>22.974433999999999</v>
      </c>
      <c r="C1768" s="9">
        <v>17.405462</v>
      </c>
      <c r="E1768" s="14">
        <f t="shared" si="193"/>
        <v>1.3199554254865513</v>
      </c>
      <c r="F1768" s="18">
        <f t="shared" ca="1" si="192"/>
        <v>1.0113882297274652</v>
      </c>
      <c r="G1768" s="15">
        <f t="shared" ca="1" si="197"/>
        <v>1.278041187003222</v>
      </c>
      <c r="H1768" s="15">
        <f t="shared" ca="1" si="198"/>
        <v>4.1442284230086182E-2</v>
      </c>
      <c r="J1768" s="17">
        <f t="shared" ca="1" si="194"/>
        <v>1</v>
      </c>
      <c r="K1768" s="24">
        <f t="shared" ca="1" si="195"/>
        <v>0</v>
      </c>
      <c r="L1768" s="17">
        <f t="shared" ca="1" si="196"/>
        <v>1</v>
      </c>
      <c r="N1768" s="24" t="str">
        <f ca="1">IF(AND(L1768=1,L1767&lt;&gt;1),MAX($N$8:N1767)+1,"")</f>
        <v/>
      </c>
      <c r="O1768" s="24" t="str">
        <f ca="1">IF(AND(L1768&lt;&gt;1,L1767=1),MAX($O$8:O1767)+1,"")</f>
        <v/>
      </c>
      <c r="P1768" s="17" t="str">
        <f ca="1">IF(AND(L1768=-1,L1767&lt;&gt;-1),MAX($P$8:P1767)+1,"")</f>
        <v/>
      </c>
      <c r="Q1768" s="24" t="str">
        <f ca="1">IF(AND(L1768&lt;&gt;-1,L1767=-1),MAX($Q$8:Q1767)+1,"")</f>
        <v/>
      </c>
    </row>
    <row r="1769" spans="1:17" x14ac:dyDescent="0.3">
      <c r="A1769" s="3">
        <v>42787</v>
      </c>
      <c r="B1769" s="9">
        <v>23.535032000000001</v>
      </c>
      <c r="C1769" s="9">
        <v>17.895417999999999</v>
      </c>
      <c r="E1769" s="14">
        <f t="shared" si="193"/>
        <v>1.3151429041780416</v>
      </c>
      <c r="F1769" s="18">
        <f t="shared" ca="1" si="192"/>
        <v>0.81617397540818992</v>
      </c>
      <c r="G1769" s="15">
        <f t="shared" ca="1" si="197"/>
        <v>1.2821479878749178</v>
      </c>
      <c r="H1769" s="15">
        <f t="shared" ca="1" si="198"/>
        <v>4.0426327348433488E-2</v>
      </c>
      <c r="J1769" s="17">
        <f t="shared" ca="1" si="194"/>
        <v>1</v>
      </c>
      <c r="K1769" s="24">
        <f t="shared" ca="1" si="195"/>
        <v>0</v>
      </c>
      <c r="L1769" s="17">
        <f t="shared" ca="1" si="196"/>
        <v>1</v>
      </c>
      <c r="N1769" s="24" t="str">
        <f ca="1">IF(AND(L1769=1,L1768&lt;&gt;1),MAX($N$8:N1768)+1,"")</f>
        <v/>
      </c>
      <c r="O1769" s="24" t="str">
        <f ca="1">IF(AND(L1769&lt;&gt;1,L1768=1),MAX($O$8:O1768)+1,"")</f>
        <v/>
      </c>
      <c r="P1769" s="17" t="str">
        <f ca="1">IF(AND(L1769=-1,L1768&lt;&gt;-1),MAX($P$8:P1768)+1,"")</f>
        <v/>
      </c>
      <c r="Q1769" s="24" t="str">
        <f ca="1">IF(AND(L1769&lt;&gt;-1,L1768=-1),MAX($Q$8:Q1768)+1,"")</f>
        <v/>
      </c>
    </row>
    <row r="1770" spans="1:17" x14ac:dyDescent="0.3">
      <c r="A1770" s="3">
        <v>42788</v>
      </c>
      <c r="B1770" s="9">
        <v>23.604177</v>
      </c>
      <c r="C1770" s="9">
        <v>18.011278000000001</v>
      </c>
      <c r="E1770" s="14">
        <f t="shared" si="193"/>
        <v>1.3105220517944367</v>
      </c>
      <c r="F1770" s="18">
        <f t="shared" ca="1" si="192"/>
        <v>0.63172580927143307</v>
      </c>
      <c r="G1770" s="15">
        <f t="shared" ca="1" si="197"/>
        <v>1.2856112904060799</v>
      </c>
      <c r="H1770" s="15">
        <f t="shared" ca="1" si="198"/>
        <v>3.9432869486662699E-2</v>
      </c>
      <c r="J1770" s="17">
        <f t="shared" ca="1" si="194"/>
        <v>1</v>
      </c>
      <c r="K1770" s="24">
        <f t="shared" ca="1" si="195"/>
        <v>0</v>
      </c>
      <c r="L1770" s="17">
        <f t="shared" ca="1" si="196"/>
        <v>1</v>
      </c>
      <c r="N1770" s="24" t="str">
        <f ca="1">IF(AND(L1770=1,L1769&lt;&gt;1),MAX($N$8:N1769)+1,"")</f>
        <v/>
      </c>
      <c r="O1770" s="24" t="str">
        <f ca="1">IF(AND(L1770&lt;&gt;1,L1769=1),MAX($O$8:O1769)+1,"")</f>
        <v/>
      </c>
      <c r="P1770" s="17" t="str">
        <f ca="1">IF(AND(L1770=-1,L1769&lt;&gt;-1),MAX($P$8:P1769)+1,"")</f>
        <v/>
      </c>
      <c r="Q1770" s="24" t="str">
        <f ca="1">IF(AND(L1770&lt;&gt;-1,L1769=-1),MAX($Q$8:Q1769)+1,"")</f>
        <v/>
      </c>
    </row>
    <row r="1771" spans="1:17" x14ac:dyDescent="0.3">
      <c r="A1771" s="3">
        <v>42789</v>
      </c>
      <c r="B1771" s="9">
        <v>23.246998000000001</v>
      </c>
      <c r="C1771" s="9">
        <v>17.737311999999999</v>
      </c>
      <c r="E1771" s="14">
        <f t="shared" si="193"/>
        <v>1.3106268864188668</v>
      </c>
      <c r="F1771" s="18">
        <f t="shared" ca="1" si="192"/>
        <v>0.56999323358144194</v>
      </c>
      <c r="G1771" s="15">
        <f t="shared" ca="1" si="197"/>
        <v>1.2884889696455031</v>
      </c>
      <c r="H1771" s="15">
        <f t="shared" ca="1" si="198"/>
        <v>3.8838911532799142E-2</v>
      </c>
      <c r="J1771" s="17">
        <f t="shared" ca="1" si="194"/>
        <v>1</v>
      </c>
      <c r="K1771" s="24">
        <f t="shared" ca="1" si="195"/>
        <v>0</v>
      </c>
      <c r="L1771" s="17">
        <f t="shared" ca="1" si="196"/>
        <v>1</v>
      </c>
      <c r="N1771" s="24" t="str">
        <f ca="1">IF(AND(L1771=1,L1770&lt;&gt;1),MAX($N$8:N1770)+1,"")</f>
        <v/>
      </c>
      <c r="O1771" s="24" t="str">
        <f ca="1">IF(AND(L1771&lt;&gt;1,L1770=1),MAX($O$8:O1770)+1,"")</f>
        <v/>
      </c>
      <c r="P1771" s="17" t="str">
        <f ca="1">IF(AND(L1771=-1,L1770&lt;&gt;-1),MAX($P$8:P1770)+1,"")</f>
        <v/>
      </c>
      <c r="Q1771" s="24" t="str">
        <f ca="1">IF(AND(L1771&lt;&gt;-1,L1770=-1),MAX($Q$8:Q1770)+1,"")</f>
        <v/>
      </c>
    </row>
    <row r="1772" spans="1:17" x14ac:dyDescent="0.3">
      <c r="A1772" s="3">
        <v>42790</v>
      </c>
      <c r="B1772" s="9">
        <v>23.062666</v>
      </c>
      <c r="C1772" s="9">
        <v>17.605634999999999</v>
      </c>
      <c r="E1772" s="14">
        <f t="shared" si="193"/>
        <v>1.3099593397227649</v>
      </c>
      <c r="F1772" s="18">
        <f t="shared" ca="1" si="192"/>
        <v>0.49092683046442698</v>
      </c>
      <c r="G1772" s="15">
        <f t="shared" ca="1" si="197"/>
        <v>1.2912599314077984</v>
      </c>
      <c r="H1772" s="15">
        <f t="shared" ca="1" si="198"/>
        <v>3.8090010882632953E-2</v>
      </c>
      <c r="J1772" s="17">
        <f t="shared" ca="1" si="194"/>
        <v>1</v>
      </c>
      <c r="K1772" s="24">
        <f t="shared" ca="1" si="195"/>
        <v>0</v>
      </c>
      <c r="L1772" s="17">
        <f t="shared" ca="1" si="196"/>
        <v>1</v>
      </c>
      <c r="N1772" s="24" t="str">
        <f ca="1">IF(AND(L1772=1,L1771&lt;&gt;1),MAX($N$8:N1771)+1,"")</f>
        <v/>
      </c>
      <c r="O1772" s="24" t="str">
        <f ca="1">IF(AND(L1772&lt;&gt;1,L1771=1),MAX($O$8:O1771)+1,"")</f>
        <v/>
      </c>
      <c r="P1772" s="17" t="str">
        <f ca="1">IF(AND(L1772=-1,L1771&lt;&gt;-1),MAX($P$8:P1771)+1,"")</f>
        <v/>
      </c>
      <c r="Q1772" s="24" t="str">
        <f ca="1">IF(AND(L1772&lt;&gt;-1,L1771=-1),MAX($Q$8:Q1771)+1,"")</f>
        <v/>
      </c>
    </row>
    <row r="1773" spans="1:17" x14ac:dyDescent="0.3">
      <c r="A1773" s="3">
        <v>42795</v>
      </c>
      <c r="B1773" s="9">
        <v>23.029464999999998</v>
      </c>
      <c r="C1773" s="9">
        <v>17.447620000000001</v>
      </c>
      <c r="E1773" s="14">
        <f t="shared" si="193"/>
        <v>1.3199201381047958</v>
      </c>
      <c r="F1773" s="18">
        <f t="shared" ca="1" si="192"/>
        <v>0.67984261118810796</v>
      </c>
      <c r="G1773" s="15">
        <f t="shared" ca="1" si="197"/>
        <v>1.2949780376839095</v>
      </c>
      <c r="H1773" s="15">
        <f t="shared" ca="1" si="198"/>
        <v>3.6688051043603939E-2</v>
      </c>
      <c r="J1773" s="17">
        <f t="shared" ca="1" si="194"/>
        <v>1</v>
      </c>
      <c r="K1773" s="24">
        <f t="shared" ca="1" si="195"/>
        <v>0</v>
      </c>
      <c r="L1773" s="17">
        <f t="shared" ca="1" si="196"/>
        <v>1</v>
      </c>
      <c r="N1773" s="24" t="str">
        <f ca="1">IF(AND(L1773=1,L1772&lt;&gt;1),MAX($N$8:N1772)+1,"")</f>
        <v/>
      </c>
      <c r="O1773" s="24" t="str">
        <f ca="1">IF(AND(L1773&lt;&gt;1,L1772=1),MAX($O$8:O1772)+1,"")</f>
        <v/>
      </c>
      <c r="P1773" s="17" t="str">
        <f ca="1">IF(AND(L1773=-1,L1772&lt;&gt;-1),MAX($P$8:P1772)+1,"")</f>
        <v/>
      </c>
      <c r="Q1773" s="24" t="str">
        <f ca="1">IF(AND(L1773&lt;&gt;-1,L1772=-1),MAX($Q$8:Q1772)+1,"")</f>
        <v/>
      </c>
    </row>
    <row r="1774" spans="1:17" x14ac:dyDescent="0.3">
      <c r="A1774" s="3">
        <v>42796</v>
      </c>
      <c r="B1774" s="9">
        <v>22.793137000000002</v>
      </c>
      <c r="C1774" s="9">
        <v>17.400351000000001</v>
      </c>
      <c r="E1774" s="14">
        <f t="shared" si="193"/>
        <v>1.3099239779703296</v>
      </c>
      <c r="F1774" s="18">
        <f t="shared" ca="1" si="192"/>
        <v>0.33256928691686416</v>
      </c>
      <c r="G1774" s="15">
        <f t="shared" ca="1" si="197"/>
        <v>1.2987059272834018</v>
      </c>
      <c r="H1774" s="15">
        <f t="shared" ca="1" si="198"/>
        <v>3.3731469285472562E-2</v>
      </c>
      <c r="J1774" s="17">
        <f t="shared" ca="1" si="194"/>
        <v>1</v>
      </c>
      <c r="K1774" s="24">
        <f t="shared" ca="1" si="195"/>
        <v>0</v>
      </c>
      <c r="L1774" s="17">
        <f t="shared" ca="1" si="196"/>
        <v>1</v>
      </c>
      <c r="N1774" s="24" t="str">
        <f ca="1">IF(AND(L1774=1,L1773&lt;&gt;1),MAX($N$8:N1773)+1,"")</f>
        <v/>
      </c>
      <c r="O1774" s="24" t="str">
        <f ca="1">IF(AND(L1774&lt;&gt;1,L1773=1),MAX($O$8:O1773)+1,"")</f>
        <v/>
      </c>
      <c r="P1774" s="17" t="str">
        <f ca="1">IF(AND(L1774=-1,L1773&lt;&gt;-1),MAX($P$8:P1773)+1,"")</f>
        <v/>
      </c>
      <c r="Q1774" s="24" t="str">
        <f ca="1">IF(AND(L1774&lt;&gt;-1,L1773=-1),MAX($Q$8:Q1773)+1,"")</f>
        <v/>
      </c>
    </row>
    <row r="1775" spans="1:17" x14ac:dyDescent="0.3">
      <c r="A1775" s="3">
        <v>42797</v>
      </c>
      <c r="B1775" s="9">
        <v>23.208189000000001</v>
      </c>
      <c r="C1775" s="9">
        <v>17.811582999999999</v>
      </c>
      <c r="E1775" s="14">
        <f t="shared" si="193"/>
        <v>1.3029829521609619</v>
      </c>
      <c r="F1775" s="18">
        <f t="shared" ca="1" si="192"/>
        <v>2.2259158724213288E-2</v>
      </c>
      <c r="G1775" s="15">
        <f t="shared" ca="1" si="197"/>
        <v>1.3023274849942561</v>
      </c>
      <c r="H1775" s="15">
        <f t="shared" ca="1" si="198"/>
        <v>2.9447077260508769E-2</v>
      </c>
      <c r="J1775" s="17">
        <f t="shared" ca="1" si="194"/>
        <v>1</v>
      </c>
      <c r="K1775" s="24">
        <f t="shared" ca="1" si="195"/>
        <v>0</v>
      </c>
      <c r="L1775" s="17">
        <f t="shared" ca="1" si="196"/>
        <v>1</v>
      </c>
      <c r="N1775" s="24" t="str">
        <f ca="1">IF(AND(L1775=1,L1774&lt;&gt;1),MAX($N$8:N1774)+1,"")</f>
        <v/>
      </c>
      <c r="O1775" s="24" t="str">
        <f ca="1">IF(AND(L1775&lt;&gt;1,L1774=1),MAX($O$8:O1774)+1,"")</f>
        <v/>
      </c>
      <c r="P1775" s="17" t="str">
        <f ca="1">IF(AND(L1775=-1,L1774&lt;&gt;-1),MAX($P$8:P1774)+1,"")</f>
        <v/>
      </c>
      <c r="Q1775" s="24" t="str">
        <f ca="1">IF(AND(L1775&lt;&gt;-1,L1774=-1),MAX($Q$8:Q1774)+1,"")</f>
        <v/>
      </c>
    </row>
    <row r="1776" spans="1:17" x14ac:dyDescent="0.3">
      <c r="A1776" s="3">
        <v>42800</v>
      </c>
      <c r="B1776" s="9">
        <v>23.115922999999999</v>
      </c>
      <c r="C1776" s="9">
        <v>17.637592000000001</v>
      </c>
      <c r="E1776" s="14">
        <f t="shared" si="193"/>
        <v>1.3106053819591696</v>
      </c>
      <c r="F1776" s="18">
        <f t="shared" ca="1" si="192"/>
        <v>0.1726782404321161</v>
      </c>
      <c r="G1776" s="15">
        <f t="shared" ca="1" si="197"/>
        <v>1.3068734835029017</v>
      </c>
      <c r="H1776" s="15">
        <f t="shared" ca="1" si="198"/>
        <v>2.1611862889783597E-2</v>
      </c>
      <c r="J1776" s="17">
        <f t="shared" ca="1" si="194"/>
        <v>1</v>
      </c>
      <c r="K1776" s="24">
        <f t="shared" ca="1" si="195"/>
        <v>0</v>
      </c>
      <c r="L1776" s="17">
        <f t="shared" ca="1" si="196"/>
        <v>1</v>
      </c>
      <c r="N1776" s="24" t="str">
        <f ca="1">IF(AND(L1776=1,L1775&lt;&gt;1),MAX($N$8:N1775)+1,"")</f>
        <v/>
      </c>
      <c r="O1776" s="24" t="str">
        <f ca="1">IF(AND(L1776&lt;&gt;1,L1775=1),MAX($O$8:O1775)+1,"")</f>
        <v/>
      </c>
      <c r="P1776" s="17" t="str">
        <f ca="1">IF(AND(L1776=-1,L1775&lt;&gt;-1),MAX($P$8:P1775)+1,"")</f>
        <v/>
      </c>
      <c r="Q1776" s="24" t="str">
        <f ca="1">IF(AND(L1776&lt;&gt;-1,L1775=-1),MAX($Q$8:Q1775)+1,"")</f>
        <v/>
      </c>
    </row>
    <row r="1777" spans="1:17" x14ac:dyDescent="0.3">
      <c r="A1777" s="3">
        <v>42801</v>
      </c>
      <c r="B1777" s="9">
        <v>22.729756999999999</v>
      </c>
      <c r="C1777" s="9">
        <v>17.400351000000001</v>
      </c>
      <c r="E1777" s="14">
        <f t="shared" si="193"/>
        <v>1.3062815227118119</v>
      </c>
      <c r="F1777" s="18">
        <f t="shared" ca="1" si="192"/>
        <v>-0.26546670074330769</v>
      </c>
      <c r="G1777" s="15">
        <f t="shared" ca="1" si="197"/>
        <v>1.3101649546640866</v>
      </c>
      <c r="H1777" s="15">
        <f t="shared" ca="1" si="198"/>
        <v>1.4628697088565432E-2</v>
      </c>
      <c r="J1777" s="17">
        <f t="shared" ca="1" si="194"/>
        <v>0</v>
      </c>
      <c r="K1777" s="24">
        <f t="shared" ca="1" si="195"/>
        <v>0</v>
      </c>
      <c r="L1777" s="17">
        <f t="shared" ca="1" si="196"/>
        <v>0</v>
      </c>
      <c r="N1777" s="24" t="str">
        <f ca="1">IF(AND(L1777=1,L1776&lt;&gt;1),MAX($N$8:N1776)+1,"")</f>
        <v/>
      </c>
      <c r="O1777" s="24">
        <f ca="1">IF(AND(L1777&lt;&gt;1,L1776=1),MAX($O$8:O1776)+1,"")</f>
        <v>58</v>
      </c>
      <c r="P1777" s="17" t="str">
        <f ca="1">IF(AND(L1777=-1,L1776&lt;&gt;-1),MAX($P$8:P1776)+1,"")</f>
        <v/>
      </c>
      <c r="Q1777" s="24" t="str">
        <f ca="1">IF(AND(L1777&lt;&gt;-1,L1776=-1),MAX($Q$8:Q1776)+1,"")</f>
        <v/>
      </c>
    </row>
    <row r="1778" spans="1:17" x14ac:dyDescent="0.3">
      <c r="A1778" s="3">
        <v>42802</v>
      </c>
      <c r="B1778" s="9">
        <v>22.470348000000001</v>
      </c>
      <c r="C1778" s="9">
        <v>17.104997999999998</v>
      </c>
      <c r="E1778" s="14">
        <f t="shared" si="193"/>
        <v>1.3136714777750926</v>
      </c>
      <c r="F1778" s="18">
        <f t="shared" ca="1" si="192"/>
        <v>0.14586297520386474</v>
      </c>
      <c r="G1778" s="15">
        <f t="shared" ca="1" si="197"/>
        <v>1.3118059723664293</v>
      </c>
      <c r="H1778" s="15">
        <f t="shared" ca="1" si="198"/>
        <v>1.2789437525568466E-2</v>
      </c>
      <c r="J1778" s="17">
        <f t="shared" ca="1" si="194"/>
        <v>0</v>
      </c>
      <c r="K1778" s="24">
        <f t="shared" ca="1" si="195"/>
        <v>0</v>
      </c>
      <c r="L1778" s="17">
        <f t="shared" ca="1" si="196"/>
        <v>0</v>
      </c>
      <c r="N1778" s="24" t="str">
        <f ca="1">IF(AND(L1778=1,L1777&lt;&gt;1),MAX($N$8:N1777)+1,"")</f>
        <v/>
      </c>
      <c r="O1778" s="24" t="str">
        <f ca="1">IF(AND(L1778&lt;&gt;1,L1777=1),MAX($O$8:O1777)+1,"")</f>
        <v/>
      </c>
      <c r="P1778" s="17" t="str">
        <f ca="1">IF(AND(L1778=-1,L1777&lt;&gt;-1),MAX($P$8:P1777)+1,"")</f>
        <v/>
      </c>
      <c r="Q1778" s="24" t="str">
        <f ca="1">IF(AND(L1778&lt;&gt;-1,L1777=-1),MAX($Q$8:Q1777)+1,"")</f>
        <v/>
      </c>
    </row>
    <row r="1779" spans="1:17" x14ac:dyDescent="0.3">
      <c r="A1779" s="3">
        <v>42803</v>
      </c>
      <c r="B1779" s="9">
        <v>22.539532000000001</v>
      </c>
      <c r="C1779" s="9">
        <v>16.952145000000002</v>
      </c>
      <c r="E1779" s="14">
        <f t="shared" si="193"/>
        <v>1.3295976408885128</v>
      </c>
      <c r="F1779" s="18">
        <f t="shared" ca="1" si="192"/>
        <v>1.4975084801343284</v>
      </c>
      <c r="G1779" s="15">
        <f t="shared" ca="1" si="197"/>
        <v>1.3143728678109132</v>
      </c>
      <c r="H1779" s="15">
        <f t="shared" ca="1" si="198"/>
        <v>1.0166735801211581E-2</v>
      </c>
      <c r="J1779" s="17">
        <f t="shared" ca="1" si="194"/>
        <v>1</v>
      </c>
      <c r="K1779" s="24">
        <f t="shared" ca="1" si="195"/>
        <v>0</v>
      </c>
      <c r="L1779" s="17">
        <f t="shared" ca="1" si="196"/>
        <v>1</v>
      </c>
      <c r="N1779" s="24">
        <f ca="1">IF(AND(L1779=1,L1778&lt;&gt;1),MAX($N$8:N1778)+1,"")</f>
        <v>59</v>
      </c>
      <c r="O1779" s="24" t="str">
        <f ca="1">IF(AND(L1779&lt;&gt;1,L1778=1),MAX($O$8:O1778)+1,"")</f>
        <v/>
      </c>
      <c r="P1779" s="17" t="str">
        <f ca="1">IF(AND(L1779=-1,L1778&lt;&gt;-1),MAX($P$8:P1778)+1,"")</f>
        <v/>
      </c>
      <c r="Q1779" s="24" t="str">
        <f ca="1">IF(AND(L1779&lt;&gt;-1,L1778=-1),MAX($Q$8:Q1778)+1,"")</f>
        <v/>
      </c>
    </row>
    <row r="1780" spans="1:17" x14ac:dyDescent="0.3">
      <c r="A1780" s="3">
        <v>42804</v>
      </c>
      <c r="B1780" s="9">
        <v>22.551030999999998</v>
      </c>
      <c r="C1780" s="9">
        <v>16.857233000000001</v>
      </c>
      <c r="E1780" s="14">
        <f t="shared" si="193"/>
        <v>1.3377658717774144</v>
      </c>
      <c r="F1780" s="18">
        <f t="shared" ca="1" si="192"/>
        <v>2.1499532957507497</v>
      </c>
      <c r="G1780" s="15">
        <f t="shared" ca="1" si="197"/>
        <v>1.3165230323968167</v>
      </c>
      <c r="H1780" s="15">
        <f t="shared" ca="1" si="198"/>
        <v>9.8806050450411381E-3</v>
      </c>
      <c r="J1780" s="17">
        <f t="shared" ca="1" si="194"/>
        <v>1</v>
      </c>
      <c r="K1780" s="24">
        <f t="shared" ca="1" si="195"/>
        <v>0</v>
      </c>
      <c r="L1780" s="17">
        <f t="shared" ca="1" si="196"/>
        <v>1</v>
      </c>
      <c r="N1780" s="24" t="str">
        <f ca="1">IF(AND(L1780=1,L1779&lt;&gt;1),MAX($N$8:N1779)+1,"")</f>
        <v/>
      </c>
      <c r="O1780" s="24" t="str">
        <f ca="1">IF(AND(L1780&lt;&gt;1,L1779=1),MAX($O$8:O1779)+1,"")</f>
        <v/>
      </c>
      <c r="P1780" s="17" t="str">
        <f ca="1">IF(AND(L1780=-1,L1779&lt;&gt;-1),MAX($P$8:P1779)+1,"")</f>
        <v/>
      </c>
      <c r="Q1780" s="24" t="str">
        <f ca="1">IF(AND(L1780&lt;&gt;-1,L1779=-1),MAX($Q$8:Q1779)+1,"")</f>
        <v/>
      </c>
    </row>
    <row r="1781" spans="1:17" x14ac:dyDescent="0.3">
      <c r="A1781" s="3">
        <v>42807</v>
      </c>
      <c r="B1781" s="9">
        <v>22.960284999999999</v>
      </c>
      <c r="C1781" s="9">
        <v>17.068117000000001</v>
      </c>
      <c r="E1781" s="14">
        <f t="shared" si="193"/>
        <v>1.3452148822274888</v>
      </c>
      <c r="F1781" s="18">
        <f t="shared" ca="1" si="192"/>
        <v>2.3756740244196428</v>
      </c>
      <c r="G1781" s="15">
        <f t="shared" ca="1" si="197"/>
        <v>1.3177742213615231</v>
      </c>
      <c r="H1781" s="15">
        <f t="shared" ca="1" si="198"/>
        <v>1.1550684388473356E-2</v>
      </c>
      <c r="J1781" s="17">
        <f t="shared" ca="1" si="194"/>
        <v>1</v>
      </c>
      <c r="K1781" s="24">
        <f t="shared" ca="1" si="195"/>
        <v>0</v>
      </c>
      <c r="L1781" s="17">
        <f t="shared" ca="1" si="196"/>
        <v>1</v>
      </c>
      <c r="N1781" s="24" t="str">
        <f ca="1">IF(AND(L1781=1,L1780&lt;&gt;1),MAX($N$8:N1780)+1,"")</f>
        <v/>
      </c>
      <c r="O1781" s="24" t="str">
        <f ca="1">IF(AND(L1781&lt;&gt;1,L1780=1),MAX($O$8:O1780)+1,"")</f>
        <v/>
      </c>
      <c r="P1781" s="17" t="str">
        <f ca="1">IF(AND(L1781=-1,L1780&lt;&gt;-1),MAX($P$8:P1780)+1,"")</f>
        <v/>
      </c>
      <c r="Q1781" s="24" t="str">
        <f ca="1">IF(AND(L1781&lt;&gt;-1,L1780=-1),MAX($Q$8:Q1780)+1,"")</f>
        <v/>
      </c>
    </row>
    <row r="1782" spans="1:17" x14ac:dyDescent="0.3">
      <c r="A1782" s="3">
        <v>42808</v>
      </c>
      <c r="B1782" s="9">
        <v>22.735464</v>
      </c>
      <c r="C1782" s="9">
        <v>16.925782999999999</v>
      </c>
      <c r="E1782" s="14">
        <f t="shared" si="193"/>
        <v>1.343244445471149</v>
      </c>
      <c r="F1782" s="18">
        <f t="shared" ca="1" si="192"/>
        <v>1.9650687522889099</v>
      </c>
      <c r="G1782" s="15">
        <f t="shared" ca="1" si="197"/>
        <v>1.3185095481569737</v>
      </c>
      <c r="H1782" s="15">
        <f t="shared" ca="1" si="198"/>
        <v>1.2587293592330568E-2</v>
      </c>
      <c r="J1782" s="17">
        <f t="shared" ca="1" si="194"/>
        <v>1</v>
      </c>
      <c r="K1782" s="24">
        <f t="shared" ca="1" si="195"/>
        <v>0</v>
      </c>
      <c r="L1782" s="17">
        <f t="shared" ca="1" si="196"/>
        <v>1</v>
      </c>
      <c r="N1782" s="24" t="str">
        <f ca="1">IF(AND(L1782=1,L1781&lt;&gt;1),MAX($N$8:N1781)+1,"")</f>
        <v/>
      </c>
      <c r="O1782" s="24" t="str">
        <f ca="1">IF(AND(L1782&lt;&gt;1,L1781=1),MAX($O$8:O1781)+1,"")</f>
        <v/>
      </c>
      <c r="P1782" s="17" t="str">
        <f ca="1">IF(AND(L1782=-1,L1781&lt;&gt;-1),MAX($P$8:P1781)+1,"")</f>
        <v/>
      </c>
      <c r="Q1782" s="24" t="str">
        <f ca="1">IF(AND(L1782&lt;&gt;-1,L1781=-1),MAX($Q$8:Q1781)+1,"")</f>
        <v/>
      </c>
    </row>
    <row r="1783" spans="1:17" x14ac:dyDescent="0.3">
      <c r="A1783" s="3">
        <v>42809</v>
      </c>
      <c r="B1783" s="9">
        <v>22.95458</v>
      </c>
      <c r="C1783" s="9">
        <v>17.226274</v>
      </c>
      <c r="E1783" s="14">
        <f t="shared" si="193"/>
        <v>1.3325330828941881</v>
      </c>
      <c r="F1783" s="18">
        <f t="shared" ca="1" si="192"/>
        <v>1.0648315057843623</v>
      </c>
      <c r="G1783" s="15">
        <f t="shared" ca="1" si="197"/>
        <v>1.3188445347667697</v>
      </c>
      <c r="H1783" s="15">
        <f t="shared" ca="1" si="198"/>
        <v>1.2855130650304535E-2</v>
      </c>
      <c r="J1783" s="17">
        <f t="shared" ca="1" si="194"/>
        <v>1</v>
      </c>
      <c r="K1783" s="24">
        <f t="shared" ca="1" si="195"/>
        <v>0</v>
      </c>
      <c r="L1783" s="17">
        <f t="shared" ca="1" si="196"/>
        <v>1</v>
      </c>
      <c r="N1783" s="24" t="str">
        <f ca="1">IF(AND(L1783=1,L1782&lt;&gt;1),MAX($N$8:N1782)+1,"")</f>
        <v/>
      </c>
      <c r="O1783" s="24" t="str">
        <f ca="1">IF(AND(L1783&lt;&gt;1,L1782=1),MAX($O$8:O1782)+1,"")</f>
        <v/>
      </c>
      <c r="P1783" s="17" t="str">
        <f ca="1">IF(AND(L1783=-1,L1782&lt;&gt;-1),MAX($P$8:P1782)+1,"")</f>
        <v/>
      </c>
      <c r="Q1783" s="24" t="str">
        <f ca="1">IF(AND(L1783&lt;&gt;-1,L1782=-1),MAX($Q$8:Q1782)+1,"")</f>
        <v/>
      </c>
    </row>
    <row r="1784" spans="1:17" x14ac:dyDescent="0.3">
      <c r="A1784" s="3">
        <v>42810</v>
      </c>
      <c r="B1784" s="9">
        <v>22.660589000000002</v>
      </c>
      <c r="C1784" s="9">
        <v>17.147196000000001</v>
      </c>
      <c r="E1784" s="14">
        <f t="shared" si="193"/>
        <v>1.3215332116108081</v>
      </c>
      <c r="F1784" s="18">
        <f t="shared" ca="1" si="192"/>
        <v>0.16970095521651546</v>
      </c>
      <c r="G1784" s="15">
        <f t="shared" ca="1" si="197"/>
        <v>1.3193758097241626</v>
      </c>
      <c r="H1784" s="15">
        <f t="shared" ca="1" si="198"/>
        <v>1.2712962539856829E-2</v>
      </c>
      <c r="J1784" s="17">
        <f t="shared" ca="1" si="194"/>
        <v>1</v>
      </c>
      <c r="K1784" s="24">
        <f t="shared" ca="1" si="195"/>
        <v>0</v>
      </c>
      <c r="L1784" s="17">
        <f t="shared" ca="1" si="196"/>
        <v>1</v>
      </c>
      <c r="N1784" s="24" t="str">
        <f ca="1">IF(AND(L1784=1,L1783&lt;&gt;1),MAX($N$8:N1783)+1,"")</f>
        <v/>
      </c>
      <c r="O1784" s="24" t="str">
        <f ca="1">IF(AND(L1784&lt;&gt;1,L1783=1),MAX($O$8:O1783)+1,"")</f>
        <v/>
      </c>
      <c r="P1784" s="17" t="str">
        <f ca="1">IF(AND(L1784=-1,L1783&lt;&gt;-1),MAX($P$8:P1783)+1,"")</f>
        <v/>
      </c>
      <c r="Q1784" s="24" t="str">
        <f ca="1">IF(AND(L1784&lt;&gt;-1,L1783=-1),MAX($Q$8:Q1783)+1,"")</f>
        <v/>
      </c>
    </row>
    <row r="1785" spans="1:17" x14ac:dyDescent="0.3">
      <c r="A1785" s="3">
        <v>42811</v>
      </c>
      <c r="B1785" s="9">
        <v>22.009139999999999</v>
      </c>
      <c r="C1785" s="9">
        <v>16.619910999999998</v>
      </c>
      <c r="E1785" s="14">
        <f t="shared" si="193"/>
        <v>1.3242634091121186</v>
      </c>
      <c r="F1785" s="18">
        <f t="shared" ca="1" si="192"/>
        <v>0.31497813337604164</v>
      </c>
      <c r="G1785" s="15">
        <f t="shared" ca="1" si="197"/>
        <v>1.3204774311869463</v>
      </c>
      <c r="H1785" s="15">
        <f t="shared" ca="1" si="198"/>
        <v>1.2019811929777278E-2</v>
      </c>
      <c r="J1785" s="17">
        <f t="shared" ca="1" si="194"/>
        <v>1</v>
      </c>
      <c r="K1785" s="24">
        <f t="shared" ca="1" si="195"/>
        <v>0</v>
      </c>
      <c r="L1785" s="17">
        <f t="shared" ca="1" si="196"/>
        <v>1</v>
      </c>
      <c r="N1785" s="24" t="str">
        <f ca="1">IF(AND(L1785=1,L1784&lt;&gt;1),MAX($N$8:N1784)+1,"")</f>
        <v/>
      </c>
      <c r="O1785" s="24" t="str">
        <f ca="1">IF(AND(L1785&lt;&gt;1,L1784=1),MAX($O$8:O1784)+1,"")</f>
        <v/>
      </c>
      <c r="P1785" s="17" t="str">
        <f ca="1">IF(AND(L1785=-1,L1784&lt;&gt;-1),MAX($P$8:P1784)+1,"")</f>
        <v/>
      </c>
      <c r="Q1785" s="24" t="str">
        <f ca="1">IF(AND(L1785&lt;&gt;-1,L1784=-1),MAX($Q$8:Q1784)+1,"")</f>
        <v/>
      </c>
    </row>
    <row r="1786" spans="1:17" x14ac:dyDescent="0.3">
      <c r="A1786" s="3">
        <v>42814</v>
      </c>
      <c r="B1786" s="9">
        <v>22.251238000000001</v>
      </c>
      <c r="C1786" s="9">
        <v>16.915174</v>
      </c>
      <c r="E1786" s="14">
        <f t="shared" si="193"/>
        <v>1.3154601897680744</v>
      </c>
      <c r="F1786" s="18">
        <f t="shared" ca="1" si="192"/>
        <v>-0.43210426032923982</v>
      </c>
      <c r="G1786" s="15">
        <f t="shared" ca="1" si="197"/>
        <v>1.3206198240259726</v>
      </c>
      <c r="H1786" s="15">
        <f t="shared" ca="1" si="198"/>
        <v>1.1940716006749752E-2</v>
      </c>
      <c r="J1786" s="17">
        <f t="shared" ca="1" si="194"/>
        <v>0</v>
      </c>
      <c r="K1786" s="24">
        <f t="shared" ca="1" si="195"/>
        <v>0</v>
      </c>
      <c r="L1786" s="17">
        <f t="shared" ca="1" si="196"/>
        <v>0</v>
      </c>
      <c r="N1786" s="24" t="str">
        <f ca="1">IF(AND(L1786=1,L1785&lt;&gt;1),MAX($N$8:N1785)+1,"")</f>
        <v/>
      </c>
      <c r="O1786" s="24">
        <f ca="1">IF(AND(L1786&lt;&gt;1,L1785=1),MAX($O$8:O1785)+1,"")</f>
        <v>59</v>
      </c>
      <c r="P1786" s="17" t="str">
        <f ca="1">IF(AND(L1786=-1,L1785&lt;&gt;-1),MAX($P$8:P1785)+1,"")</f>
        <v/>
      </c>
      <c r="Q1786" s="24" t="str">
        <f ca="1">IF(AND(L1786&lt;&gt;-1,L1785=-1),MAX($Q$8:Q1785)+1,"")</f>
        <v/>
      </c>
    </row>
    <row r="1787" spans="1:17" x14ac:dyDescent="0.3">
      <c r="A1787" s="3">
        <v>42815</v>
      </c>
      <c r="B1787" s="9">
        <v>21.77281</v>
      </c>
      <c r="C1787" s="9">
        <v>16.41433</v>
      </c>
      <c r="E1787" s="14">
        <f t="shared" si="193"/>
        <v>1.3264513385560057</v>
      </c>
      <c r="F1787" s="18">
        <f t="shared" ca="1" si="192"/>
        <v>0.56113141108651476</v>
      </c>
      <c r="G1787" s="15">
        <f t="shared" ca="1" si="197"/>
        <v>1.3200714656494732</v>
      </c>
      <c r="H1787" s="15">
        <f t="shared" ca="1" si="198"/>
        <v>1.1369659192985155E-2</v>
      </c>
      <c r="J1787" s="17">
        <f t="shared" ca="1" si="194"/>
        <v>0</v>
      </c>
      <c r="K1787" s="24">
        <f t="shared" ca="1" si="195"/>
        <v>0</v>
      </c>
      <c r="L1787" s="17">
        <f t="shared" ca="1" si="196"/>
        <v>0</v>
      </c>
      <c r="N1787" s="24" t="str">
        <f ca="1">IF(AND(L1787=1,L1786&lt;&gt;1),MAX($N$8:N1786)+1,"")</f>
        <v/>
      </c>
      <c r="O1787" s="24" t="str">
        <f ca="1">IF(AND(L1787&lt;&gt;1,L1786=1),MAX($O$8:O1786)+1,"")</f>
        <v/>
      </c>
      <c r="P1787" s="17" t="str">
        <f ca="1">IF(AND(L1787=-1,L1786&lt;&gt;-1),MAX($P$8:P1786)+1,"")</f>
        <v/>
      </c>
      <c r="Q1787" s="24" t="str">
        <f ca="1">IF(AND(L1787&lt;&gt;-1,L1786=-1),MAX($Q$8:Q1786)+1,"")</f>
        <v/>
      </c>
    </row>
    <row r="1788" spans="1:17" x14ac:dyDescent="0.3">
      <c r="A1788" s="3">
        <v>42816</v>
      </c>
      <c r="B1788" s="9">
        <v>21.951537999999999</v>
      </c>
      <c r="C1788" s="9">
        <v>16.477582999999999</v>
      </c>
      <c r="E1788" s="14">
        <f t="shared" si="193"/>
        <v>1.3322061858222776</v>
      </c>
      <c r="F1788" s="18">
        <f t="shared" ca="1" si="192"/>
        <v>0.98438965355451913</v>
      </c>
      <c r="G1788" s="15">
        <f t="shared" ca="1" si="197"/>
        <v>1.3207679666492855</v>
      </c>
      <c r="H1788" s="15">
        <f t="shared" ca="1" si="198"/>
        <v>1.1619605236290251E-2</v>
      </c>
      <c r="J1788" s="17">
        <f t="shared" ca="1" si="194"/>
        <v>0</v>
      </c>
      <c r="K1788" s="24">
        <f t="shared" ca="1" si="195"/>
        <v>0</v>
      </c>
      <c r="L1788" s="17">
        <f t="shared" ca="1" si="196"/>
        <v>0</v>
      </c>
      <c r="N1788" s="24" t="str">
        <f ca="1">IF(AND(L1788=1,L1787&lt;&gt;1),MAX($N$8:N1787)+1,"")</f>
        <v/>
      </c>
      <c r="O1788" s="24" t="str">
        <f ca="1">IF(AND(L1788&lt;&gt;1,L1787=1),MAX($O$8:O1787)+1,"")</f>
        <v/>
      </c>
      <c r="P1788" s="17" t="str">
        <f ca="1">IF(AND(L1788=-1,L1787&lt;&gt;-1),MAX($P$8:P1787)+1,"")</f>
        <v/>
      </c>
      <c r="Q1788" s="24" t="str">
        <f ca="1">IF(AND(L1788&lt;&gt;-1,L1787=-1),MAX($Q$8:Q1787)+1,"")</f>
        <v/>
      </c>
    </row>
    <row r="1789" spans="1:17" x14ac:dyDescent="0.3">
      <c r="A1789" s="3">
        <v>42817</v>
      </c>
      <c r="B1789" s="9">
        <v>21.830486000000001</v>
      </c>
      <c r="C1789" s="9">
        <v>16.493407999999999</v>
      </c>
      <c r="E1789" s="14">
        <f t="shared" si="193"/>
        <v>1.3235885512563565</v>
      </c>
      <c r="F1789" s="18">
        <f t="shared" ca="1" si="192"/>
        <v>0.2247712281750861</v>
      </c>
      <c r="G1789" s="15">
        <f t="shared" ca="1" si="197"/>
        <v>1.3209750394394189</v>
      </c>
      <c r="H1789" s="15">
        <f t="shared" ca="1" si="198"/>
        <v>1.1627430424066089E-2</v>
      </c>
      <c r="J1789" s="17">
        <f t="shared" ca="1" si="194"/>
        <v>0</v>
      </c>
      <c r="K1789" s="24">
        <f t="shared" ca="1" si="195"/>
        <v>0</v>
      </c>
      <c r="L1789" s="17">
        <f t="shared" ca="1" si="196"/>
        <v>0</v>
      </c>
      <c r="N1789" s="24" t="str">
        <f ca="1">IF(AND(L1789=1,L1788&lt;&gt;1),MAX($N$8:N1788)+1,"")</f>
        <v/>
      </c>
      <c r="O1789" s="24" t="str">
        <f ca="1">IF(AND(L1789&lt;&gt;1,L1788=1),MAX($O$8:O1788)+1,"")</f>
        <v/>
      </c>
      <c r="P1789" s="17" t="str">
        <f ca="1">IF(AND(L1789=-1,L1788&lt;&gt;-1),MAX($P$8:P1788)+1,"")</f>
        <v/>
      </c>
      <c r="Q1789" s="24" t="str">
        <f ca="1">IF(AND(L1789&lt;&gt;-1,L1788=-1),MAX($Q$8:Q1788)+1,"")</f>
        <v/>
      </c>
    </row>
    <row r="1790" spans="1:17" x14ac:dyDescent="0.3">
      <c r="A1790" s="3">
        <v>42818</v>
      </c>
      <c r="B1790" s="9">
        <v>22.066804999999999</v>
      </c>
      <c r="C1790" s="9">
        <v>16.730656</v>
      </c>
      <c r="E1790" s="14">
        <f t="shared" si="193"/>
        <v>1.3189443976374864</v>
      </c>
      <c r="F1790" s="18">
        <f t="shared" ca="1" si="192"/>
        <v>-0.17060290197002217</v>
      </c>
      <c r="G1790" s="15">
        <f t="shared" ca="1" si="197"/>
        <v>1.320929083628098</v>
      </c>
      <c r="H1790" s="15">
        <f t="shared" ca="1" si="198"/>
        <v>1.1633365949193392E-2</v>
      </c>
      <c r="J1790" s="17">
        <f t="shared" ca="1" si="194"/>
        <v>0</v>
      </c>
      <c r="K1790" s="24">
        <f t="shared" ca="1" si="195"/>
        <v>0</v>
      </c>
      <c r="L1790" s="17">
        <f t="shared" ca="1" si="196"/>
        <v>0</v>
      </c>
      <c r="N1790" s="24" t="str">
        <f ca="1">IF(AND(L1790=1,L1789&lt;&gt;1),MAX($N$8:N1789)+1,"")</f>
        <v/>
      </c>
      <c r="O1790" s="24" t="str">
        <f ca="1">IF(AND(L1790&lt;&gt;1,L1789=1),MAX($O$8:O1789)+1,"")</f>
        <v/>
      </c>
      <c r="P1790" s="17" t="str">
        <f ca="1">IF(AND(L1790=-1,L1789&lt;&gt;-1),MAX($P$8:P1789)+1,"")</f>
        <v/>
      </c>
      <c r="Q1790" s="24" t="str">
        <f ca="1">IF(AND(L1790&lt;&gt;-1,L1789=-1),MAX($Q$8:Q1789)+1,"")</f>
        <v/>
      </c>
    </row>
    <row r="1791" spans="1:17" x14ac:dyDescent="0.3">
      <c r="A1791" s="3">
        <v>42821</v>
      </c>
      <c r="B1791" s="9">
        <v>22.228247</v>
      </c>
      <c r="C1791" s="9">
        <v>16.873063999999999</v>
      </c>
      <c r="E1791" s="14">
        <f t="shared" si="193"/>
        <v>1.3173805895597859</v>
      </c>
      <c r="F1791" s="18">
        <f t="shared" ca="1" si="192"/>
        <v>-0.31488908919661968</v>
      </c>
      <c r="G1791" s="15">
        <f t="shared" ca="1" si="197"/>
        <v>1.3210307965999952</v>
      </c>
      <c r="H1791" s="15">
        <f t="shared" ca="1" si="198"/>
        <v>1.159204038959295E-2</v>
      </c>
      <c r="J1791" s="17">
        <f t="shared" ca="1" si="194"/>
        <v>0</v>
      </c>
      <c r="K1791" s="24">
        <f t="shared" ca="1" si="195"/>
        <v>0</v>
      </c>
      <c r="L1791" s="17">
        <f t="shared" ca="1" si="196"/>
        <v>0</v>
      </c>
      <c r="N1791" s="24" t="str">
        <f ca="1">IF(AND(L1791=1,L1790&lt;&gt;1),MAX($N$8:N1790)+1,"")</f>
        <v/>
      </c>
      <c r="O1791" s="24" t="str">
        <f ca="1">IF(AND(L1791&lt;&gt;1,L1790=1),MAX($O$8:O1790)+1,"")</f>
        <v/>
      </c>
      <c r="P1791" s="17" t="str">
        <f ca="1">IF(AND(L1791=-1,L1790&lt;&gt;-1),MAX($P$8:P1790)+1,"")</f>
        <v/>
      </c>
      <c r="Q1791" s="24" t="str">
        <f ca="1">IF(AND(L1791&lt;&gt;-1,L1790=-1),MAX($Q$8:Q1790)+1,"")</f>
        <v/>
      </c>
    </row>
    <row r="1792" spans="1:17" x14ac:dyDescent="0.3">
      <c r="A1792" s="3">
        <v>42822</v>
      </c>
      <c r="B1792" s="9">
        <v>22.153275000000001</v>
      </c>
      <c r="C1792" s="9">
        <v>16.967977999999999</v>
      </c>
      <c r="E1792" s="14">
        <f t="shared" si="193"/>
        <v>1.3055931001324967</v>
      </c>
      <c r="F1792" s="18">
        <f t="shared" ca="1" si="192"/>
        <v>-1.2851536179559799</v>
      </c>
      <c r="G1792" s="15">
        <f t="shared" ca="1" si="197"/>
        <v>1.3208067533426344</v>
      </c>
      <c r="H1792" s="15">
        <f t="shared" ca="1" si="198"/>
        <v>1.1838003642190882E-2</v>
      </c>
      <c r="J1792" s="17">
        <f t="shared" ca="1" si="194"/>
        <v>0</v>
      </c>
      <c r="K1792" s="24">
        <f t="shared" ca="1" si="195"/>
        <v>-1</v>
      </c>
      <c r="L1792" s="17">
        <f t="shared" ca="1" si="196"/>
        <v>-1</v>
      </c>
      <c r="N1792" s="24" t="str">
        <f ca="1">IF(AND(L1792=1,L1791&lt;&gt;1),MAX($N$8:N1791)+1,"")</f>
        <v/>
      </c>
      <c r="O1792" s="24" t="str">
        <f ca="1">IF(AND(L1792&lt;&gt;1,L1791=1),MAX($O$8:O1791)+1,"")</f>
        <v/>
      </c>
      <c r="P1792" s="17">
        <f ca="1">IF(AND(L1792=-1,L1791&lt;&gt;-1),MAX($P$8:P1791)+1,"")</f>
        <v>67</v>
      </c>
      <c r="Q1792" s="24" t="str">
        <f ca="1">IF(AND(L1792&lt;&gt;-1,L1791=-1),MAX($Q$8:Q1791)+1,"")</f>
        <v/>
      </c>
    </row>
    <row r="1793" spans="1:17" x14ac:dyDescent="0.3">
      <c r="A1793" s="3">
        <v>42823</v>
      </c>
      <c r="B1793" s="9">
        <v>22.481852</v>
      </c>
      <c r="C1793" s="9">
        <v>17.321183999999999</v>
      </c>
      <c r="E1793" s="14">
        <f t="shared" si="193"/>
        <v>1.2979396789503537</v>
      </c>
      <c r="F1793" s="18">
        <f t="shared" ca="1" si="192"/>
        <v>-1.7685008785501213</v>
      </c>
      <c r="G1793" s="15">
        <f t="shared" ca="1" si="197"/>
        <v>1.3202300620940657</v>
      </c>
      <c r="H1793" s="15">
        <f t="shared" ca="1" si="198"/>
        <v>1.2604111999077119E-2</v>
      </c>
      <c r="J1793" s="17">
        <f t="shared" ca="1" si="194"/>
        <v>0</v>
      </c>
      <c r="K1793" s="24">
        <f t="shared" ca="1" si="195"/>
        <v>-1</v>
      </c>
      <c r="L1793" s="17">
        <f t="shared" ca="1" si="196"/>
        <v>-1</v>
      </c>
      <c r="N1793" s="24" t="str">
        <f ca="1">IF(AND(L1793=1,L1792&lt;&gt;1),MAX($N$8:N1792)+1,"")</f>
        <v/>
      </c>
      <c r="O1793" s="24" t="str">
        <f ca="1">IF(AND(L1793&lt;&gt;1,L1792=1),MAX($O$8:O1792)+1,"")</f>
        <v/>
      </c>
      <c r="P1793" s="17" t="str">
        <f ca="1">IF(AND(L1793=-1,L1792&lt;&gt;-1),MAX($P$8:P1792)+1,"")</f>
        <v/>
      </c>
      <c r="Q1793" s="24" t="str">
        <f ca="1">IF(AND(L1793&lt;&gt;-1,L1792=-1),MAX($Q$8:Q1792)+1,"")</f>
        <v/>
      </c>
    </row>
    <row r="1794" spans="1:17" x14ac:dyDescent="0.3">
      <c r="A1794" s="3">
        <v>42824</v>
      </c>
      <c r="B1794" s="9">
        <v>22.216653999999998</v>
      </c>
      <c r="C1794" s="9">
        <v>17.210526999999999</v>
      </c>
      <c r="E1794" s="14">
        <f t="shared" si="193"/>
        <v>1.2908758691700724</v>
      </c>
      <c r="F1794" s="18">
        <f t="shared" ref="F1794:F1857" ca="1" si="199">IF(ISNUMBER(G1794),(E1794-G1794)/H1794,"")</f>
        <v>-2.0532736485634713</v>
      </c>
      <c r="G1794" s="15">
        <f t="shared" ca="1" si="197"/>
        <v>1.3193626316143978</v>
      </c>
      <c r="H1794" s="15">
        <f t="shared" ca="1" si="198"/>
        <v>1.387382654243657E-2</v>
      </c>
      <c r="J1794" s="17">
        <f t="shared" ca="1" si="194"/>
        <v>0</v>
      </c>
      <c r="K1794" s="24">
        <f t="shared" ca="1" si="195"/>
        <v>-1</v>
      </c>
      <c r="L1794" s="17">
        <f t="shared" ca="1" si="196"/>
        <v>-1</v>
      </c>
      <c r="N1794" s="24" t="str">
        <f ca="1">IF(AND(L1794=1,L1793&lt;&gt;1),MAX($N$8:N1793)+1,"")</f>
        <v/>
      </c>
      <c r="O1794" s="24" t="str">
        <f ca="1">IF(AND(L1794&lt;&gt;1,L1793=1),MAX($O$8:O1793)+1,"")</f>
        <v/>
      </c>
      <c r="P1794" s="17" t="str">
        <f ca="1">IF(AND(L1794=-1,L1793&lt;&gt;-1),MAX($P$8:P1793)+1,"")</f>
        <v/>
      </c>
      <c r="Q1794" s="24" t="str">
        <f ca="1">IF(AND(L1794&lt;&gt;-1,L1793=-1),MAX($Q$8:Q1793)+1,"")</f>
        <v/>
      </c>
    </row>
    <row r="1795" spans="1:17" x14ac:dyDescent="0.3">
      <c r="A1795" s="3">
        <v>42825</v>
      </c>
      <c r="B1795" s="9">
        <v>21.847784000000001</v>
      </c>
      <c r="C1795" s="9">
        <v>17.073412000000001</v>
      </c>
      <c r="E1795" s="14">
        <f t="shared" ref="E1795:E1858" si="200">IF(ISNUMBER(B1795),B1795/C1795,"")</f>
        <v>1.2796378368893107</v>
      </c>
      <c r="F1795" s="18">
        <f t="shared" ca="1" si="199"/>
        <v>-2.346257137708053</v>
      </c>
      <c r="G1795" s="15">
        <f t="shared" ca="1" si="197"/>
        <v>1.3175316179227847</v>
      </c>
      <c r="H1795" s="15">
        <f t="shared" ca="1" si="198"/>
        <v>1.6150736602762433E-2</v>
      </c>
      <c r="J1795" s="17">
        <f t="shared" ca="1" si="194"/>
        <v>0</v>
      </c>
      <c r="K1795" s="24">
        <f t="shared" ca="1" si="195"/>
        <v>-1</v>
      </c>
      <c r="L1795" s="17">
        <f t="shared" ca="1" si="196"/>
        <v>-1</v>
      </c>
      <c r="N1795" s="24" t="str">
        <f ca="1">IF(AND(L1795=1,L1794&lt;&gt;1),MAX($N$8:N1794)+1,"")</f>
        <v/>
      </c>
      <c r="O1795" s="24" t="str">
        <f ca="1">IF(AND(L1795&lt;&gt;1,L1794=1),MAX($O$8:O1794)+1,"")</f>
        <v/>
      </c>
      <c r="P1795" s="17" t="str">
        <f ca="1">IF(AND(L1795=-1,L1794&lt;&gt;-1),MAX($P$8:P1794)+1,"")</f>
        <v/>
      </c>
      <c r="Q1795" s="24" t="str">
        <f ca="1">IF(AND(L1795&lt;&gt;-1,L1794=-1),MAX($Q$8:Q1794)+1,"")</f>
        <v/>
      </c>
    </row>
    <row r="1796" spans="1:17" x14ac:dyDescent="0.3">
      <c r="A1796" s="3">
        <v>42828</v>
      </c>
      <c r="B1796" s="9">
        <v>22.218343999999998</v>
      </c>
      <c r="C1796" s="9">
        <v>17.157717000000002</v>
      </c>
      <c r="E1796" s="14">
        <f t="shared" si="200"/>
        <v>1.2949475737360627</v>
      </c>
      <c r="F1796" s="18">
        <f t="shared" ca="1" si="199"/>
        <v>-1.3067906833776626</v>
      </c>
      <c r="G1796" s="15">
        <f t="shared" ca="1" si="197"/>
        <v>1.3168508722757728</v>
      </c>
      <c r="H1796" s="15">
        <f t="shared" ca="1" si="198"/>
        <v>1.6761137662151527E-2</v>
      </c>
      <c r="J1796" s="17">
        <f t="shared" ca="1" si="194"/>
        <v>0</v>
      </c>
      <c r="K1796" s="24">
        <f t="shared" ca="1" si="195"/>
        <v>-1</v>
      </c>
      <c r="L1796" s="17">
        <f t="shared" ca="1" si="196"/>
        <v>-1</v>
      </c>
      <c r="N1796" s="24" t="str">
        <f ca="1">IF(AND(L1796=1,L1795&lt;&gt;1),MAX($N$8:N1795)+1,"")</f>
        <v/>
      </c>
      <c r="O1796" s="24" t="str">
        <f ca="1">IF(AND(L1796&lt;&gt;1,L1795=1),MAX($O$8:O1795)+1,"")</f>
        <v/>
      </c>
      <c r="P1796" s="17" t="str">
        <f ca="1">IF(AND(L1796=-1,L1795&lt;&gt;-1),MAX($P$8:P1795)+1,"")</f>
        <v/>
      </c>
      <c r="Q1796" s="24" t="str">
        <f ca="1">IF(AND(L1796&lt;&gt;-1,L1795=-1),MAX($Q$8:Q1795)+1,"")</f>
        <v/>
      </c>
    </row>
    <row r="1797" spans="1:17" x14ac:dyDescent="0.3">
      <c r="A1797" s="3">
        <v>42829</v>
      </c>
      <c r="B1797" s="9">
        <v>22.333679</v>
      </c>
      <c r="C1797" s="9">
        <v>17.295180999999999</v>
      </c>
      <c r="E1797" s="14">
        <f t="shared" si="200"/>
        <v>1.2913238086377934</v>
      </c>
      <c r="F1797" s="18">
        <f t="shared" ca="1" si="199"/>
        <v>-1.4395358169208723</v>
      </c>
      <c r="G1797" s="15">
        <f t="shared" ca="1" si="197"/>
        <v>1.3163209112065379</v>
      </c>
      <c r="H1797" s="15">
        <f t="shared" ca="1" si="198"/>
        <v>1.7364696504886319E-2</v>
      </c>
      <c r="J1797" s="17">
        <f t="shared" ca="1" si="194"/>
        <v>0</v>
      </c>
      <c r="K1797" s="24">
        <f t="shared" ca="1" si="195"/>
        <v>-1</v>
      </c>
      <c r="L1797" s="17">
        <f t="shared" ca="1" si="196"/>
        <v>-1</v>
      </c>
      <c r="N1797" s="24" t="str">
        <f ca="1">IF(AND(L1797=1,L1796&lt;&gt;1),MAX($N$8:N1796)+1,"")</f>
        <v/>
      </c>
      <c r="O1797" s="24" t="str">
        <f ca="1">IF(AND(L1797&lt;&gt;1,L1796=1),MAX($O$8:O1796)+1,"")</f>
        <v/>
      </c>
      <c r="P1797" s="17" t="str">
        <f ca="1">IF(AND(L1797=-1,L1796&lt;&gt;-1),MAX($P$8:P1796)+1,"")</f>
        <v/>
      </c>
      <c r="Q1797" s="24" t="str">
        <f ca="1">IF(AND(L1797&lt;&gt;-1,L1796=-1),MAX($Q$8:Q1796)+1,"")</f>
        <v/>
      </c>
    </row>
    <row r="1798" spans="1:17" x14ac:dyDescent="0.3">
      <c r="A1798" s="3">
        <v>42830</v>
      </c>
      <c r="B1798" s="9">
        <v>21.924178999999999</v>
      </c>
      <c r="C1798" s="9">
        <v>16.941562999999999</v>
      </c>
      <c r="E1798" s="14">
        <f t="shared" si="200"/>
        <v>1.2941060396847681</v>
      </c>
      <c r="F1798" s="18">
        <f t="shared" ca="1" si="199"/>
        <v>-1.1963460244592996</v>
      </c>
      <c r="G1798" s="15">
        <f t="shared" ca="1" si="197"/>
        <v>1.3155709411031558</v>
      </c>
      <c r="H1798" s="15">
        <f t="shared" ca="1" si="198"/>
        <v>1.7942051028329294E-2</v>
      </c>
      <c r="J1798" s="17">
        <f t="shared" ca="1" si="194"/>
        <v>0</v>
      </c>
      <c r="K1798" s="24">
        <f t="shared" ca="1" si="195"/>
        <v>-1</v>
      </c>
      <c r="L1798" s="17">
        <f t="shared" ca="1" si="196"/>
        <v>-1</v>
      </c>
      <c r="N1798" s="24" t="str">
        <f ca="1">IF(AND(L1798=1,L1797&lt;&gt;1),MAX($N$8:N1797)+1,"")</f>
        <v/>
      </c>
      <c r="O1798" s="24" t="str">
        <f ca="1">IF(AND(L1798&lt;&gt;1,L1797=1),MAX($O$8:O1797)+1,"")</f>
        <v/>
      </c>
      <c r="P1798" s="17" t="str">
        <f ca="1">IF(AND(L1798=-1,L1797&lt;&gt;-1),MAX($P$8:P1797)+1,"")</f>
        <v/>
      </c>
      <c r="Q1798" s="24" t="str">
        <f ca="1">IF(AND(L1798&lt;&gt;-1,L1797=-1),MAX($Q$8:Q1797)+1,"")</f>
        <v/>
      </c>
    </row>
    <row r="1799" spans="1:17" x14ac:dyDescent="0.3">
      <c r="A1799" s="3">
        <v>42831</v>
      </c>
      <c r="B1799" s="9">
        <v>21.751135000000001</v>
      </c>
      <c r="C1799" s="9">
        <v>16.762098000000002</v>
      </c>
      <c r="E1799" s="14">
        <f t="shared" si="200"/>
        <v>1.2976379806394163</v>
      </c>
      <c r="F1799" s="18">
        <f t="shared" ca="1" si="199"/>
        <v>-0.96197294975678049</v>
      </c>
      <c r="G1799" s="15">
        <f t="shared" ca="1" si="197"/>
        <v>1.3151780528271377</v>
      </c>
      <c r="H1799" s="15">
        <f t="shared" ca="1" si="198"/>
        <v>1.8233435973595925E-2</v>
      </c>
      <c r="J1799" s="17">
        <f t="shared" ca="1" si="194"/>
        <v>0</v>
      </c>
      <c r="K1799" s="24">
        <f t="shared" ca="1" si="195"/>
        <v>-1</v>
      </c>
      <c r="L1799" s="17">
        <f t="shared" ca="1" si="196"/>
        <v>-1</v>
      </c>
      <c r="N1799" s="24" t="str">
        <f ca="1">IF(AND(L1799=1,L1798&lt;&gt;1),MAX($N$8:N1798)+1,"")</f>
        <v/>
      </c>
      <c r="O1799" s="24" t="str">
        <f ca="1">IF(AND(L1799&lt;&gt;1,L1798=1),MAX($O$8:O1798)+1,"")</f>
        <v/>
      </c>
      <c r="P1799" s="17" t="str">
        <f ca="1">IF(AND(L1799=-1,L1798&lt;&gt;-1),MAX($P$8:P1798)+1,"")</f>
        <v/>
      </c>
      <c r="Q1799" s="24" t="str">
        <f ca="1">IF(AND(L1799&lt;&gt;-1,L1798=-1),MAX($Q$8:Q1798)+1,"")</f>
        <v/>
      </c>
    </row>
    <row r="1800" spans="1:17" x14ac:dyDescent="0.3">
      <c r="A1800" s="3">
        <v>42832</v>
      </c>
      <c r="B1800" s="9">
        <v>21.918382999999999</v>
      </c>
      <c r="C1800" s="9">
        <v>16.799016999999999</v>
      </c>
      <c r="E1800" s="14">
        <f t="shared" si="200"/>
        <v>1.3047419977014132</v>
      </c>
      <c r="F1800" s="18">
        <f t="shared" ca="1" si="199"/>
        <v>-0.54626406615806589</v>
      </c>
      <c r="G1800" s="15">
        <f t="shared" ca="1" si="197"/>
        <v>1.3147721673692434</v>
      </c>
      <c r="H1800" s="15">
        <f t="shared" ca="1" si="198"/>
        <v>1.8361393855490949E-2</v>
      </c>
      <c r="J1800" s="17">
        <f t="shared" ref="J1800:J1863" ca="1" si="201">IF(ISNUMBER(F1800),IF(AND(J1799&lt;&gt;1,F1800&gt;$L$1),1,IF(AND(J1799=1,F1800&gt;$N$1),1,0)),"")</f>
        <v>0</v>
      </c>
      <c r="K1800" s="24">
        <f t="shared" ca="1" si="195"/>
        <v>-1</v>
      </c>
      <c r="L1800" s="17">
        <f t="shared" ca="1" si="196"/>
        <v>-1</v>
      </c>
      <c r="N1800" s="24" t="str">
        <f ca="1">IF(AND(L1800=1,L1799&lt;&gt;1),MAX($N$8:N1799)+1,"")</f>
        <v/>
      </c>
      <c r="O1800" s="24" t="str">
        <f ca="1">IF(AND(L1800&lt;&gt;1,L1799=1),MAX($O$8:O1799)+1,"")</f>
        <v/>
      </c>
      <c r="P1800" s="17" t="str">
        <f ca="1">IF(AND(L1800=-1,L1799&lt;&gt;-1),MAX($P$8:P1799)+1,"")</f>
        <v/>
      </c>
      <c r="Q1800" s="24" t="str">
        <f ca="1">IF(AND(L1800&lt;&gt;-1,L1799=-1),MAX($Q$8:Q1799)+1,"")</f>
        <v/>
      </c>
    </row>
    <row r="1801" spans="1:17" x14ac:dyDescent="0.3">
      <c r="A1801" s="3">
        <v>42835</v>
      </c>
      <c r="B1801" s="9">
        <v>21.878060999999999</v>
      </c>
      <c r="C1801" s="9">
        <v>16.904558000000002</v>
      </c>
      <c r="E1801" s="14">
        <f t="shared" si="200"/>
        <v>1.2942107684803115</v>
      </c>
      <c r="F1801" s="18">
        <f t="shared" ca="1" si="199"/>
        <v>-1.022199451001927</v>
      </c>
      <c r="G1801" s="15">
        <f t="shared" ca="1" si="197"/>
        <v>1.3131636731688705</v>
      </c>
      <c r="H1801" s="15">
        <f t="shared" ca="1" si="198"/>
        <v>1.8541298050964525E-2</v>
      </c>
      <c r="J1801" s="17">
        <f t="shared" ca="1" si="201"/>
        <v>0</v>
      </c>
      <c r="K1801" s="24">
        <f t="shared" ref="K1801:K1864" ca="1" si="202">IF(ISNUMBER(F1801),IF(AND(K1800&lt;&gt;-1,F1801&lt;$P$1),-1,IF(AND(K1800=-1,F1801&lt;R1794),-1,0)),"")</f>
        <v>-1</v>
      </c>
      <c r="L1801" s="17">
        <f t="shared" ref="L1801:L1864" ca="1" si="203">IF(ISNUMBER(F1801),IF(J1801=1,1,IF(K1801=-1,-1,0)),"")</f>
        <v>-1</v>
      </c>
      <c r="N1801" s="24" t="str">
        <f ca="1">IF(AND(L1801=1,L1800&lt;&gt;1),MAX($N$8:N1800)+1,"")</f>
        <v/>
      </c>
      <c r="O1801" s="24" t="str">
        <f ca="1">IF(AND(L1801&lt;&gt;1,L1800=1),MAX($O$8:O1800)+1,"")</f>
        <v/>
      </c>
      <c r="P1801" s="17" t="str">
        <f ca="1">IF(AND(L1801=-1,L1800&lt;&gt;-1),MAX($P$8:P1800)+1,"")</f>
        <v/>
      </c>
      <c r="Q1801" s="24" t="str">
        <f ca="1">IF(AND(L1801&lt;&gt;-1,L1800=-1),MAX($Q$8:Q1800)+1,"")</f>
        <v/>
      </c>
    </row>
    <row r="1802" spans="1:17" x14ac:dyDescent="0.3">
      <c r="A1802" s="3">
        <v>42836</v>
      </c>
      <c r="B1802" s="9">
        <v>21.83766</v>
      </c>
      <c r="C1802" s="9">
        <v>16.946793</v>
      </c>
      <c r="E1802" s="14">
        <f t="shared" si="200"/>
        <v>1.2886013300569612</v>
      </c>
      <c r="F1802" s="18">
        <f t="shared" ca="1" si="199"/>
        <v>-1.2132114088133534</v>
      </c>
      <c r="G1802" s="15">
        <f t="shared" ca="1" si="197"/>
        <v>1.3109289212724862</v>
      </c>
      <c r="H1802" s="15">
        <f t="shared" ca="1" si="198"/>
        <v>1.8403710229995006E-2</v>
      </c>
      <c r="J1802" s="17">
        <f t="shared" ca="1" si="201"/>
        <v>0</v>
      </c>
      <c r="K1802" s="24">
        <f t="shared" ca="1" si="202"/>
        <v>-1</v>
      </c>
      <c r="L1802" s="17">
        <f t="shared" ca="1" si="203"/>
        <v>-1</v>
      </c>
      <c r="N1802" s="24" t="str">
        <f ca="1">IF(AND(L1802=1,L1801&lt;&gt;1),MAX($N$8:N1801)+1,"")</f>
        <v/>
      </c>
      <c r="O1802" s="24" t="str">
        <f ca="1">IF(AND(L1802&lt;&gt;1,L1801=1),MAX($O$8:O1801)+1,"")</f>
        <v/>
      </c>
      <c r="P1802" s="17" t="str">
        <f ca="1">IF(AND(L1802=-1,L1801&lt;&gt;-1),MAX($P$8:P1801)+1,"")</f>
        <v/>
      </c>
      <c r="Q1802" s="24" t="str">
        <f ca="1">IF(AND(L1802&lt;&gt;-1,L1801=-1),MAX($Q$8:Q1801)+1,"")</f>
        <v/>
      </c>
    </row>
    <row r="1803" spans="1:17" x14ac:dyDescent="0.3">
      <c r="A1803" s="3">
        <v>42837</v>
      </c>
      <c r="B1803" s="9">
        <v>21.808845999999999</v>
      </c>
      <c r="C1803" s="9">
        <v>16.777946</v>
      </c>
      <c r="E1803" s="14">
        <f t="shared" si="200"/>
        <v>1.2998519604247145</v>
      </c>
      <c r="F1803" s="18">
        <f t="shared" ca="1" si="199"/>
        <v>-0.53252056119537727</v>
      </c>
      <c r="G1803" s="15">
        <f t="shared" ca="1" si="197"/>
        <v>1.3088669702814508</v>
      </c>
      <c r="H1803" s="15">
        <f t="shared" ca="1" si="198"/>
        <v>1.6928942305062998E-2</v>
      </c>
      <c r="J1803" s="17">
        <f t="shared" ca="1" si="201"/>
        <v>0</v>
      </c>
      <c r="K1803" s="24">
        <f t="shared" ca="1" si="202"/>
        <v>-1</v>
      </c>
      <c r="L1803" s="17">
        <f t="shared" ca="1" si="203"/>
        <v>-1</v>
      </c>
      <c r="N1803" s="24" t="str">
        <f ca="1">IF(AND(L1803=1,L1802&lt;&gt;1),MAX($N$8:N1802)+1,"")</f>
        <v/>
      </c>
      <c r="O1803" s="24" t="str">
        <f ca="1">IF(AND(L1803&lt;&gt;1,L1802=1),MAX($O$8:O1802)+1,"")</f>
        <v/>
      </c>
      <c r="P1803" s="17" t="str">
        <f ca="1">IF(AND(L1803=-1,L1802&lt;&gt;-1),MAX($P$8:P1802)+1,"")</f>
        <v/>
      </c>
      <c r="Q1803" s="24" t="str">
        <f ca="1">IF(AND(L1803&lt;&gt;-1,L1802=-1),MAX($Q$8:Q1802)+1,"")</f>
        <v/>
      </c>
    </row>
    <row r="1804" spans="1:17" x14ac:dyDescent="0.3">
      <c r="A1804" s="3">
        <v>42838</v>
      </c>
      <c r="B1804" s="9">
        <v>21.410851000000001</v>
      </c>
      <c r="C1804" s="9">
        <v>16.266013999999998</v>
      </c>
      <c r="E1804" s="14">
        <f t="shared" si="200"/>
        <v>1.3162936537494683</v>
      </c>
      <c r="F1804" s="18">
        <f t="shared" ca="1" si="199"/>
        <v>0.56572957014746339</v>
      </c>
      <c r="G1804" s="15">
        <f t="shared" ca="1" si="197"/>
        <v>1.3076419342941019</v>
      </c>
      <c r="H1804" s="15">
        <f t="shared" ca="1" si="198"/>
        <v>1.5293030295572487E-2</v>
      </c>
      <c r="J1804" s="17">
        <f t="shared" ca="1" si="201"/>
        <v>0</v>
      </c>
      <c r="K1804" s="24">
        <f t="shared" ca="1" si="202"/>
        <v>0</v>
      </c>
      <c r="L1804" s="17">
        <f t="shared" ca="1" si="203"/>
        <v>0</v>
      </c>
      <c r="N1804" s="24" t="str">
        <f ca="1">IF(AND(L1804=1,L1803&lt;&gt;1),MAX($N$8:N1803)+1,"")</f>
        <v/>
      </c>
      <c r="O1804" s="24" t="str">
        <f ca="1">IF(AND(L1804&lt;&gt;1,L1803=1),MAX($O$8:O1803)+1,"")</f>
        <v/>
      </c>
      <c r="P1804" s="17" t="str">
        <f ca="1">IF(AND(L1804=-1,L1803&lt;&gt;-1),MAX($P$8:P1803)+1,"")</f>
        <v/>
      </c>
      <c r="Q1804" s="24">
        <f ca="1">IF(AND(L1804&lt;&gt;-1,L1803=-1),MAX($Q$8:Q1803)+1,"")</f>
        <v>67</v>
      </c>
    </row>
    <row r="1805" spans="1:17" x14ac:dyDescent="0.3">
      <c r="A1805" s="3">
        <v>42842</v>
      </c>
      <c r="B1805" s="9">
        <v>22.368279999999999</v>
      </c>
      <c r="C1805" s="9">
        <v>16.994335</v>
      </c>
      <c r="E1805" s="14">
        <f t="shared" si="200"/>
        <v>1.3162197873585522</v>
      </c>
      <c r="F1805" s="18">
        <f t="shared" ca="1" si="199"/>
        <v>0.64539227145272804</v>
      </c>
      <c r="G1805" s="15">
        <f t="shared" ca="1" si="197"/>
        <v>1.3069004208606636</v>
      </c>
      <c r="H1805" s="15">
        <f t="shared" ca="1" si="198"/>
        <v>1.4439848306381772E-2</v>
      </c>
      <c r="J1805" s="17">
        <f t="shared" ca="1" si="201"/>
        <v>0</v>
      </c>
      <c r="K1805" s="24">
        <f t="shared" ca="1" si="202"/>
        <v>0</v>
      </c>
      <c r="L1805" s="17">
        <f t="shared" ca="1" si="203"/>
        <v>0</v>
      </c>
      <c r="N1805" s="24" t="str">
        <f ca="1">IF(AND(L1805=1,L1804&lt;&gt;1),MAX($N$8:N1804)+1,"")</f>
        <v/>
      </c>
      <c r="O1805" s="24" t="str">
        <f ca="1">IF(AND(L1805&lt;&gt;1,L1804=1),MAX($O$8:O1804)+1,"")</f>
        <v/>
      </c>
      <c r="P1805" s="17" t="str">
        <f ca="1">IF(AND(L1805=-1,L1804&lt;&gt;-1),MAX($P$8:P1804)+1,"")</f>
        <v/>
      </c>
      <c r="Q1805" s="24" t="str">
        <f ca="1">IF(AND(L1805&lt;&gt;-1,L1804=-1),MAX($Q$8:Q1804)+1,"")</f>
        <v/>
      </c>
    </row>
    <row r="1806" spans="1:17" x14ac:dyDescent="0.3">
      <c r="A1806" s="3">
        <v>42843</v>
      </c>
      <c r="B1806" s="9">
        <v>22.287559999999999</v>
      </c>
      <c r="C1806" s="9">
        <v>16.894022</v>
      </c>
      <c r="E1806" s="14">
        <f t="shared" si="200"/>
        <v>1.3192571905020605</v>
      </c>
      <c r="F1806" s="18">
        <f t="shared" ca="1" si="199"/>
        <v>0.86876455977848643</v>
      </c>
      <c r="G1806" s="15">
        <f t="shared" ca="1" si="197"/>
        <v>1.3067969653557208</v>
      </c>
      <c r="H1806" s="15">
        <f t="shared" ca="1" si="198"/>
        <v>1.4342464832493582E-2</v>
      </c>
      <c r="J1806" s="17">
        <f t="shared" ca="1" si="201"/>
        <v>0</v>
      </c>
      <c r="K1806" s="24">
        <f t="shared" ca="1" si="202"/>
        <v>0</v>
      </c>
      <c r="L1806" s="17">
        <f t="shared" ca="1" si="203"/>
        <v>0</v>
      </c>
      <c r="N1806" s="24" t="str">
        <f ca="1">IF(AND(L1806=1,L1805&lt;&gt;1),MAX($N$8:N1805)+1,"")</f>
        <v/>
      </c>
      <c r="O1806" s="24" t="str">
        <f ca="1">IF(AND(L1806&lt;&gt;1,L1805=1),MAX($O$8:O1805)+1,"")</f>
        <v/>
      </c>
      <c r="P1806" s="17" t="str">
        <f ca="1">IF(AND(L1806=-1,L1805&lt;&gt;-1),MAX($P$8:P1805)+1,"")</f>
        <v/>
      </c>
      <c r="Q1806" s="24" t="str">
        <f ca="1">IF(AND(L1806&lt;&gt;-1,L1805=-1),MAX($Q$8:Q1805)+1,"")</f>
        <v/>
      </c>
    </row>
    <row r="1807" spans="1:17" x14ac:dyDescent="0.3">
      <c r="A1807" s="3">
        <v>42844</v>
      </c>
      <c r="B1807" s="9">
        <v>22.091421</v>
      </c>
      <c r="C1807" s="9">
        <v>16.725173999999999</v>
      </c>
      <c r="E1807" s="14">
        <f t="shared" si="200"/>
        <v>1.3208485005895905</v>
      </c>
      <c r="F1807" s="18">
        <f t="shared" ca="1" si="199"/>
        <v>1.0025916389253708</v>
      </c>
      <c r="G1807" s="15">
        <f t="shared" ca="1" si="197"/>
        <v>1.3066417422410606</v>
      </c>
      <c r="H1807" s="15">
        <f t="shared" ca="1" si="198"/>
        <v>1.4170034734936993E-2</v>
      </c>
      <c r="J1807" s="17">
        <f t="shared" ca="1" si="201"/>
        <v>1</v>
      </c>
      <c r="K1807" s="24">
        <f t="shared" ca="1" si="202"/>
        <v>0</v>
      </c>
      <c r="L1807" s="17">
        <f t="shared" ca="1" si="203"/>
        <v>1</v>
      </c>
      <c r="N1807" s="24">
        <f ca="1">IF(AND(L1807=1,L1806&lt;&gt;1),MAX($N$8:N1806)+1,"")</f>
        <v>60</v>
      </c>
      <c r="O1807" s="24" t="str">
        <f ca="1">IF(AND(L1807&lt;&gt;1,L1806=1),MAX($O$8:O1806)+1,"")</f>
        <v/>
      </c>
      <c r="P1807" s="17" t="str">
        <f ca="1">IF(AND(L1807=-1,L1806&lt;&gt;-1),MAX($P$8:P1806)+1,"")</f>
        <v/>
      </c>
      <c r="Q1807" s="24" t="str">
        <f ca="1">IF(AND(L1807&lt;&gt;-1,L1806=-1),MAX($Q$8:Q1806)+1,"")</f>
        <v/>
      </c>
    </row>
    <row r="1808" spans="1:17" x14ac:dyDescent="0.3">
      <c r="A1808" s="3">
        <v>42845</v>
      </c>
      <c r="B1808" s="9">
        <v>21.768446000000001</v>
      </c>
      <c r="C1808" s="9">
        <v>16.434853</v>
      </c>
      <c r="E1808" s="14">
        <f t="shared" si="200"/>
        <v>1.3245294010235442</v>
      </c>
      <c r="F1808" s="18">
        <f t="shared" ca="1" si="199"/>
        <v>1.2012679437596299</v>
      </c>
      <c r="G1808" s="15">
        <f t="shared" ca="1" si="197"/>
        <v>1.3070539791163092</v>
      </c>
      <c r="H1808" s="15">
        <f t="shared" ca="1" si="198"/>
        <v>1.4547480433500884E-2</v>
      </c>
      <c r="J1808" s="17">
        <f t="shared" ca="1" si="201"/>
        <v>1</v>
      </c>
      <c r="K1808" s="24">
        <f t="shared" ca="1" si="202"/>
        <v>0</v>
      </c>
      <c r="L1808" s="17">
        <f t="shared" ca="1" si="203"/>
        <v>1</v>
      </c>
      <c r="N1808" s="24" t="str">
        <f ca="1">IF(AND(L1808=1,L1807&lt;&gt;1),MAX($N$8:N1807)+1,"")</f>
        <v/>
      </c>
      <c r="O1808" s="24" t="str">
        <f ca="1">IF(AND(L1808&lt;&gt;1,L1807=1),MAX($O$8:O1807)+1,"")</f>
        <v/>
      </c>
      <c r="P1808" s="17" t="str">
        <f ca="1">IF(AND(L1808=-1,L1807&lt;&gt;-1),MAX($P$8:P1807)+1,"")</f>
        <v/>
      </c>
      <c r="Q1808" s="24" t="str">
        <f ca="1">IF(AND(L1808&lt;&gt;-1,L1807=-1),MAX($Q$8:Q1807)+1,"")</f>
        <v/>
      </c>
    </row>
    <row r="1809" spans="1:17" x14ac:dyDescent="0.3">
      <c r="A1809" s="3">
        <v>42849</v>
      </c>
      <c r="B1809" s="9">
        <v>22.189537000000001</v>
      </c>
      <c r="C1809" s="9">
        <v>16.735717999999999</v>
      </c>
      <c r="E1809" s="14">
        <f t="shared" si="200"/>
        <v>1.3258789972440981</v>
      </c>
      <c r="F1809" s="18">
        <f t="shared" ca="1" si="199"/>
        <v>1.2988852688713508</v>
      </c>
      <c r="G1809" s="15">
        <f t="shared" ca="1" si="197"/>
        <v>1.3070279636021318</v>
      </c>
      <c r="H1809" s="15">
        <f t="shared" ca="1" si="198"/>
        <v>1.4513240001826052E-2</v>
      </c>
      <c r="J1809" s="17">
        <f t="shared" ca="1" si="201"/>
        <v>1</v>
      </c>
      <c r="K1809" s="24">
        <f t="shared" ca="1" si="202"/>
        <v>0</v>
      </c>
      <c r="L1809" s="17">
        <f t="shared" ca="1" si="203"/>
        <v>1</v>
      </c>
      <c r="N1809" s="24" t="str">
        <f ca="1">IF(AND(L1809=1,L1808&lt;&gt;1),MAX($N$8:N1808)+1,"")</f>
        <v/>
      </c>
      <c r="O1809" s="24" t="str">
        <f ca="1">IF(AND(L1809&lt;&gt;1,L1808=1),MAX($O$8:O1808)+1,"")</f>
        <v/>
      </c>
      <c r="P1809" s="17" t="str">
        <f ca="1">IF(AND(L1809=-1,L1808&lt;&gt;-1),MAX($P$8:P1808)+1,"")</f>
        <v/>
      </c>
      <c r="Q1809" s="24" t="str">
        <f ca="1">IF(AND(L1809&lt;&gt;-1,L1808=-1),MAX($Q$8:Q1808)+1,"")</f>
        <v/>
      </c>
    </row>
    <row r="1810" spans="1:17" x14ac:dyDescent="0.3">
      <c r="A1810" s="3">
        <v>42850</v>
      </c>
      <c r="B1810" s="9">
        <v>22.333679</v>
      </c>
      <c r="C1810" s="9">
        <v>16.888795999999999</v>
      </c>
      <c r="E1810" s="14">
        <f t="shared" si="200"/>
        <v>1.3223961613367821</v>
      </c>
      <c r="F1810" s="18">
        <f t="shared" ca="1" si="199"/>
        <v>1.1402305985459693</v>
      </c>
      <c r="G1810" s="15">
        <f t="shared" ca="1" si="197"/>
        <v>1.3065820533982453</v>
      </c>
      <c r="H1810" s="15">
        <f t="shared" ca="1" si="198"/>
        <v>1.3869219049815924E-2</v>
      </c>
      <c r="J1810" s="17">
        <f t="shared" ca="1" si="201"/>
        <v>1</v>
      </c>
      <c r="K1810" s="24">
        <f t="shared" ca="1" si="202"/>
        <v>0</v>
      </c>
      <c r="L1810" s="17">
        <f t="shared" ca="1" si="203"/>
        <v>1</v>
      </c>
      <c r="N1810" s="24" t="str">
        <f ca="1">IF(AND(L1810=1,L1809&lt;&gt;1),MAX($N$8:N1809)+1,"")</f>
        <v/>
      </c>
      <c r="O1810" s="24" t="str">
        <f ca="1">IF(AND(L1810&lt;&gt;1,L1809=1),MAX($O$8:O1809)+1,"")</f>
        <v/>
      </c>
      <c r="P1810" s="17" t="str">
        <f ca="1">IF(AND(L1810=-1,L1809&lt;&gt;-1),MAX($P$8:P1809)+1,"")</f>
        <v/>
      </c>
      <c r="Q1810" s="24" t="str">
        <f ca="1">IF(AND(L1810&lt;&gt;-1,L1809=-1),MAX($Q$8:Q1809)+1,"")</f>
        <v/>
      </c>
    </row>
    <row r="1811" spans="1:17" x14ac:dyDescent="0.3">
      <c r="A1811" s="3">
        <v>42851</v>
      </c>
      <c r="B1811" s="9">
        <v>22.374085999999998</v>
      </c>
      <c r="C1811" s="9">
        <v>17.173708000000001</v>
      </c>
      <c r="E1811" s="14">
        <f t="shared" si="200"/>
        <v>1.3028104355797825</v>
      </c>
      <c r="F1811" s="18">
        <f t="shared" ca="1" si="199"/>
        <v>-0.21133330588312285</v>
      </c>
      <c r="G1811" s="15">
        <f t="shared" ca="1" si="197"/>
        <v>1.3056375935947648</v>
      </c>
      <c r="H1811" s="15">
        <f t="shared" ca="1" si="198"/>
        <v>1.3377721051436611E-2</v>
      </c>
      <c r="J1811" s="17">
        <f t="shared" ca="1" si="201"/>
        <v>0</v>
      </c>
      <c r="K1811" s="24">
        <f t="shared" ca="1" si="202"/>
        <v>0</v>
      </c>
      <c r="L1811" s="17">
        <f t="shared" ca="1" si="203"/>
        <v>0</v>
      </c>
      <c r="N1811" s="24" t="str">
        <f ca="1">IF(AND(L1811=1,L1810&lt;&gt;1),MAX($N$8:N1810)+1,"")</f>
        <v/>
      </c>
      <c r="O1811" s="24">
        <f ca="1">IF(AND(L1811&lt;&gt;1,L1810=1),MAX($O$8:O1810)+1,"")</f>
        <v>60</v>
      </c>
      <c r="P1811" s="17" t="str">
        <f ca="1">IF(AND(L1811=-1,L1810&lt;&gt;-1),MAX($P$8:P1810)+1,"")</f>
        <v/>
      </c>
      <c r="Q1811" s="24" t="str">
        <f ca="1">IF(AND(L1811&lt;&gt;-1,L1810=-1),MAX($Q$8:Q1810)+1,"")</f>
        <v/>
      </c>
    </row>
    <row r="1812" spans="1:17" x14ac:dyDescent="0.3">
      <c r="A1812" s="3">
        <v>42852</v>
      </c>
      <c r="B1812" s="9">
        <v>22.501009</v>
      </c>
      <c r="C1812" s="9">
        <v>17.675104000000001</v>
      </c>
      <c r="E1812" s="14">
        <f t="shared" si="200"/>
        <v>1.2730340370274482</v>
      </c>
      <c r="F1812" s="18">
        <f t="shared" ca="1" si="199"/>
        <v>-2.0818154912878231</v>
      </c>
      <c r="G1812" s="15">
        <f t="shared" ca="1" si="197"/>
        <v>1.3035507590215814</v>
      </c>
      <c r="H1812" s="15">
        <f t="shared" ca="1" si="198"/>
        <v>1.4658706365594057E-2</v>
      </c>
      <c r="J1812" s="17">
        <f t="shared" ca="1" si="201"/>
        <v>0</v>
      </c>
      <c r="K1812" s="24">
        <f t="shared" ca="1" si="202"/>
        <v>-1</v>
      </c>
      <c r="L1812" s="17">
        <f t="shared" ca="1" si="203"/>
        <v>-1</v>
      </c>
      <c r="N1812" s="24" t="str">
        <f ca="1">IF(AND(L1812=1,L1811&lt;&gt;1),MAX($N$8:N1811)+1,"")</f>
        <v/>
      </c>
      <c r="O1812" s="24" t="str">
        <f ca="1">IF(AND(L1812&lt;&gt;1,L1811=1),MAX($O$8:O1811)+1,"")</f>
        <v/>
      </c>
      <c r="P1812" s="17">
        <f ca="1">IF(AND(L1812=-1,L1811&lt;&gt;-1),MAX($P$8:P1811)+1,"")</f>
        <v>68</v>
      </c>
      <c r="Q1812" s="24" t="str">
        <f ca="1">IF(AND(L1812&lt;&gt;-1,L1811=-1),MAX($Q$8:Q1811)+1,"")</f>
        <v/>
      </c>
    </row>
    <row r="1813" spans="1:17" x14ac:dyDescent="0.3">
      <c r="A1813" s="3">
        <v>42853</v>
      </c>
      <c r="B1813" s="9">
        <v>22.645144999999999</v>
      </c>
      <c r="C1813" s="9">
        <v>17.632957000000001</v>
      </c>
      <c r="E1813" s="14">
        <f t="shared" si="200"/>
        <v>1.2842511326943062</v>
      </c>
      <c r="F1813" s="18">
        <f t="shared" ca="1" si="199"/>
        <v>-1.1973515159776884</v>
      </c>
      <c r="G1813" s="15">
        <f t="shared" ca="1" si="197"/>
        <v>1.3020448746186046</v>
      </c>
      <c r="H1813" s="15">
        <f t="shared" ca="1" si="198"/>
        <v>1.4860917355392533E-2</v>
      </c>
      <c r="J1813" s="17">
        <f t="shared" ca="1" si="201"/>
        <v>0</v>
      </c>
      <c r="K1813" s="24">
        <f t="shared" ca="1" si="202"/>
        <v>-1</v>
      </c>
      <c r="L1813" s="17">
        <f t="shared" ca="1" si="203"/>
        <v>-1</v>
      </c>
      <c r="N1813" s="24" t="str">
        <f ca="1">IF(AND(L1813=1,L1812&lt;&gt;1),MAX($N$8:N1812)+1,"")</f>
        <v/>
      </c>
      <c r="O1813" s="24" t="str">
        <f ca="1">IF(AND(L1813&lt;&gt;1,L1812=1),MAX($O$8:O1812)+1,"")</f>
        <v/>
      </c>
      <c r="P1813" s="17" t="str">
        <f ca="1">IF(AND(L1813=-1,L1812&lt;&gt;-1),MAX($P$8:P1812)+1,"")</f>
        <v/>
      </c>
      <c r="Q1813" s="24" t="str">
        <f ca="1">IF(AND(L1813&lt;&gt;-1,L1812=-1),MAX($Q$8:Q1812)+1,"")</f>
        <v/>
      </c>
    </row>
    <row r="1814" spans="1:17" x14ac:dyDescent="0.3">
      <c r="A1814" s="3">
        <v>42857</v>
      </c>
      <c r="B1814" s="9">
        <v>23.114096</v>
      </c>
      <c r="C1814" s="9">
        <v>18.107372000000002</v>
      </c>
      <c r="E1814" s="14">
        <f t="shared" si="200"/>
        <v>1.2765019683695678</v>
      </c>
      <c r="F1814" s="18">
        <f t="shared" ca="1" si="199"/>
        <v>-1.5374431552478016</v>
      </c>
      <c r="G1814" s="15">
        <f t="shared" ca="1" si="197"/>
        <v>1.3007225504475626</v>
      </c>
      <c r="H1814" s="15">
        <f t="shared" ca="1" si="198"/>
        <v>1.5753806568601883E-2</v>
      </c>
      <c r="J1814" s="17">
        <f t="shared" ca="1" si="201"/>
        <v>0</v>
      </c>
      <c r="K1814" s="24">
        <f t="shared" ca="1" si="202"/>
        <v>-1</v>
      </c>
      <c r="L1814" s="17">
        <f t="shared" ca="1" si="203"/>
        <v>-1</v>
      </c>
      <c r="N1814" s="24" t="str">
        <f ca="1">IF(AND(L1814=1,L1813&lt;&gt;1),MAX($N$8:N1813)+1,"")</f>
        <v/>
      </c>
      <c r="O1814" s="24" t="str">
        <f ca="1">IF(AND(L1814&lt;&gt;1,L1813=1),MAX($O$8:O1813)+1,"")</f>
        <v/>
      </c>
      <c r="P1814" s="17" t="str">
        <f ca="1">IF(AND(L1814=-1,L1813&lt;&gt;-1),MAX($P$8:P1813)+1,"")</f>
        <v/>
      </c>
      <c r="Q1814" s="24" t="str">
        <f ca="1">IF(AND(L1814&lt;&gt;-1,L1813=-1),MAX($Q$8:Q1813)+1,"")</f>
        <v/>
      </c>
    </row>
    <row r="1815" spans="1:17" x14ac:dyDescent="0.3">
      <c r="A1815" s="3">
        <v>42858</v>
      </c>
      <c r="B1815" s="9">
        <v>22.733188999999999</v>
      </c>
      <c r="C1815" s="9">
        <v>18.100178</v>
      </c>
      <c r="E1815" s="14">
        <f t="shared" si="200"/>
        <v>1.2559649413392509</v>
      </c>
      <c r="F1815" s="18">
        <f t="shared" ca="1" si="199"/>
        <v>-2.3402658737808637</v>
      </c>
      <c r="G1815" s="15">
        <f t="shared" ca="1" si="197"/>
        <v>1.298814607828876</v>
      </c>
      <c r="H1815" s="15">
        <f t="shared" ca="1" si="198"/>
        <v>1.8309742909850896E-2</v>
      </c>
      <c r="J1815" s="17">
        <f t="shared" ca="1" si="201"/>
        <v>0</v>
      </c>
      <c r="K1815" s="24">
        <f t="shared" ca="1" si="202"/>
        <v>-1</v>
      </c>
      <c r="L1815" s="17">
        <f t="shared" ca="1" si="203"/>
        <v>-1</v>
      </c>
      <c r="N1815" s="24" t="str">
        <f ca="1">IF(AND(L1815=1,L1814&lt;&gt;1),MAX($N$8:N1814)+1,"")</f>
        <v/>
      </c>
      <c r="O1815" s="24" t="str">
        <f ca="1">IF(AND(L1815&lt;&gt;1,L1814=1),MAX($O$8:O1814)+1,"")</f>
        <v/>
      </c>
      <c r="P1815" s="17" t="str">
        <f ca="1">IF(AND(L1815=-1,L1814&lt;&gt;-1),MAX($P$8:P1814)+1,"")</f>
        <v/>
      </c>
      <c r="Q1815" s="24" t="str">
        <f ca="1">IF(AND(L1815&lt;&gt;-1,L1814=-1),MAX($Q$8:Q1814)+1,"")</f>
        <v/>
      </c>
    </row>
    <row r="1816" spans="1:17" x14ac:dyDescent="0.3">
      <c r="A1816" s="3">
        <v>42859</v>
      </c>
      <c r="B1816" s="9">
        <v>21.988689000000001</v>
      </c>
      <c r="C1816" s="9">
        <v>17.832895000000001</v>
      </c>
      <c r="E1816" s="14">
        <f t="shared" si="200"/>
        <v>1.2330409055848757</v>
      </c>
      <c r="F1816" s="18">
        <f t="shared" ca="1" si="199"/>
        <v>-2.7634685904532077</v>
      </c>
      <c r="G1816" s="15">
        <f t="shared" ca="1" si="197"/>
        <v>1.2961857458477306</v>
      </c>
      <c r="H1816" s="15">
        <f t="shared" ca="1" si="198"/>
        <v>2.2849849092187152E-2</v>
      </c>
      <c r="J1816" s="17">
        <f t="shared" ca="1" si="201"/>
        <v>0</v>
      </c>
      <c r="K1816" s="24">
        <f t="shared" ca="1" si="202"/>
        <v>-1</v>
      </c>
      <c r="L1816" s="17">
        <f t="shared" ca="1" si="203"/>
        <v>-1</v>
      </c>
      <c r="N1816" s="24" t="str">
        <f ca="1">IF(AND(L1816=1,L1815&lt;&gt;1),MAX($N$8:N1815)+1,"")</f>
        <v/>
      </c>
      <c r="O1816" s="24" t="str">
        <f ca="1">IF(AND(L1816&lt;&gt;1,L1815=1),MAX($O$8:O1815)+1,"")</f>
        <v/>
      </c>
      <c r="P1816" s="17" t="str">
        <f ca="1">IF(AND(L1816=-1,L1815&lt;&gt;-1),MAX($P$8:P1815)+1,"")</f>
        <v/>
      </c>
      <c r="Q1816" s="24" t="str">
        <f ca="1">IF(AND(L1816&lt;&gt;-1,L1815=-1),MAX($Q$8:Q1815)+1,"")</f>
        <v/>
      </c>
    </row>
    <row r="1817" spans="1:17" x14ac:dyDescent="0.3">
      <c r="A1817" s="3">
        <v>42860</v>
      </c>
      <c r="B1817" s="9">
        <v>22.334969000000001</v>
      </c>
      <c r="C1817" s="9">
        <v>17.856102</v>
      </c>
      <c r="E1817" s="14">
        <f t="shared" si="200"/>
        <v>1.2508311724473797</v>
      </c>
      <c r="F1817" s="18">
        <f t="shared" ca="1" si="199"/>
        <v>-1.7959594175367988</v>
      </c>
      <c r="G1817" s="15">
        <f t="shared" ca="1" si="197"/>
        <v>1.2948763520094613</v>
      </c>
      <c r="H1817" s="15">
        <f t="shared" ca="1" si="198"/>
        <v>2.4524596230849443E-2</v>
      </c>
      <c r="J1817" s="17">
        <f t="shared" ca="1" si="201"/>
        <v>0</v>
      </c>
      <c r="K1817" s="24">
        <f t="shared" ca="1" si="202"/>
        <v>-1</v>
      </c>
      <c r="L1817" s="17">
        <f t="shared" ca="1" si="203"/>
        <v>-1</v>
      </c>
      <c r="N1817" s="24" t="str">
        <f ca="1">IF(AND(L1817=1,L1816&lt;&gt;1),MAX($N$8:N1816)+1,"")</f>
        <v/>
      </c>
      <c r="O1817" s="24" t="str">
        <f ca="1">IF(AND(L1817&lt;&gt;1,L1816=1),MAX($O$8:O1816)+1,"")</f>
        <v/>
      </c>
      <c r="P1817" s="17" t="str">
        <f ca="1">IF(AND(L1817=-1,L1816&lt;&gt;-1),MAX($P$8:P1816)+1,"")</f>
        <v/>
      </c>
      <c r="Q1817" s="24" t="str">
        <f ca="1">IF(AND(L1817&lt;&gt;-1,L1816=-1),MAX($Q$8:Q1816)+1,"")</f>
        <v/>
      </c>
    </row>
    <row r="1818" spans="1:17" x14ac:dyDescent="0.3">
      <c r="A1818" s="3">
        <v>42863</v>
      </c>
      <c r="B1818" s="9">
        <v>22.386917</v>
      </c>
      <c r="C1818" s="9">
        <v>17.844457999999999</v>
      </c>
      <c r="E1818" s="14">
        <f t="shared" si="200"/>
        <v>1.2545585301610169</v>
      </c>
      <c r="F1818" s="18">
        <f t="shared" ca="1" si="199"/>
        <v>-1.4845037700846782</v>
      </c>
      <c r="G1818" s="15">
        <f t="shared" ca="1" si="197"/>
        <v>1.2930404863924136</v>
      </c>
      <c r="H1818" s="15">
        <f t="shared" ca="1" si="198"/>
        <v>2.5922437522136878E-2</v>
      </c>
      <c r="J1818" s="17">
        <f t="shared" ca="1" si="201"/>
        <v>0</v>
      </c>
      <c r="K1818" s="24">
        <f t="shared" ca="1" si="202"/>
        <v>-1</v>
      </c>
      <c r="L1818" s="17">
        <f t="shared" ca="1" si="203"/>
        <v>-1</v>
      </c>
      <c r="N1818" s="24" t="str">
        <f ca="1">IF(AND(L1818=1,L1817&lt;&gt;1),MAX($N$8:N1817)+1,"")</f>
        <v/>
      </c>
      <c r="O1818" s="24" t="str">
        <f ca="1">IF(AND(L1818&lt;&gt;1,L1817=1),MAX($O$8:O1817)+1,"")</f>
        <v/>
      </c>
      <c r="P1818" s="17" t="str">
        <f ca="1">IF(AND(L1818=-1,L1817&lt;&gt;-1),MAX($P$8:P1817)+1,"")</f>
        <v/>
      </c>
      <c r="Q1818" s="24" t="str">
        <f ca="1">IF(AND(L1818&lt;&gt;-1,L1817=-1),MAX($Q$8:Q1817)+1,"")</f>
        <v/>
      </c>
    </row>
    <row r="1819" spans="1:17" x14ac:dyDescent="0.3">
      <c r="A1819" s="3">
        <v>42864</v>
      </c>
      <c r="B1819" s="9">
        <v>22.444658</v>
      </c>
      <c r="C1819" s="9">
        <v>18.001383000000001</v>
      </c>
      <c r="E1819" s="14">
        <f t="shared" si="200"/>
        <v>1.2468296463666153</v>
      </c>
      <c r="F1819" s="18">
        <f t="shared" ca="1" si="199"/>
        <v>-1.5978284453712945</v>
      </c>
      <c r="G1819" s="15">
        <f t="shared" ca="1" si="197"/>
        <v>1.2910180244709963</v>
      </c>
      <c r="H1819" s="15">
        <f t="shared" ca="1" si="198"/>
        <v>2.7655270647101781E-2</v>
      </c>
      <c r="J1819" s="17">
        <f t="shared" ca="1" si="201"/>
        <v>0</v>
      </c>
      <c r="K1819" s="24">
        <f t="shared" ca="1" si="202"/>
        <v>-1</v>
      </c>
      <c r="L1819" s="17">
        <f t="shared" ca="1" si="203"/>
        <v>-1</v>
      </c>
      <c r="N1819" s="24" t="str">
        <f ca="1">IF(AND(L1819=1,L1818&lt;&gt;1),MAX($N$8:N1818)+1,"")</f>
        <v/>
      </c>
      <c r="O1819" s="24" t="str">
        <f ca="1">IF(AND(L1819&lt;&gt;1,L1818=1),MAX($O$8:O1818)+1,"")</f>
        <v/>
      </c>
      <c r="P1819" s="17" t="str">
        <f ca="1">IF(AND(L1819=-1,L1818&lt;&gt;-1),MAX($P$8:P1818)+1,"")</f>
        <v/>
      </c>
      <c r="Q1819" s="24" t="str">
        <f ca="1">IF(AND(L1819&lt;&gt;-1,L1818=-1),MAX($Q$8:Q1818)+1,"")</f>
        <v/>
      </c>
    </row>
    <row r="1820" spans="1:17" x14ac:dyDescent="0.3">
      <c r="A1820" s="3">
        <v>42865</v>
      </c>
      <c r="B1820" s="9">
        <v>22.554255000000001</v>
      </c>
      <c r="C1820" s="9">
        <v>18.268673</v>
      </c>
      <c r="E1820" s="14">
        <f t="shared" si="200"/>
        <v>1.234586387309029</v>
      </c>
      <c r="F1820" s="18">
        <f t="shared" ca="1" si="199"/>
        <v>-1.7890726925037532</v>
      </c>
      <c r="G1820" s="15">
        <f t="shared" ca="1" si="197"/>
        <v>1.2883125857266449</v>
      </c>
      <c r="H1820" s="15">
        <f t="shared" ca="1" si="198"/>
        <v>3.0030193095411703E-2</v>
      </c>
      <c r="J1820" s="17">
        <f t="shared" ca="1" si="201"/>
        <v>0</v>
      </c>
      <c r="K1820" s="24">
        <f t="shared" ca="1" si="202"/>
        <v>-1</v>
      </c>
      <c r="L1820" s="17">
        <f t="shared" ca="1" si="203"/>
        <v>-1</v>
      </c>
      <c r="N1820" s="24" t="str">
        <f ca="1">IF(AND(L1820=1,L1819&lt;&gt;1),MAX($N$8:N1819)+1,"")</f>
        <v/>
      </c>
      <c r="O1820" s="24" t="str">
        <f ca="1">IF(AND(L1820&lt;&gt;1,L1819=1),MAX($O$8:O1819)+1,"")</f>
        <v/>
      </c>
      <c r="P1820" s="17" t="str">
        <f ca="1">IF(AND(L1820=-1,L1819&lt;&gt;-1),MAX($P$8:P1819)+1,"")</f>
        <v/>
      </c>
      <c r="Q1820" s="24" t="str">
        <f ca="1">IF(AND(L1820&lt;&gt;-1,L1819=-1),MAX($Q$8:Q1819)+1,"")</f>
        <v/>
      </c>
    </row>
    <row r="1821" spans="1:17" x14ac:dyDescent="0.3">
      <c r="A1821" s="3">
        <v>42866</v>
      </c>
      <c r="B1821" s="9">
        <v>22.940957999999998</v>
      </c>
      <c r="C1821" s="9">
        <v>18.379116</v>
      </c>
      <c r="E1821" s="14">
        <f t="shared" si="200"/>
        <v>1.2482079116318761</v>
      </c>
      <c r="F1821" s="18">
        <f t="shared" ca="1" si="199"/>
        <v>-1.2181069932288298</v>
      </c>
      <c r="G1821" s="15">
        <f t="shared" ca="1" si="197"/>
        <v>1.2860657644081204</v>
      </c>
      <c r="H1821" s="15">
        <f t="shared" ca="1" si="198"/>
        <v>3.1079250826641022E-2</v>
      </c>
      <c r="J1821" s="17">
        <f t="shared" ca="1" si="201"/>
        <v>0</v>
      </c>
      <c r="K1821" s="24">
        <f t="shared" ca="1" si="202"/>
        <v>-1</v>
      </c>
      <c r="L1821" s="17">
        <f t="shared" ca="1" si="203"/>
        <v>-1</v>
      </c>
      <c r="N1821" s="24" t="str">
        <f ca="1">IF(AND(L1821=1,L1820&lt;&gt;1),MAX($N$8:N1820)+1,"")</f>
        <v/>
      </c>
      <c r="O1821" s="24" t="str">
        <f ca="1">IF(AND(L1821&lt;&gt;1,L1820=1),MAX($O$8:O1820)+1,"")</f>
        <v/>
      </c>
      <c r="P1821" s="17" t="str">
        <f ca="1">IF(AND(L1821=-1,L1820&lt;&gt;-1),MAX($P$8:P1820)+1,"")</f>
        <v/>
      </c>
      <c r="Q1821" s="24" t="str">
        <f ca="1">IF(AND(L1821&lt;&gt;-1,L1820=-1),MAX($Q$8:Q1820)+1,"")</f>
        <v/>
      </c>
    </row>
    <row r="1822" spans="1:17" x14ac:dyDescent="0.3">
      <c r="A1822" s="3">
        <v>42867</v>
      </c>
      <c r="B1822" s="9">
        <v>23.160242</v>
      </c>
      <c r="C1822" s="9">
        <v>18.564972000000001</v>
      </c>
      <c r="E1822" s="14">
        <f t="shared" si="200"/>
        <v>1.2475236698444792</v>
      </c>
      <c r="F1822" s="18">
        <f t="shared" ca="1" si="199"/>
        <v>-1.1304612925180852</v>
      </c>
      <c r="G1822" s="15">
        <f t="shared" ca="1" si="197"/>
        <v>1.2834649313237143</v>
      </c>
      <c r="H1822" s="15">
        <f t="shared" ca="1" si="198"/>
        <v>3.1793447256541214E-2</v>
      </c>
      <c r="J1822" s="17">
        <f t="shared" ca="1" si="201"/>
        <v>0</v>
      </c>
      <c r="K1822" s="24">
        <f t="shared" ca="1" si="202"/>
        <v>-1</v>
      </c>
      <c r="L1822" s="17">
        <f t="shared" ca="1" si="203"/>
        <v>-1</v>
      </c>
      <c r="N1822" s="24" t="str">
        <f ca="1">IF(AND(L1822=1,L1821&lt;&gt;1),MAX($N$8:N1821)+1,"")</f>
        <v/>
      </c>
      <c r="O1822" s="24" t="str">
        <f ca="1">IF(AND(L1822&lt;&gt;1,L1821=1),MAX($O$8:O1821)+1,"")</f>
        <v/>
      </c>
      <c r="P1822" s="17" t="str">
        <f ca="1">IF(AND(L1822=-1,L1821&lt;&gt;-1),MAX($P$8:P1821)+1,"")</f>
        <v/>
      </c>
      <c r="Q1822" s="24" t="str">
        <f ca="1">IF(AND(L1822&lt;&gt;-1,L1821=-1),MAX($Q$8:Q1821)+1,"")</f>
        <v/>
      </c>
    </row>
    <row r="1823" spans="1:17" x14ac:dyDescent="0.3">
      <c r="A1823" s="3">
        <v>42870</v>
      </c>
      <c r="B1823" s="9">
        <v>23.258403999999999</v>
      </c>
      <c r="C1823" s="9">
        <v>18.594083999999999</v>
      </c>
      <c r="E1823" s="14">
        <f t="shared" si="200"/>
        <v>1.2508496788548444</v>
      </c>
      <c r="F1823" s="18">
        <f t="shared" ca="1" si="199"/>
        <v>-0.94568438060694138</v>
      </c>
      <c r="G1823" s="15">
        <f t="shared" ref="G1823:G1886" ca="1" si="204">IF(ISNUMBER(E1823),IF(ROW(E1823)&gt;$J$1,AVERAGE(OFFSET(E1823,0,0,-$J$1)),""),"")</f>
        <v>1.2814939727043748</v>
      </c>
      <c r="H1823" s="15">
        <f t="shared" ref="H1823:H1886" ca="1" si="205">IF(ISNUMBER(E1823),IF(ROW(E1823)&gt;$J$1,_xlfn.STDEV.P(OFFSET(E1823,0,0,-$J$1)),""),"")</f>
        <v>3.2404356546380554E-2</v>
      </c>
      <c r="J1823" s="17">
        <f t="shared" ca="1" si="201"/>
        <v>0</v>
      </c>
      <c r="K1823" s="24">
        <f t="shared" ca="1" si="202"/>
        <v>-1</v>
      </c>
      <c r="L1823" s="17">
        <f t="shared" ca="1" si="203"/>
        <v>-1</v>
      </c>
      <c r="N1823" s="24" t="str">
        <f ca="1">IF(AND(L1823=1,L1822&lt;&gt;1),MAX($N$8:N1822)+1,"")</f>
        <v/>
      </c>
      <c r="O1823" s="24" t="str">
        <f ca="1">IF(AND(L1823&lt;&gt;1,L1822=1),MAX($O$8:O1822)+1,"")</f>
        <v/>
      </c>
      <c r="P1823" s="17" t="str">
        <f ca="1">IF(AND(L1823=-1,L1822&lt;&gt;-1),MAX($P$8:P1822)+1,"")</f>
        <v/>
      </c>
      <c r="Q1823" s="24" t="str">
        <f ca="1">IF(AND(L1823&lt;&gt;-1,L1822=-1),MAX($Q$8:Q1822)+1,"")</f>
        <v/>
      </c>
    </row>
    <row r="1824" spans="1:17" x14ac:dyDescent="0.3">
      <c r="A1824" s="3">
        <v>42871</v>
      </c>
      <c r="B1824" s="9">
        <v>23.229493999999999</v>
      </c>
      <c r="C1824" s="9">
        <v>18.623114000000001</v>
      </c>
      <c r="E1824" s="14">
        <f t="shared" si="200"/>
        <v>1.247347462943093</v>
      </c>
      <c r="F1824" s="18">
        <f t="shared" ca="1" si="199"/>
        <v>-0.97424512000046715</v>
      </c>
      <c r="G1824" s="15">
        <f t="shared" ca="1" si="204"/>
        <v>1.2796187969264716</v>
      </c>
      <c r="H1824" s="15">
        <f t="shared" ca="1" si="205"/>
        <v>3.3124450223946923E-2</v>
      </c>
      <c r="J1824" s="17">
        <f t="shared" ca="1" si="201"/>
        <v>0</v>
      </c>
      <c r="K1824" s="24">
        <f t="shared" ca="1" si="202"/>
        <v>-1</v>
      </c>
      <c r="L1824" s="17">
        <f t="shared" ca="1" si="203"/>
        <v>-1</v>
      </c>
      <c r="N1824" s="24" t="str">
        <f ca="1">IF(AND(L1824=1,L1823&lt;&gt;1),MAX($N$8:N1823)+1,"")</f>
        <v/>
      </c>
      <c r="O1824" s="24" t="str">
        <f ca="1">IF(AND(L1824&lt;&gt;1,L1823=1),MAX($O$8:O1823)+1,"")</f>
        <v/>
      </c>
      <c r="P1824" s="17" t="str">
        <f ca="1">IF(AND(L1824=-1,L1823&lt;&gt;-1),MAX($P$8:P1823)+1,"")</f>
        <v/>
      </c>
      <c r="Q1824" s="24" t="str">
        <f ca="1">IF(AND(L1824&lt;&gt;-1,L1823=-1),MAX($Q$8:Q1823)+1,"")</f>
        <v/>
      </c>
    </row>
    <row r="1825" spans="1:17" x14ac:dyDescent="0.3">
      <c r="A1825" s="3">
        <v>42872</v>
      </c>
      <c r="B1825" s="9">
        <v>22.7563</v>
      </c>
      <c r="C1825" s="9">
        <v>18.257028999999999</v>
      </c>
      <c r="E1825" s="14">
        <f t="shared" si="200"/>
        <v>1.246440480540399</v>
      </c>
      <c r="F1825" s="18">
        <f t="shared" ca="1" si="199"/>
        <v>-0.91771622041553447</v>
      </c>
      <c r="G1825" s="15">
        <f t="shared" ca="1" si="204"/>
        <v>1.2771910023862758</v>
      </c>
      <c r="H1825" s="15">
        <f t="shared" ca="1" si="205"/>
        <v>3.3507658644142957E-2</v>
      </c>
      <c r="J1825" s="17">
        <f t="shared" ca="1" si="201"/>
        <v>0</v>
      </c>
      <c r="K1825" s="24">
        <f t="shared" ca="1" si="202"/>
        <v>-1</v>
      </c>
      <c r="L1825" s="17">
        <f t="shared" ca="1" si="203"/>
        <v>-1</v>
      </c>
      <c r="N1825" s="24" t="str">
        <f ca="1">IF(AND(L1825=1,L1824&lt;&gt;1),MAX($N$8:N1824)+1,"")</f>
        <v/>
      </c>
      <c r="O1825" s="24" t="str">
        <f ca="1">IF(AND(L1825&lt;&gt;1,L1824=1),MAX($O$8:O1824)+1,"")</f>
        <v/>
      </c>
      <c r="P1825" s="17" t="str">
        <f ca="1">IF(AND(L1825=-1,L1824&lt;&gt;-1),MAX($P$8:P1824)+1,"")</f>
        <v/>
      </c>
      <c r="Q1825" s="24" t="str">
        <f ca="1">IF(AND(L1825&lt;&gt;-1,L1824=-1),MAX($Q$8:Q1824)+1,"")</f>
        <v/>
      </c>
    </row>
    <row r="1826" spans="1:17" x14ac:dyDescent="0.3">
      <c r="A1826" s="3">
        <v>42873</v>
      </c>
      <c r="B1826" s="9">
        <v>20.014906</v>
      </c>
      <c r="C1826" s="9">
        <v>15.863011</v>
      </c>
      <c r="E1826" s="14">
        <f t="shared" si="200"/>
        <v>1.2617343579979867</v>
      </c>
      <c r="F1826" s="18">
        <f t="shared" ca="1" si="199"/>
        <v>-0.39895734824447976</v>
      </c>
      <c r="G1826" s="15">
        <f t="shared" ca="1" si="204"/>
        <v>1.2747110343975718</v>
      </c>
      <c r="H1826" s="15">
        <f t="shared" ca="1" si="205"/>
        <v>3.2526475465826092E-2</v>
      </c>
      <c r="J1826" s="17">
        <f t="shared" ca="1" si="201"/>
        <v>0</v>
      </c>
      <c r="K1826" s="24">
        <f t="shared" ca="1" si="202"/>
        <v>-1</v>
      </c>
      <c r="L1826" s="17">
        <f t="shared" ca="1" si="203"/>
        <v>-1</v>
      </c>
      <c r="N1826" s="24" t="str">
        <f ca="1">IF(AND(L1826=1,L1825&lt;&gt;1),MAX($N$8:N1825)+1,"")</f>
        <v/>
      </c>
      <c r="O1826" s="24" t="str">
        <f ca="1">IF(AND(L1826&lt;&gt;1,L1825=1),MAX($O$8:O1825)+1,"")</f>
        <v/>
      </c>
      <c r="P1826" s="17" t="str">
        <f ca="1">IF(AND(L1826=-1,L1825&lt;&gt;-1),MAX($P$8:P1825)+1,"")</f>
        <v/>
      </c>
      <c r="Q1826" s="24" t="str">
        <f ca="1">IF(AND(L1826&lt;&gt;-1,L1825=-1),MAX($Q$8:Q1825)+1,"")</f>
        <v/>
      </c>
    </row>
    <row r="1827" spans="1:17" x14ac:dyDescent="0.3">
      <c r="A1827" s="3">
        <v>42874</v>
      </c>
      <c r="B1827" s="9">
        <v>20.534323000000001</v>
      </c>
      <c r="C1827" s="9">
        <v>16.124559000000001</v>
      </c>
      <c r="E1827" s="14">
        <f t="shared" si="200"/>
        <v>1.2734812158273598</v>
      </c>
      <c r="F1827" s="18">
        <f t="shared" ca="1" si="199"/>
        <v>2.2818165784839885E-2</v>
      </c>
      <c r="G1827" s="15">
        <f t="shared" ca="1" si="204"/>
        <v>1.272768372055245</v>
      </c>
      <c r="H1827" s="15">
        <f t="shared" ca="1" si="205"/>
        <v>3.1240187262926076E-2</v>
      </c>
      <c r="J1827" s="17">
        <f t="shared" ca="1" si="201"/>
        <v>0</v>
      </c>
      <c r="K1827" s="24">
        <f t="shared" ca="1" si="202"/>
        <v>0</v>
      </c>
      <c r="L1827" s="17">
        <f t="shared" ca="1" si="203"/>
        <v>0</v>
      </c>
      <c r="N1827" s="24" t="str">
        <f ca="1">IF(AND(L1827=1,L1826&lt;&gt;1),MAX($N$8:N1826)+1,"")</f>
        <v/>
      </c>
      <c r="O1827" s="24" t="str">
        <f ca="1">IF(AND(L1827&lt;&gt;1,L1826=1),MAX($O$8:O1826)+1,"")</f>
        <v/>
      </c>
      <c r="P1827" s="17" t="str">
        <f ca="1">IF(AND(L1827=-1,L1826&lt;&gt;-1),MAX($P$8:P1826)+1,"")</f>
        <v/>
      </c>
      <c r="Q1827" s="24">
        <f ca="1">IF(AND(L1827&lt;&gt;-1,L1826=-1),MAX($Q$8:Q1826)+1,"")</f>
        <v>68</v>
      </c>
    </row>
    <row r="1828" spans="1:17" x14ac:dyDescent="0.3">
      <c r="A1828" s="3">
        <v>42877</v>
      </c>
      <c r="B1828" s="9">
        <v>20.130300999999999</v>
      </c>
      <c r="C1828" s="9">
        <v>15.665499000000001</v>
      </c>
      <c r="E1828" s="14">
        <f t="shared" si="200"/>
        <v>1.2850086039391404</v>
      </c>
      <c r="F1828" s="18">
        <f t="shared" ca="1" si="199"/>
        <v>0.46454257105466096</v>
      </c>
      <c r="G1828" s="15">
        <f t="shared" ca="1" si="204"/>
        <v>1.2712116181205666</v>
      </c>
      <c r="H1828" s="15">
        <f t="shared" ca="1" si="205"/>
        <v>2.9700153824977142E-2</v>
      </c>
      <c r="J1828" s="17">
        <f t="shared" ca="1" si="201"/>
        <v>0</v>
      </c>
      <c r="K1828" s="24">
        <f t="shared" ca="1" si="202"/>
        <v>0</v>
      </c>
      <c r="L1828" s="17">
        <f t="shared" ca="1" si="203"/>
        <v>0</v>
      </c>
      <c r="N1828" s="24" t="str">
        <f ca="1">IF(AND(L1828=1,L1827&lt;&gt;1),MAX($N$8:N1827)+1,"")</f>
        <v/>
      </c>
      <c r="O1828" s="24" t="str">
        <f ca="1">IF(AND(L1828&lt;&gt;1,L1827=1),MAX($O$8:O1827)+1,"")</f>
        <v/>
      </c>
      <c r="P1828" s="17" t="str">
        <f ca="1">IF(AND(L1828=-1,L1827&lt;&gt;-1),MAX($P$8:P1827)+1,"")</f>
        <v/>
      </c>
      <c r="Q1828" s="24" t="str">
        <f ca="1">IF(AND(L1828&lt;&gt;-1,L1827=-1),MAX($Q$8:Q1827)+1,"")</f>
        <v/>
      </c>
    </row>
    <row r="1829" spans="1:17" x14ac:dyDescent="0.3">
      <c r="A1829" s="3">
        <v>42878</v>
      </c>
      <c r="B1829" s="9">
        <v>20.447758</v>
      </c>
      <c r="C1829" s="9">
        <v>15.770118999999999</v>
      </c>
      <c r="E1829" s="14">
        <f t="shared" si="200"/>
        <v>1.2966140585242256</v>
      </c>
      <c r="F1829" s="18">
        <f t="shared" ca="1" si="199"/>
        <v>0.93809942364042653</v>
      </c>
      <c r="G1829" s="15">
        <f t="shared" ca="1" si="204"/>
        <v>1.2701100525721409</v>
      </c>
      <c r="H1829" s="15">
        <f t="shared" ca="1" si="205"/>
        <v>2.8252875211491092E-2</v>
      </c>
      <c r="J1829" s="17">
        <f t="shared" ca="1" si="201"/>
        <v>0</v>
      </c>
      <c r="K1829" s="24">
        <f t="shared" ca="1" si="202"/>
        <v>0</v>
      </c>
      <c r="L1829" s="17">
        <f t="shared" ca="1" si="203"/>
        <v>0</v>
      </c>
      <c r="N1829" s="24" t="str">
        <f ca="1">IF(AND(L1829=1,L1828&lt;&gt;1),MAX($N$8:N1828)+1,"")</f>
        <v/>
      </c>
      <c r="O1829" s="24" t="str">
        <f ca="1">IF(AND(L1829&lt;&gt;1,L1828=1),MAX($O$8:O1828)+1,"")</f>
        <v/>
      </c>
      <c r="P1829" s="17" t="str">
        <f ca="1">IF(AND(L1829=-1,L1828&lt;&gt;-1),MAX($P$8:P1828)+1,"")</f>
        <v/>
      </c>
      <c r="Q1829" s="24" t="str">
        <f ca="1">IF(AND(L1829&lt;&gt;-1,L1828=-1),MAX($Q$8:Q1828)+1,"")</f>
        <v/>
      </c>
    </row>
    <row r="1830" spans="1:17" x14ac:dyDescent="0.3">
      <c r="A1830" s="3">
        <v>42879</v>
      </c>
      <c r="B1830" s="9">
        <v>20.615093000000002</v>
      </c>
      <c r="C1830" s="9">
        <v>15.950253</v>
      </c>
      <c r="E1830" s="14">
        <f t="shared" si="200"/>
        <v>1.292461818630714</v>
      </c>
      <c r="F1830" s="18">
        <f t="shared" ca="1" si="199"/>
        <v>0.91024319320910596</v>
      </c>
      <c r="G1830" s="15">
        <f t="shared" ca="1" si="204"/>
        <v>1.2686524351906487</v>
      </c>
      <c r="H1830" s="15">
        <f t="shared" ca="1" si="205"/>
        <v>2.6157167246836643E-2</v>
      </c>
      <c r="J1830" s="17">
        <f t="shared" ca="1" si="201"/>
        <v>0</v>
      </c>
      <c r="K1830" s="24">
        <f t="shared" ca="1" si="202"/>
        <v>0</v>
      </c>
      <c r="L1830" s="17">
        <f t="shared" ca="1" si="203"/>
        <v>0</v>
      </c>
      <c r="N1830" s="24" t="str">
        <f ca="1">IF(AND(L1830=1,L1829&lt;&gt;1),MAX($N$8:N1829)+1,"")</f>
        <v/>
      </c>
      <c r="O1830" s="24" t="str">
        <f ca="1">IF(AND(L1830&lt;&gt;1,L1829=1),MAX($O$8:O1829)+1,"")</f>
        <v/>
      </c>
      <c r="P1830" s="17" t="str">
        <f ca="1">IF(AND(L1830=-1,L1829&lt;&gt;-1),MAX($P$8:P1829)+1,"")</f>
        <v/>
      </c>
      <c r="Q1830" s="24" t="str">
        <f ca="1">IF(AND(L1830&lt;&gt;-1,L1829=-1),MAX($Q$8:Q1829)+1,"")</f>
        <v/>
      </c>
    </row>
    <row r="1831" spans="1:17" x14ac:dyDescent="0.3">
      <c r="A1831" s="3">
        <v>42880</v>
      </c>
      <c r="B1831" s="9">
        <v>20.228467999999999</v>
      </c>
      <c r="C1831" s="9">
        <v>15.83981</v>
      </c>
      <c r="E1831" s="14">
        <f t="shared" si="200"/>
        <v>1.2770650658057134</v>
      </c>
      <c r="F1831" s="18">
        <f t="shared" ca="1" si="199"/>
        <v>0.46022581307992017</v>
      </c>
      <c r="G1831" s="15">
        <f t="shared" ca="1" si="204"/>
        <v>1.2664336201252677</v>
      </c>
      <c r="H1831" s="15">
        <f t="shared" ca="1" si="205"/>
        <v>2.3100498447268799E-2</v>
      </c>
      <c r="J1831" s="17">
        <f t="shared" ca="1" si="201"/>
        <v>0</v>
      </c>
      <c r="K1831" s="24">
        <f t="shared" ca="1" si="202"/>
        <v>0</v>
      </c>
      <c r="L1831" s="17">
        <f t="shared" ca="1" si="203"/>
        <v>0</v>
      </c>
      <c r="N1831" s="24" t="str">
        <f ca="1">IF(AND(L1831=1,L1830&lt;&gt;1),MAX($N$8:N1830)+1,"")</f>
        <v/>
      </c>
      <c r="O1831" s="24" t="str">
        <f ca="1">IF(AND(L1831&lt;&gt;1,L1830=1),MAX($O$8:O1830)+1,"")</f>
        <v/>
      </c>
      <c r="P1831" s="17" t="str">
        <f ca="1">IF(AND(L1831=-1,L1830&lt;&gt;-1),MAX($P$8:P1830)+1,"")</f>
        <v/>
      </c>
      <c r="Q1831" s="24" t="str">
        <f ca="1">IF(AND(L1831&lt;&gt;-1,L1830=-1),MAX($Q$8:Q1830)+1,"")</f>
        <v/>
      </c>
    </row>
    <row r="1832" spans="1:17" x14ac:dyDescent="0.3">
      <c r="A1832" s="3">
        <v>42881</v>
      </c>
      <c r="B1832" s="9">
        <v>20.776720000000001</v>
      </c>
      <c r="C1832" s="9">
        <v>16.205898000000001</v>
      </c>
      <c r="E1832" s="14">
        <f t="shared" si="200"/>
        <v>1.2820468202379158</v>
      </c>
      <c r="F1832" s="18">
        <f t="shared" ca="1" si="199"/>
        <v>0.87346105522513073</v>
      </c>
      <c r="G1832" s="15">
        <f t="shared" ca="1" si="204"/>
        <v>1.2645995591662282</v>
      </c>
      <c r="H1832" s="15">
        <f t="shared" ca="1" si="205"/>
        <v>1.9974858601097718E-2</v>
      </c>
      <c r="J1832" s="17">
        <f t="shared" ca="1" si="201"/>
        <v>0</v>
      </c>
      <c r="K1832" s="24">
        <f t="shared" ca="1" si="202"/>
        <v>0</v>
      </c>
      <c r="L1832" s="17">
        <f t="shared" ca="1" si="203"/>
        <v>0</v>
      </c>
      <c r="N1832" s="24" t="str">
        <f ca="1">IF(AND(L1832=1,L1831&lt;&gt;1),MAX($N$8:N1831)+1,"")</f>
        <v/>
      </c>
      <c r="O1832" s="24" t="str">
        <f ca="1">IF(AND(L1832&lt;&gt;1,L1831=1),MAX($O$8:O1831)+1,"")</f>
        <v/>
      </c>
      <c r="P1832" s="17" t="str">
        <f ca="1">IF(AND(L1832=-1,L1831&lt;&gt;-1),MAX($P$8:P1831)+1,"")</f>
        <v/>
      </c>
      <c r="Q1832" s="24" t="str">
        <f ca="1">IF(AND(L1832&lt;&gt;-1,L1831=-1),MAX($Q$8:Q1831)+1,"")</f>
        <v/>
      </c>
    </row>
    <row r="1833" spans="1:17" x14ac:dyDescent="0.3">
      <c r="A1833" s="3">
        <v>42884</v>
      </c>
      <c r="B1833" s="9">
        <v>20.776720000000001</v>
      </c>
      <c r="C1833" s="9">
        <v>16.205898000000001</v>
      </c>
      <c r="E1833" s="14">
        <f t="shared" si="200"/>
        <v>1.2820468202379158</v>
      </c>
      <c r="F1833" s="18">
        <f t="shared" ca="1" si="199"/>
        <v>0.98931878585679245</v>
      </c>
      <c r="G1833" s="15">
        <f t="shared" ca="1" si="204"/>
        <v>1.2636557584688708</v>
      </c>
      <c r="H1833" s="15">
        <f t="shared" ca="1" si="205"/>
        <v>1.8589621497096701E-2</v>
      </c>
      <c r="J1833" s="17">
        <f t="shared" ca="1" si="201"/>
        <v>0</v>
      </c>
      <c r="K1833" s="24">
        <f t="shared" ca="1" si="202"/>
        <v>0</v>
      </c>
      <c r="L1833" s="17">
        <f t="shared" ca="1" si="203"/>
        <v>0</v>
      </c>
      <c r="N1833" s="24" t="str">
        <f ca="1">IF(AND(L1833=1,L1832&lt;&gt;1),MAX($N$8:N1832)+1,"")</f>
        <v/>
      </c>
      <c r="O1833" s="24" t="str">
        <f ca="1">IF(AND(L1833&lt;&gt;1,L1832=1),MAX($O$8:O1832)+1,"")</f>
        <v/>
      </c>
      <c r="P1833" s="17" t="str">
        <f ca="1">IF(AND(L1833=-1,L1832&lt;&gt;-1),MAX($P$8:P1832)+1,"")</f>
        <v/>
      </c>
      <c r="Q1833" s="24" t="str">
        <f ca="1">IF(AND(L1833&lt;&gt;-1,L1832=-1),MAX($Q$8:Q1832)+1,"")</f>
        <v/>
      </c>
    </row>
    <row r="1834" spans="1:17" x14ac:dyDescent="0.3">
      <c r="A1834" s="3">
        <v>42885</v>
      </c>
      <c r="B1834" s="9">
        <v>20.736286</v>
      </c>
      <c r="C1834" s="9">
        <v>16.298871999999999</v>
      </c>
      <c r="E1834" s="14">
        <f t="shared" si="200"/>
        <v>1.2722528282938845</v>
      </c>
      <c r="F1834" s="18">
        <f t="shared" ca="1" si="199"/>
        <v>0.46480659154671505</v>
      </c>
      <c r="G1834" s="15">
        <f t="shared" ca="1" si="204"/>
        <v>1.2636202489809814</v>
      </c>
      <c r="H1834" s="15">
        <f t="shared" ca="1" si="205"/>
        <v>1.857241155762647E-2</v>
      </c>
      <c r="J1834" s="17">
        <f t="shared" ca="1" si="201"/>
        <v>0</v>
      </c>
      <c r="K1834" s="24">
        <f t="shared" ca="1" si="202"/>
        <v>0</v>
      </c>
      <c r="L1834" s="17">
        <f t="shared" ca="1" si="203"/>
        <v>0</v>
      </c>
      <c r="N1834" s="24" t="str">
        <f ca="1">IF(AND(L1834=1,L1833&lt;&gt;1),MAX($N$8:N1833)+1,"")</f>
        <v/>
      </c>
      <c r="O1834" s="24" t="str">
        <f ca="1">IF(AND(L1834&lt;&gt;1,L1833=1),MAX($O$8:O1833)+1,"")</f>
        <v/>
      </c>
      <c r="P1834" s="17" t="str">
        <f ca="1">IF(AND(L1834=-1,L1833&lt;&gt;-1),MAX($P$8:P1833)+1,"")</f>
        <v/>
      </c>
      <c r="Q1834" s="24" t="str">
        <f ca="1">IF(AND(L1834&lt;&gt;-1,L1833=-1),MAX($Q$8:Q1833)+1,"")</f>
        <v/>
      </c>
    </row>
    <row r="1835" spans="1:17" x14ac:dyDescent="0.3">
      <c r="A1835" s="3">
        <v>42886</v>
      </c>
      <c r="B1835" s="9">
        <v>20.517012000000001</v>
      </c>
      <c r="C1835" s="9">
        <v>15.990919999999999</v>
      </c>
      <c r="E1835" s="14">
        <f t="shared" si="200"/>
        <v>1.2830413759808692</v>
      </c>
      <c r="F1835" s="18">
        <f t="shared" ca="1" si="199"/>
        <v>1.0520270473985553</v>
      </c>
      <c r="G1835" s="15">
        <f t="shared" ca="1" si="204"/>
        <v>1.2635652600394616</v>
      </c>
      <c r="H1835" s="15">
        <f t="shared" ca="1" si="205"/>
        <v>1.8512942219088405E-2</v>
      </c>
      <c r="J1835" s="17">
        <f t="shared" ca="1" si="201"/>
        <v>1</v>
      </c>
      <c r="K1835" s="24">
        <f t="shared" ca="1" si="202"/>
        <v>0</v>
      </c>
      <c r="L1835" s="17">
        <f t="shared" ca="1" si="203"/>
        <v>1</v>
      </c>
      <c r="N1835" s="24">
        <f ca="1">IF(AND(L1835=1,L1834&lt;&gt;1),MAX($N$8:N1834)+1,"")</f>
        <v>61</v>
      </c>
      <c r="O1835" s="24" t="str">
        <f ca="1">IF(AND(L1835&lt;&gt;1,L1834=1),MAX($O$8:O1834)+1,"")</f>
        <v/>
      </c>
      <c r="P1835" s="17" t="str">
        <f ca="1">IF(AND(L1835=-1,L1834&lt;&gt;-1),MAX($P$8:P1834)+1,"")</f>
        <v/>
      </c>
      <c r="Q1835" s="24" t="str">
        <f ca="1">IF(AND(L1835&lt;&gt;-1,L1834=-1),MAX($Q$8:Q1834)+1,"")</f>
        <v/>
      </c>
    </row>
    <row r="1836" spans="1:17" x14ac:dyDescent="0.3">
      <c r="A1836" s="3">
        <v>42887</v>
      </c>
      <c r="B1836" s="9">
        <v>20.287451000000001</v>
      </c>
      <c r="C1836" s="9">
        <v>15.903767</v>
      </c>
      <c r="E1836" s="14">
        <f t="shared" si="200"/>
        <v>1.2756380925349322</v>
      </c>
      <c r="F1836" s="18">
        <f t="shared" ca="1" si="199"/>
        <v>0.65519122318254475</v>
      </c>
      <c r="G1836" s="15">
        <f t="shared" ca="1" si="204"/>
        <v>1.2635259929560692</v>
      </c>
      <c r="H1836" s="15">
        <f t="shared" ca="1" si="205"/>
        <v>1.848635810478259E-2</v>
      </c>
      <c r="J1836" s="17">
        <f t="shared" ca="1" si="201"/>
        <v>1</v>
      </c>
      <c r="K1836" s="24">
        <f t="shared" ca="1" si="202"/>
        <v>0</v>
      </c>
      <c r="L1836" s="17">
        <f t="shared" ca="1" si="203"/>
        <v>1</v>
      </c>
      <c r="N1836" s="24" t="str">
        <f ca="1">IF(AND(L1836=1,L1835&lt;&gt;1),MAX($N$8:N1835)+1,"")</f>
        <v/>
      </c>
      <c r="O1836" s="24" t="str">
        <f ca="1">IF(AND(L1836&lt;&gt;1,L1835=1),MAX($O$8:O1835)+1,"")</f>
        <v/>
      </c>
      <c r="P1836" s="17" t="str">
        <f ca="1">IF(AND(L1836=-1,L1835&lt;&gt;-1),MAX($P$8:P1835)+1,"")</f>
        <v/>
      </c>
      <c r="Q1836" s="24" t="str">
        <f ca="1">IF(AND(L1836&lt;&gt;-1,L1835=-1),MAX($Q$8:Q1835)+1,"")</f>
        <v/>
      </c>
    </row>
    <row r="1837" spans="1:17" x14ac:dyDescent="0.3">
      <c r="A1837" s="3">
        <v>42888</v>
      </c>
      <c r="B1837" s="9">
        <v>20.489550000000001</v>
      </c>
      <c r="C1837" s="9">
        <v>15.687118999999999</v>
      </c>
      <c r="E1837" s="14">
        <f t="shared" si="200"/>
        <v>1.3061384949014541</v>
      </c>
      <c r="F1837" s="18">
        <f t="shared" ca="1" si="199"/>
        <v>1.9762861347656544</v>
      </c>
      <c r="G1837" s="15">
        <f t="shared" ca="1" si="204"/>
        <v>1.2658066090270783</v>
      </c>
      <c r="H1837" s="15">
        <f t="shared" ca="1" si="205"/>
        <v>2.0407918248719716E-2</v>
      </c>
      <c r="J1837" s="17">
        <f t="shared" ca="1" si="201"/>
        <v>1</v>
      </c>
      <c r="K1837" s="24">
        <f t="shared" ca="1" si="202"/>
        <v>0</v>
      </c>
      <c r="L1837" s="17">
        <f t="shared" ca="1" si="203"/>
        <v>1</v>
      </c>
      <c r="N1837" s="24" t="str">
        <f ca="1">IF(AND(L1837=1,L1836&lt;&gt;1),MAX($N$8:N1836)+1,"")</f>
        <v/>
      </c>
      <c r="O1837" s="24" t="str">
        <f ca="1">IF(AND(L1837&lt;&gt;1,L1836=1),MAX($O$8:O1836)+1,"")</f>
        <v/>
      </c>
      <c r="P1837" s="17" t="str">
        <f ca="1">IF(AND(L1837=-1,L1836&lt;&gt;-1),MAX($P$8:P1836)+1,"")</f>
        <v/>
      </c>
      <c r="Q1837" s="24" t="str">
        <f ca="1">IF(AND(L1837&lt;&gt;-1,L1836=-1),MAX($Q$8:Q1836)+1,"")</f>
        <v/>
      </c>
    </row>
    <row r="1838" spans="1:17" x14ac:dyDescent="0.3">
      <c r="A1838" s="3">
        <v>42891</v>
      </c>
      <c r="B1838" s="9">
        <v>20.466501000000001</v>
      </c>
      <c r="C1838" s="9">
        <v>15.675466999999999</v>
      </c>
      <c r="E1838" s="14">
        <f t="shared" si="200"/>
        <v>1.3056389962736039</v>
      </c>
      <c r="F1838" s="18">
        <f t="shared" ca="1" si="199"/>
        <v>1.7639830469507469</v>
      </c>
      <c r="G1838" s="15">
        <f t="shared" ca="1" si="204"/>
        <v>1.2691065222402023</v>
      </c>
      <c r="H1838" s="15">
        <f t="shared" ca="1" si="205"/>
        <v>2.0710218330358871E-2</v>
      </c>
      <c r="J1838" s="17">
        <f t="shared" ca="1" si="201"/>
        <v>1</v>
      </c>
      <c r="K1838" s="24">
        <f t="shared" ca="1" si="202"/>
        <v>0</v>
      </c>
      <c r="L1838" s="17">
        <f t="shared" ca="1" si="203"/>
        <v>1</v>
      </c>
      <c r="N1838" s="24" t="str">
        <f ca="1">IF(AND(L1838=1,L1837&lt;&gt;1),MAX($N$8:N1837)+1,"")</f>
        <v/>
      </c>
      <c r="O1838" s="24" t="str">
        <f ca="1">IF(AND(L1838&lt;&gt;1,L1837=1),MAX($O$8:O1837)+1,"")</f>
        <v/>
      </c>
      <c r="P1838" s="17" t="str">
        <f ca="1">IF(AND(L1838=-1,L1837&lt;&gt;-1),MAX($P$8:P1837)+1,"")</f>
        <v/>
      </c>
      <c r="Q1838" s="24" t="str">
        <f ca="1">IF(AND(L1838&lt;&gt;-1,L1837=-1),MAX($Q$8:Q1837)+1,"")</f>
        <v/>
      </c>
    </row>
    <row r="1839" spans="1:17" x14ac:dyDescent="0.3">
      <c r="A1839" s="3">
        <v>42892</v>
      </c>
      <c r="B1839" s="9">
        <v>20.795683</v>
      </c>
      <c r="C1839" s="9">
        <v>15.884826</v>
      </c>
      <c r="E1839" s="14">
        <f t="shared" si="200"/>
        <v>1.3091539686994369</v>
      </c>
      <c r="F1839" s="18">
        <f t="shared" ca="1" si="199"/>
        <v>1.7076097389514615</v>
      </c>
      <c r="G1839" s="15">
        <f t="shared" ca="1" si="204"/>
        <v>1.2717575584334775</v>
      </c>
      <c r="H1839" s="15">
        <f t="shared" ca="1" si="205"/>
        <v>2.1899857685821266E-2</v>
      </c>
      <c r="J1839" s="17">
        <f t="shared" ca="1" si="201"/>
        <v>1</v>
      </c>
      <c r="K1839" s="24">
        <f t="shared" ca="1" si="202"/>
        <v>0</v>
      </c>
      <c r="L1839" s="17">
        <f t="shared" ca="1" si="203"/>
        <v>1</v>
      </c>
      <c r="N1839" s="24" t="str">
        <f ca="1">IF(AND(L1839=1,L1838&lt;&gt;1),MAX($N$8:N1838)+1,"")</f>
        <v/>
      </c>
      <c r="O1839" s="24" t="str">
        <f ca="1">IF(AND(L1839&lt;&gt;1,L1838=1),MAX($O$8:O1838)+1,"")</f>
        <v/>
      </c>
      <c r="P1839" s="17" t="str">
        <f ca="1">IF(AND(L1839=-1,L1838&lt;&gt;-1),MAX($P$8:P1838)+1,"")</f>
        <v/>
      </c>
      <c r="Q1839" s="24" t="str">
        <f ca="1">IF(AND(L1839&lt;&gt;-1,L1838=-1),MAX($Q$8:Q1838)+1,"")</f>
        <v/>
      </c>
    </row>
    <row r="1840" spans="1:17" x14ac:dyDescent="0.3">
      <c r="A1840" s="3">
        <v>42893</v>
      </c>
      <c r="B1840" s="9">
        <v>21.136375000000001</v>
      </c>
      <c r="C1840" s="9">
        <v>16.140809999999998</v>
      </c>
      <c r="E1840" s="14">
        <f t="shared" si="200"/>
        <v>1.3094990276200515</v>
      </c>
      <c r="F1840" s="18">
        <f t="shared" ca="1" si="199"/>
        <v>1.5386686984694113</v>
      </c>
      <c r="G1840" s="15">
        <f t="shared" ca="1" si="204"/>
        <v>1.2742548537725247</v>
      </c>
      <c r="H1840" s="15">
        <f t="shared" ca="1" si="205"/>
        <v>2.2905628666252825E-2</v>
      </c>
      <c r="J1840" s="17">
        <f t="shared" ca="1" si="201"/>
        <v>1</v>
      </c>
      <c r="K1840" s="24">
        <f t="shared" ca="1" si="202"/>
        <v>0</v>
      </c>
      <c r="L1840" s="17">
        <f t="shared" ca="1" si="203"/>
        <v>1</v>
      </c>
      <c r="N1840" s="24" t="str">
        <f ca="1">IF(AND(L1840=1,L1839&lt;&gt;1),MAX($N$8:N1839)+1,"")</f>
        <v/>
      </c>
      <c r="O1840" s="24" t="str">
        <f ca="1">IF(AND(L1840&lt;&gt;1,L1839=1),MAX($O$8:O1839)+1,"")</f>
        <v/>
      </c>
      <c r="P1840" s="17" t="str">
        <f ca="1">IF(AND(L1840=-1,L1839&lt;&gt;-1),MAX($P$8:P1839)+1,"")</f>
        <v/>
      </c>
      <c r="Q1840" s="24" t="str">
        <f ca="1">IF(AND(L1840&lt;&gt;-1,L1839=-1),MAX($Q$8:Q1839)+1,"")</f>
        <v/>
      </c>
    </row>
    <row r="1841" spans="1:17" x14ac:dyDescent="0.3">
      <c r="A1841" s="3">
        <v>42894</v>
      </c>
      <c r="B1841" s="9">
        <v>20.91696</v>
      </c>
      <c r="C1841" s="9">
        <v>15.89648</v>
      </c>
      <c r="E1841" s="14">
        <f t="shared" si="200"/>
        <v>1.3158233772508128</v>
      </c>
      <c r="F1841" s="18">
        <f t="shared" ca="1" si="199"/>
        <v>1.6252468336502801</v>
      </c>
      <c r="G1841" s="15">
        <f t="shared" ca="1" si="204"/>
        <v>1.2773909324490789</v>
      </c>
      <c r="H1841" s="15">
        <f t="shared" ca="1" si="205"/>
        <v>2.3647143317557011E-2</v>
      </c>
      <c r="J1841" s="17">
        <f t="shared" ca="1" si="201"/>
        <v>1</v>
      </c>
      <c r="K1841" s="24">
        <f t="shared" ca="1" si="202"/>
        <v>0</v>
      </c>
      <c r="L1841" s="17">
        <f t="shared" ca="1" si="203"/>
        <v>1</v>
      </c>
      <c r="N1841" s="24" t="str">
        <f ca="1">IF(AND(L1841=1,L1840&lt;&gt;1),MAX($N$8:N1840)+1,"")</f>
        <v/>
      </c>
      <c r="O1841" s="24" t="str">
        <f ca="1">IF(AND(L1841&lt;&gt;1,L1840=1),MAX($O$8:O1840)+1,"")</f>
        <v/>
      </c>
      <c r="P1841" s="17" t="str">
        <f ca="1">IF(AND(L1841=-1,L1840&lt;&gt;-1),MAX($P$8:P1840)+1,"")</f>
        <v/>
      </c>
      <c r="Q1841" s="24" t="str">
        <f ca="1">IF(AND(L1841&lt;&gt;-1,L1840=-1),MAX($Q$8:Q1840)+1,"")</f>
        <v/>
      </c>
    </row>
    <row r="1842" spans="1:17" x14ac:dyDescent="0.3">
      <c r="A1842" s="3">
        <v>42895</v>
      </c>
      <c r="B1842" s="9">
        <v>20.587776000000002</v>
      </c>
      <c r="C1842" s="9">
        <v>17.127838000000001</v>
      </c>
      <c r="E1842" s="14">
        <f t="shared" si="200"/>
        <v>1.2020066981016519</v>
      </c>
      <c r="F1842" s="18">
        <f t="shared" ca="1" si="199"/>
        <v>-2.7315096304574249</v>
      </c>
      <c r="G1842" s="15">
        <f t="shared" ca="1" si="204"/>
        <v>1.2759100374851071</v>
      </c>
      <c r="H1842" s="15">
        <f t="shared" ca="1" si="205"/>
        <v>2.7055858987060994E-2</v>
      </c>
      <c r="J1842" s="17">
        <f t="shared" ca="1" si="201"/>
        <v>0</v>
      </c>
      <c r="K1842" s="24">
        <f t="shared" ca="1" si="202"/>
        <v>-1</v>
      </c>
      <c r="L1842" s="17">
        <f t="shared" ca="1" si="203"/>
        <v>-1</v>
      </c>
      <c r="N1842" s="24" t="str">
        <f ca="1">IF(AND(L1842=1,L1841&lt;&gt;1),MAX($N$8:N1841)+1,"")</f>
        <v/>
      </c>
      <c r="O1842" s="24">
        <f ca="1">IF(AND(L1842&lt;&gt;1,L1841=1),MAX($O$8:O1841)+1,"")</f>
        <v>61</v>
      </c>
      <c r="P1842" s="17">
        <f ca="1">IF(AND(L1842=-1,L1841&lt;&gt;-1),MAX($P$8:P1841)+1,"")</f>
        <v>69</v>
      </c>
      <c r="Q1842" s="24" t="str">
        <f ca="1">IF(AND(L1842&lt;&gt;-1,L1841=-1),MAX($Q$8:Q1841)+1,"")</f>
        <v/>
      </c>
    </row>
    <row r="1843" spans="1:17" x14ac:dyDescent="0.3">
      <c r="A1843" s="3">
        <v>42898</v>
      </c>
      <c r="B1843" s="9">
        <v>20.587776000000002</v>
      </c>
      <c r="C1843" s="9">
        <v>16.852689999999999</v>
      </c>
      <c r="E1843" s="14">
        <f t="shared" si="200"/>
        <v>1.2216314428141741</v>
      </c>
      <c r="F1843" s="18">
        <f t="shared" ca="1" si="199"/>
        <v>-1.8425564792152709</v>
      </c>
      <c r="G1843" s="15">
        <f t="shared" ca="1" si="204"/>
        <v>1.2747020161752118</v>
      </c>
      <c r="H1843" s="15">
        <f t="shared" ca="1" si="205"/>
        <v>2.880268472619087E-2</v>
      </c>
      <c r="J1843" s="17">
        <f t="shared" ca="1" si="201"/>
        <v>0</v>
      </c>
      <c r="K1843" s="24">
        <f t="shared" ca="1" si="202"/>
        <v>-1</v>
      </c>
      <c r="L1843" s="17">
        <f t="shared" ca="1" si="203"/>
        <v>-1</v>
      </c>
      <c r="N1843" s="24" t="str">
        <f ca="1">IF(AND(L1843=1,L1842&lt;&gt;1),MAX($N$8:N1842)+1,"")</f>
        <v/>
      </c>
      <c r="O1843" s="24" t="str">
        <f ca="1">IF(AND(L1843&lt;&gt;1,L1842=1),MAX($O$8:O1842)+1,"")</f>
        <v/>
      </c>
      <c r="P1843" s="17" t="str">
        <f ca="1">IF(AND(L1843=-1,L1842&lt;&gt;-1),MAX($P$8:P1842)+1,"")</f>
        <v/>
      </c>
      <c r="Q1843" s="24" t="str">
        <f ca="1">IF(AND(L1843&lt;&gt;-1,L1842=-1),MAX($Q$8:Q1842)+1,"")</f>
        <v/>
      </c>
    </row>
    <row r="1844" spans="1:17" x14ac:dyDescent="0.3">
      <c r="A1844" s="3">
        <v>42899</v>
      </c>
      <c r="B1844" s="9">
        <v>20.841850000000001</v>
      </c>
      <c r="C1844" s="9">
        <v>16.718395000000001</v>
      </c>
      <c r="E1844" s="14">
        <f t="shared" si="200"/>
        <v>1.2466417978520068</v>
      </c>
      <c r="F1844" s="18">
        <f t="shared" ca="1" si="199"/>
        <v>-0.97153586279752913</v>
      </c>
      <c r="G1844" s="15">
        <f t="shared" ca="1" si="204"/>
        <v>1.274661931084645</v>
      </c>
      <c r="H1844" s="15">
        <f t="shared" ca="1" si="205"/>
        <v>2.8841069388786594E-2</v>
      </c>
      <c r="J1844" s="17">
        <f t="shared" ca="1" si="201"/>
        <v>0</v>
      </c>
      <c r="K1844" s="24">
        <f t="shared" ca="1" si="202"/>
        <v>-1</v>
      </c>
      <c r="L1844" s="17">
        <f t="shared" ca="1" si="203"/>
        <v>-1</v>
      </c>
      <c r="N1844" s="24" t="str">
        <f ca="1">IF(AND(L1844=1,L1843&lt;&gt;1),MAX($N$8:N1843)+1,"")</f>
        <v/>
      </c>
      <c r="O1844" s="24" t="str">
        <f ca="1">IF(AND(L1844&lt;&gt;1,L1843=1),MAX($O$8:O1843)+1,"")</f>
        <v/>
      </c>
      <c r="P1844" s="17" t="str">
        <f ca="1">IF(AND(L1844=-1,L1843&lt;&gt;-1),MAX($P$8:P1843)+1,"")</f>
        <v/>
      </c>
      <c r="Q1844" s="24" t="str">
        <f ca="1">IF(AND(L1844&lt;&gt;-1,L1843=-1),MAX($Q$8:Q1843)+1,"")</f>
        <v/>
      </c>
    </row>
    <row r="1845" spans="1:17" x14ac:dyDescent="0.3">
      <c r="A1845" s="3">
        <v>42900</v>
      </c>
      <c r="B1845" s="9">
        <v>21.026615</v>
      </c>
      <c r="C1845" s="9">
        <v>17.364573</v>
      </c>
      <c r="E1845" s="14">
        <f t="shared" si="200"/>
        <v>1.2108915664093785</v>
      </c>
      <c r="F1845" s="18">
        <f t="shared" ca="1" si="199"/>
        <v>-1.9714383693028878</v>
      </c>
      <c r="G1845" s="15">
        <f t="shared" ca="1" si="204"/>
        <v>1.2728456532462147</v>
      </c>
      <c r="H1845" s="15">
        <f t="shared" ca="1" si="205"/>
        <v>3.142582989228497E-2</v>
      </c>
      <c r="J1845" s="17">
        <f t="shared" ca="1" si="201"/>
        <v>0</v>
      </c>
      <c r="K1845" s="24">
        <f t="shared" ca="1" si="202"/>
        <v>-1</v>
      </c>
      <c r="L1845" s="17">
        <f t="shared" ca="1" si="203"/>
        <v>-1</v>
      </c>
      <c r="N1845" s="24" t="str">
        <f ca="1">IF(AND(L1845=1,L1844&lt;&gt;1),MAX($N$8:N1844)+1,"")</f>
        <v/>
      </c>
      <c r="O1845" s="24" t="str">
        <f ca="1">IF(AND(L1845&lt;&gt;1,L1844=1),MAX($O$8:O1844)+1,"")</f>
        <v/>
      </c>
      <c r="P1845" s="17" t="str">
        <f ca="1">IF(AND(L1845=-1,L1844&lt;&gt;-1),MAX($P$8:P1844)+1,"")</f>
        <v/>
      </c>
      <c r="Q1845" s="24" t="str">
        <f ca="1">IF(AND(L1845&lt;&gt;-1,L1844=-1),MAX($Q$8:Q1844)+1,"")</f>
        <v/>
      </c>
    </row>
    <row r="1846" spans="1:17" x14ac:dyDescent="0.3">
      <c r="A1846" s="3">
        <v>42902</v>
      </c>
      <c r="B1846" s="9">
        <v>20.876494999999998</v>
      </c>
      <c r="C1846" s="9">
        <v>17.281382000000001</v>
      </c>
      <c r="E1846" s="14">
        <f t="shared" si="200"/>
        <v>1.2080338829382973</v>
      </c>
      <c r="F1846" s="18">
        <f t="shared" ca="1" si="199"/>
        <v>-1.8619257804623091</v>
      </c>
      <c r="G1846" s="15">
        <f t="shared" ca="1" si="204"/>
        <v>1.2710586723369059</v>
      </c>
      <c r="H1846" s="15">
        <f t="shared" ca="1" si="205"/>
        <v>3.3849249019453319E-2</v>
      </c>
      <c r="J1846" s="17">
        <f t="shared" ca="1" si="201"/>
        <v>0</v>
      </c>
      <c r="K1846" s="24">
        <f t="shared" ca="1" si="202"/>
        <v>-1</v>
      </c>
      <c r="L1846" s="17">
        <f t="shared" ca="1" si="203"/>
        <v>-1</v>
      </c>
      <c r="N1846" s="24" t="str">
        <f ca="1">IF(AND(L1846=1,L1845&lt;&gt;1),MAX($N$8:N1845)+1,"")</f>
        <v/>
      </c>
      <c r="O1846" s="24" t="str">
        <f ca="1">IF(AND(L1846&lt;&gt;1,L1845=1),MAX($O$8:O1845)+1,"")</f>
        <v/>
      </c>
      <c r="P1846" s="17" t="str">
        <f ca="1">IF(AND(L1846=-1,L1845&lt;&gt;-1),MAX($P$8:P1845)+1,"")</f>
        <v/>
      </c>
      <c r="Q1846" s="24" t="str">
        <f ca="1">IF(AND(L1846&lt;&gt;-1,L1845=-1),MAX($Q$8:Q1845)+1,"")</f>
        <v/>
      </c>
    </row>
    <row r="1847" spans="1:17" x14ac:dyDescent="0.3">
      <c r="A1847" s="3">
        <v>42905</v>
      </c>
      <c r="B1847" s="9">
        <v>20.986252</v>
      </c>
      <c r="C1847" s="9">
        <v>17.326225000000001</v>
      </c>
      <c r="E1847" s="14">
        <f t="shared" si="200"/>
        <v>1.2112420333915783</v>
      </c>
      <c r="F1847" s="18">
        <f t="shared" ca="1" si="199"/>
        <v>-1.628287089807213</v>
      </c>
      <c r="G1847" s="15">
        <f t="shared" ca="1" si="204"/>
        <v>1.2694587429210502</v>
      </c>
      <c r="H1847" s="15">
        <f t="shared" ca="1" si="205"/>
        <v>3.5753344661330372E-2</v>
      </c>
      <c r="J1847" s="17">
        <f t="shared" ca="1" si="201"/>
        <v>0</v>
      </c>
      <c r="K1847" s="24">
        <f t="shared" ca="1" si="202"/>
        <v>-1</v>
      </c>
      <c r="L1847" s="17">
        <f t="shared" ca="1" si="203"/>
        <v>-1</v>
      </c>
      <c r="N1847" s="24" t="str">
        <f ca="1">IF(AND(L1847=1,L1846&lt;&gt;1),MAX($N$8:N1846)+1,"")</f>
        <v/>
      </c>
      <c r="O1847" s="24" t="str">
        <f ca="1">IF(AND(L1847&lt;&gt;1,L1846=1),MAX($O$8:O1846)+1,"")</f>
        <v/>
      </c>
      <c r="P1847" s="17" t="str">
        <f ca="1">IF(AND(L1847=-1,L1846&lt;&gt;-1),MAX($P$8:P1846)+1,"")</f>
        <v/>
      </c>
      <c r="Q1847" s="24" t="str">
        <f ca="1">IF(AND(L1847&lt;&gt;-1,L1846=-1),MAX($Q$8:Q1846)+1,"")</f>
        <v/>
      </c>
    </row>
    <row r="1848" spans="1:17" x14ac:dyDescent="0.3">
      <c r="A1848" s="3">
        <v>42906</v>
      </c>
      <c r="B1848" s="9">
        <v>20.524197000000001</v>
      </c>
      <c r="C1848" s="9">
        <v>16.923120000000001</v>
      </c>
      <c r="E1848" s="14">
        <f t="shared" si="200"/>
        <v>1.2127903719881441</v>
      </c>
      <c r="F1848" s="18">
        <f t="shared" ca="1" si="199"/>
        <v>-1.446512737929746</v>
      </c>
      <c r="G1848" s="15">
        <f t="shared" ca="1" si="204"/>
        <v>1.2672340162842393</v>
      </c>
      <c r="H1848" s="15">
        <f t="shared" ca="1" si="205"/>
        <v>3.7637860261096001E-2</v>
      </c>
      <c r="J1848" s="17">
        <f t="shared" ca="1" si="201"/>
        <v>0</v>
      </c>
      <c r="K1848" s="24">
        <f t="shared" ca="1" si="202"/>
        <v>-1</v>
      </c>
      <c r="L1848" s="17">
        <f t="shared" ca="1" si="203"/>
        <v>-1</v>
      </c>
      <c r="N1848" s="24" t="str">
        <f ca="1">IF(AND(L1848=1,L1847&lt;&gt;1),MAX($N$8:N1847)+1,"")</f>
        <v/>
      </c>
      <c r="O1848" s="24" t="str">
        <f ca="1">IF(AND(L1848&lt;&gt;1,L1847=1),MAX($O$8:O1847)+1,"")</f>
        <v/>
      </c>
      <c r="P1848" s="17" t="str">
        <f ca="1">IF(AND(L1848=-1,L1847&lt;&gt;-1),MAX($P$8:P1847)+1,"")</f>
        <v/>
      </c>
      <c r="Q1848" s="24" t="str">
        <f ca="1">IF(AND(L1848&lt;&gt;-1,L1847=-1),MAX($Q$8:Q1847)+1,"")</f>
        <v/>
      </c>
    </row>
    <row r="1849" spans="1:17" x14ac:dyDescent="0.3">
      <c r="A1849" s="3">
        <v>42907</v>
      </c>
      <c r="B1849" s="9">
        <v>20.547325000000001</v>
      </c>
      <c r="C1849" s="9">
        <v>16.827095</v>
      </c>
      <c r="E1849" s="14">
        <f t="shared" si="200"/>
        <v>1.2210856954215805</v>
      </c>
      <c r="F1849" s="18">
        <f t="shared" ca="1" si="199"/>
        <v>-1.1278110596769657</v>
      </c>
      <c r="G1849" s="15">
        <f t="shared" ca="1" si="204"/>
        <v>1.2648524017203402</v>
      </c>
      <c r="H1849" s="15">
        <f t="shared" ca="1" si="205"/>
        <v>3.8806771686824559E-2</v>
      </c>
      <c r="J1849" s="17">
        <f t="shared" ca="1" si="201"/>
        <v>0</v>
      </c>
      <c r="K1849" s="24">
        <f t="shared" ca="1" si="202"/>
        <v>-1</v>
      </c>
      <c r="L1849" s="17">
        <f t="shared" ca="1" si="203"/>
        <v>-1</v>
      </c>
      <c r="N1849" s="24" t="str">
        <f ca="1">IF(AND(L1849=1,L1848&lt;&gt;1),MAX($N$8:N1848)+1,"")</f>
        <v/>
      </c>
      <c r="O1849" s="24" t="str">
        <f ca="1">IF(AND(L1849&lt;&gt;1,L1848=1),MAX($O$8:O1848)+1,"")</f>
        <v/>
      </c>
      <c r="P1849" s="17" t="str">
        <f ca="1">IF(AND(L1849=-1,L1848&lt;&gt;-1),MAX($P$8:P1848)+1,"")</f>
        <v/>
      </c>
      <c r="Q1849" s="24" t="str">
        <f ca="1">IF(AND(L1849&lt;&gt;-1,L1848=-1),MAX($Q$8:Q1848)+1,"")</f>
        <v/>
      </c>
    </row>
    <row r="1850" spans="1:17" x14ac:dyDescent="0.3">
      <c r="A1850" s="3">
        <v>42908</v>
      </c>
      <c r="B1850" s="9">
        <v>20.564647999999998</v>
      </c>
      <c r="C1850" s="9">
        <v>17.038239999999998</v>
      </c>
      <c r="E1850" s="14">
        <f t="shared" si="200"/>
        <v>1.2069702034951968</v>
      </c>
      <c r="F1850" s="18">
        <f t="shared" ca="1" si="199"/>
        <v>-1.3469720418167188</v>
      </c>
      <c r="G1850" s="15">
        <f t="shared" ca="1" si="204"/>
        <v>1.2613052017001609</v>
      </c>
      <c r="H1850" s="15">
        <f t="shared" ca="1" si="205"/>
        <v>4.0338623607718081E-2</v>
      </c>
      <c r="J1850" s="17">
        <f t="shared" ca="1" si="201"/>
        <v>0</v>
      </c>
      <c r="K1850" s="24">
        <f t="shared" ca="1" si="202"/>
        <v>-1</v>
      </c>
      <c r="L1850" s="17">
        <f t="shared" ca="1" si="203"/>
        <v>-1</v>
      </c>
      <c r="N1850" s="24" t="str">
        <f ca="1">IF(AND(L1850=1,L1849&lt;&gt;1),MAX($N$8:N1849)+1,"")</f>
        <v/>
      </c>
      <c r="O1850" s="24" t="str">
        <f ca="1">IF(AND(L1850&lt;&gt;1,L1849=1),MAX($O$8:O1849)+1,"")</f>
        <v/>
      </c>
      <c r="P1850" s="17" t="str">
        <f ca="1">IF(AND(L1850=-1,L1849&lt;&gt;-1),MAX($P$8:P1849)+1,"")</f>
        <v/>
      </c>
      <c r="Q1850" s="24" t="str">
        <f ca="1">IF(AND(L1850&lt;&gt;-1,L1849=-1),MAX($Q$8:Q1849)+1,"")</f>
        <v/>
      </c>
    </row>
    <row r="1851" spans="1:17" x14ac:dyDescent="0.3">
      <c r="A1851" s="3">
        <v>42909</v>
      </c>
      <c r="B1851" s="9">
        <v>20.495349999999998</v>
      </c>
      <c r="C1851" s="9">
        <v>16.897528000000001</v>
      </c>
      <c r="E1851" s="14">
        <f t="shared" si="200"/>
        <v>1.2129200200171288</v>
      </c>
      <c r="F1851" s="18">
        <f t="shared" ca="1" si="199"/>
        <v>-1.0933795611627473</v>
      </c>
      <c r="G1851" s="15">
        <f t="shared" ca="1" si="204"/>
        <v>1.2575009272225659</v>
      </c>
      <c r="H1851" s="15">
        <f t="shared" ca="1" si="205"/>
        <v>4.0773496038308772E-2</v>
      </c>
      <c r="J1851" s="17">
        <f t="shared" ca="1" si="201"/>
        <v>0</v>
      </c>
      <c r="K1851" s="24">
        <f t="shared" ca="1" si="202"/>
        <v>-1</v>
      </c>
      <c r="L1851" s="17">
        <f t="shared" ca="1" si="203"/>
        <v>-1</v>
      </c>
      <c r="N1851" s="24" t="str">
        <f ca="1">IF(AND(L1851=1,L1850&lt;&gt;1),MAX($N$8:N1850)+1,"")</f>
        <v/>
      </c>
      <c r="O1851" s="24" t="str">
        <f ca="1">IF(AND(L1851&lt;&gt;1,L1850=1),MAX($O$8:O1850)+1,"")</f>
        <v/>
      </c>
      <c r="P1851" s="17" t="str">
        <f ca="1">IF(AND(L1851=-1,L1850&lt;&gt;-1),MAX($P$8:P1850)+1,"")</f>
        <v/>
      </c>
      <c r="Q1851" s="24" t="str">
        <f ca="1">IF(AND(L1851&lt;&gt;-1,L1850=-1),MAX($Q$8:Q1850)+1,"")</f>
        <v/>
      </c>
    </row>
    <row r="1852" spans="1:17" x14ac:dyDescent="0.3">
      <c r="A1852" s="3">
        <v>42912</v>
      </c>
      <c r="B1852" s="9">
        <v>21.072877999999999</v>
      </c>
      <c r="C1852" s="9">
        <v>17.658901</v>
      </c>
      <c r="E1852" s="14">
        <f t="shared" si="200"/>
        <v>1.1933289619778715</v>
      </c>
      <c r="F1852" s="18">
        <f t="shared" ca="1" si="199"/>
        <v>-1.4166875689458187</v>
      </c>
      <c r="G1852" s="15">
        <f t="shared" ca="1" si="204"/>
        <v>1.2529948882838005</v>
      </c>
      <c r="H1852" s="15">
        <f t="shared" ca="1" si="205"/>
        <v>4.2116503041194436E-2</v>
      </c>
      <c r="J1852" s="17">
        <f t="shared" ca="1" si="201"/>
        <v>0</v>
      </c>
      <c r="K1852" s="24">
        <f t="shared" ca="1" si="202"/>
        <v>-1</v>
      </c>
      <c r="L1852" s="17">
        <f t="shared" ca="1" si="203"/>
        <v>-1</v>
      </c>
      <c r="N1852" s="24" t="str">
        <f ca="1">IF(AND(L1852=1,L1851&lt;&gt;1),MAX($N$8:N1851)+1,"")</f>
        <v/>
      </c>
      <c r="O1852" s="24" t="str">
        <f ca="1">IF(AND(L1852&lt;&gt;1,L1851=1),MAX($O$8:O1851)+1,"")</f>
        <v/>
      </c>
      <c r="P1852" s="17" t="str">
        <f ca="1">IF(AND(L1852=-1,L1851&lt;&gt;-1),MAX($P$8:P1851)+1,"")</f>
        <v/>
      </c>
      <c r="Q1852" s="24" t="str">
        <f ca="1">IF(AND(L1852&lt;&gt;-1,L1851=-1),MAX($Q$8:Q1851)+1,"")</f>
        <v/>
      </c>
    </row>
    <row r="1853" spans="1:17" x14ac:dyDescent="0.3">
      <c r="A1853" s="3">
        <v>42913</v>
      </c>
      <c r="B1853" s="9">
        <v>20.882303</v>
      </c>
      <c r="C1853" s="9">
        <v>17.460512000000001</v>
      </c>
      <c r="E1853" s="14">
        <f t="shared" si="200"/>
        <v>1.1959731192304097</v>
      </c>
      <c r="F1853" s="18">
        <f t="shared" ca="1" si="199"/>
        <v>-1.2295509653532328</v>
      </c>
      <c r="G1853" s="15">
        <f t="shared" ca="1" si="204"/>
        <v>1.2493088907121956</v>
      </c>
      <c r="H1853" s="15">
        <f t="shared" ca="1" si="205"/>
        <v>4.3378251886015393E-2</v>
      </c>
      <c r="J1853" s="17">
        <f t="shared" ca="1" si="201"/>
        <v>0</v>
      </c>
      <c r="K1853" s="24">
        <f t="shared" ca="1" si="202"/>
        <v>-1</v>
      </c>
      <c r="L1853" s="17">
        <f t="shared" ca="1" si="203"/>
        <v>-1</v>
      </c>
      <c r="N1853" s="24" t="str">
        <f ca="1">IF(AND(L1853=1,L1852&lt;&gt;1),MAX($N$8:N1852)+1,"")</f>
        <v/>
      </c>
      <c r="O1853" s="24" t="str">
        <f ca="1">IF(AND(L1853&lt;&gt;1,L1852=1),MAX($O$8:O1852)+1,"")</f>
        <v/>
      </c>
      <c r="P1853" s="17" t="str">
        <f ca="1">IF(AND(L1853=-1,L1852&lt;&gt;-1),MAX($P$8:P1852)+1,"")</f>
        <v/>
      </c>
      <c r="Q1853" s="24" t="str">
        <f ca="1">IF(AND(L1853&lt;&gt;-1,L1852=-1),MAX($Q$8:Q1852)+1,"")</f>
        <v/>
      </c>
    </row>
    <row r="1854" spans="1:17" x14ac:dyDescent="0.3">
      <c r="A1854" s="3">
        <v>42914</v>
      </c>
      <c r="B1854" s="9">
        <v>20.876494999999998</v>
      </c>
      <c r="C1854" s="9">
        <v>17.607714000000001</v>
      </c>
      <c r="E1854" s="14">
        <f t="shared" si="200"/>
        <v>1.1856448258984669</v>
      </c>
      <c r="F1854" s="18">
        <f t="shared" ca="1" si="199"/>
        <v>-1.3262568742084044</v>
      </c>
      <c r="G1854" s="15">
        <f t="shared" ca="1" si="204"/>
        <v>1.2449269818785842</v>
      </c>
      <c r="H1854" s="15">
        <f t="shared" ca="1" si="205"/>
        <v>4.469884916939694E-2</v>
      </c>
      <c r="J1854" s="17">
        <f t="shared" ca="1" si="201"/>
        <v>0</v>
      </c>
      <c r="K1854" s="24">
        <f t="shared" ca="1" si="202"/>
        <v>-1</v>
      </c>
      <c r="L1854" s="17">
        <f t="shared" ca="1" si="203"/>
        <v>-1</v>
      </c>
      <c r="N1854" s="24" t="str">
        <f ca="1">IF(AND(L1854=1,L1853&lt;&gt;1),MAX($N$8:N1853)+1,"")</f>
        <v/>
      </c>
      <c r="O1854" s="24" t="str">
        <f ca="1">IF(AND(L1854&lt;&gt;1,L1853=1),MAX($O$8:O1853)+1,"")</f>
        <v/>
      </c>
      <c r="P1854" s="17" t="str">
        <f ca="1">IF(AND(L1854=-1,L1853&lt;&gt;-1),MAX($P$8:P1853)+1,"")</f>
        <v/>
      </c>
      <c r="Q1854" s="24" t="str">
        <f ca="1">IF(AND(L1854&lt;&gt;-1,L1853=-1),MAX($Q$8:Q1853)+1,"")</f>
        <v/>
      </c>
    </row>
    <row r="1855" spans="1:17" x14ac:dyDescent="0.3">
      <c r="A1855" s="3">
        <v>42915</v>
      </c>
      <c r="B1855" s="9">
        <v>21.084396000000002</v>
      </c>
      <c r="C1855" s="9">
        <v>17.690897</v>
      </c>
      <c r="E1855" s="14">
        <f t="shared" si="200"/>
        <v>1.1918217600837313</v>
      </c>
      <c r="F1855" s="18">
        <f t="shared" ca="1" si="199"/>
        <v>-1.0831844203889356</v>
      </c>
      <c r="G1855" s="15">
        <f t="shared" ca="1" si="204"/>
        <v>1.2408258427806667</v>
      </c>
      <c r="H1855" s="15">
        <f t="shared" ca="1" si="205"/>
        <v>4.5240756582650629E-2</v>
      </c>
      <c r="J1855" s="17">
        <f t="shared" ca="1" si="201"/>
        <v>0</v>
      </c>
      <c r="K1855" s="24">
        <f t="shared" ca="1" si="202"/>
        <v>-1</v>
      </c>
      <c r="L1855" s="17">
        <f t="shared" ca="1" si="203"/>
        <v>-1</v>
      </c>
      <c r="N1855" s="24" t="str">
        <f ca="1">IF(AND(L1855=1,L1854&lt;&gt;1),MAX($N$8:N1854)+1,"")</f>
        <v/>
      </c>
      <c r="O1855" s="24" t="str">
        <f ca="1">IF(AND(L1855&lt;&gt;1,L1854=1),MAX($O$8:O1854)+1,"")</f>
        <v/>
      </c>
      <c r="P1855" s="17" t="str">
        <f ca="1">IF(AND(L1855=-1,L1854&lt;&gt;-1),MAX($P$8:P1854)+1,"")</f>
        <v/>
      </c>
      <c r="Q1855" s="24" t="str">
        <f ca="1">IF(AND(L1855&lt;&gt;-1,L1854=-1),MAX($Q$8:Q1854)+1,"")</f>
        <v/>
      </c>
    </row>
    <row r="1856" spans="1:17" x14ac:dyDescent="0.3">
      <c r="A1856" s="3">
        <v>42916</v>
      </c>
      <c r="B1856" s="9">
        <v>21.222998</v>
      </c>
      <c r="C1856" s="9">
        <v>18.010828</v>
      </c>
      <c r="E1856" s="14">
        <f t="shared" si="200"/>
        <v>1.1783466034987398</v>
      </c>
      <c r="F1856" s="18">
        <f t="shared" ca="1" si="199"/>
        <v>-1.2521916336343504</v>
      </c>
      <c r="G1856" s="15">
        <f t="shared" ca="1" si="204"/>
        <v>1.236557378017251</v>
      </c>
      <c r="H1856" s="15">
        <f t="shared" ca="1" si="205"/>
        <v>4.6487113437709802E-2</v>
      </c>
      <c r="J1856" s="17">
        <f t="shared" ca="1" si="201"/>
        <v>0</v>
      </c>
      <c r="K1856" s="24">
        <f t="shared" ca="1" si="202"/>
        <v>-1</v>
      </c>
      <c r="L1856" s="17">
        <f t="shared" ca="1" si="203"/>
        <v>-1</v>
      </c>
      <c r="N1856" s="24" t="str">
        <f ca="1">IF(AND(L1856=1,L1855&lt;&gt;1),MAX($N$8:N1855)+1,"")</f>
        <v/>
      </c>
      <c r="O1856" s="24" t="str">
        <f ca="1">IF(AND(L1856&lt;&gt;1,L1855=1),MAX($O$8:O1855)+1,"")</f>
        <v/>
      </c>
      <c r="P1856" s="17" t="str">
        <f ca="1">IF(AND(L1856=-1,L1855&lt;&gt;-1),MAX($P$8:P1855)+1,"")</f>
        <v/>
      </c>
      <c r="Q1856" s="24" t="str">
        <f ca="1">IF(AND(L1856&lt;&gt;-1,L1855=-1),MAX($Q$8:Q1855)+1,"")</f>
        <v/>
      </c>
    </row>
    <row r="1857" spans="1:17" x14ac:dyDescent="0.3">
      <c r="A1857" s="3">
        <v>42919</v>
      </c>
      <c r="B1857" s="9">
        <v>21.422315999999999</v>
      </c>
      <c r="C1857" s="9">
        <v>18.153987999999998</v>
      </c>
      <c r="E1857" s="14">
        <f t="shared" si="200"/>
        <v>1.1800336102458591</v>
      </c>
      <c r="F1857" s="18">
        <f t="shared" ca="1" si="199"/>
        <v>-1.1087654639269044</v>
      </c>
      <c r="G1857" s="15">
        <f t="shared" ca="1" si="204"/>
        <v>1.2318752068474774</v>
      </c>
      <c r="H1857" s="15">
        <f t="shared" ca="1" si="205"/>
        <v>4.6756143015143574E-2</v>
      </c>
      <c r="J1857" s="17">
        <f t="shared" ca="1" si="201"/>
        <v>0</v>
      </c>
      <c r="K1857" s="24">
        <f t="shared" ca="1" si="202"/>
        <v>-1</v>
      </c>
      <c r="L1857" s="17">
        <f t="shared" ca="1" si="203"/>
        <v>-1</v>
      </c>
      <c r="N1857" s="24" t="str">
        <f ca="1">IF(AND(L1857=1,L1856&lt;&gt;1),MAX($N$8:N1856)+1,"")</f>
        <v/>
      </c>
      <c r="O1857" s="24" t="str">
        <f ca="1">IF(AND(L1857&lt;&gt;1,L1856=1),MAX($O$8:O1856)+1,"")</f>
        <v/>
      </c>
      <c r="P1857" s="17" t="str">
        <f ca="1">IF(AND(L1857=-1,L1856&lt;&gt;-1),MAX($P$8:P1856)+1,"")</f>
        <v/>
      </c>
      <c r="Q1857" s="24" t="str">
        <f ca="1">IF(AND(L1857&lt;&gt;-1,L1856=-1),MAX($Q$8:Q1856)+1,"")</f>
        <v/>
      </c>
    </row>
    <row r="1858" spans="1:17" x14ac:dyDescent="0.3">
      <c r="A1858" s="3">
        <v>42920</v>
      </c>
      <c r="B1858" s="9">
        <v>21.335650999999999</v>
      </c>
      <c r="C1858" s="9">
        <v>18.178021999999999</v>
      </c>
      <c r="E1858" s="14">
        <f t="shared" si="200"/>
        <v>1.1737058630471455</v>
      </c>
      <c r="F1858" s="18">
        <f t="shared" ref="F1858:F1921" ca="1" si="206">IF(ISNUMBER(G1858),(E1858-G1858)/H1858,"")</f>
        <v>-1.1333286500504267</v>
      </c>
      <c r="G1858" s="15">
        <f t="shared" ca="1" si="204"/>
        <v>1.2272419236889418</v>
      </c>
      <c r="H1858" s="15">
        <f t="shared" ca="1" si="205"/>
        <v>4.7237895767846538E-2</v>
      </c>
      <c r="J1858" s="17">
        <f t="shared" ca="1" si="201"/>
        <v>0</v>
      </c>
      <c r="K1858" s="24">
        <f t="shared" ca="1" si="202"/>
        <v>-1</v>
      </c>
      <c r="L1858" s="17">
        <f t="shared" ca="1" si="203"/>
        <v>-1</v>
      </c>
      <c r="N1858" s="24" t="str">
        <f ca="1">IF(AND(L1858=1,L1857&lt;&gt;1),MAX($N$8:N1857)+1,"")</f>
        <v/>
      </c>
      <c r="O1858" s="24" t="str">
        <f ca="1">IF(AND(L1858&lt;&gt;1,L1857=1),MAX($O$8:O1857)+1,"")</f>
        <v/>
      </c>
      <c r="P1858" s="17" t="str">
        <f ca="1">IF(AND(L1858=-1,L1857&lt;&gt;-1),MAX($P$8:P1857)+1,"")</f>
        <v/>
      </c>
      <c r="Q1858" s="24" t="str">
        <f ca="1">IF(AND(L1858&lt;&gt;-1,L1857=-1),MAX($Q$8:Q1857)+1,"")</f>
        <v/>
      </c>
    </row>
    <row r="1859" spans="1:17" x14ac:dyDescent="0.3">
      <c r="A1859" s="3">
        <v>42921</v>
      </c>
      <c r="B1859" s="9">
        <v>21.393459</v>
      </c>
      <c r="C1859" s="9">
        <v>18.184488000000002</v>
      </c>
      <c r="E1859" s="14">
        <f t="shared" ref="E1859:E1922" si="207">IF(ISNUMBER(B1859),B1859/C1859,"")</f>
        <v>1.1764674925133993</v>
      </c>
      <c r="F1859" s="18">
        <f t="shared" ca="1" si="206"/>
        <v>-0.99588468651659656</v>
      </c>
      <c r="G1859" s="15">
        <f t="shared" ca="1" si="204"/>
        <v>1.2213477872167575</v>
      </c>
      <c r="H1859" s="15">
        <f t="shared" ca="1" si="205"/>
        <v>4.5065754410121915E-2</v>
      </c>
      <c r="J1859" s="17">
        <f t="shared" ca="1" si="201"/>
        <v>0</v>
      </c>
      <c r="K1859" s="24">
        <f t="shared" ca="1" si="202"/>
        <v>-1</v>
      </c>
      <c r="L1859" s="17">
        <f t="shared" ca="1" si="203"/>
        <v>-1</v>
      </c>
      <c r="N1859" s="24" t="str">
        <f ca="1">IF(AND(L1859=1,L1858&lt;&gt;1),MAX($N$8:N1858)+1,"")</f>
        <v/>
      </c>
      <c r="O1859" s="24" t="str">
        <f ca="1">IF(AND(L1859&lt;&gt;1,L1858=1),MAX($O$8:O1858)+1,"")</f>
        <v/>
      </c>
      <c r="P1859" s="17" t="str">
        <f ca="1">IF(AND(L1859=-1,L1858&lt;&gt;-1),MAX($P$8:P1858)+1,"")</f>
        <v/>
      </c>
      <c r="Q1859" s="24" t="str">
        <f ca="1">IF(AND(L1859&lt;&gt;-1,L1858=-1),MAX($Q$8:Q1858)+1,"")</f>
        <v/>
      </c>
    </row>
    <row r="1860" spans="1:17" x14ac:dyDescent="0.3">
      <c r="A1860" s="3">
        <v>42922</v>
      </c>
      <c r="B1860" s="9">
        <v>21.093005999999999</v>
      </c>
      <c r="C1860" s="9">
        <v>17.920393000000001</v>
      </c>
      <c r="E1860" s="14">
        <f t="shared" si="207"/>
        <v>1.1770392535476202</v>
      </c>
      <c r="F1860" s="18">
        <f t="shared" ca="1" si="206"/>
        <v>-0.91603806228806872</v>
      </c>
      <c r="G1860" s="15">
        <f t="shared" ca="1" si="204"/>
        <v>1.2155023443655766</v>
      </c>
      <c r="H1860" s="15">
        <f t="shared" ca="1" si="205"/>
        <v>4.1988529081295772E-2</v>
      </c>
      <c r="J1860" s="17">
        <f t="shared" ca="1" si="201"/>
        <v>0</v>
      </c>
      <c r="K1860" s="24">
        <f t="shared" ca="1" si="202"/>
        <v>-1</v>
      </c>
      <c r="L1860" s="17">
        <f t="shared" ca="1" si="203"/>
        <v>-1</v>
      </c>
      <c r="N1860" s="24" t="str">
        <f ca="1">IF(AND(L1860=1,L1859&lt;&gt;1),MAX($N$8:N1859)+1,"")</f>
        <v/>
      </c>
      <c r="O1860" s="24" t="str">
        <f ca="1">IF(AND(L1860&lt;&gt;1,L1859=1),MAX($O$8:O1859)+1,"")</f>
        <v/>
      </c>
      <c r="P1860" s="17" t="str">
        <f ca="1">IF(AND(L1860=-1,L1859&lt;&gt;-1),MAX($P$8:P1859)+1,"")</f>
        <v/>
      </c>
      <c r="Q1860" s="24" t="str">
        <f ca="1">IF(AND(L1860&lt;&gt;-1,L1859=-1),MAX($Q$8:Q1859)+1,"")</f>
        <v/>
      </c>
    </row>
    <row r="1861" spans="1:17" x14ac:dyDescent="0.3">
      <c r="A1861" s="3">
        <v>42923</v>
      </c>
      <c r="B1861" s="9">
        <v>20.890830999999999</v>
      </c>
      <c r="C1861" s="9">
        <v>17.939688</v>
      </c>
      <c r="E1861" s="14">
        <f t="shared" si="207"/>
        <v>1.164503585569604</v>
      </c>
      <c r="F1861" s="18">
        <f t="shared" ca="1" si="206"/>
        <v>-1.1709276390671419</v>
      </c>
      <c r="G1861" s="15">
        <f t="shared" ca="1" si="204"/>
        <v>1.208927326950584</v>
      </c>
      <c r="H1861" s="15">
        <f t="shared" ca="1" si="205"/>
        <v>3.7938929698825521E-2</v>
      </c>
      <c r="J1861" s="17">
        <f t="shared" ca="1" si="201"/>
        <v>0</v>
      </c>
      <c r="K1861" s="24">
        <f t="shared" ca="1" si="202"/>
        <v>-1</v>
      </c>
      <c r="L1861" s="17">
        <f t="shared" ca="1" si="203"/>
        <v>-1</v>
      </c>
      <c r="N1861" s="24" t="str">
        <f ca="1">IF(AND(L1861=1,L1860&lt;&gt;1),MAX($N$8:N1860)+1,"")</f>
        <v/>
      </c>
      <c r="O1861" s="24" t="str">
        <f ca="1">IF(AND(L1861&lt;&gt;1,L1860=1),MAX($O$8:O1860)+1,"")</f>
        <v/>
      </c>
      <c r="P1861" s="17" t="str">
        <f ca="1">IF(AND(L1861=-1,L1860&lt;&gt;-1),MAX($P$8:P1860)+1,"")</f>
        <v/>
      </c>
      <c r="Q1861" s="24" t="str">
        <f ca="1">IF(AND(L1861&lt;&gt;-1,L1860=-1),MAX($Q$8:Q1860)+1,"")</f>
        <v/>
      </c>
    </row>
    <row r="1862" spans="1:17" x14ac:dyDescent="0.3">
      <c r="A1862" s="3">
        <v>42926</v>
      </c>
      <c r="B1862" s="9">
        <v>21.058344000000002</v>
      </c>
      <c r="C1862" s="9">
        <v>18.139337999999999</v>
      </c>
      <c r="E1862" s="14">
        <f t="shared" si="207"/>
        <v>1.1609213081535832</v>
      </c>
      <c r="F1862" s="18">
        <f t="shared" ca="1" si="206"/>
        <v>-1.2799558771968678</v>
      </c>
      <c r="G1862" s="15">
        <f t="shared" ca="1" si="204"/>
        <v>1.2021737942475623</v>
      </c>
      <c r="H1862" s="15">
        <f t="shared" ca="1" si="205"/>
        <v>3.2229615746070098E-2</v>
      </c>
      <c r="J1862" s="17">
        <f t="shared" ca="1" si="201"/>
        <v>0</v>
      </c>
      <c r="K1862" s="24">
        <f t="shared" ca="1" si="202"/>
        <v>-1</v>
      </c>
      <c r="L1862" s="17">
        <f t="shared" ca="1" si="203"/>
        <v>-1</v>
      </c>
      <c r="N1862" s="24" t="str">
        <f ca="1">IF(AND(L1862=1,L1861&lt;&gt;1),MAX($N$8:N1861)+1,"")</f>
        <v/>
      </c>
      <c r="O1862" s="24" t="str">
        <f ca="1">IF(AND(L1862&lt;&gt;1,L1861=1),MAX($O$8:O1861)+1,"")</f>
        <v/>
      </c>
      <c r="P1862" s="17" t="str">
        <f ca="1">IF(AND(L1862=-1,L1861&lt;&gt;-1),MAX($P$8:P1861)+1,"")</f>
        <v/>
      </c>
      <c r="Q1862" s="24" t="str">
        <f ca="1">IF(AND(L1862&lt;&gt;-1,L1861=-1),MAX($Q$8:Q1861)+1,"")</f>
        <v/>
      </c>
    </row>
    <row r="1863" spans="1:17" x14ac:dyDescent="0.3">
      <c r="A1863" s="3">
        <v>42927</v>
      </c>
      <c r="B1863" s="9">
        <v>21.376124999999998</v>
      </c>
      <c r="C1863" s="9">
        <v>18.45496</v>
      </c>
      <c r="E1863" s="14">
        <f t="shared" si="207"/>
        <v>1.1582861734731476</v>
      </c>
      <c r="F1863" s="18">
        <f t="shared" ca="1" si="206"/>
        <v>-1.6626802407045704</v>
      </c>
      <c r="G1863" s="15">
        <f t="shared" ca="1" si="204"/>
        <v>1.1950130122576688</v>
      </c>
      <c r="H1863" s="15">
        <f t="shared" ca="1" si="205"/>
        <v>2.2088936817435203E-2</v>
      </c>
      <c r="J1863" s="17">
        <f t="shared" ca="1" si="201"/>
        <v>0</v>
      </c>
      <c r="K1863" s="24">
        <f t="shared" ca="1" si="202"/>
        <v>-1</v>
      </c>
      <c r="L1863" s="17">
        <f t="shared" ca="1" si="203"/>
        <v>-1</v>
      </c>
      <c r="N1863" s="24" t="str">
        <f ca="1">IF(AND(L1863=1,L1862&lt;&gt;1),MAX($N$8:N1862)+1,"")</f>
        <v/>
      </c>
      <c r="O1863" s="24" t="str">
        <f ca="1">IF(AND(L1863&lt;&gt;1,L1862=1),MAX($O$8:O1862)+1,"")</f>
        <v/>
      </c>
      <c r="P1863" s="17" t="str">
        <f ca="1">IF(AND(L1863=-1,L1862&lt;&gt;-1),MAX($P$8:P1862)+1,"")</f>
        <v/>
      </c>
      <c r="Q1863" s="24" t="str">
        <f ca="1">IF(AND(L1863&lt;&gt;-1,L1862=-1),MAX($Q$8:Q1862)+1,"")</f>
        <v/>
      </c>
    </row>
    <row r="1864" spans="1:17" x14ac:dyDescent="0.3">
      <c r="A1864" s="3">
        <v>42928</v>
      </c>
      <c r="B1864" s="9">
        <v>21.607164000000001</v>
      </c>
      <c r="C1864" s="9">
        <v>18.944555000000001</v>
      </c>
      <c r="E1864" s="14">
        <f t="shared" si="207"/>
        <v>1.1405474554561983</v>
      </c>
      <c r="F1864" s="18">
        <f t="shared" ca="1" si="206"/>
        <v>-2.087462827229098</v>
      </c>
      <c r="G1864" s="15">
        <f t="shared" ca="1" si="204"/>
        <v>1.1922194103192392</v>
      </c>
      <c r="H1864" s="15">
        <f t="shared" ca="1" si="205"/>
        <v>2.4753473062622308E-2</v>
      </c>
      <c r="J1864" s="17">
        <f t="shared" ref="J1864:J1927" ca="1" si="208">IF(ISNUMBER(F1864),IF(AND(J1863&lt;&gt;1,F1864&gt;$L$1),1,IF(AND(J1863=1,F1864&gt;$N$1),1,0)),"")</f>
        <v>0</v>
      </c>
      <c r="K1864" s="24">
        <f t="shared" ca="1" si="202"/>
        <v>-1</v>
      </c>
      <c r="L1864" s="17">
        <f t="shared" ca="1" si="203"/>
        <v>-1</v>
      </c>
      <c r="N1864" s="24" t="str">
        <f ca="1">IF(AND(L1864=1,L1863&lt;&gt;1),MAX($N$8:N1863)+1,"")</f>
        <v/>
      </c>
      <c r="O1864" s="24" t="str">
        <f ca="1">IF(AND(L1864&lt;&gt;1,L1863=1),MAX($O$8:O1863)+1,"")</f>
        <v/>
      </c>
      <c r="P1864" s="17" t="str">
        <f ca="1">IF(AND(L1864=-1,L1863&lt;&gt;-1),MAX($P$8:P1863)+1,"")</f>
        <v/>
      </c>
      <c r="Q1864" s="24" t="str">
        <f ca="1">IF(AND(L1864&lt;&gt;-1,L1863=-1),MAX($Q$8:Q1863)+1,"")</f>
        <v/>
      </c>
    </row>
    <row r="1865" spans="1:17" x14ac:dyDescent="0.3">
      <c r="A1865" s="3">
        <v>42929</v>
      </c>
      <c r="B1865" s="9">
        <v>21.664964999999999</v>
      </c>
      <c r="C1865" s="9">
        <v>19.112055000000002</v>
      </c>
      <c r="E1865" s="14">
        <f t="shared" si="207"/>
        <v>1.1335759027482915</v>
      </c>
      <c r="F1865" s="18">
        <f t="shared" ca="1" si="206"/>
        <v>-2.0452971802820064</v>
      </c>
      <c r="G1865" s="15">
        <f t="shared" ca="1" si="204"/>
        <v>1.1882168857707898</v>
      </c>
      <c r="H1865" s="15">
        <f t="shared" ca="1" si="205"/>
        <v>2.6715424804411254E-2</v>
      </c>
      <c r="J1865" s="17">
        <f t="shared" ca="1" si="208"/>
        <v>0</v>
      </c>
      <c r="K1865" s="24">
        <f t="shared" ref="K1865:K1928" ca="1" si="209">IF(ISNUMBER(F1865),IF(AND(K1864&lt;&gt;-1,F1865&lt;$P$1),-1,IF(AND(K1864=-1,F1865&lt;R1858),-1,0)),"")</f>
        <v>-1</v>
      </c>
      <c r="L1865" s="17">
        <f t="shared" ref="L1865:L1928" ca="1" si="210">IF(ISNUMBER(F1865),IF(J1865=1,1,IF(K1865=-1,-1,0)),"")</f>
        <v>-1</v>
      </c>
      <c r="N1865" s="24" t="str">
        <f ca="1">IF(AND(L1865=1,L1864&lt;&gt;1),MAX($N$8:N1864)+1,"")</f>
        <v/>
      </c>
      <c r="O1865" s="24" t="str">
        <f ca="1">IF(AND(L1865&lt;&gt;1,L1864=1),MAX($O$8:O1864)+1,"")</f>
        <v/>
      </c>
      <c r="P1865" s="17" t="str">
        <f ca="1">IF(AND(L1865=-1,L1864&lt;&gt;-1),MAX($P$8:P1864)+1,"")</f>
        <v/>
      </c>
      <c r="Q1865" s="24" t="str">
        <f ca="1">IF(AND(L1865&lt;&gt;-1,L1864=-1),MAX($Q$8:Q1864)+1,"")</f>
        <v/>
      </c>
    </row>
    <row r="1866" spans="1:17" x14ac:dyDescent="0.3">
      <c r="A1866" s="3">
        <v>42930</v>
      </c>
      <c r="B1866" s="9">
        <v>21.711157</v>
      </c>
      <c r="C1866" s="9">
        <v>19.131368999999999</v>
      </c>
      <c r="E1866" s="14">
        <f t="shared" si="207"/>
        <v>1.134845969465123</v>
      </c>
      <c r="F1866" s="18">
        <f t="shared" ca="1" si="206"/>
        <v>-1.8765210584130094</v>
      </c>
      <c r="G1866" s="15">
        <f t="shared" ca="1" si="204"/>
        <v>1.1831352572077496</v>
      </c>
      <c r="H1866" s="15">
        <f t="shared" ca="1" si="205"/>
        <v>2.5733411051334174E-2</v>
      </c>
      <c r="J1866" s="17">
        <f t="shared" ca="1" si="208"/>
        <v>0</v>
      </c>
      <c r="K1866" s="24">
        <f t="shared" ca="1" si="209"/>
        <v>-1</v>
      </c>
      <c r="L1866" s="17">
        <f t="shared" ca="1" si="210"/>
        <v>-1</v>
      </c>
      <c r="N1866" s="24" t="str">
        <f ca="1">IF(AND(L1866=1,L1865&lt;&gt;1),MAX($N$8:N1865)+1,"")</f>
        <v/>
      </c>
      <c r="O1866" s="24" t="str">
        <f ca="1">IF(AND(L1866&lt;&gt;1,L1865=1),MAX($O$8:O1865)+1,"")</f>
        <v/>
      </c>
      <c r="P1866" s="17" t="str">
        <f ca="1">IF(AND(L1866=-1,L1865&lt;&gt;-1),MAX($P$8:P1865)+1,"")</f>
        <v/>
      </c>
      <c r="Q1866" s="24" t="str">
        <f ca="1">IF(AND(L1866&lt;&gt;-1,L1865=-1),MAX($Q$8:Q1865)+1,"")</f>
        <v/>
      </c>
    </row>
    <row r="1867" spans="1:17" x14ac:dyDescent="0.3">
      <c r="A1867" s="3">
        <v>42933</v>
      </c>
      <c r="B1867" s="9">
        <v>21.503164000000002</v>
      </c>
      <c r="C1867" s="9">
        <v>19.002544</v>
      </c>
      <c r="E1867" s="14">
        <f t="shared" si="207"/>
        <v>1.1315939592088302</v>
      </c>
      <c r="F1867" s="18">
        <f t="shared" ca="1" si="206"/>
        <v>-1.7682403578639694</v>
      </c>
      <c r="G1867" s="15">
        <f t="shared" ca="1" si="204"/>
        <v>1.1795308205168156</v>
      </c>
      <c r="H1867" s="15">
        <f t="shared" ca="1" si="205"/>
        <v>2.710992376957903E-2</v>
      </c>
      <c r="J1867" s="17">
        <f t="shared" ca="1" si="208"/>
        <v>0</v>
      </c>
      <c r="K1867" s="24">
        <f t="shared" ca="1" si="209"/>
        <v>-1</v>
      </c>
      <c r="L1867" s="17">
        <f t="shared" ca="1" si="210"/>
        <v>-1</v>
      </c>
      <c r="N1867" s="24" t="str">
        <f ca="1">IF(AND(L1867=1,L1866&lt;&gt;1),MAX($N$8:N1866)+1,"")</f>
        <v/>
      </c>
      <c r="O1867" s="24" t="str">
        <f ca="1">IF(AND(L1867&lt;&gt;1,L1866=1),MAX($O$8:O1866)+1,"")</f>
        <v/>
      </c>
      <c r="P1867" s="17" t="str">
        <f ca="1">IF(AND(L1867=-1,L1866&lt;&gt;-1),MAX($P$8:P1866)+1,"")</f>
        <v/>
      </c>
      <c r="Q1867" s="24" t="str">
        <f ca="1">IF(AND(L1867&lt;&gt;-1,L1866=-1),MAX($Q$8:Q1866)+1,"")</f>
        <v/>
      </c>
    </row>
    <row r="1868" spans="1:17" x14ac:dyDescent="0.3">
      <c r="A1868" s="3">
        <v>42934</v>
      </c>
      <c r="B1868" s="9">
        <v>21.526299999999999</v>
      </c>
      <c r="C1868" s="9">
        <v>19.240874999999999</v>
      </c>
      <c r="E1868" s="14">
        <f t="shared" si="207"/>
        <v>1.1187796812774886</v>
      </c>
      <c r="F1868" s="18">
        <f t="shared" ca="1" si="206"/>
        <v>-1.945371625163149</v>
      </c>
      <c r="G1868" s="15">
        <f t="shared" ca="1" si="204"/>
        <v>1.1754738113504153</v>
      </c>
      <c r="H1868" s="15">
        <f t="shared" ca="1" si="205"/>
        <v>2.9143084714300802E-2</v>
      </c>
      <c r="J1868" s="17">
        <f t="shared" ca="1" si="208"/>
        <v>0</v>
      </c>
      <c r="K1868" s="24">
        <f t="shared" ca="1" si="209"/>
        <v>-1</v>
      </c>
      <c r="L1868" s="17">
        <f t="shared" ca="1" si="210"/>
        <v>-1</v>
      </c>
      <c r="N1868" s="24" t="str">
        <f ca="1">IF(AND(L1868=1,L1867&lt;&gt;1),MAX($N$8:N1867)+1,"")</f>
        <v/>
      </c>
      <c r="O1868" s="24" t="str">
        <f ca="1">IF(AND(L1868&lt;&gt;1,L1867=1),MAX($O$8:O1867)+1,"")</f>
        <v/>
      </c>
      <c r="P1868" s="17" t="str">
        <f ca="1">IF(AND(L1868=-1,L1867&lt;&gt;-1),MAX($P$8:P1867)+1,"")</f>
        <v/>
      </c>
      <c r="Q1868" s="24" t="str">
        <f ca="1">IF(AND(L1868&lt;&gt;-1,L1867=-1),MAX($Q$8:Q1867)+1,"")</f>
        <v/>
      </c>
    </row>
    <row r="1869" spans="1:17" x14ac:dyDescent="0.3">
      <c r="A1869" s="3">
        <v>42935</v>
      </c>
      <c r="B1869" s="9">
        <v>21.214328999999999</v>
      </c>
      <c r="C1869" s="9">
        <v>19.002544</v>
      </c>
      <c r="E1869" s="14">
        <f t="shared" si="207"/>
        <v>1.1163941522777161</v>
      </c>
      <c r="F1869" s="18">
        <f t="shared" ca="1" si="206"/>
        <v>-1.7947358179099089</v>
      </c>
      <c r="G1869" s="15">
        <f t="shared" ca="1" si="204"/>
        <v>1.1711625440270579</v>
      </c>
      <c r="H1869" s="15">
        <f t="shared" ca="1" si="205"/>
        <v>3.0516130119430766E-2</v>
      </c>
      <c r="J1869" s="17">
        <f t="shared" ca="1" si="208"/>
        <v>0</v>
      </c>
      <c r="K1869" s="24">
        <f t="shared" ca="1" si="209"/>
        <v>-1</v>
      </c>
      <c r="L1869" s="17">
        <f t="shared" ca="1" si="210"/>
        <v>-1</v>
      </c>
      <c r="N1869" s="24" t="str">
        <f ca="1">IF(AND(L1869=1,L1868&lt;&gt;1),MAX($N$8:N1868)+1,"")</f>
        <v/>
      </c>
      <c r="O1869" s="24" t="str">
        <f ca="1">IF(AND(L1869&lt;&gt;1,L1868=1),MAX($O$8:O1868)+1,"")</f>
        <v/>
      </c>
      <c r="P1869" s="17" t="str">
        <f ca="1">IF(AND(L1869=-1,L1868&lt;&gt;-1),MAX($P$8:P1868)+1,"")</f>
        <v/>
      </c>
      <c r="Q1869" s="24" t="str">
        <f ca="1">IF(AND(L1869&lt;&gt;-1,L1868=-1),MAX($Q$8:Q1868)+1,"")</f>
        <v/>
      </c>
    </row>
    <row r="1870" spans="1:17" x14ac:dyDescent="0.3">
      <c r="A1870" s="3">
        <v>42936</v>
      </c>
      <c r="B1870" s="9">
        <v>21.237469000000001</v>
      </c>
      <c r="C1870" s="9">
        <v>18.938091</v>
      </c>
      <c r="E1870" s="14">
        <f t="shared" si="207"/>
        <v>1.1214155112043764</v>
      </c>
      <c r="F1870" s="18">
        <f t="shared" ca="1" si="206"/>
        <v>-1.4810421156635496</v>
      </c>
      <c r="G1870" s="15">
        <f t="shared" ca="1" si="204"/>
        <v>1.1670091412641592</v>
      </c>
      <c r="H1870" s="15">
        <f t="shared" ca="1" si="205"/>
        <v>3.0784830206773372E-2</v>
      </c>
      <c r="J1870" s="17">
        <f t="shared" ca="1" si="208"/>
        <v>0</v>
      </c>
      <c r="K1870" s="24">
        <f t="shared" ca="1" si="209"/>
        <v>-1</v>
      </c>
      <c r="L1870" s="17">
        <f t="shared" ca="1" si="210"/>
        <v>-1</v>
      </c>
      <c r="N1870" s="24" t="str">
        <f ca="1">IF(AND(L1870=1,L1869&lt;&gt;1),MAX($N$8:N1869)+1,"")</f>
        <v/>
      </c>
      <c r="O1870" s="24" t="str">
        <f ca="1">IF(AND(L1870&lt;&gt;1,L1869=1),MAX($O$8:O1869)+1,"")</f>
        <v/>
      </c>
      <c r="P1870" s="17" t="str">
        <f ca="1">IF(AND(L1870=-1,L1869&lt;&gt;-1),MAX($P$8:P1869)+1,"")</f>
        <v/>
      </c>
      <c r="Q1870" s="24" t="str">
        <f ca="1">IF(AND(L1870&lt;&gt;-1,L1869=-1),MAX($Q$8:Q1869)+1,"")</f>
        <v/>
      </c>
    </row>
    <row r="1871" spans="1:17" x14ac:dyDescent="0.3">
      <c r="A1871" s="3">
        <v>42937</v>
      </c>
      <c r="B1871" s="9">
        <v>21.243181</v>
      </c>
      <c r="C1871" s="9">
        <v>18.860800000000001</v>
      </c>
      <c r="E1871" s="14">
        <f t="shared" si="207"/>
        <v>1.1263138891245335</v>
      </c>
      <c r="F1871" s="18">
        <f t="shared" ca="1" si="206"/>
        <v>-1.2325845808308944</v>
      </c>
      <c r="G1871" s="15">
        <f t="shared" ca="1" si="204"/>
        <v>1.1627013318870207</v>
      </c>
      <c r="H1871" s="15">
        <f t="shared" ca="1" si="205"/>
        <v>2.9521254223347691E-2</v>
      </c>
      <c r="J1871" s="17">
        <f t="shared" ca="1" si="208"/>
        <v>0</v>
      </c>
      <c r="K1871" s="24">
        <f t="shared" ca="1" si="209"/>
        <v>-1</v>
      </c>
      <c r="L1871" s="17">
        <f t="shared" ca="1" si="210"/>
        <v>-1</v>
      </c>
      <c r="N1871" s="24" t="str">
        <f ca="1">IF(AND(L1871=1,L1870&lt;&gt;1),MAX($N$8:N1870)+1,"")</f>
        <v/>
      </c>
      <c r="O1871" s="24" t="str">
        <f ca="1">IF(AND(L1871&lt;&gt;1,L1870=1),MAX($O$8:O1870)+1,"")</f>
        <v/>
      </c>
      <c r="P1871" s="17" t="str">
        <f ca="1">IF(AND(L1871=-1,L1870&lt;&gt;-1),MAX($P$8:P1870)+1,"")</f>
        <v/>
      </c>
      <c r="Q1871" s="24" t="str">
        <f ca="1">IF(AND(L1871&lt;&gt;-1,L1870=-1),MAX($Q$8:Q1870)+1,"")</f>
        <v/>
      </c>
    </row>
    <row r="1872" spans="1:17" x14ac:dyDescent="0.3">
      <c r="A1872" s="3">
        <v>42940</v>
      </c>
      <c r="B1872" s="9">
        <v>21.376124999999998</v>
      </c>
      <c r="C1872" s="9">
        <v>19.021840999999998</v>
      </c>
      <c r="E1872" s="14">
        <f t="shared" si="207"/>
        <v>1.1237674103153317</v>
      </c>
      <c r="F1872" s="18">
        <f t="shared" ca="1" si="206"/>
        <v>-1.2150120121318186</v>
      </c>
      <c r="G1872" s="15">
        <f t="shared" ca="1" si="204"/>
        <v>1.1589193867424814</v>
      </c>
      <c r="H1872" s="15">
        <f t="shared" ca="1" si="205"/>
        <v>2.8931381810352045E-2</v>
      </c>
      <c r="J1872" s="17">
        <f t="shared" ca="1" si="208"/>
        <v>0</v>
      </c>
      <c r="K1872" s="24">
        <f t="shared" ca="1" si="209"/>
        <v>-1</v>
      </c>
      <c r="L1872" s="17">
        <f t="shared" ca="1" si="210"/>
        <v>-1</v>
      </c>
      <c r="N1872" s="24" t="str">
        <f ca="1">IF(AND(L1872=1,L1871&lt;&gt;1),MAX($N$8:N1871)+1,"")</f>
        <v/>
      </c>
      <c r="O1872" s="24" t="str">
        <f ca="1">IF(AND(L1872&lt;&gt;1,L1871=1),MAX($O$8:O1871)+1,"")</f>
        <v/>
      </c>
      <c r="P1872" s="17" t="str">
        <f ca="1">IF(AND(L1872=-1,L1871&lt;&gt;-1),MAX($P$8:P1871)+1,"")</f>
        <v/>
      </c>
      <c r="Q1872" s="24" t="str">
        <f ca="1">IF(AND(L1872&lt;&gt;-1,L1871=-1),MAX($Q$8:Q1871)+1,"")</f>
        <v/>
      </c>
    </row>
    <row r="1873" spans="1:17" x14ac:dyDescent="0.3">
      <c r="A1873" s="3">
        <v>42941</v>
      </c>
      <c r="B1873" s="9">
        <v>21.42812</v>
      </c>
      <c r="C1873" s="9">
        <v>19.331007</v>
      </c>
      <c r="E1873" s="14">
        <f t="shared" si="207"/>
        <v>1.1084844157368523</v>
      </c>
      <c r="F1873" s="18">
        <f t="shared" ca="1" si="206"/>
        <v>-1.6177763806230983</v>
      </c>
      <c r="G1873" s="15">
        <f t="shared" ca="1" si="204"/>
        <v>1.1541723138206506</v>
      </c>
      <c r="H1873" s="15">
        <f t="shared" ca="1" si="205"/>
        <v>2.8241170183360711E-2</v>
      </c>
      <c r="J1873" s="17">
        <f t="shared" ca="1" si="208"/>
        <v>0</v>
      </c>
      <c r="K1873" s="24">
        <f t="shared" ca="1" si="209"/>
        <v>-1</v>
      </c>
      <c r="L1873" s="17">
        <f t="shared" ca="1" si="210"/>
        <v>-1</v>
      </c>
      <c r="N1873" s="24" t="str">
        <f ca="1">IF(AND(L1873=1,L1872&lt;&gt;1),MAX($N$8:N1872)+1,"")</f>
        <v/>
      </c>
      <c r="O1873" s="24" t="str">
        <f ca="1">IF(AND(L1873&lt;&gt;1,L1872=1),MAX($O$8:O1872)+1,"")</f>
        <v/>
      </c>
      <c r="P1873" s="17" t="str">
        <f ca="1">IF(AND(L1873=-1,L1872&lt;&gt;-1),MAX($P$8:P1872)+1,"")</f>
        <v/>
      </c>
      <c r="Q1873" s="24" t="str">
        <f ca="1">IF(AND(L1873&lt;&gt;-1,L1872=-1),MAX($Q$8:Q1872)+1,"")</f>
        <v/>
      </c>
    </row>
    <row r="1874" spans="1:17" x14ac:dyDescent="0.3">
      <c r="A1874" s="3">
        <v>42942</v>
      </c>
      <c r="B1874" s="9">
        <v>21.329841999999999</v>
      </c>
      <c r="C1874" s="9">
        <v>19.163588000000001</v>
      </c>
      <c r="E1874" s="14">
        <f t="shared" si="207"/>
        <v>1.1130401050158247</v>
      </c>
      <c r="F1874" s="18">
        <f t="shared" ca="1" si="206"/>
        <v>-1.332349050803636</v>
      </c>
      <c r="G1874" s="15">
        <f t="shared" ca="1" si="204"/>
        <v>1.1505228203223758</v>
      </c>
      <c r="H1874" s="15">
        <f t="shared" ca="1" si="205"/>
        <v>2.8132804450862619E-2</v>
      </c>
      <c r="J1874" s="17">
        <f t="shared" ca="1" si="208"/>
        <v>0</v>
      </c>
      <c r="K1874" s="24">
        <f t="shared" ca="1" si="209"/>
        <v>-1</v>
      </c>
      <c r="L1874" s="17">
        <f t="shared" ca="1" si="210"/>
        <v>-1</v>
      </c>
      <c r="N1874" s="24" t="str">
        <f ca="1">IF(AND(L1874=1,L1873&lt;&gt;1),MAX($N$8:N1873)+1,"")</f>
        <v/>
      </c>
      <c r="O1874" s="24" t="str">
        <f ca="1">IF(AND(L1874&lt;&gt;1,L1873=1),MAX($O$8:O1873)+1,"")</f>
        <v/>
      </c>
      <c r="P1874" s="17" t="str">
        <f ca="1">IF(AND(L1874=-1,L1873&lt;&gt;-1),MAX($P$8:P1873)+1,"")</f>
        <v/>
      </c>
      <c r="Q1874" s="24" t="str">
        <f ca="1">IF(AND(L1874&lt;&gt;-1,L1873=-1),MAX($Q$8:Q1873)+1,"")</f>
        <v/>
      </c>
    </row>
    <row r="1875" spans="1:17" x14ac:dyDescent="0.3">
      <c r="A1875" s="3">
        <v>42943</v>
      </c>
      <c r="B1875" s="9">
        <v>21.352982999999998</v>
      </c>
      <c r="C1875" s="9">
        <v>19.137823000000001</v>
      </c>
      <c r="E1875" s="14">
        <f t="shared" si="207"/>
        <v>1.1157477525003756</v>
      </c>
      <c r="F1875" s="18">
        <f t="shared" ca="1" si="206"/>
        <v>-1.1449018840310015</v>
      </c>
      <c r="G1875" s="15">
        <f t="shared" ca="1" si="204"/>
        <v>1.146876212743738</v>
      </c>
      <c r="H1875" s="15">
        <f t="shared" ca="1" si="205"/>
        <v>2.7188757986635878E-2</v>
      </c>
      <c r="J1875" s="17">
        <f t="shared" ca="1" si="208"/>
        <v>0</v>
      </c>
      <c r="K1875" s="24">
        <f t="shared" ca="1" si="209"/>
        <v>-1</v>
      </c>
      <c r="L1875" s="17">
        <f t="shared" ca="1" si="210"/>
        <v>-1</v>
      </c>
      <c r="N1875" s="24" t="str">
        <f ca="1">IF(AND(L1875=1,L1874&lt;&gt;1),MAX($N$8:N1874)+1,"")</f>
        <v/>
      </c>
      <c r="O1875" s="24" t="str">
        <f ca="1">IF(AND(L1875&lt;&gt;1,L1874=1),MAX($O$8:O1874)+1,"")</f>
        <v/>
      </c>
      <c r="P1875" s="17" t="str">
        <f ca="1">IF(AND(L1875=-1,L1874&lt;&gt;-1),MAX($P$8:P1874)+1,"")</f>
        <v/>
      </c>
      <c r="Q1875" s="24" t="str">
        <f ca="1">IF(AND(L1875&lt;&gt;-1,L1874=-1),MAX($Q$8:Q1874)+1,"")</f>
        <v/>
      </c>
    </row>
    <row r="1876" spans="1:17" x14ac:dyDescent="0.3">
      <c r="A1876" s="3">
        <v>42944</v>
      </c>
      <c r="B1876" s="9">
        <v>21.433845999999999</v>
      </c>
      <c r="C1876" s="9">
        <v>19.163588000000001</v>
      </c>
      <c r="E1876" s="14">
        <f t="shared" si="207"/>
        <v>1.1184672724126608</v>
      </c>
      <c r="F1876" s="18">
        <f t="shared" ca="1" si="206"/>
        <v>-0.95953034997070574</v>
      </c>
      <c r="G1876" s="15">
        <f t="shared" ca="1" si="204"/>
        <v>1.1438226875852924</v>
      </c>
      <c r="H1876" s="15">
        <f t="shared" ca="1" si="205"/>
        <v>2.6424818322219532E-2</v>
      </c>
      <c r="J1876" s="17">
        <f t="shared" ca="1" si="208"/>
        <v>0</v>
      </c>
      <c r="K1876" s="24">
        <f t="shared" ca="1" si="209"/>
        <v>-1</v>
      </c>
      <c r="L1876" s="17">
        <f t="shared" ca="1" si="210"/>
        <v>-1</v>
      </c>
      <c r="N1876" s="24" t="str">
        <f ca="1">IF(AND(L1876=1,L1875&lt;&gt;1),MAX($N$8:N1875)+1,"")</f>
        <v/>
      </c>
      <c r="O1876" s="24" t="str">
        <f ca="1">IF(AND(L1876&lt;&gt;1,L1875=1),MAX($O$8:O1875)+1,"")</f>
        <v/>
      </c>
      <c r="P1876" s="17" t="str">
        <f ca="1">IF(AND(L1876=-1,L1875&lt;&gt;-1),MAX($P$8:P1875)+1,"")</f>
        <v/>
      </c>
      <c r="Q1876" s="24" t="str">
        <f ca="1">IF(AND(L1876&lt;&gt;-1,L1875=-1),MAX($Q$8:Q1875)+1,"")</f>
        <v/>
      </c>
    </row>
    <row r="1877" spans="1:17" x14ac:dyDescent="0.3">
      <c r="A1877" s="3">
        <v>42947</v>
      </c>
      <c r="B1877" s="9">
        <v>21.560963000000001</v>
      </c>
      <c r="C1877" s="9">
        <v>19.446982999999999</v>
      </c>
      <c r="E1877" s="14">
        <f t="shared" si="207"/>
        <v>1.108704779553723</v>
      </c>
      <c r="F1877" s="18">
        <f t="shared" ca="1" si="206"/>
        <v>-1.2433597578814155</v>
      </c>
      <c r="G1877" s="15">
        <f t="shared" ca="1" si="204"/>
        <v>1.1400446430157465</v>
      </c>
      <c r="H1877" s="15">
        <f t="shared" ca="1" si="205"/>
        <v>2.5205788801966725E-2</v>
      </c>
      <c r="J1877" s="17">
        <f t="shared" ca="1" si="208"/>
        <v>0</v>
      </c>
      <c r="K1877" s="24">
        <f t="shared" ca="1" si="209"/>
        <v>-1</v>
      </c>
      <c r="L1877" s="17">
        <f t="shared" ca="1" si="210"/>
        <v>-1</v>
      </c>
      <c r="N1877" s="24" t="str">
        <f ca="1">IF(AND(L1877=1,L1876&lt;&gt;1),MAX($N$8:N1876)+1,"")</f>
        <v/>
      </c>
      <c r="O1877" s="24" t="str">
        <f ca="1">IF(AND(L1877&lt;&gt;1,L1876=1),MAX($O$8:O1876)+1,"")</f>
        <v/>
      </c>
      <c r="P1877" s="17" t="str">
        <f ca="1">IF(AND(L1877=-1,L1876&lt;&gt;-1),MAX($P$8:P1876)+1,"")</f>
        <v/>
      </c>
      <c r="Q1877" s="24" t="str">
        <f ca="1">IF(AND(L1877&lt;&gt;-1,L1876=-1),MAX($Q$8:Q1876)+1,"")</f>
        <v/>
      </c>
    </row>
    <row r="1878" spans="1:17" x14ac:dyDescent="0.3">
      <c r="A1878" s="3">
        <v>42948</v>
      </c>
      <c r="B1878" s="9">
        <v>22.251667000000001</v>
      </c>
      <c r="C1878" s="9">
        <v>19.685321999999999</v>
      </c>
      <c r="E1878" s="14">
        <f t="shared" si="207"/>
        <v>1.1303684542218817</v>
      </c>
      <c r="F1878" s="18">
        <f t="shared" ca="1" si="206"/>
        <v>-0.3144575161276979</v>
      </c>
      <c r="G1878" s="15">
        <f t="shared" ca="1" si="204"/>
        <v>1.1378638180486165</v>
      </c>
      <c r="H1878" s="15">
        <f t="shared" ca="1" si="205"/>
        <v>2.3835855218327744E-2</v>
      </c>
      <c r="J1878" s="17">
        <f t="shared" ca="1" si="208"/>
        <v>0</v>
      </c>
      <c r="K1878" s="24">
        <f t="shared" ca="1" si="209"/>
        <v>-1</v>
      </c>
      <c r="L1878" s="17">
        <f t="shared" ca="1" si="210"/>
        <v>-1</v>
      </c>
      <c r="N1878" s="24" t="str">
        <f ca="1">IF(AND(L1878=1,L1877&lt;&gt;1),MAX($N$8:N1877)+1,"")</f>
        <v/>
      </c>
      <c r="O1878" s="24" t="str">
        <f ca="1">IF(AND(L1878&lt;&gt;1,L1877=1),MAX($O$8:O1877)+1,"")</f>
        <v/>
      </c>
      <c r="P1878" s="17" t="str">
        <f ca="1">IF(AND(L1878=-1,L1877&lt;&gt;-1),MAX($P$8:P1877)+1,"")</f>
        <v/>
      </c>
      <c r="Q1878" s="24" t="str">
        <f ca="1">IF(AND(L1878&lt;&gt;-1,L1877=-1),MAX($Q$8:Q1877)+1,"")</f>
        <v/>
      </c>
    </row>
    <row r="1879" spans="1:17" x14ac:dyDescent="0.3">
      <c r="A1879" s="3">
        <v>42949</v>
      </c>
      <c r="B1879" s="9">
        <v>22.482796</v>
      </c>
      <c r="C1879" s="9">
        <v>19.954222000000001</v>
      </c>
      <c r="E1879" s="14">
        <f t="shared" si="207"/>
        <v>1.126718746538953</v>
      </c>
      <c r="F1879" s="18">
        <f t="shared" ca="1" si="206"/>
        <v>-0.39518013189417572</v>
      </c>
      <c r="G1879" s="15">
        <f t="shared" ca="1" si="204"/>
        <v>1.1354404151528481</v>
      </c>
      <c r="H1879" s="15">
        <f t="shared" ca="1" si="205"/>
        <v>2.2070109071755335E-2</v>
      </c>
      <c r="J1879" s="17">
        <f t="shared" ca="1" si="208"/>
        <v>0</v>
      </c>
      <c r="K1879" s="24">
        <f t="shared" ca="1" si="209"/>
        <v>-1</v>
      </c>
      <c r="L1879" s="17">
        <f t="shared" ca="1" si="210"/>
        <v>-1</v>
      </c>
      <c r="N1879" s="24" t="str">
        <f ca="1">IF(AND(L1879=1,L1878&lt;&gt;1),MAX($N$8:N1878)+1,"")</f>
        <v/>
      </c>
      <c r="O1879" s="24" t="str">
        <f ca="1">IF(AND(L1879&lt;&gt;1,L1878=1),MAX($O$8:O1878)+1,"")</f>
        <v/>
      </c>
      <c r="P1879" s="17" t="str">
        <f ca="1">IF(AND(L1879=-1,L1878&lt;&gt;-1),MAX($P$8:P1878)+1,"")</f>
        <v/>
      </c>
      <c r="Q1879" s="24" t="str">
        <f ca="1">IF(AND(L1879&lt;&gt;-1,L1878=-1),MAX($Q$8:Q1878)+1,"")</f>
        <v/>
      </c>
    </row>
    <row r="1880" spans="1:17" x14ac:dyDescent="0.3">
      <c r="A1880" s="3">
        <v>42950</v>
      </c>
      <c r="B1880" s="9">
        <v>22.430779000000001</v>
      </c>
      <c r="C1880" s="9">
        <v>19.947844</v>
      </c>
      <c r="E1880" s="14">
        <f t="shared" si="207"/>
        <v>1.1244713463770821</v>
      </c>
      <c r="F1880" s="18">
        <f t="shared" ca="1" si="206"/>
        <v>-0.42553261577561385</v>
      </c>
      <c r="G1880" s="15">
        <f t="shared" ca="1" si="204"/>
        <v>1.133202482576936</v>
      </c>
      <c r="H1880" s="15">
        <f t="shared" ca="1" si="205"/>
        <v>2.0518136274794666E-2</v>
      </c>
      <c r="J1880" s="17">
        <f t="shared" ca="1" si="208"/>
        <v>0</v>
      </c>
      <c r="K1880" s="24">
        <f t="shared" ca="1" si="209"/>
        <v>-1</v>
      </c>
      <c r="L1880" s="17">
        <f t="shared" ca="1" si="210"/>
        <v>-1</v>
      </c>
      <c r="N1880" s="24" t="str">
        <f ca="1">IF(AND(L1880=1,L1879&lt;&gt;1),MAX($N$8:N1879)+1,"")</f>
        <v/>
      </c>
      <c r="O1880" s="24" t="str">
        <f ca="1">IF(AND(L1880&lt;&gt;1,L1879=1),MAX($O$8:O1879)+1,"")</f>
        <v/>
      </c>
      <c r="P1880" s="17" t="str">
        <f ca="1">IF(AND(L1880=-1,L1879&lt;&gt;-1),MAX($P$8:P1879)+1,"")</f>
        <v/>
      </c>
      <c r="Q1880" s="24" t="str">
        <f ca="1">IF(AND(L1880&lt;&gt;-1,L1879=-1),MAX($Q$8:Q1879)+1,"")</f>
        <v/>
      </c>
    </row>
    <row r="1881" spans="1:17" x14ac:dyDescent="0.3">
      <c r="A1881" s="3">
        <v>42951</v>
      </c>
      <c r="B1881" s="9">
        <v>22.373035000000002</v>
      </c>
      <c r="C1881" s="9">
        <v>19.967151999999999</v>
      </c>
      <c r="E1881" s="14">
        <f t="shared" si="207"/>
        <v>1.1204920461365748</v>
      </c>
      <c r="F1881" s="18">
        <f t="shared" ca="1" si="206"/>
        <v>-0.55396424780114883</v>
      </c>
      <c r="G1881" s="15">
        <f t="shared" ca="1" si="204"/>
        <v>1.1306581441052623</v>
      </c>
      <c r="H1881" s="15">
        <f t="shared" ca="1" si="205"/>
        <v>1.8351541654610046E-2</v>
      </c>
      <c r="J1881" s="17">
        <f t="shared" ca="1" si="208"/>
        <v>0</v>
      </c>
      <c r="K1881" s="24">
        <f t="shared" ca="1" si="209"/>
        <v>-1</v>
      </c>
      <c r="L1881" s="17">
        <f t="shared" ca="1" si="210"/>
        <v>-1</v>
      </c>
      <c r="N1881" s="24" t="str">
        <f ca="1">IF(AND(L1881=1,L1880&lt;&gt;1),MAX($N$8:N1880)+1,"")</f>
        <v/>
      </c>
      <c r="O1881" s="24" t="str">
        <f ca="1">IF(AND(L1881&lt;&gt;1,L1880=1),MAX($O$8:O1880)+1,"")</f>
        <v/>
      </c>
      <c r="P1881" s="17" t="str">
        <f ca="1">IF(AND(L1881=-1,L1880&lt;&gt;-1),MAX($P$8:P1880)+1,"")</f>
        <v/>
      </c>
      <c r="Q1881" s="24" t="str">
        <f ca="1">IF(AND(L1881&lt;&gt;-1,L1880=-1),MAX($Q$8:Q1880)+1,"")</f>
        <v/>
      </c>
    </row>
    <row r="1882" spans="1:17" x14ac:dyDescent="0.3">
      <c r="A1882" s="3">
        <v>42954</v>
      </c>
      <c r="B1882" s="9">
        <v>22.725543999999999</v>
      </c>
      <c r="C1882" s="9">
        <v>20.199158000000001</v>
      </c>
      <c r="E1882" s="14">
        <f t="shared" si="207"/>
        <v>1.1250738273347829</v>
      </c>
      <c r="F1882" s="18">
        <f t="shared" ca="1" si="206"/>
        <v>-0.21027034368288069</v>
      </c>
      <c r="G1882" s="15">
        <f t="shared" ca="1" si="204"/>
        <v>1.1282960792774059</v>
      </c>
      <c r="H1882" s="15">
        <f t="shared" ca="1" si="205"/>
        <v>1.5324329081245451E-2</v>
      </c>
      <c r="J1882" s="17">
        <f t="shared" ca="1" si="208"/>
        <v>0</v>
      </c>
      <c r="K1882" s="24">
        <f t="shared" ca="1" si="209"/>
        <v>-1</v>
      </c>
      <c r="L1882" s="17">
        <f t="shared" ca="1" si="210"/>
        <v>-1</v>
      </c>
      <c r="N1882" s="24" t="str">
        <f ca="1">IF(AND(L1882=1,L1881&lt;&gt;1),MAX($N$8:N1881)+1,"")</f>
        <v/>
      </c>
      <c r="O1882" s="24" t="str">
        <f ca="1">IF(AND(L1882&lt;&gt;1,L1881=1),MAX($O$8:O1881)+1,"")</f>
        <v/>
      </c>
      <c r="P1882" s="17" t="str">
        <f ca="1">IF(AND(L1882=-1,L1881&lt;&gt;-1),MAX($P$8:P1881)+1,"")</f>
        <v/>
      </c>
      <c r="Q1882" s="24" t="str">
        <f ca="1">IF(AND(L1882&lt;&gt;-1,L1881=-1),MAX($Q$8:Q1881)+1,"")</f>
        <v/>
      </c>
    </row>
    <row r="1883" spans="1:17" x14ac:dyDescent="0.3">
      <c r="A1883" s="3">
        <v>42955</v>
      </c>
      <c r="B1883" s="9">
        <v>23.002966000000001</v>
      </c>
      <c r="C1883" s="9">
        <v>20.411840000000002</v>
      </c>
      <c r="E1883" s="14">
        <f t="shared" si="207"/>
        <v>1.1269423040744979</v>
      </c>
      <c r="F1883" s="18">
        <f t="shared" ca="1" si="206"/>
        <v>2.6926049690085434E-2</v>
      </c>
      <c r="G1883" s="15">
        <f t="shared" ca="1" si="204"/>
        <v>1.1265887483003558</v>
      </c>
      <c r="H1883" s="15">
        <f t="shared" ca="1" si="205"/>
        <v>1.3130621766336321E-2</v>
      </c>
      <c r="J1883" s="17">
        <f t="shared" ca="1" si="208"/>
        <v>0</v>
      </c>
      <c r="K1883" s="24">
        <f t="shared" ca="1" si="209"/>
        <v>0</v>
      </c>
      <c r="L1883" s="17">
        <f t="shared" ca="1" si="210"/>
        <v>0</v>
      </c>
      <c r="N1883" s="24" t="str">
        <f ca="1">IF(AND(L1883=1,L1882&lt;&gt;1),MAX($N$8:N1882)+1,"")</f>
        <v/>
      </c>
      <c r="O1883" s="24" t="str">
        <f ca="1">IF(AND(L1883&lt;&gt;1,L1882=1),MAX($O$8:O1882)+1,"")</f>
        <v/>
      </c>
      <c r="P1883" s="17" t="str">
        <f ca="1">IF(AND(L1883=-1,L1882&lt;&gt;-1),MAX($P$8:P1882)+1,"")</f>
        <v/>
      </c>
      <c r="Q1883" s="24">
        <f ca="1">IF(AND(L1883&lt;&gt;-1,L1882=-1),MAX($Q$8:Q1882)+1,"")</f>
        <v>69</v>
      </c>
    </row>
    <row r="1884" spans="1:17" x14ac:dyDescent="0.3">
      <c r="A1884" s="3">
        <v>42956</v>
      </c>
      <c r="B1884" s="9">
        <v>22.858523999999999</v>
      </c>
      <c r="C1884" s="9">
        <v>20.424773999999999</v>
      </c>
      <c r="E1884" s="14">
        <f t="shared" si="207"/>
        <v>1.1191567652107191</v>
      </c>
      <c r="F1884" s="18">
        <f t="shared" ca="1" si="206"/>
        <v>-0.50996734669681199</v>
      </c>
      <c r="G1884" s="15">
        <f t="shared" ca="1" si="204"/>
        <v>1.1246903599847711</v>
      </c>
      <c r="H1884" s="15">
        <f t="shared" ca="1" si="205"/>
        <v>1.0850880570872858E-2</v>
      </c>
      <c r="J1884" s="17">
        <f t="shared" ca="1" si="208"/>
        <v>0</v>
      </c>
      <c r="K1884" s="24">
        <f t="shared" ca="1" si="209"/>
        <v>0</v>
      </c>
      <c r="L1884" s="17">
        <f t="shared" ca="1" si="210"/>
        <v>0</v>
      </c>
      <c r="N1884" s="24" t="str">
        <f ca="1">IF(AND(L1884=1,L1883&lt;&gt;1),MAX($N$8:N1883)+1,"")</f>
        <v/>
      </c>
      <c r="O1884" s="24" t="str">
        <f ca="1">IF(AND(L1884&lt;&gt;1,L1883=1),MAX($O$8:O1883)+1,"")</f>
        <v/>
      </c>
      <c r="P1884" s="17" t="str">
        <f ca="1">IF(AND(L1884=-1,L1883&lt;&gt;-1),MAX($P$8:P1883)+1,"")</f>
        <v/>
      </c>
      <c r="Q1884" s="24" t="str">
        <f ca="1">IF(AND(L1884&lt;&gt;-1,L1883=-1),MAX($Q$8:Q1883)+1,"")</f>
        <v/>
      </c>
    </row>
    <row r="1885" spans="1:17" x14ac:dyDescent="0.3">
      <c r="A1885" s="3">
        <v>42957</v>
      </c>
      <c r="B1885" s="9">
        <v>22.569485</v>
      </c>
      <c r="C1885" s="9">
        <v>20.231390000000001</v>
      </c>
      <c r="E1885" s="14">
        <f t="shared" si="207"/>
        <v>1.1155676896149993</v>
      </c>
      <c r="F1885" s="18">
        <f t="shared" ca="1" si="206"/>
        <v>-0.88090888797736466</v>
      </c>
      <c r="G1885" s="15">
        <f t="shared" ca="1" si="204"/>
        <v>1.1227486107184914</v>
      </c>
      <c r="H1885" s="15">
        <f t="shared" ca="1" si="205"/>
        <v>8.1517183008336588E-3</v>
      </c>
      <c r="J1885" s="17">
        <f t="shared" ca="1" si="208"/>
        <v>0</v>
      </c>
      <c r="K1885" s="24">
        <f t="shared" ca="1" si="209"/>
        <v>0</v>
      </c>
      <c r="L1885" s="17">
        <f t="shared" ca="1" si="210"/>
        <v>0</v>
      </c>
      <c r="N1885" s="24" t="str">
        <f ca="1">IF(AND(L1885=1,L1884&lt;&gt;1),MAX($N$8:N1884)+1,"")</f>
        <v/>
      </c>
      <c r="O1885" s="24" t="str">
        <f ca="1">IF(AND(L1885&lt;&gt;1,L1884=1),MAX($O$8:O1884)+1,"")</f>
        <v/>
      </c>
      <c r="P1885" s="17" t="str">
        <f ca="1">IF(AND(L1885=-1,L1884&lt;&gt;-1),MAX($P$8:P1884)+1,"")</f>
        <v/>
      </c>
      <c r="Q1885" s="24" t="str">
        <f ca="1">IF(AND(L1885&lt;&gt;-1,L1884=-1),MAX($Q$8:Q1884)+1,"")</f>
        <v/>
      </c>
    </row>
    <row r="1886" spans="1:17" x14ac:dyDescent="0.3">
      <c r="A1886" s="3">
        <v>42958</v>
      </c>
      <c r="B1886" s="9">
        <v>22.685138999999999</v>
      </c>
      <c r="C1886" s="9">
        <v>20.411840000000002</v>
      </c>
      <c r="E1886" s="14">
        <f t="shared" si="207"/>
        <v>1.1113715862950131</v>
      </c>
      <c r="F1886" s="18">
        <f t="shared" ca="1" si="206"/>
        <v>-1.3410037950772682</v>
      </c>
      <c r="G1886" s="15">
        <f t="shared" ca="1" si="204"/>
        <v>1.1214224348475286</v>
      </c>
      <c r="H1886" s="15">
        <f t="shared" ca="1" si="205"/>
        <v>7.4950187235945541E-3</v>
      </c>
      <c r="J1886" s="17">
        <f t="shared" ca="1" si="208"/>
        <v>0</v>
      </c>
      <c r="K1886" s="24">
        <f t="shared" ca="1" si="209"/>
        <v>-1</v>
      </c>
      <c r="L1886" s="17">
        <f t="shared" ca="1" si="210"/>
        <v>-1</v>
      </c>
      <c r="N1886" s="24" t="str">
        <f ca="1">IF(AND(L1886=1,L1885&lt;&gt;1),MAX($N$8:N1885)+1,"")</f>
        <v/>
      </c>
      <c r="O1886" s="24" t="str">
        <f ca="1">IF(AND(L1886&lt;&gt;1,L1885=1),MAX($O$8:O1885)+1,"")</f>
        <v/>
      </c>
      <c r="P1886" s="17">
        <f ca="1">IF(AND(L1886=-1,L1885&lt;&gt;-1),MAX($P$8:P1885)+1,"")</f>
        <v>70</v>
      </c>
      <c r="Q1886" s="24" t="str">
        <f ca="1">IF(AND(L1886&lt;&gt;-1,L1885=-1),MAX($Q$8:Q1885)+1,"")</f>
        <v/>
      </c>
    </row>
    <row r="1887" spans="1:17" x14ac:dyDescent="0.3">
      <c r="A1887" s="3">
        <v>42961</v>
      </c>
      <c r="B1887" s="9">
        <v>23.095469000000001</v>
      </c>
      <c r="C1887" s="9">
        <v>20.817917000000001</v>
      </c>
      <c r="E1887" s="14">
        <f t="shared" si="207"/>
        <v>1.1094034528046202</v>
      </c>
      <c r="F1887" s="18">
        <f t="shared" ca="1" si="206"/>
        <v>-1.4748956024811604</v>
      </c>
      <c r="G1887" s="15">
        <f t="shared" ref="G1887:G1950" ca="1" si="211">IF(ISNUMBER(E1887),IF(ROW(E1887)&gt;$J$1,AVERAGE(OFFSET(E1887,0,0,-$J$1)),""),"")</f>
        <v>1.1203236871228166</v>
      </c>
      <c r="H1887" s="15">
        <f t="shared" ref="H1887:H1950" ca="1" si="212">IF(ISNUMBER(E1887),IF(ROW(E1887)&gt;$J$1,_xlfn.STDEV.P(OFFSET(E1887,0,0,-$J$1)),""),"")</f>
        <v>7.4040727356063374E-3</v>
      </c>
      <c r="J1887" s="17">
        <f t="shared" ca="1" si="208"/>
        <v>0</v>
      </c>
      <c r="K1887" s="24">
        <f t="shared" ca="1" si="209"/>
        <v>-1</v>
      </c>
      <c r="L1887" s="17">
        <f t="shared" ca="1" si="210"/>
        <v>-1</v>
      </c>
      <c r="N1887" s="24" t="str">
        <f ca="1">IF(AND(L1887=1,L1886&lt;&gt;1),MAX($N$8:N1886)+1,"")</f>
        <v/>
      </c>
      <c r="O1887" s="24" t="str">
        <f ca="1">IF(AND(L1887&lt;&gt;1,L1886=1),MAX($O$8:O1886)+1,"")</f>
        <v/>
      </c>
      <c r="P1887" s="17" t="str">
        <f ca="1">IF(AND(L1887=-1,L1886&lt;&gt;-1),MAX($P$8:P1886)+1,"")</f>
        <v/>
      </c>
      <c r="Q1887" s="24" t="str">
        <f ca="1">IF(AND(L1887&lt;&gt;-1,L1886=-1),MAX($Q$8:Q1886)+1,"")</f>
        <v/>
      </c>
    </row>
    <row r="1888" spans="1:17" x14ac:dyDescent="0.3">
      <c r="A1888" s="3">
        <v>42962</v>
      </c>
      <c r="B1888" s="9">
        <v>23.194158999999999</v>
      </c>
      <c r="C1888" s="9">
        <v>20.869471000000001</v>
      </c>
      <c r="E1888" s="14">
        <f t="shared" si="207"/>
        <v>1.1113918028875767</v>
      </c>
      <c r="F1888" s="18">
        <f t="shared" ca="1" si="206"/>
        <v>-1.1386088344540963</v>
      </c>
      <c r="G1888" s="15">
        <f t="shared" ca="1" si="211"/>
        <v>1.1192575886420189</v>
      </c>
      <c r="H1888" s="15">
        <f t="shared" ca="1" si="212"/>
        <v>6.9082423361078379E-3</v>
      </c>
      <c r="J1888" s="17">
        <f t="shared" ca="1" si="208"/>
        <v>0</v>
      </c>
      <c r="K1888" s="24">
        <f t="shared" ca="1" si="209"/>
        <v>-1</v>
      </c>
      <c r="L1888" s="17">
        <f t="shared" ca="1" si="210"/>
        <v>-1</v>
      </c>
      <c r="N1888" s="24" t="str">
        <f ca="1">IF(AND(L1888=1,L1887&lt;&gt;1),MAX($N$8:N1887)+1,"")</f>
        <v/>
      </c>
      <c r="O1888" s="24" t="str">
        <f ca="1">IF(AND(L1888&lt;&gt;1,L1887=1),MAX($O$8:O1887)+1,"")</f>
        <v/>
      </c>
      <c r="P1888" s="17" t="str">
        <f ca="1">IF(AND(L1888=-1,L1887&lt;&gt;-1),MAX($P$8:P1887)+1,"")</f>
        <v/>
      </c>
      <c r="Q1888" s="24" t="str">
        <f ca="1">IF(AND(L1888&lt;&gt;-1,L1887=-1),MAX($Q$8:Q1887)+1,"")</f>
        <v/>
      </c>
    </row>
    <row r="1889" spans="1:17" x14ac:dyDescent="0.3">
      <c r="A1889" s="3">
        <v>42963</v>
      </c>
      <c r="B1889" s="9">
        <v>23.240825999999998</v>
      </c>
      <c r="C1889" s="9">
        <v>20.869471000000001</v>
      </c>
      <c r="E1889" s="14">
        <f t="shared" si="207"/>
        <v>1.1136279400661377</v>
      </c>
      <c r="F1889" s="18">
        <f t="shared" ca="1" si="206"/>
        <v>-0.74640556315437656</v>
      </c>
      <c r="G1889" s="15">
        <f t="shared" ca="1" si="211"/>
        <v>1.1184409514082601</v>
      </c>
      <c r="H1889" s="15">
        <f t="shared" ca="1" si="212"/>
        <v>6.4482522367358746E-3</v>
      </c>
      <c r="J1889" s="17">
        <f t="shared" ca="1" si="208"/>
        <v>0</v>
      </c>
      <c r="K1889" s="24">
        <f t="shared" ca="1" si="209"/>
        <v>-1</v>
      </c>
      <c r="L1889" s="17">
        <f t="shared" ca="1" si="210"/>
        <v>-1</v>
      </c>
      <c r="N1889" s="24" t="str">
        <f ca="1">IF(AND(L1889=1,L1888&lt;&gt;1),MAX($N$8:N1888)+1,"")</f>
        <v/>
      </c>
      <c r="O1889" s="24" t="str">
        <f ca="1">IF(AND(L1889&lt;&gt;1,L1888=1),MAX($O$8:O1888)+1,"")</f>
        <v/>
      </c>
      <c r="P1889" s="17" t="str">
        <f ca="1">IF(AND(L1889=-1,L1888&lt;&gt;-1),MAX($P$8:P1888)+1,"")</f>
        <v/>
      </c>
      <c r="Q1889" s="24" t="str">
        <f ca="1">IF(AND(L1889&lt;&gt;-1,L1888=-1),MAX($Q$8:Q1888)+1,"")</f>
        <v/>
      </c>
    </row>
    <row r="1890" spans="1:17" x14ac:dyDescent="0.3">
      <c r="A1890" s="3">
        <v>42964</v>
      </c>
      <c r="B1890" s="9">
        <v>23.054043</v>
      </c>
      <c r="C1890" s="9">
        <v>20.695488000000001</v>
      </c>
      <c r="E1890" s="14">
        <f t="shared" si="207"/>
        <v>1.1139646960728831</v>
      </c>
      <c r="F1890" s="18">
        <f t="shared" ca="1" si="206"/>
        <v>-0.65353407183307677</v>
      </c>
      <c r="G1890" s="15">
        <f t="shared" ca="1" si="211"/>
        <v>1.1182220884444145</v>
      </c>
      <c r="H1890" s="15">
        <f t="shared" ca="1" si="212"/>
        <v>6.514415322815565E-3</v>
      </c>
      <c r="J1890" s="17">
        <f t="shared" ca="1" si="208"/>
        <v>0</v>
      </c>
      <c r="K1890" s="24">
        <f t="shared" ca="1" si="209"/>
        <v>-1</v>
      </c>
      <c r="L1890" s="17">
        <f t="shared" ca="1" si="210"/>
        <v>-1</v>
      </c>
      <c r="N1890" s="24" t="str">
        <f ca="1">IF(AND(L1890=1,L1889&lt;&gt;1),MAX($N$8:N1889)+1,"")</f>
        <v/>
      </c>
      <c r="O1890" s="24" t="str">
        <f ca="1">IF(AND(L1890&lt;&gt;1,L1889=1),MAX($O$8:O1889)+1,"")</f>
        <v/>
      </c>
      <c r="P1890" s="17" t="str">
        <f ca="1">IF(AND(L1890=-1,L1889&lt;&gt;-1),MAX($P$8:P1889)+1,"")</f>
        <v/>
      </c>
      <c r="Q1890" s="24" t="str">
        <f ca="1">IF(AND(L1890&lt;&gt;-1,L1889=-1),MAX($Q$8:Q1889)+1,"")</f>
        <v/>
      </c>
    </row>
    <row r="1891" spans="1:17" x14ac:dyDescent="0.3">
      <c r="A1891" s="3">
        <v>42965</v>
      </c>
      <c r="B1891" s="9">
        <v>23.275857999999999</v>
      </c>
      <c r="C1891" s="9">
        <v>21.120871000000001</v>
      </c>
      <c r="E1891" s="14">
        <f t="shared" si="207"/>
        <v>1.1020311614989742</v>
      </c>
      <c r="F1891" s="18">
        <f t="shared" ca="1" si="206"/>
        <v>-2.118877073294553</v>
      </c>
      <c r="G1891" s="15">
        <f t="shared" ca="1" si="211"/>
        <v>1.1175692252271989</v>
      </c>
      <c r="H1891" s="15">
        <f t="shared" ca="1" si="212"/>
        <v>7.3331595891333451E-3</v>
      </c>
      <c r="J1891" s="17">
        <f t="shared" ca="1" si="208"/>
        <v>0</v>
      </c>
      <c r="K1891" s="24">
        <f t="shared" ca="1" si="209"/>
        <v>-1</v>
      </c>
      <c r="L1891" s="17">
        <f t="shared" ca="1" si="210"/>
        <v>-1</v>
      </c>
      <c r="N1891" s="24" t="str">
        <f ca="1">IF(AND(L1891=1,L1890&lt;&gt;1),MAX($N$8:N1890)+1,"")</f>
        <v/>
      </c>
      <c r="O1891" s="24" t="str">
        <f ca="1">IF(AND(L1891&lt;&gt;1,L1890=1),MAX($O$8:O1890)+1,"")</f>
        <v/>
      </c>
      <c r="P1891" s="17" t="str">
        <f ca="1">IF(AND(L1891=-1,L1890&lt;&gt;-1),MAX($P$8:P1890)+1,"")</f>
        <v/>
      </c>
      <c r="Q1891" s="24" t="str">
        <f ca="1">IF(AND(L1891&lt;&gt;-1,L1890=-1),MAX($Q$8:Q1890)+1,"")</f>
        <v/>
      </c>
    </row>
    <row r="1892" spans="1:17" x14ac:dyDescent="0.3">
      <c r="A1892" s="3">
        <v>42968</v>
      </c>
      <c r="B1892" s="9">
        <v>23.106583000000001</v>
      </c>
      <c r="C1892" s="9">
        <v>21.114407</v>
      </c>
      <c r="E1892" s="14">
        <f t="shared" si="207"/>
        <v>1.0943515013232434</v>
      </c>
      <c r="F1892" s="18">
        <f t="shared" ca="1" si="206"/>
        <v>-2.5206141767987296</v>
      </c>
      <c r="G1892" s="15">
        <f t="shared" ca="1" si="211"/>
        <v>1.1163390429598747</v>
      </c>
      <c r="H1892" s="15">
        <f t="shared" ca="1" si="212"/>
        <v>8.7230889356324538E-3</v>
      </c>
      <c r="J1892" s="17">
        <f t="shared" ca="1" si="208"/>
        <v>0</v>
      </c>
      <c r="K1892" s="24">
        <f t="shared" ca="1" si="209"/>
        <v>-1</v>
      </c>
      <c r="L1892" s="17">
        <f t="shared" ca="1" si="210"/>
        <v>-1</v>
      </c>
      <c r="N1892" s="24" t="str">
        <f ca="1">IF(AND(L1892=1,L1891&lt;&gt;1),MAX($N$8:N1891)+1,"")</f>
        <v/>
      </c>
      <c r="O1892" s="24" t="str">
        <f ca="1">IF(AND(L1892&lt;&gt;1,L1891=1),MAX($O$8:O1891)+1,"")</f>
        <v/>
      </c>
      <c r="P1892" s="17" t="str">
        <f ca="1">IF(AND(L1892=-1,L1891&lt;&gt;-1),MAX($P$8:P1891)+1,"")</f>
        <v/>
      </c>
      <c r="Q1892" s="24" t="str">
        <f ca="1">IF(AND(L1892&lt;&gt;-1,L1891=-1),MAX($Q$8:Q1891)+1,"")</f>
        <v/>
      </c>
    </row>
    <row r="1893" spans="1:17" x14ac:dyDescent="0.3">
      <c r="A1893" s="3">
        <v>42969</v>
      </c>
      <c r="B1893" s="9">
        <v>23.596972999999998</v>
      </c>
      <c r="C1893" s="9">
        <v>21.591349000000001</v>
      </c>
      <c r="E1893" s="14">
        <f t="shared" si="207"/>
        <v>1.092890166334674</v>
      </c>
      <c r="F1893" s="18">
        <f t="shared" ca="1" si="206"/>
        <v>-2.2588092643955417</v>
      </c>
      <c r="G1893" s="15">
        <f t="shared" ca="1" si="211"/>
        <v>1.1148197828330628</v>
      </c>
      <c r="H1893" s="15">
        <f t="shared" ca="1" si="212"/>
        <v>9.7084852820706162E-3</v>
      </c>
      <c r="J1893" s="17">
        <f t="shared" ca="1" si="208"/>
        <v>0</v>
      </c>
      <c r="K1893" s="24">
        <f t="shared" ca="1" si="209"/>
        <v>-1</v>
      </c>
      <c r="L1893" s="17">
        <f t="shared" ca="1" si="210"/>
        <v>-1</v>
      </c>
      <c r="N1893" s="24" t="str">
        <f ca="1">IF(AND(L1893=1,L1892&lt;&gt;1),MAX($N$8:N1892)+1,"")</f>
        <v/>
      </c>
      <c r="O1893" s="24" t="str">
        <f ca="1">IF(AND(L1893&lt;&gt;1,L1892=1),MAX($O$8:O1892)+1,"")</f>
        <v/>
      </c>
      <c r="P1893" s="17" t="str">
        <f ca="1">IF(AND(L1893=-1,L1892&lt;&gt;-1),MAX($P$8:P1892)+1,"")</f>
        <v/>
      </c>
      <c r="Q1893" s="24" t="str">
        <f ca="1">IF(AND(L1893&lt;&gt;-1,L1892=-1),MAX($Q$8:Q1892)+1,"")</f>
        <v/>
      </c>
    </row>
    <row r="1894" spans="1:17" x14ac:dyDescent="0.3">
      <c r="A1894" s="3">
        <v>42970</v>
      </c>
      <c r="B1894" s="9">
        <v>23.853815000000001</v>
      </c>
      <c r="C1894" s="9">
        <v>21.784718999999999</v>
      </c>
      <c r="E1894" s="14">
        <f t="shared" si="207"/>
        <v>1.094979237510477</v>
      </c>
      <c r="F1894" s="18">
        <f t="shared" ca="1" si="206"/>
        <v>-1.7932627319910528</v>
      </c>
      <c r="G1894" s="15">
        <f t="shared" ca="1" si="211"/>
        <v>1.113511229523751</v>
      </c>
      <c r="H1894" s="15">
        <f t="shared" ca="1" si="212"/>
        <v>1.0334231388781524E-2</v>
      </c>
      <c r="J1894" s="17">
        <f t="shared" ca="1" si="208"/>
        <v>0</v>
      </c>
      <c r="K1894" s="24">
        <f t="shared" ca="1" si="209"/>
        <v>-1</v>
      </c>
      <c r="L1894" s="17">
        <f t="shared" ca="1" si="210"/>
        <v>-1</v>
      </c>
      <c r="N1894" s="24" t="str">
        <f ca="1">IF(AND(L1894=1,L1893&lt;&gt;1),MAX($N$8:N1893)+1,"")</f>
        <v/>
      </c>
      <c r="O1894" s="24" t="str">
        <f ca="1">IF(AND(L1894&lt;&gt;1,L1893=1),MAX($O$8:O1893)+1,"")</f>
        <v/>
      </c>
      <c r="P1894" s="17" t="str">
        <f ca="1">IF(AND(L1894=-1,L1893&lt;&gt;-1),MAX($P$8:P1893)+1,"")</f>
        <v/>
      </c>
      <c r="Q1894" s="24" t="str">
        <f ca="1">IF(AND(L1894&lt;&gt;-1,L1893=-1),MAX($Q$8:Q1893)+1,"")</f>
        <v/>
      </c>
    </row>
    <row r="1895" spans="1:17" x14ac:dyDescent="0.3">
      <c r="A1895" s="3">
        <v>42971</v>
      </c>
      <c r="B1895" s="9">
        <v>24.052336</v>
      </c>
      <c r="C1895" s="9">
        <v>21.855585000000001</v>
      </c>
      <c r="E1895" s="14">
        <f t="shared" si="207"/>
        <v>1.1005121116639065</v>
      </c>
      <c r="F1895" s="18">
        <f t="shared" ca="1" si="206"/>
        <v>-1.187728555831413</v>
      </c>
      <c r="G1895" s="15">
        <f t="shared" ca="1" si="211"/>
        <v>1.1131488520658899</v>
      </c>
      <c r="H1895" s="15">
        <f t="shared" ca="1" si="212"/>
        <v>1.0639417853465366E-2</v>
      </c>
      <c r="J1895" s="17">
        <f t="shared" ca="1" si="208"/>
        <v>0</v>
      </c>
      <c r="K1895" s="24">
        <f t="shared" ca="1" si="209"/>
        <v>-1</v>
      </c>
      <c r="L1895" s="17">
        <f t="shared" ca="1" si="210"/>
        <v>-1</v>
      </c>
      <c r="N1895" s="24" t="str">
        <f ca="1">IF(AND(L1895=1,L1894&lt;&gt;1),MAX($N$8:N1894)+1,"")</f>
        <v/>
      </c>
      <c r="O1895" s="24" t="str">
        <f ca="1">IF(AND(L1895&lt;&gt;1,L1894=1),MAX($O$8:O1894)+1,"")</f>
        <v/>
      </c>
      <c r="P1895" s="17" t="str">
        <f ca="1">IF(AND(L1895=-1,L1894&lt;&gt;-1),MAX($P$8:P1894)+1,"")</f>
        <v/>
      </c>
      <c r="Q1895" s="24" t="str">
        <f ca="1">IF(AND(L1895&lt;&gt;-1,L1894=-1),MAX($Q$8:Q1894)+1,"")</f>
        <v/>
      </c>
    </row>
    <row r="1896" spans="1:17" x14ac:dyDescent="0.3">
      <c r="A1896" s="3">
        <v>42972</v>
      </c>
      <c r="B1896" s="9">
        <v>23.982281</v>
      </c>
      <c r="C1896" s="9">
        <v>21.874897000000001</v>
      </c>
      <c r="E1896" s="14">
        <f t="shared" si="207"/>
        <v>1.0963380079001057</v>
      </c>
      <c r="F1896" s="18">
        <f t="shared" ca="1" si="206"/>
        <v>-1.4330354145236013</v>
      </c>
      <c r="G1896" s="15">
        <f t="shared" ca="1" si="211"/>
        <v>1.1123896658333572</v>
      </c>
      <c r="H1896" s="15">
        <f t="shared" ca="1" si="212"/>
        <v>1.1201159280901436E-2</v>
      </c>
      <c r="J1896" s="17">
        <f t="shared" ca="1" si="208"/>
        <v>0</v>
      </c>
      <c r="K1896" s="24">
        <f t="shared" ca="1" si="209"/>
        <v>-1</v>
      </c>
      <c r="L1896" s="17">
        <f t="shared" ca="1" si="210"/>
        <v>-1</v>
      </c>
      <c r="N1896" s="24" t="str">
        <f ca="1">IF(AND(L1896=1,L1895&lt;&gt;1),MAX($N$8:N1895)+1,"")</f>
        <v/>
      </c>
      <c r="O1896" s="24" t="str">
        <f ca="1">IF(AND(L1896&lt;&gt;1,L1895=1),MAX($O$8:O1895)+1,"")</f>
        <v/>
      </c>
      <c r="P1896" s="17" t="str">
        <f ca="1">IF(AND(L1896=-1,L1895&lt;&gt;-1),MAX($P$8:P1895)+1,"")</f>
        <v/>
      </c>
      <c r="Q1896" s="24" t="str">
        <f ca="1">IF(AND(L1896&lt;&gt;-1,L1895=-1),MAX($Q$8:Q1895)+1,"")</f>
        <v/>
      </c>
    </row>
    <row r="1897" spans="1:17" x14ac:dyDescent="0.3">
      <c r="A1897" s="3">
        <v>42975</v>
      </c>
      <c r="B1897" s="9">
        <v>23.772110000000001</v>
      </c>
      <c r="C1897" s="9">
        <v>21.539793</v>
      </c>
      <c r="E1897" s="14">
        <f t="shared" si="207"/>
        <v>1.1036368826757064</v>
      </c>
      <c r="F1897" s="18">
        <f t="shared" ca="1" si="206"/>
        <v>-0.7246113400266101</v>
      </c>
      <c r="G1897" s="15">
        <f t="shared" ca="1" si="211"/>
        <v>1.1118391717504177</v>
      </c>
      <c r="H1897" s="15">
        <f t="shared" ca="1" si="212"/>
        <v>1.1319570398125575E-2</v>
      </c>
      <c r="J1897" s="17">
        <f t="shared" ca="1" si="208"/>
        <v>0</v>
      </c>
      <c r="K1897" s="24">
        <f t="shared" ca="1" si="209"/>
        <v>-1</v>
      </c>
      <c r="L1897" s="17">
        <f t="shared" ca="1" si="210"/>
        <v>-1</v>
      </c>
      <c r="N1897" s="24" t="str">
        <f ca="1">IF(AND(L1897=1,L1896&lt;&gt;1),MAX($N$8:N1896)+1,"")</f>
        <v/>
      </c>
      <c r="O1897" s="24" t="str">
        <f ca="1">IF(AND(L1897&lt;&gt;1,L1896=1),MAX($O$8:O1896)+1,"")</f>
        <v/>
      </c>
      <c r="P1897" s="17" t="str">
        <f ca="1">IF(AND(L1897=-1,L1896&lt;&gt;-1),MAX($P$8:P1896)+1,"")</f>
        <v/>
      </c>
      <c r="Q1897" s="24" t="str">
        <f ca="1">IF(AND(L1897&lt;&gt;-1,L1896=-1),MAX($Q$8:Q1896)+1,"")</f>
        <v/>
      </c>
    </row>
    <row r="1898" spans="1:17" x14ac:dyDescent="0.3">
      <c r="A1898" s="3">
        <v>42976</v>
      </c>
      <c r="B1898" s="9">
        <v>23.988054000000002</v>
      </c>
      <c r="C1898" s="9">
        <v>21.907146000000001</v>
      </c>
      <c r="E1898" s="14">
        <f t="shared" si="207"/>
        <v>1.0949876355413892</v>
      </c>
      <c r="F1898" s="18">
        <f t="shared" ca="1" si="206"/>
        <v>-1.3441115090571474</v>
      </c>
      <c r="G1898" s="15">
        <f t="shared" ca="1" si="211"/>
        <v>1.1107719155289961</v>
      </c>
      <c r="H1898" s="15">
        <f t="shared" ca="1" si="212"/>
        <v>1.174328162600072E-2</v>
      </c>
      <c r="J1898" s="17">
        <f t="shared" ca="1" si="208"/>
        <v>0</v>
      </c>
      <c r="K1898" s="24">
        <f t="shared" ca="1" si="209"/>
        <v>-1</v>
      </c>
      <c r="L1898" s="17">
        <f t="shared" ca="1" si="210"/>
        <v>-1</v>
      </c>
      <c r="N1898" s="24" t="str">
        <f ca="1">IF(AND(L1898=1,L1897&lt;&gt;1),MAX($N$8:N1897)+1,"")</f>
        <v/>
      </c>
      <c r="O1898" s="24" t="str">
        <f ca="1">IF(AND(L1898&lt;&gt;1,L1897=1),MAX($O$8:O1897)+1,"")</f>
        <v/>
      </c>
      <c r="P1898" s="17" t="str">
        <f ca="1">IF(AND(L1898=-1,L1897&lt;&gt;-1),MAX($P$8:P1897)+1,"")</f>
        <v/>
      </c>
      <c r="Q1898" s="24" t="str">
        <f ca="1">IF(AND(L1898&lt;&gt;-1,L1897=-1),MAX($Q$8:Q1897)+1,"")</f>
        <v/>
      </c>
    </row>
    <row r="1899" spans="1:17" x14ac:dyDescent="0.3">
      <c r="A1899" s="3">
        <v>42977</v>
      </c>
      <c r="B1899" s="9">
        <v>23.859681999999999</v>
      </c>
      <c r="C1899" s="9">
        <v>21.687989999999999</v>
      </c>
      <c r="E1899" s="14">
        <f t="shared" si="207"/>
        <v>1.1001333917988712</v>
      </c>
      <c r="F1899" s="18">
        <f t="shared" ca="1" si="206"/>
        <v>-0.8579484476483481</v>
      </c>
      <c r="G1899" s="15">
        <f t="shared" ca="1" si="211"/>
        <v>1.1103823069946848</v>
      </c>
      <c r="H1899" s="15">
        <f t="shared" ca="1" si="212"/>
        <v>1.1945840363609342E-2</v>
      </c>
      <c r="J1899" s="17">
        <f t="shared" ca="1" si="208"/>
        <v>0</v>
      </c>
      <c r="K1899" s="24">
        <f t="shared" ca="1" si="209"/>
        <v>-1</v>
      </c>
      <c r="L1899" s="17">
        <f t="shared" ca="1" si="210"/>
        <v>-1</v>
      </c>
      <c r="N1899" s="24" t="str">
        <f ca="1">IF(AND(L1899=1,L1898&lt;&gt;1),MAX($N$8:N1898)+1,"")</f>
        <v/>
      </c>
      <c r="O1899" s="24" t="str">
        <f ca="1">IF(AND(L1899&lt;&gt;1,L1898=1),MAX($O$8:O1898)+1,"")</f>
        <v/>
      </c>
      <c r="P1899" s="17" t="str">
        <f ca="1">IF(AND(L1899=-1,L1898&lt;&gt;-1),MAX($P$8:P1898)+1,"")</f>
        <v/>
      </c>
      <c r="Q1899" s="24" t="str">
        <f ca="1">IF(AND(L1899&lt;&gt;-1,L1898=-1),MAX($Q$8:Q1898)+1,"")</f>
        <v/>
      </c>
    </row>
    <row r="1900" spans="1:17" x14ac:dyDescent="0.3">
      <c r="A1900" s="3">
        <v>42978</v>
      </c>
      <c r="B1900" s="9">
        <v>23.556082</v>
      </c>
      <c r="C1900" s="9">
        <v>21.642900000000001</v>
      </c>
      <c r="E1900" s="14">
        <f t="shared" si="207"/>
        <v>1.0883976731399212</v>
      </c>
      <c r="F1900" s="18">
        <f t="shared" ca="1" si="206"/>
        <v>-1.6796396289682913</v>
      </c>
      <c r="G1900" s="15">
        <f t="shared" ca="1" si="211"/>
        <v>1.1084745442182322</v>
      </c>
      <c r="H1900" s="15">
        <f t="shared" ca="1" si="212"/>
        <v>1.1953082513683676E-2</v>
      </c>
      <c r="J1900" s="17">
        <f t="shared" ca="1" si="208"/>
        <v>0</v>
      </c>
      <c r="K1900" s="24">
        <f t="shared" ca="1" si="209"/>
        <v>-1</v>
      </c>
      <c r="L1900" s="17">
        <f t="shared" ca="1" si="210"/>
        <v>-1</v>
      </c>
      <c r="N1900" s="24" t="str">
        <f ca="1">IF(AND(L1900=1,L1899&lt;&gt;1),MAX($N$8:N1899)+1,"")</f>
        <v/>
      </c>
      <c r="O1900" s="24" t="str">
        <f ca="1">IF(AND(L1900&lt;&gt;1,L1899=1),MAX($O$8:O1899)+1,"")</f>
        <v/>
      </c>
      <c r="P1900" s="17" t="str">
        <f ca="1">IF(AND(L1900=-1,L1899&lt;&gt;-1),MAX($P$8:P1899)+1,"")</f>
        <v/>
      </c>
      <c r="Q1900" s="24" t="str">
        <f ca="1">IF(AND(L1900&lt;&gt;-1,L1899=-1),MAX($Q$8:Q1899)+1,"")</f>
        <v/>
      </c>
    </row>
    <row r="1901" spans="1:17" x14ac:dyDescent="0.3">
      <c r="A1901" s="3">
        <v>42979</v>
      </c>
      <c r="B1901" s="9">
        <v>24.049534000000001</v>
      </c>
      <c r="C1901" s="9">
        <v>22.094066999999999</v>
      </c>
      <c r="E1901" s="14">
        <f t="shared" si="207"/>
        <v>1.0885064302556882</v>
      </c>
      <c r="F1901" s="18">
        <f t="shared" ca="1" si="206"/>
        <v>-1.5253498480522312</v>
      </c>
      <c r="G1901" s="15">
        <f t="shared" ca="1" si="211"/>
        <v>1.1067376207508108</v>
      </c>
      <c r="H1901" s="15">
        <f t="shared" ca="1" si="212"/>
        <v>1.1952137090650169E-2</v>
      </c>
      <c r="J1901" s="17">
        <f t="shared" ca="1" si="208"/>
        <v>0</v>
      </c>
      <c r="K1901" s="24">
        <f t="shared" ca="1" si="209"/>
        <v>-1</v>
      </c>
      <c r="L1901" s="17">
        <f t="shared" ca="1" si="210"/>
        <v>-1</v>
      </c>
      <c r="N1901" s="24" t="str">
        <f ca="1">IF(AND(L1901=1,L1900&lt;&gt;1),MAX($N$8:N1900)+1,"")</f>
        <v/>
      </c>
      <c r="O1901" s="24" t="str">
        <f ca="1">IF(AND(L1901&lt;&gt;1,L1900=1),MAX($O$8:O1900)+1,"")</f>
        <v/>
      </c>
      <c r="P1901" s="17" t="str">
        <f ca="1">IF(AND(L1901=-1,L1900&lt;&gt;-1),MAX($P$8:P1900)+1,"")</f>
        <v/>
      </c>
      <c r="Q1901" s="24" t="str">
        <f ca="1">IF(AND(L1901&lt;&gt;-1,L1900=-1),MAX($Q$8:Q1900)+1,"")</f>
        <v/>
      </c>
    </row>
    <row r="1902" spans="1:17" x14ac:dyDescent="0.3">
      <c r="A1902" s="3">
        <v>42982</v>
      </c>
      <c r="B1902" s="9">
        <v>23.926897</v>
      </c>
      <c r="C1902" s="9">
        <v>22.085864999999998</v>
      </c>
      <c r="E1902" s="14">
        <f t="shared" si="207"/>
        <v>1.0833579305134755</v>
      </c>
      <c r="F1902" s="18">
        <f t="shared" ca="1" si="206"/>
        <v>-1.7568710061789807</v>
      </c>
      <c r="G1902" s="15">
        <f t="shared" ca="1" si="211"/>
        <v>1.1048688291206472</v>
      </c>
      <c r="H1902" s="15">
        <f t="shared" ca="1" si="212"/>
        <v>1.2243869089715222E-2</v>
      </c>
      <c r="J1902" s="17">
        <f t="shared" ca="1" si="208"/>
        <v>0</v>
      </c>
      <c r="K1902" s="24">
        <f t="shared" ca="1" si="209"/>
        <v>-1</v>
      </c>
      <c r="L1902" s="17">
        <f t="shared" ca="1" si="210"/>
        <v>-1</v>
      </c>
      <c r="N1902" s="24" t="str">
        <f ca="1">IF(AND(L1902=1,L1901&lt;&gt;1),MAX($N$8:N1901)+1,"")</f>
        <v/>
      </c>
      <c r="O1902" s="24" t="str">
        <f ca="1">IF(AND(L1902&lt;&gt;1,L1901=1),MAX($O$8:O1901)+1,"")</f>
        <v/>
      </c>
      <c r="P1902" s="17" t="str">
        <f ca="1">IF(AND(L1902=-1,L1901&lt;&gt;-1),MAX($P$8:P1901)+1,"")</f>
        <v/>
      </c>
      <c r="Q1902" s="24" t="str">
        <f ca="1">IF(AND(L1902&lt;&gt;-1,L1901=-1),MAX($Q$8:Q1901)+1,"")</f>
        <v/>
      </c>
    </row>
    <row r="1903" spans="1:17" x14ac:dyDescent="0.3">
      <c r="A1903" s="3">
        <v>42983</v>
      </c>
      <c r="B1903" s="9">
        <v>23.938637</v>
      </c>
      <c r="C1903" s="9">
        <v>21.769897</v>
      </c>
      <c r="E1903" s="14">
        <f t="shared" si="207"/>
        <v>1.0996210501133745</v>
      </c>
      <c r="F1903" s="18">
        <f t="shared" ca="1" si="206"/>
        <v>-0.36442275621594034</v>
      </c>
      <c r="G1903" s="15">
        <f t="shared" ca="1" si="211"/>
        <v>1.1039201474832288</v>
      </c>
      <c r="H1903" s="15">
        <f t="shared" ca="1" si="212"/>
        <v>1.1797005803081032E-2</v>
      </c>
      <c r="J1903" s="17">
        <f t="shared" ca="1" si="208"/>
        <v>0</v>
      </c>
      <c r="K1903" s="24">
        <f t="shared" ca="1" si="209"/>
        <v>-1</v>
      </c>
      <c r="L1903" s="17">
        <f t="shared" ca="1" si="210"/>
        <v>-1</v>
      </c>
      <c r="N1903" s="24" t="str">
        <f ca="1">IF(AND(L1903=1,L1902&lt;&gt;1),MAX($N$8:N1902)+1,"")</f>
        <v/>
      </c>
      <c r="O1903" s="24" t="str">
        <f ca="1">IF(AND(L1903&lt;&gt;1,L1902=1),MAX($O$8:O1902)+1,"")</f>
        <v/>
      </c>
      <c r="P1903" s="17" t="str">
        <f ca="1">IF(AND(L1903=-1,L1902&lt;&gt;-1),MAX($P$8:P1902)+1,"")</f>
        <v/>
      </c>
      <c r="Q1903" s="24" t="str">
        <f ca="1">IF(AND(L1903&lt;&gt;-1,L1902=-1),MAX($Q$8:Q1902)+1,"")</f>
        <v/>
      </c>
    </row>
    <row r="1904" spans="1:17" x14ac:dyDescent="0.3">
      <c r="A1904" s="3">
        <v>42984</v>
      </c>
      <c r="B1904" s="9">
        <v>24.581016999999999</v>
      </c>
      <c r="C1904" s="9">
        <v>22.098713</v>
      </c>
      <c r="E1904" s="14">
        <f t="shared" si="207"/>
        <v>1.1123279894173022</v>
      </c>
      <c r="F1904" s="18">
        <f t="shared" ca="1" si="206"/>
        <v>0.81464138834967037</v>
      </c>
      <c r="G1904" s="15">
        <f t="shared" ca="1" si="211"/>
        <v>1.1033407912142525</v>
      </c>
      <c r="H1904" s="15">
        <f t="shared" ca="1" si="212"/>
        <v>1.103209133684724E-2</v>
      </c>
      <c r="J1904" s="17">
        <f t="shared" ca="1" si="208"/>
        <v>0</v>
      </c>
      <c r="K1904" s="24">
        <f t="shared" ca="1" si="209"/>
        <v>0</v>
      </c>
      <c r="L1904" s="17">
        <f t="shared" ca="1" si="210"/>
        <v>0</v>
      </c>
      <c r="N1904" s="24" t="str">
        <f ca="1">IF(AND(L1904=1,L1903&lt;&gt;1),MAX($N$8:N1903)+1,"")</f>
        <v/>
      </c>
      <c r="O1904" s="24" t="str">
        <f ca="1">IF(AND(L1904&lt;&gt;1,L1903=1),MAX($O$8:O1903)+1,"")</f>
        <v/>
      </c>
      <c r="P1904" s="17" t="str">
        <f ca="1">IF(AND(L1904=-1,L1903&lt;&gt;-1),MAX($P$8:P1903)+1,"")</f>
        <v/>
      </c>
      <c r="Q1904" s="24">
        <f ca="1">IF(AND(L1904&lt;&gt;-1,L1903=-1),MAX($Q$8:Q1903)+1,"")</f>
        <v>70</v>
      </c>
    </row>
    <row r="1905" spans="1:17" x14ac:dyDescent="0.3">
      <c r="A1905" s="3">
        <v>42986</v>
      </c>
      <c r="B1905" s="9">
        <v>24.551843999999999</v>
      </c>
      <c r="C1905" s="9">
        <v>21.924644000000001</v>
      </c>
      <c r="E1905" s="14">
        <f t="shared" si="207"/>
        <v>1.1198286275480687</v>
      </c>
      <c r="F1905" s="18">
        <f t="shared" ca="1" si="206"/>
        <v>1.6128878951177097</v>
      </c>
      <c r="G1905" s="15">
        <f t="shared" ca="1" si="211"/>
        <v>1.1030174422812331</v>
      </c>
      <c r="H1905" s="15">
        <f t="shared" ca="1" si="212"/>
        <v>1.0423033936657245E-2</v>
      </c>
      <c r="J1905" s="17">
        <f t="shared" ca="1" si="208"/>
        <v>1</v>
      </c>
      <c r="K1905" s="24">
        <f t="shared" ca="1" si="209"/>
        <v>0</v>
      </c>
      <c r="L1905" s="17">
        <f t="shared" ca="1" si="210"/>
        <v>1</v>
      </c>
      <c r="N1905" s="24">
        <f ca="1">IF(AND(L1905=1,L1904&lt;&gt;1),MAX($N$8:N1904)+1,"")</f>
        <v>62</v>
      </c>
      <c r="O1905" s="24" t="str">
        <f ca="1">IF(AND(L1905&lt;&gt;1,L1904=1),MAX($O$8:O1904)+1,"")</f>
        <v/>
      </c>
      <c r="P1905" s="17" t="str">
        <f ca="1">IF(AND(L1905=-1,L1904&lt;&gt;-1),MAX($P$8:P1904)+1,"")</f>
        <v/>
      </c>
      <c r="Q1905" s="24" t="str">
        <f ca="1">IF(AND(L1905&lt;&gt;-1,L1904=-1),MAX($Q$8:Q1904)+1,"")</f>
        <v/>
      </c>
    </row>
    <row r="1906" spans="1:17" x14ac:dyDescent="0.3">
      <c r="A1906" s="3">
        <v>42989</v>
      </c>
      <c r="B1906" s="9">
        <v>24.966464999999999</v>
      </c>
      <c r="C1906" s="9">
        <v>22.769366999999999</v>
      </c>
      <c r="E1906" s="14">
        <f t="shared" si="207"/>
        <v>1.0964935915873288</v>
      </c>
      <c r="F1906" s="18">
        <f t="shared" ca="1" si="206"/>
        <v>-0.55587600518108304</v>
      </c>
      <c r="G1906" s="15">
        <f t="shared" ca="1" si="211"/>
        <v>1.1019872980256247</v>
      </c>
      <c r="H1906" s="15">
        <f t="shared" ca="1" si="212"/>
        <v>9.8829709990921315E-3</v>
      </c>
      <c r="J1906" s="17">
        <f t="shared" ca="1" si="208"/>
        <v>0</v>
      </c>
      <c r="K1906" s="24">
        <f t="shared" ca="1" si="209"/>
        <v>0</v>
      </c>
      <c r="L1906" s="17">
        <f t="shared" ca="1" si="210"/>
        <v>0</v>
      </c>
      <c r="N1906" s="24" t="str">
        <f ca="1">IF(AND(L1906=1,L1905&lt;&gt;1),MAX($N$8:N1905)+1,"")</f>
        <v/>
      </c>
      <c r="O1906" s="24">
        <f ca="1">IF(AND(L1906&lt;&gt;1,L1905=1),MAX($O$8:O1905)+1,"")</f>
        <v>62</v>
      </c>
      <c r="P1906" s="17" t="str">
        <f ca="1">IF(AND(L1906=-1,L1905&lt;&gt;-1),MAX($P$8:P1905)+1,"")</f>
        <v/>
      </c>
      <c r="Q1906" s="24" t="str">
        <f ca="1">IF(AND(L1906&lt;&gt;-1,L1905=-1),MAX($Q$8:Q1905)+1,"")</f>
        <v/>
      </c>
    </row>
    <row r="1907" spans="1:17" x14ac:dyDescent="0.3">
      <c r="A1907" s="3">
        <v>42990</v>
      </c>
      <c r="B1907" s="9">
        <v>24.896384999999999</v>
      </c>
      <c r="C1907" s="9">
        <v>22.737107999999999</v>
      </c>
      <c r="E1907" s="14">
        <f t="shared" si="207"/>
        <v>1.0949670908015214</v>
      </c>
      <c r="F1907" s="18">
        <f t="shared" ca="1" si="206"/>
        <v>-0.63897529819754428</v>
      </c>
      <c r="G1907" s="15">
        <f t="shared" ca="1" si="211"/>
        <v>1.1010509071704666</v>
      </c>
      <c r="H1907" s="15">
        <f t="shared" ca="1" si="212"/>
        <v>9.5212074490308579E-3</v>
      </c>
      <c r="J1907" s="17">
        <f t="shared" ca="1" si="208"/>
        <v>0</v>
      </c>
      <c r="K1907" s="24">
        <f t="shared" ca="1" si="209"/>
        <v>0</v>
      </c>
      <c r="L1907" s="17">
        <f t="shared" ca="1" si="210"/>
        <v>0</v>
      </c>
      <c r="N1907" s="24" t="str">
        <f ca="1">IF(AND(L1907=1,L1906&lt;&gt;1),MAX($N$8:N1906)+1,"")</f>
        <v/>
      </c>
      <c r="O1907" s="24" t="str">
        <f ca="1">IF(AND(L1907&lt;&gt;1,L1906=1),MAX($O$8:O1906)+1,"")</f>
        <v/>
      </c>
      <c r="P1907" s="17" t="str">
        <f ca="1">IF(AND(L1907=-1,L1906&lt;&gt;-1),MAX($P$8:P1906)+1,"")</f>
        <v/>
      </c>
      <c r="Q1907" s="24" t="str">
        <f ca="1">IF(AND(L1907&lt;&gt;-1,L1906=-1),MAX($Q$8:Q1906)+1,"")</f>
        <v/>
      </c>
    </row>
    <row r="1908" spans="1:17" x14ac:dyDescent="0.3">
      <c r="A1908" s="3">
        <v>42991</v>
      </c>
      <c r="B1908" s="9">
        <v>25.071584999999999</v>
      </c>
      <c r="C1908" s="9">
        <v>22.833888999999999</v>
      </c>
      <c r="E1908" s="14">
        <f t="shared" si="207"/>
        <v>1.0979988997931978</v>
      </c>
      <c r="F1908" s="18">
        <f t="shared" ca="1" si="206"/>
        <v>-0.2637664397997963</v>
      </c>
      <c r="G1908" s="15">
        <f t="shared" ca="1" si="211"/>
        <v>1.1004430577840203</v>
      </c>
      <c r="H1908" s="15">
        <f t="shared" ca="1" si="212"/>
        <v>9.2663721460459463E-3</v>
      </c>
      <c r="J1908" s="17">
        <f t="shared" ca="1" si="208"/>
        <v>0</v>
      </c>
      <c r="K1908" s="24">
        <f t="shared" ca="1" si="209"/>
        <v>0</v>
      </c>
      <c r="L1908" s="17">
        <f t="shared" ca="1" si="210"/>
        <v>0</v>
      </c>
      <c r="N1908" s="24" t="str">
        <f ca="1">IF(AND(L1908=1,L1907&lt;&gt;1),MAX($N$8:N1907)+1,"")</f>
        <v/>
      </c>
      <c r="O1908" s="24" t="str">
        <f ca="1">IF(AND(L1908&lt;&gt;1,L1907=1),MAX($O$8:O1907)+1,"")</f>
        <v/>
      </c>
      <c r="P1908" s="17" t="str">
        <f ca="1">IF(AND(L1908=-1,L1907&lt;&gt;-1),MAX($P$8:P1907)+1,"")</f>
        <v/>
      </c>
      <c r="Q1908" s="24" t="str">
        <f ca="1">IF(AND(L1908&lt;&gt;-1,L1907=-1),MAX($Q$8:Q1907)+1,"")</f>
        <v/>
      </c>
    </row>
    <row r="1909" spans="1:17" x14ac:dyDescent="0.3">
      <c r="A1909" s="3">
        <v>42992</v>
      </c>
      <c r="B1909" s="9">
        <v>25.013161</v>
      </c>
      <c r="C1909" s="9">
        <v>22.659731000000001</v>
      </c>
      <c r="E1909" s="14">
        <f t="shared" si="207"/>
        <v>1.103859573619828</v>
      </c>
      <c r="F1909" s="18">
        <f t="shared" ca="1" si="206"/>
        <v>0.40344190903384836</v>
      </c>
      <c r="G1909" s="15">
        <f t="shared" ca="1" si="211"/>
        <v>1.1001910632756207</v>
      </c>
      <c r="H1909" s="15">
        <f t="shared" ca="1" si="212"/>
        <v>9.0930323847430508E-3</v>
      </c>
      <c r="J1909" s="17">
        <f t="shared" ca="1" si="208"/>
        <v>0</v>
      </c>
      <c r="K1909" s="24">
        <f t="shared" ca="1" si="209"/>
        <v>0</v>
      </c>
      <c r="L1909" s="17">
        <f t="shared" ca="1" si="210"/>
        <v>0</v>
      </c>
      <c r="N1909" s="24" t="str">
        <f ca="1">IF(AND(L1909=1,L1908&lt;&gt;1),MAX($N$8:N1908)+1,"")</f>
        <v/>
      </c>
      <c r="O1909" s="24" t="str">
        <f ca="1">IF(AND(L1909&lt;&gt;1,L1908=1),MAX($O$8:O1908)+1,"")</f>
        <v/>
      </c>
      <c r="P1909" s="17" t="str">
        <f ca="1">IF(AND(L1909=-1,L1908&lt;&gt;-1),MAX($P$8:P1908)+1,"")</f>
        <v/>
      </c>
      <c r="Q1909" s="24" t="str">
        <f ca="1">IF(AND(L1909&lt;&gt;-1,L1908=-1),MAX($Q$8:Q1908)+1,"")</f>
        <v/>
      </c>
    </row>
    <row r="1910" spans="1:17" x14ac:dyDescent="0.3">
      <c r="A1910" s="3">
        <v>42993</v>
      </c>
      <c r="B1910" s="9">
        <v>25.480422999999998</v>
      </c>
      <c r="C1910" s="9">
        <v>23.143374999999999</v>
      </c>
      <c r="E1910" s="14">
        <f t="shared" si="207"/>
        <v>1.1009812959432235</v>
      </c>
      <c r="F1910" s="18">
        <f t="shared" ca="1" si="206"/>
        <v>0.14418338408801495</v>
      </c>
      <c r="G1910" s="15">
        <f t="shared" ca="1" si="211"/>
        <v>1.0997178584145137</v>
      </c>
      <c r="H1910" s="15">
        <f t="shared" ca="1" si="212"/>
        <v>8.7627124075439333E-3</v>
      </c>
      <c r="J1910" s="17">
        <f t="shared" ca="1" si="208"/>
        <v>0</v>
      </c>
      <c r="K1910" s="24">
        <f t="shared" ca="1" si="209"/>
        <v>0</v>
      </c>
      <c r="L1910" s="17">
        <f t="shared" ca="1" si="210"/>
        <v>0</v>
      </c>
      <c r="N1910" s="24" t="str">
        <f ca="1">IF(AND(L1910=1,L1909&lt;&gt;1),MAX($N$8:N1909)+1,"")</f>
        <v/>
      </c>
      <c r="O1910" s="24" t="str">
        <f ca="1">IF(AND(L1910&lt;&gt;1,L1909=1),MAX($O$8:O1909)+1,"")</f>
        <v/>
      </c>
      <c r="P1910" s="17" t="str">
        <f ca="1">IF(AND(L1910=-1,L1909&lt;&gt;-1),MAX($P$8:P1909)+1,"")</f>
        <v/>
      </c>
      <c r="Q1910" s="24" t="str">
        <f ca="1">IF(AND(L1910&lt;&gt;-1,L1909=-1),MAX($Q$8:Q1909)+1,"")</f>
        <v/>
      </c>
    </row>
    <row r="1911" spans="1:17" x14ac:dyDescent="0.3">
      <c r="A1911" s="3">
        <v>42996</v>
      </c>
      <c r="B1911" s="9">
        <v>25.661408999999999</v>
      </c>
      <c r="C1911" s="9">
        <v>23.343245</v>
      </c>
      <c r="E1911" s="14">
        <f t="shared" si="207"/>
        <v>1.0993077012214882</v>
      </c>
      <c r="F1911" s="18">
        <f t="shared" ca="1" si="206"/>
        <v>2.9288645721689262E-2</v>
      </c>
      <c r="G1911" s="15">
        <f t="shared" ca="1" si="211"/>
        <v>1.0990669384670293</v>
      </c>
      <c r="H1911" s="15">
        <f t="shared" ca="1" si="212"/>
        <v>8.2203443869257511E-3</v>
      </c>
      <c r="J1911" s="17">
        <f t="shared" ca="1" si="208"/>
        <v>0</v>
      </c>
      <c r="K1911" s="24">
        <f t="shared" ca="1" si="209"/>
        <v>0</v>
      </c>
      <c r="L1911" s="17">
        <f t="shared" ca="1" si="210"/>
        <v>0</v>
      </c>
      <c r="N1911" s="24" t="str">
        <f ca="1">IF(AND(L1911=1,L1910&lt;&gt;1),MAX($N$8:N1910)+1,"")</f>
        <v/>
      </c>
      <c r="O1911" s="24" t="str">
        <f ca="1">IF(AND(L1911&lt;&gt;1,L1910=1),MAX($O$8:O1910)+1,"")</f>
        <v/>
      </c>
      <c r="P1911" s="17" t="str">
        <f ca="1">IF(AND(L1911=-1,L1910&lt;&gt;-1),MAX($P$8:P1910)+1,"")</f>
        <v/>
      </c>
      <c r="Q1911" s="24" t="str">
        <f ca="1">IF(AND(L1911&lt;&gt;-1,L1910=-1),MAX($Q$8:Q1910)+1,"")</f>
        <v/>
      </c>
    </row>
    <row r="1912" spans="1:17" x14ac:dyDescent="0.3">
      <c r="A1912" s="3">
        <v>42997</v>
      </c>
      <c r="B1912" s="9">
        <v>25.568027000000001</v>
      </c>
      <c r="C1912" s="9">
        <v>23.414227</v>
      </c>
      <c r="E1912" s="14">
        <f t="shared" si="207"/>
        <v>1.0919868078497745</v>
      </c>
      <c r="F1912" s="18">
        <f t="shared" ca="1" si="206"/>
        <v>-0.79326905991512697</v>
      </c>
      <c r="G1912" s="15">
        <f t="shared" ca="1" si="211"/>
        <v>1.0980679435477974</v>
      </c>
      <c r="H1912" s="15">
        <f t="shared" ca="1" si="212"/>
        <v>7.665918167378734E-3</v>
      </c>
      <c r="J1912" s="17">
        <f t="shared" ca="1" si="208"/>
        <v>0</v>
      </c>
      <c r="K1912" s="24">
        <f t="shared" ca="1" si="209"/>
        <v>0</v>
      </c>
      <c r="L1912" s="17">
        <f t="shared" ca="1" si="210"/>
        <v>0</v>
      </c>
      <c r="N1912" s="24" t="str">
        <f ca="1">IF(AND(L1912=1,L1911&lt;&gt;1),MAX($N$8:N1911)+1,"")</f>
        <v/>
      </c>
      <c r="O1912" s="24" t="str">
        <f ca="1">IF(AND(L1912&lt;&gt;1,L1911=1),MAX($O$8:O1911)+1,"")</f>
        <v/>
      </c>
      <c r="P1912" s="17" t="str">
        <f ca="1">IF(AND(L1912=-1,L1911&lt;&gt;-1),MAX($P$8:P1911)+1,"")</f>
        <v/>
      </c>
      <c r="Q1912" s="24" t="str">
        <f ca="1">IF(AND(L1912&lt;&gt;-1,L1911=-1),MAX($Q$8:Q1911)+1,"")</f>
        <v/>
      </c>
    </row>
    <row r="1913" spans="1:17" x14ac:dyDescent="0.3">
      <c r="A1913" s="3">
        <v>42998</v>
      </c>
      <c r="B1913" s="9">
        <v>25.299356</v>
      </c>
      <c r="C1913" s="9">
        <v>23.278804999999998</v>
      </c>
      <c r="E1913" s="14">
        <f t="shared" si="207"/>
        <v>1.0867978833105909</v>
      </c>
      <c r="F1913" s="18">
        <f t="shared" ca="1" si="206"/>
        <v>-1.3290098420624823</v>
      </c>
      <c r="G1913" s="15">
        <f t="shared" ca="1" si="211"/>
        <v>1.0973755218119619</v>
      </c>
      <c r="H1913" s="15">
        <f t="shared" ca="1" si="212"/>
        <v>7.9590369962614961E-3</v>
      </c>
      <c r="J1913" s="17">
        <f t="shared" ca="1" si="208"/>
        <v>0</v>
      </c>
      <c r="K1913" s="24">
        <f t="shared" ca="1" si="209"/>
        <v>-1</v>
      </c>
      <c r="L1913" s="17">
        <f t="shared" ca="1" si="210"/>
        <v>-1</v>
      </c>
      <c r="N1913" s="24" t="str">
        <f ca="1">IF(AND(L1913=1,L1912&lt;&gt;1),MAX($N$8:N1912)+1,"")</f>
        <v/>
      </c>
      <c r="O1913" s="24" t="str">
        <f ca="1">IF(AND(L1913&lt;&gt;1,L1912=1),MAX($O$8:O1912)+1,"")</f>
        <v/>
      </c>
      <c r="P1913" s="17">
        <f ca="1">IF(AND(L1913=-1,L1912&lt;&gt;-1),MAX($P$8:P1912)+1,"")</f>
        <v>71</v>
      </c>
      <c r="Q1913" s="24" t="str">
        <f ca="1">IF(AND(L1913&lt;&gt;-1,L1912=-1),MAX($Q$8:Q1912)+1,"")</f>
        <v/>
      </c>
    </row>
    <row r="1914" spans="1:17" x14ac:dyDescent="0.3">
      <c r="A1914" s="3">
        <v>42999</v>
      </c>
      <c r="B1914" s="9">
        <v>25.334391</v>
      </c>
      <c r="C1914" s="9">
        <v>23.285273</v>
      </c>
      <c r="E1914" s="14">
        <f t="shared" si="207"/>
        <v>1.0880006002076934</v>
      </c>
      <c r="F1914" s="18">
        <f t="shared" ca="1" si="206"/>
        <v>-1.111370711469178</v>
      </c>
      <c r="G1914" s="15">
        <f t="shared" ca="1" si="211"/>
        <v>1.0970868444885276</v>
      </c>
      <c r="H1914" s="15">
        <f t="shared" ca="1" si="212"/>
        <v>8.1757096773070279E-3</v>
      </c>
      <c r="J1914" s="17">
        <f t="shared" ca="1" si="208"/>
        <v>0</v>
      </c>
      <c r="K1914" s="24">
        <f t="shared" ca="1" si="209"/>
        <v>-1</v>
      </c>
      <c r="L1914" s="17">
        <f t="shared" ca="1" si="210"/>
        <v>-1</v>
      </c>
      <c r="N1914" s="24" t="str">
        <f ca="1">IF(AND(L1914=1,L1913&lt;&gt;1),MAX($N$8:N1913)+1,"")</f>
        <v/>
      </c>
      <c r="O1914" s="24" t="str">
        <f ca="1">IF(AND(L1914&lt;&gt;1,L1913=1),MAX($O$8:O1913)+1,"")</f>
        <v/>
      </c>
      <c r="P1914" s="17" t="str">
        <f ca="1">IF(AND(L1914=-1,L1913&lt;&gt;-1),MAX($P$8:P1913)+1,"")</f>
        <v/>
      </c>
      <c r="Q1914" s="24" t="str">
        <f ca="1">IF(AND(L1914&lt;&gt;-1,L1913=-1),MAX($Q$8:Q1913)+1,"")</f>
        <v/>
      </c>
    </row>
    <row r="1915" spans="1:17" x14ac:dyDescent="0.3">
      <c r="A1915" s="3">
        <v>43000</v>
      </c>
      <c r="B1915" s="9">
        <v>25.421993000000001</v>
      </c>
      <c r="C1915" s="9">
        <v>23.227228</v>
      </c>
      <c r="E1915" s="14">
        <f t="shared" si="207"/>
        <v>1.0944910430121064</v>
      </c>
      <c r="F1915" s="18">
        <f t="shared" ca="1" si="206"/>
        <v>-0.32762868319793959</v>
      </c>
      <c r="G1915" s="15">
        <f t="shared" ca="1" si="211"/>
        <v>1.0971596116102289</v>
      </c>
      <c r="H1915" s="15">
        <f t="shared" ca="1" si="212"/>
        <v>8.1451006428220462E-3</v>
      </c>
      <c r="J1915" s="17">
        <f t="shared" ca="1" si="208"/>
        <v>0</v>
      </c>
      <c r="K1915" s="24">
        <f t="shared" ca="1" si="209"/>
        <v>-1</v>
      </c>
      <c r="L1915" s="17">
        <f t="shared" ca="1" si="210"/>
        <v>-1</v>
      </c>
      <c r="N1915" s="24" t="str">
        <f ca="1">IF(AND(L1915=1,L1914&lt;&gt;1),MAX($N$8:N1914)+1,"")</f>
        <v/>
      </c>
      <c r="O1915" s="24" t="str">
        <f ca="1">IF(AND(L1915&lt;&gt;1,L1914=1),MAX($O$8:O1914)+1,"")</f>
        <v/>
      </c>
      <c r="P1915" s="17" t="str">
        <f ca="1">IF(AND(L1915=-1,L1914&lt;&gt;-1),MAX($P$8:P1914)+1,"")</f>
        <v/>
      </c>
      <c r="Q1915" s="24" t="str">
        <f ca="1">IF(AND(L1915&lt;&gt;-1,L1914=-1),MAX($Q$8:Q1914)+1,"")</f>
        <v/>
      </c>
    </row>
    <row r="1916" spans="1:17" x14ac:dyDescent="0.3">
      <c r="A1916" s="3">
        <v>43003</v>
      </c>
      <c r="B1916" s="9">
        <v>25.170836999999999</v>
      </c>
      <c r="C1916" s="9">
        <v>22.833888999999999</v>
      </c>
      <c r="E1916" s="14">
        <f t="shared" si="207"/>
        <v>1.1023455969326994</v>
      </c>
      <c r="F1916" s="18">
        <f t="shared" ca="1" si="206"/>
        <v>0.59161725054375902</v>
      </c>
      <c r="G1916" s="15">
        <f t="shared" ca="1" si="211"/>
        <v>1.0974944461294209</v>
      </c>
      <c r="H1916" s="15">
        <f t="shared" ca="1" si="212"/>
        <v>8.1998129682996027E-3</v>
      </c>
      <c r="J1916" s="17">
        <f t="shared" ca="1" si="208"/>
        <v>0</v>
      </c>
      <c r="K1916" s="24">
        <f t="shared" ca="1" si="209"/>
        <v>0</v>
      </c>
      <c r="L1916" s="17">
        <f t="shared" ca="1" si="210"/>
        <v>0</v>
      </c>
      <c r="N1916" s="24" t="str">
        <f ca="1">IF(AND(L1916=1,L1915&lt;&gt;1),MAX($N$8:N1915)+1,"")</f>
        <v/>
      </c>
      <c r="O1916" s="24" t="str">
        <f ca="1">IF(AND(L1916&lt;&gt;1,L1915=1),MAX($O$8:O1915)+1,"")</f>
        <v/>
      </c>
      <c r="P1916" s="17" t="str">
        <f ca="1">IF(AND(L1916=-1,L1915&lt;&gt;-1),MAX($P$8:P1915)+1,"")</f>
        <v/>
      </c>
      <c r="Q1916" s="24">
        <f ca="1">IF(AND(L1916&lt;&gt;-1,L1915=-1),MAX($Q$8:Q1915)+1,"")</f>
        <v>71</v>
      </c>
    </row>
    <row r="1917" spans="1:17" x14ac:dyDescent="0.3">
      <c r="A1917" s="3">
        <v>43004</v>
      </c>
      <c r="B1917" s="9">
        <v>25.217611000000002</v>
      </c>
      <c r="C1917" s="9">
        <v>22.808095999999999</v>
      </c>
      <c r="E1917" s="14">
        <f t="shared" si="207"/>
        <v>1.1056429699348864</v>
      </c>
      <c r="F1917" s="18">
        <f t="shared" ca="1" si="206"/>
        <v>0.94750415375777497</v>
      </c>
      <c r="G1917" s="15">
        <f t="shared" ca="1" si="211"/>
        <v>1.0977276669599201</v>
      </c>
      <c r="H1917" s="15">
        <f t="shared" ca="1" si="212"/>
        <v>8.3538451452423428E-3</v>
      </c>
      <c r="J1917" s="17">
        <f t="shared" ca="1" si="208"/>
        <v>0</v>
      </c>
      <c r="K1917" s="24">
        <f t="shared" ca="1" si="209"/>
        <v>0</v>
      </c>
      <c r="L1917" s="17">
        <f t="shared" ca="1" si="210"/>
        <v>0</v>
      </c>
      <c r="N1917" s="24" t="str">
        <f ca="1">IF(AND(L1917=1,L1916&lt;&gt;1),MAX($N$8:N1916)+1,"")</f>
        <v/>
      </c>
      <c r="O1917" s="24" t="str">
        <f ca="1">IF(AND(L1917&lt;&gt;1,L1916=1),MAX($O$8:O1916)+1,"")</f>
        <v/>
      </c>
      <c r="P1917" s="17" t="str">
        <f ca="1">IF(AND(L1917=-1,L1916&lt;&gt;-1),MAX($P$8:P1916)+1,"")</f>
        <v/>
      </c>
      <c r="Q1917" s="24" t="str">
        <f ca="1">IF(AND(L1917&lt;&gt;-1,L1916=-1),MAX($Q$8:Q1916)+1,"")</f>
        <v/>
      </c>
    </row>
    <row r="1918" spans="1:17" x14ac:dyDescent="0.3">
      <c r="A1918" s="3">
        <v>43005</v>
      </c>
      <c r="B1918" s="9">
        <v>25.235137999999999</v>
      </c>
      <c r="C1918" s="9">
        <v>22.569502</v>
      </c>
      <c r="E1918" s="14">
        <f t="shared" si="207"/>
        <v>1.118107878499047</v>
      </c>
      <c r="F1918" s="18">
        <f t="shared" ca="1" si="206"/>
        <v>2.071773082727721</v>
      </c>
      <c r="G1918" s="15">
        <f t="shared" ca="1" si="211"/>
        <v>1.0987172065325994</v>
      </c>
      <c r="H1918" s="15">
        <f t="shared" ca="1" si="212"/>
        <v>9.359457427122098E-3</v>
      </c>
      <c r="J1918" s="17">
        <f t="shared" ca="1" si="208"/>
        <v>1</v>
      </c>
      <c r="K1918" s="24">
        <f t="shared" ca="1" si="209"/>
        <v>0</v>
      </c>
      <c r="L1918" s="17">
        <f t="shared" ca="1" si="210"/>
        <v>1</v>
      </c>
      <c r="N1918" s="24">
        <f ca="1">IF(AND(L1918=1,L1917&lt;&gt;1),MAX($N$8:N1917)+1,"")</f>
        <v>63</v>
      </c>
      <c r="O1918" s="24" t="str">
        <f ca="1">IF(AND(L1918&lt;&gt;1,L1917=1),MAX($O$8:O1917)+1,"")</f>
        <v/>
      </c>
      <c r="P1918" s="17" t="str">
        <f ca="1">IF(AND(L1918=-1,L1917&lt;&gt;-1),MAX($P$8:P1917)+1,"")</f>
        <v/>
      </c>
      <c r="Q1918" s="24" t="str">
        <f ca="1">IF(AND(L1918&lt;&gt;-1,L1917=-1),MAX($Q$8:Q1917)+1,"")</f>
        <v/>
      </c>
    </row>
    <row r="1919" spans="1:17" x14ac:dyDescent="0.3">
      <c r="A1919" s="3">
        <v>43006</v>
      </c>
      <c r="B1919" s="9">
        <v>25.100757999999999</v>
      </c>
      <c r="C1919" s="9">
        <v>22.285717000000002</v>
      </c>
      <c r="E1919" s="14">
        <f t="shared" si="207"/>
        <v>1.12631592692306</v>
      </c>
      <c r="F1919" s="18">
        <f t="shared" ca="1" si="206"/>
        <v>2.4247076656698772</v>
      </c>
      <c r="G1919" s="15">
        <f t="shared" ca="1" si="211"/>
        <v>1.099748072180206</v>
      </c>
      <c r="H1919" s="15">
        <f t="shared" ca="1" si="212"/>
        <v>1.0957137274325448E-2</v>
      </c>
      <c r="J1919" s="17">
        <f t="shared" ca="1" si="208"/>
        <v>1</v>
      </c>
      <c r="K1919" s="24">
        <f t="shared" ca="1" si="209"/>
        <v>0</v>
      </c>
      <c r="L1919" s="17">
        <f t="shared" ca="1" si="210"/>
        <v>1</v>
      </c>
      <c r="N1919" s="24" t="str">
        <f ca="1">IF(AND(L1919=1,L1918&lt;&gt;1),MAX($N$8:N1918)+1,"")</f>
        <v/>
      </c>
      <c r="O1919" s="24" t="str">
        <f ca="1">IF(AND(L1919&lt;&gt;1,L1918=1),MAX($O$8:O1918)+1,"")</f>
        <v/>
      </c>
      <c r="P1919" s="17" t="str">
        <f ca="1">IF(AND(L1919=-1,L1918&lt;&gt;-1),MAX($P$8:P1918)+1,"")</f>
        <v/>
      </c>
      <c r="Q1919" s="24" t="str">
        <f ca="1">IF(AND(L1919&lt;&gt;-1,L1918=-1),MAX($Q$8:Q1918)+1,"")</f>
        <v/>
      </c>
    </row>
    <row r="1920" spans="1:17" x14ac:dyDescent="0.3">
      <c r="A1920" s="3">
        <v>43007</v>
      </c>
      <c r="B1920" s="9">
        <v>25.316873999999999</v>
      </c>
      <c r="C1920" s="9">
        <v>22.601679000000001</v>
      </c>
      <c r="E1920" s="14">
        <f t="shared" si="207"/>
        <v>1.1201324467974259</v>
      </c>
      <c r="F1920" s="18">
        <f t="shared" ca="1" si="206"/>
        <v>1.6462519773095032</v>
      </c>
      <c r="G1920" s="15">
        <f t="shared" ca="1" si="211"/>
        <v>1.1008910181463898</v>
      </c>
      <c r="H1920" s="15">
        <f t="shared" ca="1" si="212"/>
        <v>1.1688021588580047E-2</v>
      </c>
      <c r="J1920" s="17">
        <f t="shared" ca="1" si="208"/>
        <v>1</v>
      </c>
      <c r="K1920" s="24">
        <f t="shared" ca="1" si="209"/>
        <v>0</v>
      </c>
      <c r="L1920" s="17">
        <f t="shared" ca="1" si="210"/>
        <v>1</v>
      </c>
      <c r="N1920" s="24" t="str">
        <f ca="1">IF(AND(L1920=1,L1919&lt;&gt;1),MAX($N$8:N1919)+1,"")</f>
        <v/>
      </c>
      <c r="O1920" s="24" t="str">
        <f ca="1">IF(AND(L1920&lt;&gt;1,L1919=1),MAX($O$8:O1919)+1,"")</f>
        <v/>
      </c>
      <c r="P1920" s="17" t="str">
        <f ca="1">IF(AND(L1920=-1,L1919&lt;&gt;-1),MAX($P$8:P1919)+1,"")</f>
        <v/>
      </c>
      <c r="Q1920" s="24" t="str">
        <f ca="1">IF(AND(L1920&lt;&gt;-1,L1919=-1),MAX($Q$8:Q1919)+1,"")</f>
        <v/>
      </c>
    </row>
    <row r="1921" spans="1:17" x14ac:dyDescent="0.3">
      <c r="A1921" s="3">
        <v>43010</v>
      </c>
      <c r="B1921" s="9">
        <v>25.360686999999999</v>
      </c>
      <c r="C1921" s="9">
        <v>22.827418999999999</v>
      </c>
      <c r="E1921" s="14">
        <f t="shared" si="207"/>
        <v>1.1109747886959975</v>
      </c>
      <c r="F1921" s="18">
        <f t="shared" ca="1" si="206"/>
        <v>0.80781264920723161</v>
      </c>
      <c r="G1921" s="15">
        <f t="shared" ca="1" si="211"/>
        <v>1.101383808914441</v>
      </c>
      <c r="H1921" s="15">
        <f t="shared" ca="1" si="212"/>
        <v>1.1872777420567632E-2</v>
      </c>
      <c r="J1921" s="17">
        <f t="shared" ca="1" si="208"/>
        <v>1</v>
      </c>
      <c r="K1921" s="24">
        <f t="shared" ca="1" si="209"/>
        <v>0</v>
      </c>
      <c r="L1921" s="17">
        <f t="shared" ca="1" si="210"/>
        <v>1</v>
      </c>
      <c r="N1921" s="24" t="str">
        <f ca="1">IF(AND(L1921=1,L1920&lt;&gt;1),MAX($N$8:N1920)+1,"")</f>
        <v/>
      </c>
      <c r="O1921" s="24" t="str">
        <f ca="1">IF(AND(L1921&lt;&gt;1,L1920=1),MAX($O$8:O1920)+1,"")</f>
        <v/>
      </c>
      <c r="P1921" s="17" t="str">
        <f ca="1">IF(AND(L1921=-1,L1920&lt;&gt;-1),MAX($P$8:P1920)+1,"")</f>
        <v/>
      </c>
      <c r="Q1921" s="24" t="str">
        <f ca="1">IF(AND(L1921&lt;&gt;-1,L1920=-1),MAX($Q$8:Q1920)+1,"")</f>
        <v/>
      </c>
    </row>
    <row r="1922" spans="1:17" x14ac:dyDescent="0.3">
      <c r="A1922" s="3">
        <v>43011</v>
      </c>
      <c r="B1922" s="9">
        <v>26.23114</v>
      </c>
      <c r="C1922" s="9">
        <v>23.806227</v>
      </c>
      <c r="E1922" s="14">
        <f t="shared" si="207"/>
        <v>1.1018604502090987</v>
      </c>
      <c r="F1922" s="18">
        <f t="shared" ref="F1922:F1985" ca="1" si="213">IF(ISNUMBER(G1922),(E1922-G1922)/H1922,"")</f>
        <v>-1.1735213309274059E-2</v>
      </c>
      <c r="G1922" s="15">
        <f t="shared" ca="1" si="211"/>
        <v>1.1019957533266764</v>
      </c>
      <c r="H1922" s="15">
        <f t="shared" ca="1" si="212"/>
        <v>1.152966835897001E-2</v>
      </c>
      <c r="J1922" s="17">
        <f t="shared" ca="1" si="208"/>
        <v>0</v>
      </c>
      <c r="K1922" s="24">
        <f t="shared" ca="1" si="209"/>
        <v>0</v>
      </c>
      <c r="L1922" s="17">
        <f t="shared" ca="1" si="210"/>
        <v>0</v>
      </c>
      <c r="N1922" s="24" t="str">
        <f ca="1">IF(AND(L1922=1,L1921&lt;&gt;1),MAX($N$8:N1921)+1,"")</f>
        <v/>
      </c>
      <c r="O1922" s="24">
        <f ca="1">IF(AND(L1922&lt;&gt;1,L1921=1),MAX($O$8:O1921)+1,"")</f>
        <v>63</v>
      </c>
      <c r="P1922" s="17" t="str">
        <f ca="1">IF(AND(L1922=-1,L1921&lt;&gt;-1),MAX($P$8:P1921)+1,"")</f>
        <v/>
      </c>
      <c r="Q1922" s="24" t="str">
        <f ca="1">IF(AND(L1922&lt;&gt;-1,L1921=-1),MAX($Q$8:Q1921)+1,"")</f>
        <v/>
      </c>
    </row>
    <row r="1923" spans="1:17" x14ac:dyDescent="0.3">
      <c r="A1923" s="3">
        <v>43012</v>
      </c>
      <c r="B1923" s="9">
        <v>25.997510999999999</v>
      </c>
      <c r="C1923" s="9">
        <v>23.651402000000001</v>
      </c>
      <c r="E1923" s="14">
        <f t="shared" ref="E1923:E1986" si="214">IF(ISNUMBER(B1923),B1923/C1923,"")</f>
        <v>1.0991953457981052</v>
      </c>
      <c r="F1923" s="18">
        <f t="shared" ca="1" si="213"/>
        <v>-0.29418854349069856</v>
      </c>
      <c r="G1923" s="15">
        <f t="shared" ca="1" si="211"/>
        <v>1.1024816131240589</v>
      </c>
      <c r="H1923" s="15">
        <f t="shared" ca="1" si="212"/>
        <v>1.1170616255005934E-2</v>
      </c>
      <c r="J1923" s="17">
        <f t="shared" ca="1" si="208"/>
        <v>0</v>
      </c>
      <c r="K1923" s="24">
        <f t="shared" ca="1" si="209"/>
        <v>0</v>
      </c>
      <c r="L1923" s="17">
        <f t="shared" ca="1" si="210"/>
        <v>0</v>
      </c>
      <c r="N1923" s="24" t="str">
        <f ca="1">IF(AND(L1923=1,L1922&lt;&gt;1),MAX($N$8:N1922)+1,"")</f>
        <v/>
      </c>
      <c r="O1923" s="24" t="str">
        <f ca="1">IF(AND(L1923&lt;&gt;1,L1922=1),MAX($O$8:O1922)+1,"")</f>
        <v/>
      </c>
      <c r="P1923" s="17" t="str">
        <f ca="1">IF(AND(L1923=-1,L1922&lt;&gt;-1),MAX($P$8:P1922)+1,"")</f>
        <v/>
      </c>
      <c r="Q1923" s="24" t="str">
        <f ca="1">IF(AND(L1923&lt;&gt;-1,L1922=-1),MAX($Q$8:Q1922)+1,"")</f>
        <v/>
      </c>
    </row>
    <row r="1924" spans="1:17" x14ac:dyDescent="0.3">
      <c r="A1924" s="3">
        <v>43013</v>
      </c>
      <c r="B1924" s="9">
        <v>26.412271</v>
      </c>
      <c r="C1924" s="9">
        <v>23.670822000000001</v>
      </c>
      <c r="E1924" s="14">
        <f t="shared" si="214"/>
        <v>1.1158155386407789</v>
      </c>
      <c r="F1924" s="18">
        <f t="shared" ca="1" si="213"/>
        <v>1.1103454919061644</v>
      </c>
      <c r="G1924" s="15">
        <f t="shared" ca="1" si="211"/>
        <v>1.1039569589480271</v>
      </c>
      <c r="H1924" s="15">
        <f t="shared" ca="1" si="212"/>
        <v>1.0680080911026834E-2</v>
      </c>
      <c r="J1924" s="17">
        <f t="shared" ca="1" si="208"/>
        <v>1</v>
      </c>
      <c r="K1924" s="24">
        <f t="shared" ca="1" si="209"/>
        <v>0</v>
      </c>
      <c r="L1924" s="17">
        <f t="shared" ca="1" si="210"/>
        <v>1</v>
      </c>
      <c r="N1924" s="24">
        <f ca="1">IF(AND(L1924=1,L1923&lt;&gt;1),MAX($N$8:N1923)+1,"")</f>
        <v>64</v>
      </c>
      <c r="O1924" s="24" t="str">
        <f ca="1">IF(AND(L1924&lt;&gt;1,L1923=1),MAX($O$8:O1923)+1,"")</f>
        <v/>
      </c>
      <c r="P1924" s="17" t="str">
        <f ca="1">IF(AND(L1924=-1,L1923&lt;&gt;-1),MAX($P$8:P1923)+1,"")</f>
        <v/>
      </c>
      <c r="Q1924" s="24" t="str">
        <f ca="1">IF(AND(L1924&lt;&gt;-1,L1923=-1),MAX($Q$8:Q1923)+1,"")</f>
        <v/>
      </c>
    </row>
    <row r="1925" spans="1:17" x14ac:dyDescent="0.3">
      <c r="A1925" s="3">
        <v>43014</v>
      </c>
      <c r="B1925" s="9">
        <v>26.102664999999998</v>
      </c>
      <c r="C1925" s="9">
        <v>23.425642</v>
      </c>
      <c r="E1925" s="14">
        <f t="shared" si="214"/>
        <v>1.1142774656933627</v>
      </c>
      <c r="F1925" s="18">
        <f t="shared" ca="1" si="213"/>
        <v>0.89023367291830091</v>
      </c>
      <c r="G1925" s="15">
        <f t="shared" ca="1" si="211"/>
        <v>1.1046231596562086</v>
      </c>
      <c r="H1925" s="15">
        <f t="shared" ca="1" si="212"/>
        <v>1.0844687558836157E-2</v>
      </c>
      <c r="J1925" s="17">
        <f t="shared" ca="1" si="208"/>
        <v>1</v>
      </c>
      <c r="K1925" s="24">
        <f t="shared" ca="1" si="209"/>
        <v>0</v>
      </c>
      <c r="L1925" s="17">
        <f t="shared" ca="1" si="210"/>
        <v>1</v>
      </c>
      <c r="N1925" s="24" t="str">
        <f ca="1">IF(AND(L1925=1,L1924&lt;&gt;1),MAX($N$8:N1924)+1,"")</f>
        <v/>
      </c>
      <c r="O1925" s="24" t="str">
        <f ca="1">IF(AND(L1925&lt;&gt;1,L1924=1),MAX($O$8:O1924)+1,"")</f>
        <v/>
      </c>
      <c r="P1925" s="17" t="str">
        <f ca="1">IF(AND(L1925=-1,L1924&lt;&gt;-1),MAX($P$8:P1924)+1,"")</f>
        <v/>
      </c>
      <c r="Q1925" s="24" t="str">
        <f ca="1">IF(AND(L1925&lt;&gt;-1,L1924=-1),MAX($Q$8:Q1924)+1,"")</f>
        <v/>
      </c>
    </row>
    <row r="1926" spans="1:17" x14ac:dyDescent="0.3">
      <c r="A1926" s="3">
        <v>43017</v>
      </c>
      <c r="B1926" s="9">
        <v>25.79298</v>
      </c>
      <c r="C1926" s="9">
        <v>23.412693000000001</v>
      </c>
      <c r="E1926" s="14">
        <f t="shared" si="214"/>
        <v>1.1016665190971411</v>
      </c>
      <c r="F1926" s="18">
        <f t="shared" ca="1" si="213"/>
        <v>-0.23044632920066743</v>
      </c>
      <c r="G1926" s="15">
        <f t="shared" ca="1" si="211"/>
        <v>1.1041385473689285</v>
      </c>
      <c r="H1926" s="15">
        <f t="shared" ca="1" si="212"/>
        <v>1.0727132345140543E-2</v>
      </c>
      <c r="J1926" s="17">
        <f t="shared" ca="1" si="208"/>
        <v>0</v>
      </c>
      <c r="K1926" s="24">
        <f t="shared" ca="1" si="209"/>
        <v>0</v>
      </c>
      <c r="L1926" s="17">
        <f t="shared" ca="1" si="210"/>
        <v>0</v>
      </c>
      <c r="N1926" s="24" t="str">
        <f ca="1">IF(AND(L1926=1,L1925&lt;&gt;1),MAX($N$8:N1925)+1,"")</f>
        <v/>
      </c>
      <c r="O1926" s="24">
        <f ca="1">IF(AND(L1926&lt;&gt;1,L1925=1),MAX($O$8:O1925)+1,"")</f>
        <v>64</v>
      </c>
      <c r="P1926" s="17" t="str">
        <f ca="1">IF(AND(L1926=-1,L1925&lt;&gt;-1),MAX($P$8:P1925)+1,"")</f>
        <v/>
      </c>
      <c r="Q1926" s="24" t="str">
        <f ca="1">IF(AND(L1926&lt;&gt;-1,L1925=-1),MAX($Q$8:Q1925)+1,"")</f>
        <v/>
      </c>
    </row>
    <row r="1927" spans="1:17" x14ac:dyDescent="0.3">
      <c r="A1927" s="3">
        <v>43018</v>
      </c>
      <c r="B1927" s="9">
        <v>26.353816999999999</v>
      </c>
      <c r="C1927" s="9">
        <v>23.948188999999999</v>
      </c>
      <c r="E1927" s="14">
        <f t="shared" si="214"/>
        <v>1.1004513535449383</v>
      </c>
      <c r="F1927" s="18">
        <f t="shared" ca="1" si="213"/>
        <v>-0.27555739690161857</v>
      </c>
      <c r="G1927" s="15">
        <f t="shared" ca="1" si="211"/>
        <v>1.1032577621869679</v>
      </c>
      <c r="H1927" s="15">
        <f t="shared" ca="1" si="212"/>
        <v>1.0184479435446248E-2</v>
      </c>
      <c r="J1927" s="17">
        <f t="shared" ca="1" si="208"/>
        <v>0</v>
      </c>
      <c r="K1927" s="24">
        <f t="shared" ca="1" si="209"/>
        <v>0</v>
      </c>
      <c r="L1927" s="17">
        <f t="shared" ca="1" si="210"/>
        <v>0</v>
      </c>
      <c r="N1927" s="24" t="str">
        <f ca="1">IF(AND(L1927=1,L1926&lt;&gt;1),MAX($N$8:N1926)+1,"")</f>
        <v/>
      </c>
      <c r="O1927" s="24" t="str">
        <f ca="1">IF(AND(L1927&lt;&gt;1,L1926=1),MAX($O$8:O1926)+1,"")</f>
        <v/>
      </c>
      <c r="P1927" s="17" t="str">
        <f ca="1">IF(AND(L1927=-1,L1926&lt;&gt;-1),MAX($P$8:P1926)+1,"")</f>
        <v/>
      </c>
      <c r="Q1927" s="24" t="str">
        <f ca="1">IF(AND(L1927&lt;&gt;-1,L1926=-1),MAX($Q$8:Q1926)+1,"")</f>
        <v/>
      </c>
    </row>
    <row r="1928" spans="1:17" x14ac:dyDescent="0.3">
      <c r="A1928" s="3">
        <v>43019</v>
      </c>
      <c r="B1928" s="9">
        <v>26.289584999999999</v>
      </c>
      <c r="C1928" s="9">
        <v>23.806227</v>
      </c>
      <c r="E1928" s="14">
        <f t="shared" si="214"/>
        <v>1.1043154801472741</v>
      </c>
      <c r="F1928" s="18">
        <f t="shared" ca="1" si="213"/>
        <v>6.9673524487986374E-2</v>
      </c>
      <c r="G1928" s="15">
        <f t="shared" ca="1" si="211"/>
        <v>1.1036133025760562</v>
      </c>
      <c r="H1928" s="15">
        <f t="shared" ca="1" si="212"/>
        <v>1.0078111827671456E-2</v>
      </c>
      <c r="J1928" s="17">
        <f t="shared" ref="J1928:J1991" ca="1" si="215">IF(ISNUMBER(F1928),IF(AND(J1927&lt;&gt;1,F1928&gt;$L$1),1,IF(AND(J1927=1,F1928&gt;$N$1),1,0)),"")</f>
        <v>0</v>
      </c>
      <c r="K1928" s="24">
        <f t="shared" ca="1" si="209"/>
        <v>0</v>
      </c>
      <c r="L1928" s="17">
        <f t="shared" ca="1" si="210"/>
        <v>0</v>
      </c>
      <c r="N1928" s="24" t="str">
        <f ca="1">IF(AND(L1928=1,L1927&lt;&gt;1),MAX($N$8:N1927)+1,"")</f>
        <v/>
      </c>
      <c r="O1928" s="24" t="str">
        <f ca="1">IF(AND(L1928&lt;&gt;1,L1927=1),MAX($O$8:O1927)+1,"")</f>
        <v/>
      </c>
      <c r="P1928" s="17" t="str">
        <f ca="1">IF(AND(L1928=-1,L1927&lt;&gt;-1),MAX($P$8:P1927)+1,"")</f>
        <v/>
      </c>
      <c r="Q1928" s="24" t="str">
        <f ca="1">IF(AND(L1928&lt;&gt;-1,L1927=-1),MAX($Q$8:Q1927)+1,"")</f>
        <v/>
      </c>
    </row>
    <row r="1929" spans="1:17" x14ac:dyDescent="0.3">
      <c r="A1929" s="3">
        <v>43021</v>
      </c>
      <c r="B1929" s="9">
        <v>26.073397</v>
      </c>
      <c r="C1929" s="9">
        <v>23.625601</v>
      </c>
      <c r="E1929" s="14">
        <f t="shared" si="214"/>
        <v>1.103607777004276</v>
      </c>
      <c r="F1929" s="18">
        <f t="shared" ca="1" si="213"/>
        <v>-4.0229471957883525E-2</v>
      </c>
      <c r="G1929" s="15">
        <f t="shared" ca="1" si="211"/>
        <v>1.1040060610398177</v>
      </c>
      <c r="H1929" s="15">
        <f t="shared" ca="1" si="212"/>
        <v>9.900304830215461E-3</v>
      </c>
      <c r="J1929" s="17">
        <f t="shared" ca="1" si="215"/>
        <v>0</v>
      </c>
      <c r="K1929" s="24">
        <f t="shared" ref="K1929:K1992" ca="1" si="216">IF(ISNUMBER(F1929),IF(AND(K1928&lt;&gt;-1,F1929&lt;$P$1),-1,IF(AND(K1928=-1,F1929&lt;R1922),-1,0)),"")</f>
        <v>0</v>
      </c>
      <c r="L1929" s="17">
        <f t="shared" ref="L1929:L1992" ca="1" si="217">IF(ISNUMBER(F1929),IF(J1929=1,1,IF(K1929=-1,-1,0)),"")</f>
        <v>0</v>
      </c>
      <c r="N1929" s="24" t="str">
        <f ca="1">IF(AND(L1929=1,L1928&lt;&gt;1),MAX($N$8:N1928)+1,"")</f>
        <v/>
      </c>
      <c r="O1929" s="24" t="str">
        <f ca="1">IF(AND(L1929&lt;&gt;1,L1928=1),MAX($O$8:O1928)+1,"")</f>
        <v/>
      </c>
      <c r="P1929" s="17" t="str">
        <f ca="1">IF(AND(L1929=-1,L1928&lt;&gt;-1),MAX($P$8:P1928)+1,"")</f>
        <v/>
      </c>
      <c r="Q1929" s="24" t="str">
        <f ca="1">IF(AND(L1929&lt;&gt;-1,L1928=-1),MAX($Q$8:Q1928)+1,"")</f>
        <v/>
      </c>
    </row>
    <row r="1930" spans="1:17" x14ac:dyDescent="0.3">
      <c r="A1930" s="3">
        <v>43024</v>
      </c>
      <c r="B1930" s="9">
        <v>25.939060000000001</v>
      </c>
      <c r="C1930" s="9">
        <v>23.561132000000001</v>
      </c>
      <c r="E1930" s="14">
        <f t="shared" si="214"/>
        <v>1.1009258808108202</v>
      </c>
      <c r="F1930" s="18">
        <f t="shared" ca="1" si="213"/>
        <v>-0.32660844418799484</v>
      </c>
      <c r="G1930" s="15">
        <f t="shared" ca="1" si="211"/>
        <v>1.1041391056315277</v>
      </c>
      <c r="H1930" s="15">
        <f t="shared" ca="1" si="212"/>
        <v>9.8381559873510008E-3</v>
      </c>
      <c r="J1930" s="17">
        <f t="shared" ca="1" si="215"/>
        <v>0</v>
      </c>
      <c r="K1930" s="24">
        <f t="shared" ca="1" si="216"/>
        <v>0</v>
      </c>
      <c r="L1930" s="17">
        <f t="shared" ca="1" si="217"/>
        <v>0</v>
      </c>
      <c r="N1930" s="24" t="str">
        <f ca="1">IF(AND(L1930=1,L1929&lt;&gt;1),MAX($N$8:N1929)+1,"")</f>
        <v/>
      </c>
      <c r="O1930" s="24" t="str">
        <f ca="1">IF(AND(L1930&lt;&gt;1,L1929=1),MAX($O$8:O1929)+1,"")</f>
        <v/>
      </c>
      <c r="P1930" s="17" t="str">
        <f ca="1">IF(AND(L1930=-1,L1929&lt;&gt;-1),MAX($P$8:P1929)+1,"")</f>
        <v/>
      </c>
      <c r="Q1930" s="24" t="str">
        <f ca="1">IF(AND(L1930&lt;&gt;-1,L1929=-1),MAX($Q$8:Q1929)+1,"")</f>
        <v/>
      </c>
    </row>
    <row r="1931" spans="1:17" x14ac:dyDescent="0.3">
      <c r="A1931" s="3">
        <v>43025</v>
      </c>
      <c r="B1931" s="9">
        <v>25.898132</v>
      </c>
      <c r="C1931" s="9">
        <v>23.503052</v>
      </c>
      <c r="E1931" s="14">
        <f t="shared" si="214"/>
        <v>1.1019050632232783</v>
      </c>
      <c r="F1931" s="18">
        <f t="shared" ca="1" si="213"/>
        <v>-0.21780685334984914</v>
      </c>
      <c r="G1931" s="15">
        <f t="shared" ca="1" si="211"/>
        <v>1.1040502642498664</v>
      </c>
      <c r="H1931" s="15">
        <f t="shared" ca="1" si="212"/>
        <v>9.8490979213698461E-3</v>
      </c>
      <c r="J1931" s="17">
        <f t="shared" ca="1" si="215"/>
        <v>0</v>
      </c>
      <c r="K1931" s="24">
        <f t="shared" ca="1" si="216"/>
        <v>0</v>
      </c>
      <c r="L1931" s="17">
        <f t="shared" ca="1" si="217"/>
        <v>0</v>
      </c>
      <c r="N1931" s="24" t="str">
        <f ca="1">IF(AND(L1931=1,L1930&lt;&gt;1),MAX($N$8:N1930)+1,"")</f>
        <v/>
      </c>
      <c r="O1931" s="24" t="str">
        <f ca="1">IF(AND(L1931&lt;&gt;1,L1930=1),MAX($O$8:O1930)+1,"")</f>
        <v/>
      </c>
      <c r="P1931" s="17" t="str">
        <f ca="1">IF(AND(L1931=-1,L1930&lt;&gt;-1),MAX($P$8:P1930)+1,"")</f>
        <v/>
      </c>
      <c r="Q1931" s="24" t="str">
        <f ca="1">IF(AND(L1931&lt;&gt;-1,L1930=-1),MAX($Q$8:Q1930)+1,"")</f>
        <v/>
      </c>
    </row>
    <row r="1932" spans="1:17" x14ac:dyDescent="0.3">
      <c r="A1932" s="3">
        <v>43026</v>
      </c>
      <c r="B1932" s="9">
        <v>25.944928999999998</v>
      </c>
      <c r="C1932" s="9">
        <v>23.399847000000001</v>
      </c>
      <c r="E1932" s="14">
        <f t="shared" si="214"/>
        <v>1.108764899189298</v>
      </c>
      <c r="F1932" s="18">
        <f t="shared" ca="1" si="213"/>
        <v>0.44172546525120809</v>
      </c>
      <c r="G1932" s="15">
        <f t="shared" ca="1" si="211"/>
        <v>1.1044040643974151</v>
      </c>
      <c r="H1932" s="15">
        <f t="shared" ca="1" si="212"/>
        <v>9.8722739233584322E-3</v>
      </c>
      <c r="J1932" s="17">
        <f t="shared" ca="1" si="215"/>
        <v>0</v>
      </c>
      <c r="K1932" s="24">
        <f t="shared" ca="1" si="216"/>
        <v>0</v>
      </c>
      <c r="L1932" s="17">
        <f t="shared" ca="1" si="217"/>
        <v>0</v>
      </c>
      <c r="N1932" s="24" t="str">
        <f ca="1">IF(AND(L1932=1,L1931&lt;&gt;1),MAX($N$8:N1931)+1,"")</f>
        <v/>
      </c>
      <c r="O1932" s="24" t="str">
        <f ca="1">IF(AND(L1932&lt;&gt;1,L1931=1),MAX($O$8:O1931)+1,"")</f>
        <v/>
      </c>
      <c r="P1932" s="17" t="str">
        <f ca="1">IF(AND(L1932=-1,L1931&lt;&gt;-1),MAX($P$8:P1931)+1,"")</f>
        <v/>
      </c>
      <c r="Q1932" s="24" t="str">
        <f ca="1">IF(AND(L1932&lt;&gt;-1,L1931=-1),MAX($Q$8:Q1931)+1,"")</f>
        <v/>
      </c>
    </row>
    <row r="1933" spans="1:17" x14ac:dyDescent="0.3">
      <c r="A1933" s="3">
        <v>43027</v>
      </c>
      <c r="B1933" s="9">
        <v>25.757916999999999</v>
      </c>
      <c r="C1933" s="9">
        <v>23.303008999999999</v>
      </c>
      <c r="E1933" s="14">
        <f t="shared" si="214"/>
        <v>1.1053472536529509</v>
      </c>
      <c r="F1933" s="18">
        <f t="shared" ca="1" si="213"/>
        <v>6.8157878606478484E-2</v>
      </c>
      <c r="G1933" s="15">
        <f t="shared" ca="1" si="211"/>
        <v>1.1046785895079365</v>
      </c>
      <c r="H1933" s="15">
        <f t="shared" ca="1" si="212"/>
        <v>9.8105187351132297E-3</v>
      </c>
      <c r="J1933" s="17">
        <f t="shared" ca="1" si="215"/>
        <v>0</v>
      </c>
      <c r="K1933" s="24">
        <f t="shared" ca="1" si="216"/>
        <v>0</v>
      </c>
      <c r="L1933" s="17">
        <f t="shared" ca="1" si="217"/>
        <v>0</v>
      </c>
      <c r="N1933" s="24" t="str">
        <f ca="1">IF(AND(L1933=1,L1932&lt;&gt;1),MAX($N$8:N1932)+1,"")</f>
        <v/>
      </c>
      <c r="O1933" s="24" t="str">
        <f ca="1">IF(AND(L1933&lt;&gt;1,L1932=1),MAX($O$8:O1932)+1,"")</f>
        <v/>
      </c>
      <c r="P1933" s="17" t="str">
        <f ca="1">IF(AND(L1933=-1,L1932&lt;&gt;-1),MAX($P$8:P1932)+1,"")</f>
        <v/>
      </c>
      <c r="Q1933" s="24" t="str">
        <f ca="1">IF(AND(L1933&lt;&gt;-1,L1932=-1),MAX($Q$8:Q1932)+1,"")</f>
        <v/>
      </c>
    </row>
    <row r="1934" spans="1:17" x14ac:dyDescent="0.3">
      <c r="A1934" s="3">
        <v>43028</v>
      </c>
      <c r="B1934" s="9">
        <v>25.705347</v>
      </c>
      <c r="C1934" s="9">
        <v>23.186934999999998</v>
      </c>
      <c r="E1934" s="14">
        <f t="shared" si="214"/>
        <v>1.1086134066447335</v>
      </c>
      <c r="F1934" s="18">
        <f t="shared" ca="1" si="213"/>
        <v>0.336872113293471</v>
      </c>
      <c r="G1934" s="15">
        <f t="shared" ca="1" si="211"/>
        <v>1.1054343439986165</v>
      </c>
      <c r="H1934" s="15">
        <f t="shared" ca="1" si="212"/>
        <v>9.4370015227336953E-3</v>
      </c>
      <c r="J1934" s="17">
        <f t="shared" ca="1" si="215"/>
        <v>0</v>
      </c>
      <c r="K1934" s="24">
        <f t="shared" ca="1" si="216"/>
        <v>0</v>
      </c>
      <c r="L1934" s="17">
        <f t="shared" ca="1" si="217"/>
        <v>0</v>
      </c>
      <c r="N1934" s="24" t="str">
        <f ca="1">IF(AND(L1934=1,L1933&lt;&gt;1),MAX($N$8:N1933)+1,"")</f>
        <v/>
      </c>
      <c r="O1934" s="24" t="str">
        <f ca="1">IF(AND(L1934&lt;&gt;1,L1933=1),MAX($O$8:O1933)+1,"")</f>
        <v/>
      </c>
      <c r="P1934" s="17" t="str">
        <f ca="1">IF(AND(L1934=-1,L1933&lt;&gt;-1),MAX($P$8:P1933)+1,"")</f>
        <v/>
      </c>
      <c r="Q1934" s="24" t="str">
        <f ca="1">IF(AND(L1934&lt;&gt;-1,L1933=-1),MAX($Q$8:Q1933)+1,"")</f>
        <v/>
      </c>
    </row>
    <row r="1935" spans="1:17" x14ac:dyDescent="0.3">
      <c r="A1935" s="3">
        <v>43031</v>
      </c>
      <c r="B1935" s="9">
        <v>25.465843</v>
      </c>
      <c r="C1935" s="9">
        <v>22.967563999999999</v>
      </c>
      <c r="E1935" s="14">
        <f t="shared" si="214"/>
        <v>1.1087742261216731</v>
      </c>
      <c r="F1935" s="18">
        <f t="shared" ca="1" si="213"/>
        <v>0.27440399233056284</v>
      </c>
      <c r="G1935" s="15">
        <f t="shared" ca="1" si="211"/>
        <v>1.1064332686718474</v>
      </c>
      <c r="H1935" s="15">
        <f t="shared" ca="1" si="212"/>
        <v>8.5310619205773118E-3</v>
      </c>
      <c r="J1935" s="17">
        <f t="shared" ca="1" si="215"/>
        <v>0</v>
      </c>
      <c r="K1935" s="24">
        <f t="shared" ca="1" si="216"/>
        <v>0</v>
      </c>
      <c r="L1935" s="17">
        <f t="shared" ca="1" si="217"/>
        <v>0</v>
      </c>
      <c r="N1935" s="24" t="str">
        <f ca="1">IF(AND(L1935=1,L1934&lt;&gt;1),MAX($N$8:N1934)+1,"")</f>
        <v/>
      </c>
      <c r="O1935" s="24" t="str">
        <f ca="1">IF(AND(L1935&lt;&gt;1,L1934=1),MAX($O$8:O1934)+1,"")</f>
        <v/>
      </c>
      <c r="P1935" s="17" t="str">
        <f ca="1">IF(AND(L1935=-1,L1934&lt;&gt;-1),MAX($P$8:P1934)+1,"")</f>
        <v/>
      </c>
      <c r="Q1935" s="24" t="str">
        <f ca="1">IF(AND(L1935&lt;&gt;-1,L1934=-1),MAX($Q$8:Q1934)+1,"")</f>
        <v/>
      </c>
    </row>
    <row r="1936" spans="1:17" x14ac:dyDescent="0.3">
      <c r="A1936" s="3">
        <v>43032</v>
      </c>
      <c r="B1936" s="9">
        <v>25.652761000000002</v>
      </c>
      <c r="C1936" s="9">
        <v>23.277206</v>
      </c>
      <c r="E1936" s="14">
        <f t="shared" si="214"/>
        <v>1.1020549889020186</v>
      </c>
      <c r="F1936" s="18">
        <f t="shared" ca="1" si="213"/>
        <v>-0.65992714945893782</v>
      </c>
      <c r="G1936" s="15">
        <f t="shared" ca="1" si="211"/>
        <v>1.1070721045215894</v>
      </c>
      <c r="H1936" s="15">
        <f t="shared" ca="1" si="212"/>
        <v>7.602529496906282E-3</v>
      </c>
      <c r="J1936" s="17">
        <f t="shared" ca="1" si="215"/>
        <v>0</v>
      </c>
      <c r="K1936" s="24">
        <f t="shared" ca="1" si="216"/>
        <v>0</v>
      </c>
      <c r="L1936" s="17">
        <f t="shared" ca="1" si="217"/>
        <v>0</v>
      </c>
      <c r="N1936" s="24" t="str">
        <f ca="1">IF(AND(L1936=1,L1935&lt;&gt;1),MAX($N$8:N1935)+1,"")</f>
        <v/>
      </c>
      <c r="O1936" s="24" t="str">
        <f ca="1">IF(AND(L1936&lt;&gt;1,L1935=1),MAX($O$8:O1935)+1,"")</f>
        <v/>
      </c>
      <c r="P1936" s="17" t="str">
        <f ca="1">IF(AND(L1936=-1,L1935&lt;&gt;-1),MAX($P$8:P1935)+1,"")</f>
        <v/>
      </c>
      <c r="Q1936" s="24" t="str">
        <f ca="1">IF(AND(L1936&lt;&gt;-1,L1935=-1),MAX($Q$8:Q1935)+1,"")</f>
        <v/>
      </c>
    </row>
    <row r="1937" spans="1:17" x14ac:dyDescent="0.3">
      <c r="A1937" s="3">
        <v>43033</v>
      </c>
      <c r="B1937" s="9">
        <v>25.828028</v>
      </c>
      <c r="C1937" s="9">
        <v>23.348236</v>
      </c>
      <c r="E1937" s="14">
        <f t="shared" si="214"/>
        <v>1.1062089658507821</v>
      </c>
      <c r="F1937" s="18">
        <f t="shared" ca="1" si="213"/>
        <v>-0.19669695214579624</v>
      </c>
      <c r="G1937" s="15">
        <f t="shared" ca="1" si="211"/>
        <v>1.107604737377893</v>
      </c>
      <c r="H1937" s="15">
        <f t="shared" ca="1" si="212"/>
        <v>7.0960506092454505E-3</v>
      </c>
      <c r="J1937" s="17">
        <f t="shared" ca="1" si="215"/>
        <v>0</v>
      </c>
      <c r="K1937" s="24">
        <f t="shared" ca="1" si="216"/>
        <v>0</v>
      </c>
      <c r="L1937" s="17">
        <f t="shared" ca="1" si="217"/>
        <v>0</v>
      </c>
      <c r="N1937" s="24" t="str">
        <f ca="1">IF(AND(L1937=1,L1936&lt;&gt;1),MAX($N$8:N1936)+1,"")</f>
        <v/>
      </c>
      <c r="O1937" s="24" t="str">
        <f ca="1">IF(AND(L1937&lt;&gt;1,L1936=1),MAX($O$8:O1936)+1,"")</f>
        <v/>
      </c>
      <c r="P1937" s="17" t="str">
        <f ca="1">IF(AND(L1937=-1,L1936&lt;&gt;-1),MAX($P$8:P1936)+1,"")</f>
        <v/>
      </c>
      <c r="Q1937" s="24" t="str">
        <f ca="1">IF(AND(L1937&lt;&gt;-1,L1936=-1),MAX($Q$8:Q1936)+1,"")</f>
        <v/>
      </c>
    </row>
    <row r="1938" spans="1:17" x14ac:dyDescent="0.3">
      <c r="A1938" s="3">
        <v>43034</v>
      </c>
      <c r="B1938" s="9">
        <v>25.670290000000001</v>
      </c>
      <c r="C1938" s="9">
        <v>23.135328000000001</v>
      </c>
      <c r="E1938" s="14">
        <f t="shared" si="214"/>
        <v>1.1095710421741156</v>
      </c>
      <c r="F1938" s="18">
        <f t="shared" ca="1" si="213"/>
        <v>0.23359019133537282</v>
      </c>
      <c r="G1938" s="15">
        <f t="shared" ca="1" si="211"/>
        <v>1.1079331667070482</v>
      </c>
      <c r="H1938" s="15">
        <f t="shared" ca="1" si="212"/>
        <v>7.011747615360467E-3</v>
      </c>
      <c r="J1938" s="17">
        <f t="shared" ca="1" si="215"/>
        <v>0</v>
      </c>
      <c r="K1938" s="24">
        <f t="shared" ca="1" si="216"/>
        <v>0</v>
      </c>
      <c r="L1938" s="17">
        <f t="shared" ca="1" si="217"/>
        <v>0</v>
      </c>
      <c r="N1938" s="24" t="str">
        <f ca="1">IF(AND(L1938=1,L1937&lt;&gt;1),MAX($N$8:N1937)+1,"")</f>
        <v/>
      </c>
      <c r="O1938" s="24" t="str">
        <f ca="1">IF(AND(L1938&lt;&gt;1,L1937=1),MAX($O$8:O1937)+1,"")</f>
        <v/>
      </c>
      <c r="P1938" s="17" t="str">
        <f ca="1">IF(AND(L1938=-1,L1937&lt;&gt;-1),MAX($P$8:P1937)+1,"")</f>
        <v/>
      </c>
      <c r="Q1938" s="24" t="str">
        <f ca="1">IF(AND(L1938&lt;&gt;-1,L1937=-1),MAX($Q$8:Q1937)+1,"")</f>
        <v/>
      </c>
    </row>
    <row r="1939" spans="1:17" x14ac:dyDescent="0.3">
      <c r="A1939" s="3">
        <v>43035</v>
      </c>
      <c r="B1939" s="9">
        <v>25.512554000000002</v>
      </c>
      <c r="C1939" s="9">
        <v>23.090112999999999</v>
      </c>
      <c r="E1939" s="14">
        <f t="shared" si="214"/>
        <v>1.1049124792070097</v>
      </c>
      <c r="F1939" s="18">
        <f t="shared" ca="1" si="213"/>
        <v>-0.42531099028588981</v>
      </c>
      <c r="G1939" s="15">
        <f t="shared" ca="1" si="211"/>
        <v>1.1078999625830539</v>
      </c>
      <c r="H1939" s="15">
        <f t="shared" ca="1" si="212"/>
        <v>7.0242327244729712E-3</v>
      </c>
      <c r="J1939" s="17">
        <f t="shared" ca="1" si="215"/>
        <v>0</v>
      </c>
      <c r="K1939" s="24">
        <f t="shared" ca="1" si="216"/>
        <v>0</v>
      </c>
      <c r="L1939" s="17">
        <f t="shared" ca="1" si="217"/>
        <v>0</v>
      </c>
      <c r="N1939" s="24" t="str">
        <f ca="1">IF(AND(L1939=1,L1938&lt;&gt;1),MAX($N$8:N1938)+1,"")</f>
        <v/>
      </c>
      <c r="O1939" s="24" t="str">
        <f ca="1">IF(AND(L1939&lt;&gt;1,L1938=1),MAX($O$8:O1938)+1,"")</f>
        <v/>
      </c>
      <c r="P1939" s="17" t="str">
        <f ca="1">IF(AND(L1939=-1,L1938&lt;&gt;-1),MAX($P$8:P1938)+1,"")</f>
        <v/>
      </c>
      <c r="Q1939" s="24" t="str">
        <f ca="1">IF(AND(L1939&lt;&gt;-1,L1938=-1),MAX($Q$8:Q1938)+1,"")</f>
        <v/>
      </c>
    </row>
    <row r="1940" spans="1:17" x14ac:dyDescent="0.3">
      <c r="A1940" s="3">
        <v>43038</v>
      </c>
      <c r="B1940" s="9">
        <v>25.185419</v>
      </c>
      <c r="C1940" s="9">
        <v>22.677254000000001</v>
      </c>
      <c r="E1940" s="14">
        <f t="shared" si="214"/>
        <v>1.1106026770260631</v>
      </c>
      <c r="F1940" s="18">
        <f t="shared" ca="1" si="213"/>
        <v>0.45466684916905281</v>
      </c>
      <c r="G1940" s="15">
        <f t="shared" ca="1" si="211"/>
        <v>1.1075588170615545</v>
      </c>
      <c r="H1940" s="15">
        <f t="shared" ca="1" si="212"/>
        <v>6.6947039795656254E-3</v>
      </c>
      <c r="J1940" s="17">
        <f t="shared" ca="1" si="215"/>
        <v>0</v>
      </c>
      <c r="K1940" s="24">
        <f t="shared" ca="1" si="216"/>
        <v>0</v>
      </c>
      <c r="L1940" s="17">
        <f t="shared" ca="1" si="217"/>
        <v>0</v>
      </c>
      <c r="N1940" s="24" t="str">
        <f ca="1">IF(AND(L1940=1,L1939&lt;&gt;1),MAX($N$8:N1939)+1,"")</f>
        <v/>
      </c>
      <c r="O1940" s="24" t="str">
        <f ca="1">IF(AND(L1940&lt;&gt;1,L1939=1),MAX($O$8:O1939)+1,"")</f>
        <v/>
      </c>
      <c r="P1940" s="17" t="str">
        <f ca="1">IF(AND(L1940=-1,L1939&lt;&gt;-1),MAX($P$8:P1939)+1,"")</f>
        <v/>
      </c>
      <c r="Q1940" s="24" t="str">
        <f ca="1">IF(AND(L1940&lt;&gt;-1,L1939=-1),MAX($Q$8:Q1939)+1,"")</f>
        <v/>
      </c>
    </row>
    <row r="1941" spans="1:17" x14ac:dyDescent="0.3">
      <c r="A1941" s="3">
        <v>43039</v>
      </c>
      <c r="B1941" s="9">
        <v>24.566126000000001</v>
      </c>
      <c r="C1941" s="9">
        <v>22.373991</v>
      </c>
      <c r="E1941" s="14">
        <f t="shared" si="214"/>
        <v>1.0979769322335027</v>
      </c>
      <c r="F1941" s="18">
        <f t="shared" ca="1" si="213"/>
        <v>-1.481479478738764</v>
      </c>
      <c r="G1941" s="15">
        <f t="shared" ca="1" si="211"/>
        <v>1.1062706809393021</v>
      </c>
      <c r="H1941" s="15">
        <f t="shared" ca="1" si="212"/>
        <v>5.5982879444676659E-3</v>
      </c>
      <c r="J1941" s="17">
        <f t="shared" ca="1" si="215"/>
        <v>0</v>
      </c>
      <c r="K1941" s="24">
        <f t="shared" ca="1" si="216"/>
        <v>-1</v>
      </c>
      <c r="L1941" s="17">
        <f t="shared" ca="1" si="217"/>
        <v>-1</v>
      </c>
      <c r="N1941" s="24" t="str">
        <f ca="1">IF(AND(L1941=1,L1940&lt;&gt;1),MAX($N$8:N1940)+1,"")</f>
        <v/>
      </c>
      <c r="O1941" s="24" t="str">
        <f ca="1">IF(AND(L1941&lt;&gt;1,L1940=1),MAX($O$8:O1940)+1,"")</f>
        <v/>
      </c>
      <c r="P1941" s="17">
        <f ca="1">IF(AND(L1941=-1,L1940&lt;&gt;-1),MAX($P$8:P1940)+1,"")</f>
        <v>72</v>
      </c>
      <c r="Q1941" s="24" t="str">
        <f ca="1">IF(AND(L1941&lt;&gt;-1,L1940=-1),MAX($Q$8:Q1940)+1,"")</f>
        <v/>
      </c>
    </row>
    <row r="1942" spans="1:17" x14ac:dyDescent="0.3">
      <c r="A1942" s="3">
        <v>43040</v>
      </c>
      <c r="B1942" s="9">
        <v>24.154108000000001</v>
      </c>
      <c r="C1942" s="9">
        <v>21.677213999999999</v>
      </c>
      <c r="E1942" s="14">
        <f t="shared" si="214"/>
        <v>1.1142625616003976</v>
      </c>
      <c r="F1942" s="18">
        <f t="shared" ca="1" si="213"/>
        <v>1.6374310554420957</v>
      </c>
      <c r="G1942" s="15">
        <f t="shared" ca="1" si="211"/>
        <v>1.1060038679758009</v>
      </c>
      <c r="H1942" s="15">
        <f t="shared" ca="1" si="212"/>
        <v>5.0436893798664114E-3</v>
      </c>
      <c r="J1942" s="17">
        <f t="shared" ca="1" si="215"/>
        <v>1</v>
      </c>
      <c r="K1942" s="24">
        <f t="shared" ca="1" si="216"/>
        <v>0</v>
      </c>
      <c r="L1942" s="17">
        <f t="shared" ca="1" si="217"/>
        <v>1</v>
      </c>
      <c r="N1942" s="24">
        <f ca="1">IF(AND(L1942=1,L1941&lt;&gt;1),MAX($N$8:N1941)+1,"")</f>
        <v>65</v>
      </c>
      <c r="O1942" s="24" t="str">
        <f ca="1">IF(AND(L1942&lt;&gt;1,L1941=1),MAX($O$8:O1941)+1,"")</f>
        <v/>
      </c>
      <c r="P1942" s="17" t="str">
        <f ca="1">IF(AND(L1942=-1,L1941&lt;&gt;-1),MAX($P$8:P1941)+1,"")</f>
        <v/>
      </c>
      <c r="Q1942" s="24">
        <f ca="1">IF(AND(L1942&lt;&gt;-1,L1941=-1),MAX($Q$8:Q1941)+1,"")</f>
        <v>72</v>
      </c>
    </row>
    <row r="1943" spans="1:17" x14ac:dyDescent="0.3">
      <c r="A1943" s="3">
        <v>43042</v>
      </c>
      <c r="B1943" s="9">
        <v>24.493105</v>
      </c>
      <c r="C1943" s="9">
        <v>21.894966</v>
      </c>
      <c r="E1943" s="14">
        <f t="shared" si="214"/>
        <v>1.1186637604278535</v>
      </c>
      <c r="F1943" s="18">
        <f t="shared" ca="1" si="213"/>
        <v>2.1941395249823783</v>
      </c>
      <c r="G1943" s="15">
        <f t="shared" ca="1" si="211"/>
        <v>1.1063533666908851</v>
      </c>
      <c r="H1943" s="15">
        <f t="shared" ca="1" si="212"/>
        <v>5.6105792711916413E-3</v>
      </c>
      <c r="J1943" s="17">
        <f t="shared" ca="1" si="215"/>
        <v>1</v>
      </c>
      <c r="K1943" s="24">
        <f t="shared" ca="1" si="216"/>
        <v>0</v>
      </c>
      <c r="L1943" s="17">
        <f t="shared" ca="1" si="217"/>
        <v>1</v>
      </c>
      <c r="N1943" s="24" t="str">
        <f ca="1">IF(AND(L1943=1,L1942&lt;&gt;1),MAX($N$8:N1942)+1,"")</f>
        <v/>
      </c>
      <c r="O1943" s="24" t="str">
        <f ca="1">IF(AND(L1943&lt;&gt;1,L1942=1),MAX($O$8:O1942)+1,"")</f>
        <v/>
      </c>
      <c r="P1943" s="17" t="str">
        <f ca="1">IF(AND(L1943=-1,L1942&lt;&gt;-1),MAX($P$8:P1942)+1,"")</f>
        <v/>
      </c>
      <c r="Q1943" s="24" t="str">
        <f ca="1">IF(AND(L1943&lt;&gt;-1,L1942=-1),MAX($Q$8:Q1942)+1,"")</f>
        <v/>
      </c>
    </row>
    <row r="1944" spans="1:17" x14ac:dyDescent="0.3">
      <c r="A1944" s="3">
        <v>43045</v>
      </c>
      <c r="B1944" s="9">
        <v>24.493105</v>
      </c>
      <c r="C1944" s="9">
        <v>21.894966</v>
      </c>
      <c r="E1944" s="14">
        <f t="shared" si="214"/>
        <v>1.1186637604278535</v>
      </c>
      <c r="F1944" s="18">
        <f t="shared" ca="1" si="213"/>
        <v>1.901694238585018</v>
      </c>
      <c r="G1944" s="15">
        <f t="shared" ca="1" si="211"/>
        <v>1.1071171535190103</v>
      </c>
      <c r="H1944" s="15">
        <f t="shared" ca="1" si="212"/>
        <v>6.0717473264443661E-3</v>
      </c>
      <c r="J1944" s="17">
        <f t="shared" ca="1" si="215"/>
        <v>1</v>
      </c>
      <c r="K1944" s="24">
        <f t="shared" ca="1" si="216"/>
        <v>0</v>
      </c>
      <c r="L1944" s="17">
        <f t="shared" ca="1" si="217"/>
        <v>1</v>
      </c>
      <c r="N1944" s="24" t="str">
        <f ca="1">IF(AND(L1944=1,L1943&lt;&gt;1),MAX($N$8:N1943)+1,"")</f>
        <v/>
      </c>
      <c r="O1944" s="24" t="str">
        <f ca="1">IF(AND(L1944&lt;&gt;1,L1943=1),MAX($O$8:O1943)+1,"")</f>
        <v/>
      </c>
      <c r="P1944" s="17" t="str">
        <f ca="1">IF(AND(L1944=-1,L1943&lt;&gt;-1),MAX($P$8:P1943)+1,"")</f>
        <v/>
      </c>
      <c r="Q1944" s="24" t="str">
        <f ca="1">IF(AND(L1944&lt;&gt;-1,L1943=-1),MAX($Q$8:Q1943)+1,"")</f>
        <v/>
      </c>
    </row>
    <row r="1945" spans="1:17" x14ac:dyDescent="0.3">
      <c r="A1945" s="3">
        <v>43046</v>
      </c>
      <c r="B1945" s="9">
        <v>24.019724</v>
      </c>
      <c r="C1945" s="9">
        <v>21.139706</v>
      </c>
      <c r="E1945" s="14">
        <f t="shared" si="214"/>
        <v>1.1362373724592008</v>
      </c>
      <c r="F1945" s="18">
        <f t="shared" ca="1" si="213"/>
        <v>3.285782668853455</v>
      </c>
      <c r="G1945" s="15">
        <f t="shared" ca="1" si="211"/>
        <v>1.1088008820036057</v>
      </c>
      <c r="H1945" s="15">
        <f t="shared" ca="1" si="212"/>
        <v>8.3500624419474354E-3</v>
      </c>
      <c r="J1945" s="17">
        <f t="shared" ca="1" si="215"/>
        <v>1</v>
      </c>
      <c r="K1945" s="24">
        <f t="shared" ca="1" si="216"/>
        <v>0</v>
      </c>
      <c r="L1945" s="17">
        <f t="shared" ca="1" si="217"/>
        <v>1</v>
      </c>
      <c r="N1945" s="24" t="str">
        <f ca="1">IF(AND(L1945=1,L1944&lt;&gt;1),MAX($N$8:N1944)+1,"")</f>
        <v/>
      </c>
      <c r="O1945" s="24" t="str">
        <f ca="1">IF(AND(L1945&lt;&gt;1,L1944=1),MAX($O$8:O1944)+1,"")</f>
        <v/>
      </c>
      <c r="P1945" s="17" t="str">
        <f ca="1">IF(AND(L1945=-1,L1944&lt;&gt;-1),MAX($P$8:P1944)+1,"")</f>
        <v/>
      </c>
      <c r="Q1945" s="24" t="str">
        <f ca="1">IF(AND(L1945&lt;&gt;-1,L1944=-1),MAX($Q$8:Q1944)+1,"")</f>
        <v/>
      </c>
    </row>
    <row r="1946" spans="1:17" x14ac:dyDescent="0.3">
      <c r="A1946" s="3">
        <v>43047</v>
      </c>
      <c r="B1946" s="9">
        <v>24.896355</v>
      </c>
      <c r="C1946" s="9">
        <v>21.907824999999999</v>
      </c>
      <c r="E1946" s="14">
        <f t="shared" si="214"/>
        <v>1.1364138156115453</v>
      </c>
      <c r="F1946" s="18">
        <f t="shared" ca="1" si="213"/>
        <v>2.6509081569115001</v>
      </c>
      <c r="G1946" s="15">
        <f t="shared" ca="1" si="211"/>
        <v>1.1097371673204588</v>
      </c>
      <c r="H1946" s="15">
        <f t="shared" ca="1" si="212"/>
        <v>1.0063211062795454E-2</v>
      </c>
      <c r="J1946" s="17">
        <f t="shared" ca="1" si="215"/>
        <v>1</v>
      </c>
      <c r="K1946" s="24">
        <f t="shared" ca="1" si="216"/>
        <v>0</v>
      </c>
      <c r="L1946" s="17">
        <f t="shared" ca="1" si="217"/>
        <v>1</v>
      </c>
      <c r="N1946" s="24" t="str">
        <f ca="1">IF(AND(L1946=1,L1945&lt;&gt;1),MAX($N$8:N1945)+1,"")</f>
        <v/>
      </c>
      <c r="O1946" s="24" t="str">
        <f ca="1">IF(AND(L1946&lt;&gt;1,L1945=1),MAX($O$8:O1945)+1,"")</f>
        <v/>
      </c>
      <c r="P1946" s="17" t="str">
        <f ca="1">IF(AND(L1946=-1,L1945&lt;&gt;-1),MAX($P$8:P1945)+1,"")</f>
        <v/>
      </c>
      <c r="Q1946" s="24" t="str">
        <f ca="1">IF(AND(L1946&lt;&gt;-1,L1945=-1),MAX($Q$8:Q1945)+1,"")</f>
        <v/>
      </c>
    </row>
    <row r="1947" spans="1:17" x14ac:dyDescent="0.3">
      <c r="A1947" s="3">
        <v>43048</v>
      </c>
      <c r="B1947" s="9">
        <v>24.224243000000001</v>
      </c>
      <c r="C1947" s="9">
        <v>21.113899</v>
      </c>
      <c r="E1947" s="14">
        <f t="shared" si="214"/>
        <v>1.1473126304146857</v>
      </c>
      <c r="F1947" s="18">
        <f t="shared" ca="1" si="213"/>
        <v>2.8320078882772841</v>
      </c>
      <c r="G1947" s="15">
        <f t="shared" ca="1" si="211"/>
        <v>1.1112387657168823</v>
      </c>
      <c r="H1947" s="15">
        <f t="shared" ca="1" si="212"/>
        <v>1.2737911093795429E-2</v>
      </c>
      <c r="J1947" s="17">
        <f t="shared" ca="1" si="215"/>
        <v>1</v>
      </c>
      <c r="K1947" s="24">
        <f t="shared" ca="1" si="216"/>
        <v>0</v>
      </c>
      <c r="L1947" s="17">
        <f t="shared" ca="1" si="217"/>
        <v>1</v>
      </c>
      <c r="N1947" s="24" t="str">
        <f ca="1">IF(AND(L1947=1,L1946&lt;&gt;1),MAX($N$8:N1946)+1,"")</f>
        <v/>
      </c>
      <c r="O1947" s="24" t="str">
        <f ca="1">IF(AND(L1947&lt;&gt;1,L1946=1),MAX($O$8:O1946)+1,"")</f>
        <v/>
      </c>
      <c r="P1947" s="17" t="str">
        <f ca="1">IF(AND(L1947=-1,L1946&lt;&gt;-1),MAX($P$8:P1946)+1,"")</f>
        <v/>
      </c>
      <c r="Q1947" s="24" t="str">
        <f ca="1">IF(AND(L1947&lt;&gt;-1,L1946=-1),MAX($Q$8:Q1946)+1,"")</f>
        <v/>
      </c>
    </row>
    <row r="1948" spans="1:17" x14ac:dyDescent="0.3">
      <c r="A1948" s="3">
        <v>43049</v>
      </c>
      <c r="B1948" s="9">
        <v>24.259305999999999</v>
      </c>
      <c r="C1948" s="9">
        <v>21.133237999999999</v>
      </c>
      <c r="E1948" s="14">
        <f t="shared" si="214"/>
        <v>1.1479218660197741</v>
      </c>
      <c r="F1948" s="18">
        <f t="shared" ca="1" si="213"/>
        <v>2.3592828473028389</v>
      </c>
      <c r="G1948" s="15">
        <f t="shared" ca="1" si="211"/>
        <v>1.113341281486093</v>
      </c>
      <c r="H1948" s="15">
        <f t="shared" ca="1" si="212"/>
        <v>1.4657244074492391E-2</v>
      </c>
      <c r="J1948" s="17">
        <f t="shared" ca="1" si="215"/>
        <v>1</v>
      </c>
      <c r="K1948" s="24">
        <f t="shared" ca="1" si="216"/>
        <v>0</v>
      </c>
      <c r="L1948" s="17">
        <f t="shared" ca="1" si="217"/>
        <v>1</v>
      </c>
      <c r="N1948" s="24" t="str">
        <f ca="1">IF(AND(L1948=1,L1947&lt;&gt;1),MAX($N$8:N1947)+1,"")</f>
        <v/>
      </c>
      <c r="O1948" s="24" t="str">
        <f ca="1">IF(AND(L1948&lt;&gt;1,L1947=1),MAX($O$8:O1947)+1,"")</f>
        <v/>
      </c>
      <c r="P1948" s="17" t="str">
        <f ca="1">IF(AND(L1948=-1,L1947&lt;&gt;-1),MAX($P$8:P1947)+1,"")</f>
        <v/>
      </c>
      <c r="Q1948" s="24" t="str">
        <f ca="1">IF(AND(L1948&lt;&gt;-1,L1947=-1),MAX($Q$8:Q1947)+1,"")</f>
        <v/>
      </c>
    </row>
    <row r="1949" spans="1:17" x14ac:dyDescent="0.3">
      <c r="A1949" s="3">
        <v>43052</v>
      </c>
      <c r="B1949" s="9">
        <v>24.382034000000001</v>
      </c>
      <c r="C1949" s="9">
        <v>21.236505999999999</v>
      </c>
      <c r="E1949" s="14">
        <f t="shared" si="214"/>
        <v>1.148118904305633</v>
      </c>
      <c r="F1949" s="18">
        <f t="shared" ca="1" si="213"/>
        <v>2.0319830287245808</v>
      </c>
      <c r="G1949" s="15">
        <f t="shared" ca="1" si="211"/>
        <v>1.1155079883388519</v>
      </c>
      <c r="H1949" s="15">
        <f t="shared" ca="1" si="212"/>
        <v>1.604881315728807E-2</v>
      </c>
      <c r="J1949" s="17">
        <f t="shared" ca="1" si="215"/>
        <v>1</v>
      </c>
      <c r="K1949" s="24">
        <f t="shared" ca="1" si="216"/>
        <v>0</v>
      </c>
      <c r="L1949" s="17">
        <f t="shared" ca="1" si="217"/>
        <v>1</v>
      </c>
      <c r="N1949" s="24" t="str">
        <f ca="1">IF(AND(L1949=1,L1948&lt;&gt;1),MAX($N$8:N1948)+1,"")</f>
        <v/>
      </c>
      <c r="O1949" s="24" t="str">
        <f ca="1">IF(AND(L1949&lt;&gt;1,L1948=1),MAX($O$8:O1948)+1,"")</f>
        <v/>
      </c>
      <c r="P1949" s="17" t="str">
        <f ca="1">IF(AND(L1949=-1,L1948&lt;&gt;-1),MAX($P$8:P1948)+1,"")</f>
        <v/>
      </c>
      <c r="Q1949" s="24" t="str">
        <f ca="1">IF(AND(L1949&lt;&gt;-1,L1948=-1),MAX($Q$8:Q1948)+1,"")</f>
        <v/>
      </c>
    </row>
    <row r="1950" spans="1:17" x14ac:dyDescent="0.3">
      <c r="A1950" s="3">
        <v>43053</v>
      </c>
      <c r="B1950" s="9">
        <v>23.914522000000002</v>
      </c>
      <c r="C1950" s="9">
        <v>20.784672</v>
      </c>
      <c r="E1950" s="14">
        <f t="shared" si="214"/>
        <v>1.1505845269052117</v>
      </c>
      <c r="F1950" s="18">
        <f t="shared" ca="1" si="213"/>
        <v>1.8931086053119552</v>
      </c>
      <c r="G1950" s="15">
        <f t="shared" ca="1" si="211"/>
        <v>1.1176111268278492</v>
      </c>
      <c r="H1950" s="15">
        <f t="shared" ca="1" si="212"/>
        <v>1.7417595580539333E-2</v>
      </c>
      <c r="J1950" s="17">
        <f t="shared" ca="1" si="215"/>
        <v>1</v>
      </c>
      <c r="K1950" s="24">
        <f t="shared" ca="1" si="216"/>
        <v>0</v>
      </c>
      <c r="L1950" s="17">
        <f t="shared" ca="1" si="217"/>
        <v>1</v>
      </c>
      <c r="N1950" s="24" t="str">
        <f ca="1">IF(AND(L1950=1,L1949&lt;&gt;1),MAX($N$8:N1949)+1,"")</f>
        <v/>
      </c>
      <c r="O1950" s="24" t="str">
        <f ca="1">IF(AND(L1950&lt;&gt;1,L1949=1),MAX($O$8:O1949)+1,"")</f>
        <v/>
      </c>
      <c r="P1950" s="17" t="str">
        <f ca="1">IF(AND(L1950=-1,L1949&lt;&gt;-1),MAX($P$8:P1949)+1,"")</f>
        <v/>
      </c>
      <c r="Q1950" s="24" t="str">
        <f ca="1">IF(AND(L1950&lt;&gt;-1,L1949=-1),MAX($Q$8:Q1949)+1,"")</f>
        <v/>
      </c>
    </row>
    <row r="1951" spans="1:17" x14ac:dyDescent="0.3">
      <c r="A1951" s="3">
        <v>43054</v>
      </c>
      <c r="B1951" s="9">
        <v>23.914522000000002</v>
      </c>
      <c r="C1951" s="9">
        <v>20.784672</v>
      </c>
      <c r="E1951" s="14">
        <f t="shared" si="214"/>
        <v>1.1505845269052117</v>
      </c>
      <c r="F1951" s="18">
        <f t="shared" ca="1" si="213"/>
        <v>1.6741054195660701</v>
      </c>
      <c r="G1951" s="15">
        <f t="shared" ref="G1951:G2014" ca="1" si="218">IF(ISNUMBER(E1951),IF(ROW(E1951)&gt;$J$1,AVERAGE(OFFSET(E1951,0,0,-$J$1)),""),"")</f>
        <v>1.1197464336415281</v>
      </c>
      <c r="H1951" s="15">
        <f t="shared" ref="H1951:H2014" ca="1" si="219">IF(ISNUMBER(E1951),IF(ROW(E1951)&gt;$J$1,_xlfn.STDEV.P(OFFSET(E1951,0,0,-$J$1)),""),"")</f>
        <v>1.8420640004664014E-2</v>
      </c>
      <c r="J1951" s="17">
        <f t="shared" ca="1" si="215"/>
        <v>1</v>
      </c>
      <c r="K1951" s="24">
        <f t="shared" ca="1" si="216"/>
        <v>0</v>
      </c>
      <c r="L1951" s="17">
        <f t="shared" ca="1" si="217"/>
        <v>1</v>
      </c>
      <c r="N1951" s="24" t="str">
        <f ca="1">IF(AND(L1951=1,L1950&lt;&gt;1),MAX($N$8:N1950)+1,"")</f>
        <v/>
      </c>
      <c r="O1951" s="24" t="str">
        <f ca="1">IF(AND(L1951&lt;&gt;1,L1950=1),MAX($O$8:O1950)+1,"")</f>
        <v/>
      </c>
      <c r="P1951" s="17" t="str">
        <f ca="1">IF(AND(L1951=-1,L1950&lt;&gt;-1),MAX($P$8:P1950)+1,"")</f>
        <v/>
      </c>
      <c r="Q1951" s="24" t="str">
        <f ca="1">IF(AND(L1951&lt;&gt;-1,L1950=-1),MAX($Q$8:Q1950)+1,"")</f>
        <v/>
      </c>
    </row>
    <row r="1952" spans="1:17" x14ac:dyDescent="0.3">
      <c r="A1952" s="3">
        <v>43055</v>
      </c>
      <c r="B1952" s="9">
        <v>24.51651</v>
      </c>
      <c r="C1952" s="9">
        <v>21.326908</v>
      </c>
      <c r="E1952" s="14">
        <f t="shared" si="214"/>
        <v>1.1495576386412882</v>
      </c>
      <c r="F1952" s="18">
        <f t="shared" ca="1" si="213"/>
        <v>1.4572583509866566</v>
      </c>
      <c r="G1952" s="15">
        <f t="shared" ca="1" si="218"/>
        <v>1.1219569680883674</v>
      </c>
      <c r="H1952" s="15">
        <f t="shared" ca="1" si="219"/>
        <v>1.8940135449718579E-2</v>
      </c>
      <c r="J1952" s="17">
        <f t="shared" ca="1" si="215"/>
        <v>1</v>
      </c>
      <c r="K1952" s="24">
        <f t="shared" ca="1" si="216"/>
        <v>0</v>
      </c>
      <c r="L1952" s="17">
        <f t="shared" ca="1" si="217"/>
        <v>1</v>
      </c>
      <c r="N1952" s="24" t="str">
        <f ca="1">IF(AND(L1952=1,L1951&lt;&gt;1),MAX($N$8:N1951)+1,"")</f>
        <v/>
      </c>
      <c r="O1952" s="24" t="str">
        <f ca="1">IF(AND(L1952&lt;&gt;1,L1951=1),MAX($O$8:O1951)+1,"")</f>
        <v/>
      </c>
      <c r="P1952" s="17" t="str">
        <f ca="1">IF(AND(L1952=-1,L1951&lt;&gt;-1),MAX($P$8:P1951)+1,"")</f>
        <v/>
      </c>
      <c r="Q1952" s="24" t="str">
        <f ca="1">IF(AND(L1952&lt;&gt;-1,L1951=-1),MAX($Q$8:Q1951)+1,"")</f>
        <v/>
      </c>
    </row>
    <row r="1953" spans="1:17" x14ac:dyDescent="0.3">
      <c r="A1953" s="3">
        <v>43056</v>
      </c>
      <c r="B1953" s="9">
        <v>24.855419000000001</v>
      </c>
      <c r="C1953" s="9">
        <v>21.70129</v>
      </c>
      <c r="E1953" s="14">
        <f t="shared" si="214"/>
        <v>1.1453429266186481</v>
      </c>
      <c r="F1953" s="18">
        <f t="shared" ca="1" si="213"/>
        <v>1.1262772039151259</v>
      </c>
      <c r="G1953" s="15">
        <f t="shared" ca="1" si="218"/>
        <v>1.1239314164245207</v>
      </c>
      <c r="H1953" s="15">
        <f t="shared" ca="1" si="219"/>
        <v>1.9010870609559982E-2</v>
      </c>
      <c r="J1953" s="17">
        <f t="shared" ca="1" si="215"/>
        <v>1</v>
      </c>
      <c r="K1953" s="24">
        <f t="shared" ca="1" si="216"/>
        <v>0</v>
      </c>
      <c r="L1953" s="17">
        <f t="shared" ca="1" si="217"/>
        <v>1</v>
      </c>
      <c r="N1953" s="24" t="str">
        <f ca="1">IF(AND(L1953=1,L1952&lt;&gt;1),MAX($N$8:N1952)+1,"")</f>
        <v/>
      </c>
      <c r="O1953" s="24" t="str">
        <f ca="1">IF(AND(L1953&lt;&gt;1,L1952=1),MAX($O$8:O1952)+1,"")</f>
        <v/>
      </c>
      <c r="P1953" s="17" t="str">
        <f ca="1">IF(AND(L1953=-1,L1952&lt;&gt;-1),MAX($P$8:P1952)+1,"")</f>
        <v/>
      </c>
      <c r="Q1953" s="24" t="str">
        <f ca="1">IF(AND(L1953&lt;&gt;-1,L1952=-1),MAX($Q$8:Q1952)+1,"")</f>
        <v/>
      </c>
    </row>
    <row r="1954" spans="1:17" x14ac:dyDescent="0.3">
      <c r="A1954" s="3">
        <v>43060</v>
      </c>
      <c r="B1954" s="9">
        <v>25.352205000000001</v>
      </c>
      <c r="C1954" s="9">
        <v>22.198298000000001</v>
      </c>
      <c r="E1954" s="14">
        <f t="shared" si="214"/>
        <v>1.1420787755890114</v>
      </c>
      <c r="F1954" s="18">
        <f t="shared" ca="1" si="213"/>
        <v>0.87224955599870102</v>
      </c>
      <c r="G1954" s="15">
        <f t="shared" ca="1" si="218"/>
        <v>1.1254456835335986</v>
      </c>
      <c r="H1954" s="15">
        <f t="shared" ca="1" si="219"/>
        <v>1.9069189477968065E-2</v>
      </c>
      <c r="J1954" s="17">
        <f t="shared" ca="1" si="215"/>
        <v>1</v>
      </c>
      <c r="K1954" s="24">
        <f t="shared" ca="1" si="216"/>
        <v>0</v>
      </c>
      <c r="L1954" s="17">
        <f t="shared" ca="1" si="217"/>
        <v>1</v>
      </c>
      <c r="N1954" s="24" t="str">
        <f ca="1">IF(AND(L1954=1,L1953&lt;&gt;1),MAX($N$8:N1953)+1,"")</f>
        <v/>
      </c>
      <c r="O1954" s="24" t="str">
        <f ca="1">IF(AND(L1954&lt;&gt;1,L1953=1),MAX($O$8:O1953)+1,"")</f>
        <v/>
      </c>
      <c r="P1954" s="17" t="str">
        <f ca="1">IF(AND(L1954=-1,L1953&lt;&gt;-1),MAX($P$8:P1953)+1,"")</f>
        <v/>
      </c>
      <c r="Q1954" s="24" t="str">
        <f ca="1">IF(AND(L1954&lt;&gt;-1,L1953=-1),MAX($Q$8:Q1953)+1,"")</f>
        <v/>
      </c>
    </row>
    <row r="1955" spans="1:17" x14ac:dyDescent="0.3">
      <c r="A1955" s="3">
        <v>43061</v>
      </c>
      <c r="B1955" s="9">
        <v>25.106752</v>
      </c>
      <c r="C1955" s="9">
        <v>21.946598000000002</v>
      </c>
      <c r="E1955" s="14">
        <f t="shared" si="214"/>
        <v>1.1439928867335156</v>
      </c>
      <c r="F1955" s="18">
        <f t="shared" ca="1" si="213"/>
        <v>0.88762892261979343</v>
      </c>
      <c r="G1955" s="15">
        <f t="shared" ca="1" si="218"/>
        <v>1.1272023032190788</v>
      </c>
      <c r="H1955" s="15">
        <f t="shared" ca="1" si="219"/>
        <v>1.8916219477031308E-2</v>
      </c>
      <c r="J1955" s="17">
        <f t="shared" ca="1" si="215"/>
        <v>1</v>
      </c>
      <c r="K1955" s="24">
        <f t="shared" ca="1" si="216"/>
        <v>0</v>
      </c>
      <c r="L1955" s="17">
        <f t="shared" ca="1" si="217"/>
        <v>1</v>
      </c>
      <c r="N1955" s="24" t="str">
        <f ca="1">IF(AND(L1955=1,L1954&lt;&gt;1),MAX($N$8:N1954)+1,"")</f>
        <v/>
      </c>
      <c r="O1955" s="24" t="str">
        <f ca="1">IF(AND(L1955&lt;&gt;1,L1954=1),MAX($O$8:O1954)+1,"")</f>
        <v/>
      </c>
      <c r="P1955" s="17" t="str">
        <f ca="1">IF(AND(L1955=-1,L1954&lt;&gt;-1),MAX($P$8:P1954)+1,"")</f>
        <v/>
      </c>
      <c r="Q1955" s="24" t="str">
        <f ca="1">IF(AND(L1955&lt;&gt;-1,L1954=-1),MAX($Q$8:Q1954)+1,"")</f>
        <v/>
      </c>
    </row>
    <row r="1956" spans="1:17" x14ac:dyDescent="0.3">
      <c r="A1956" s="3">
        <v>43062</v>
      </c>
      <c r="B1956" s="9">
        <v>25.030746000000001</v>
      </c>
      <c r="C1956" s="9">
        <v>21.785222999999998</v>
      </c>
      <c r="E1956" s="14">
        <f t="shared" si="214"/>
        <v>1.1489781858097117</v>
      </c>
      <c r="F1956" s="18">
        <f t="shared" ca="1" si="213"/>
        <v>1.0505452927181684</v>
      </c>
      <c r="G1956" s="15">
        <f t="shared" ca="1" si="218"/>
        <v>1.1290370659083957</v>
      </c>
      <c r="H1956" s="15">
        <f t="shared" ca="1" si="219"/>
        <v>1.8981685073016279E-2</v>
      </c>
      <c r="J1956" s="17">
        <f t="shared" ca="1" si="215"/>
        <v>1</v>
      </c>
      <c r="K1956" s="24">
        <f t="shared" ca="1" si="216"/>
        <v>0</v>
      </c>
      <c r="L1956" s="17">
        <f t="shared" ca="1" si="217"/>
        <v>1</v>
      </c>
      <c r="N1956" s="24" t="str">
        <f ca="1">IF(AND(L1956=1,L1955&lt;&gt;1),MAX($N$8:N1955)+1,"")</f>
        <v/>
      </c>
      <c r="O1956" s="24" t="str">
        <f ca="1">IF(AND(L1956&lt;&gt;1,L1955=1),MAX($O$8:O1955)+1,"")</f>
        <v/>
      </c>
      <c r="P1956" s="17" t="str">
        <f ca="1">IF(AND(L1956=-1,L1955&lt;&gt;-1),MAX($P$8:P1955)+1,"")</f>
        <v/>
      </c>
      <c r="Q1956" s="24" t="str">
        <f ca="1">IF(AND(L1956&lt;&gt;-1,L1955=-1),MAX($Q$8:Q1955)+1,"")</f>
        <v/>
      </c>
    </row>
    <row r="1957" spans="1:17" x14ac:dyDescent="0.3">
      <c r="A1957" s="3">
        <v>43063</v>
      </c>
      <c r="B1957" s="9">
        <v>24.797032999999999</v>
      </c>
      <c r="C1957" s="9">
        <v>21.591555</v>
      </c>
      <c r="E1957" s="14">
        <f t="shared" si="214"/>
        <v>1.1484598029183168</v>
      </c>
      <c r="F1957" s="18">
        <f t="shared" ca="1" si="213"/>
        <v>0.93440761884143675</v>
      </c>
      <c r="G1957" s="15">
        <f t="shared" ca="1" si="218"/>
        <v>1.1308409557627888</v>
      </c>
      <c r="H1957" s="15">
        <f t="shared" ca="1" si="219"/>
        <v>1.8855633023811949E-2</v>
      </c>
      <c r="J1957" s="17">
        <f t="shared" ca="1" si="215"/>
        <v>1</v>
      </c>
      <c r="K1957" s="24">
        <f t="shared" ca="1" si="216"/>
        <v>0</v>
      </c>
      <c r="L1957" s="17">
        <f t="shared" ca="1" si="217"/>
        <v>1</v>
      </c>
      <c r="N1957" s="24" t="str">
        <f ca="1">IF(AND(L1957=1,L1956&lt;&gt;1),MAX($N$8:N1956)+1,"")</f>
        <v/>
      </c>
      <c r="O1957" s="24" t="str">
        <f ca="1">IF(AND(L1957&lt;&gt;1,L1956=1),MAX($O$8:O1956)+1,"")</f>
        <v/>
      </c>
      <c r="P1957" s="17" t="str">
        <f ca="1">IF(AND(L1957=-1,L1956&lt;&gt;-1),MAX($P$8:P1956)+1,"")</f>
        <v/>
      </c>
      <c r="Q1957" s="24" t="str">
        <f ca="1">IF(AND(L1957&lt;&gt;-1,L1956=-1),MAX($Q$8:Q1956)+1,"")</f>
        <v/>
      </c>
    </row>
    <row r="1958" spans="1:17" x14ac:dyDescent="0.3">
      <c r="A1958" s="3">
        <v>43066</v>
      </c>
      <c r="B1958" s="9">
        <v>24.948954000000001</v>
      </c>
      <c r="C1958" s="9">
        <v>21.559259000000001</v>
      </c>
      <c r="E1958" s="14">
        <f t="shared" si="214"/>
        <v>1.1572268787160078</v>
      </c>
      <c r="F1958" s="18">
        <f t="shared" ca="1" si="213"/>
        <v>1.2888704909531432</v>
      </c>
      <c r="G1958" s="15">
        <f t="shared" ca="1" si="218"/>
        <v>1.1333487689361517</v>
      </c>
      <c r="H1958" s="15">
        <f t="shared" ca="1" si="219"/>
        <v>1.8526384107217679E-2</v>
      </c>
      <c r="J1958" s="17">
        <f t="shared" ca="1" si="215"/>
        <v>1</v>
      </c>
      <c r="K1958" s="24">
        <f t="shared" ca="1" si="216"/>
        <v>0</v>
      </c>
      <c r="L1958" s="17">
        <f t="shared" ca="1" si="217"/>
        <v>1</v>
      </c>
      <c r="N1958" s="24" t="str">
        <f ca="1">IF(AND(L1958=1,L1957&lt;&gt;1),MAX($N$8:N1957)+1,"")</f>
        <v/>
      </c>
      <c r="O1958" s="24" t="str">
        <f ca="1">IF(AND(L1958&lt;&gt;1,L1957=1),MAX($O$8:O1957)+1,"")</f>
        <v/>
      </c>
      <c r="P1958" s="17" t="str">
        <f ca="1">IF(AND(L1958=-1,L1957&lt;&gt;-1),MAX($P$8:P1957)+1,"")</f>
        <v/>
      </c>
      <c r="Q1958" s="24" t="str">
        <f ca="1">IF(AND(L1958&lt;&gt;-1,L1957=-1),MAX($Q$8:Q1957)+1,"")</f>
        <v/>
      </c>
    </row>
    <row r="1959" spans="1:17" x14ac:dyDescent="0.3">
      <c r="A1959" s="3">
        <v>43067</v>
      </c>
      <c r="B1959" s="9">
        <v>24.989889000000002</v>
      </c>
      <c r="C1959" s="9">
        <v>21.623843999999998</v>
      </c>
      <c r="E1959" s="14">
        <f t="shared" si="214"/>
        <v>1.1556635813687892</v>
      </c>
      <c r="F1959" s="18">
        <f t="shared" ca="1" si="213"/>
        <v>1.1091456112170548</v>
      </c>
      <c r="G1959" s="15">
        <f t="shared" ca="1" si="218"/>
        <v>1.1355967060051519</v>
      </c>
      <c r="H1959" s="15">
        <f t="shared" ca="1" si="219"/>
        <v>1.8092192008602081E-2</v>
      </c>
      <c r="J1959" s="17">
        <f t="shared" ca="1" si="215"/>
        <v>1</v>
      </c>
      <c r="K1959" s="24">
        <f t="shared" ca="1" si="216"/>
        <v>0</v>
      </c>
      <c r="L1959" s="17">
        <f t="shared" ca="1" si="217"/>
        <v>1</v>
      </c>
      <c r="N1959" s="24" t="str">
        <f ca="1">IF(AND(L1959=1,L1958&lt;&gt;1),MAX($N$8:N1958)+1,"")</f>
        <v/>
      </c>
      <c r="O1959" s="24" t="str">
        <f ca="1">IF(AND(L1959&lt;&gt;1,L1958=1),MAX($O$8:O1958)+1,"")</f>
        <v/>
      </c>
      <c r="P1959" s="17" t="str">
        <f ca="1">IF(AND(L1959=-1,L1958&lt;&gt;-1),MAX($P$8:P1958)+1,"")</f>
        <v/>
      </c>
      <c r="Q1959" s="24" t="str">
        <f ca="1">IF(AND(L1959&lt;&gt;-1,L1958=-1),MAX($Q$8:Q1958)+1,"")</f>
        <v/>
      </c>
    </row>
    <row r="1960" spans="1:17" x14ac:dyDescent="0.3">
      <c r="A1960" s="3">
        <v>43068</v>
      </c>
      <c r="B1960" s="9">
        <v>24.475574000000002</v>
      </c>
      <c r="C1960" s="9">
        <v>21.210684000000001</v>
      </c>
      <c r="E1960" s="14">
        <f t="shared" si="214"/>
        <v>1.1539266720488599</v>
      </c>
      <c r="F1960" s="18">
        <f t="shared" ca="1" si="213"/>
        <v>0.92994756942342716</v>
      </c>
      <c r="G1960" s="15">
        <f t="shared" ca="1" si="218"/>
        <v>1.1376128709994584</v>
      </c>
      <c r="H1960" s="15">
        <f t="shared" ca="1" si="219"/>
        <v>1.7542710563259119E-2</v>
      </c>
      <c r="J1960" s="17">
        <f t="shared" ca="1" si="215"/>
        <v>1</v>
      </c>
      <c r="K1960" s="24">
        <f t="shared" ca="1" si="216"/>
        <v>0</v>
      </c>
      <c r="L1960" s="17">
        <f t="shared" ca="1" si="217"/>
        <v>1</v>
      </c>
      <c r="N1960" s="24" t="str">
        <f ca="1">IF(AND(L1960=1,L1959&lt;&gt;1),MAX($N$8:N1959)+1,"")</f>
        <v/>
      </c>
      <c r="O1960" s="24" t="str">
        <f ca="1">IF(AND(L1960&lt;&gt;1,L1959=1),MAX($O$8:O1959)+1,"")</f>
        <v/>
      </c>
      <c r="P1960" s="17" t="str">
        <f ca="1">IF(AND(L1960=-1,L1959&lt;&gt;-1),MAX($P$8:P1959)+1,"")</f>
        <v/>
      </c>
      <c r="Q1960" s="24" t="str">
        <f ca="1">IF(AND(L1960&lt;&gt;-1,L1959=-1),MAX($Q$8:Q1959)+1,"")</f>
        <v/>
      </c>
    </row>
    <row r="1961" spans="1:17" x14ac:dyDescent="0.3">
      <c r="A1961" s="3">
        <v>43069</v>
      </c>
      <c r="B1961" s="9">
        <v>24.119046999999998</v>
      </c>
      <c r="C1961" s="9">
        <v>21.075129</v>
      </c>
      <c r="E1961" s="14">
        <f t="shared" si="214"/>
        <v>1.1444317612480568</v>
      </c>
      <c r="F1961" s="18">
        <f t="shared" ca="1" si="213"/>
        <v>0.31267382619626338</v>
      </c>
      <c r="G1961" s="15">
        <f t="shared" ca="1" si="218"/>
        <v>1.1394092020013245</v>
      </c>
      <c r="H1961" s="15">
        <f t="shared" ca="1" si="219"/>
        <v>1.6063254503367704E-2</v>
      </c>
      <c r="J1961" s="17">
        <f t="shared" ca="1" si="215"/>
        <v>1</v>
      </c>
      <c r="K1961" s="24">
        <f t="shared" ca="1" si="216"/>
        <v>0</v>
      </c>
      <c r="L1961" s="17">
        <f t="shared" ca="1" si="217"/>
        <v>1</v>
      </c>
      <c r="N1961" s="24" t="str">
        <f ca="1">IF(AND(L1961=1,L1960&lt;&gt;1),MAX($N$8:N1960)+1,"")</f>
        <v/>
      </c>
      <c r="O1961" s="24" t="str">
        <f ca="1">IF(AND(L1961&lt;&gt;1,L1960=1),MAX($O$8:O1960)+1,"")</f>
        <v/>
      </c>
      <c r="P1961" s="17" t="str">
        <f ca="1">IF(AND(L1961=-1,L1960&lt;&gt;-1),MAX($P$8:P1960)+1,"")</f>
        <v/>
      </c>
      <c r="Q1961" s="24" t="str">
        <f ca="1">IF(AND(L1961&lt;&gt;-1,L1960=-1),MAX($Q$8:Q1960)+1,"")</f>
        <v/>
      </c>
    </row>
    <row r="1962" spans="1:17" x14ac:dyDescent="0.3">
      <c r="A1962" s="3">
        <v>43070</v>
      </c>
      <c r="B1962" s="9">
        <v>24.104489999999998</v>
      </c>
      <c r="C1962" s="9">
        <v>21.023491</v>
      </c>
      <c r="E1962" s="14">
        <f t="shared" si="214"/>
        <v>1.1465503041335998</v>
      </c>
      <c r="F1962" s="18">
        <f t="shared" ca="1" si="213"/>
        <v>0.37132592077963267</v>
      </c>
      <c r="G1962" s="15">
        <f t="shared" ca="1" si="218"/>
        <v>1.1410431850516671</v>
      </c>
      <c r="H1962" s="15">
        <f t="shared" ca="1" si="219"/>
        <v>1.4830957856025747E-2</v>
      </c>
      <c r="J1962" s="17">
        <f t="shared" ca="1" si="215"/>
        <v>1</v>
      </c>
      <c r="K1962" s="24">
        <f t="shared" ca="1" si="216"/>
        <v>0</v>
      </c>
      <c r="L1962" s="17">
        <f t="shared" ca="1" si="217"/>
        <v>1</v>
      </c>
      <c r="N1962" s="24" t="str">
        <f ca="1">IF(AND(L1962=1,L1961&lt;&gt;1),MAX($N$8:N1961)+1,"")</f>
        <v/>
      </c>
      <c r="O1962" s="24" t="str">
        <f ca="1">IF(AND(L1962&lt;&gt;1,L1961=1),MAX($O$8:O1961)+1,"")</f>
        <v/>
      </c>
      <c r="P1962" s="17" t="str">
        <f ca="1">IF(AND(L1962=-1,L1961&lt;&gt;-1),MAX($P$8:P1961)+1,"")</f>
        <v/>
      </c>
      <c r="Q1962" s="24" t="str">
        <f ca="1">IF(AND(L1962&lt;&gt;-1,L1961=-1),MAX($Q$8:Q1961)+1,"")</f>
        <v/>
      </c>
    </row>
    <row r="1963" spans="1:17" x14ac:dyDescent="0.3">
      <c r="A1963" s="3">
        <v>43073</v>
      </c>
      <c r="B1963" s="9">
        <v>24.461054000000001</v>
      </c>
      <c r="C1963" s="9">
        <v>21.383389000000001</v>
      </c>
      <c r="E1963" s="14">
        <f t="shared" si="214"/>
        <v>1.1439278404372666</v>
      </c>
      <c r="F1963" s="18">
        <f t="shared" ca="1" si="213"/>
        <v>6.9368172814398027E-2</v>
      </c>
      <c r="G1963" s="15">
        <f t="shared" ca="1" si="218"/>
        <v>1.1431318626972928</v>
      </c>
      <c r="H1963" s="15">
        <f t="shared" ca="1" si="219"/>
        <v>1.1474682230761302E-2</v>
      </c>
      <c r="J1963" s="17">
        <f t="shared" ca="1" si="215"/>
        <v>1</v>
      </c>
      <c r="K1963" s="24">
        <f t="shared" ca="1" si="216"/>
        <v>0</v>
      </c>
      <c r="L1963" s="17">
        <f t="shared" ca="1" si="217"/>
        <v>1</v>
      </c>
      <c r="N1963" s="24" t="str">
        <f ca="1">IF(AND(L1963=1,L1962&lt;&gt;1),MAX($N$8:N1962)+1,"")</f>
        <v/>
      </c>
      <c r="O1963" s="24" t="str">
        <f ca="1">IF(AND(L1963&lt;&gt;1,L1962=1),MAX($O$8:O1962)+1,"")</f>
        <v/>
      </c>
      <c r="P1963" s="17" t="str">
        <f ca="1">IF(AND(L1963=-1,L1962&lt;&gt;-1),MAX($P$8:P1962)+1,"")</f>
        <v/>
      </c>
      <c r="Q1963" s="24" t="str">
        <f ca="1">IF(AND(L1963&lt;&gt;-1,L1962=-1),MAX($Q$8:Q1962)+1,"")</f>
        <v/>
      </c>
    </row>
    <row r="1964" spans="1:17" x14ac:dyDescent="0.3">
      <c r="A1964" s="3">
        <v>43074</v>
      </c>
      <c r="B1964" s="9">
        <v>24.314948999999999</v>
      </c>
      <c r="C1964" s="9">
        <v>21.163874</v>
      </c>
      <c r="E1964" s="14">
        <f t="shared" si="214"/>
        <v>1.1488893290519495</v>
      </c>
      <c r="F1964" s="18">
        <f t="shared" ca="1" si="213"/>
        <v>0.43424482411354032</v>
      </c>
      <c r="G1964" s="15">
        <f t="shared" ca="1" si="218"/>
        <v>1.1447058066723634</v>
      </c>
      <c r="H1964" s="15">
        <f t="shared" ca="1" si="219"/>
        <v>9.6340178334335894E-3</v>
      </c>
      <c r="J1964" s="17">
        <f t="shared" ca="1" si="215"/>
        <v>1</v>
      </c>
      <c r="K1964" s="24">
        <f t="shared" ca="1" si="216"/>
        <v>0</v>
      </c>
      <c r="L1964" s="17">
        <f t="shared" ca="1" si="217"/>
        <v>1</v>
      </c>
      <c r="N1964" s="24" t="str">
        <f ca="1">IF(AND(L1964=1,L1963&lt;&gt;1),MAX($N$8:N1963)+1,"")</f>
        <v/>
      </c>
      <c r="O1964" s="24" t="str">
        <f ca="1">IF(AND(L1964&lt;&gt;1,L1963=1),MAX($O$8:O1963)+1,"")</f>
        <v/>
      </c>
      <c r="P1964" s="17" t="str">
        <f ca="1">IF(AND(L1964=-1,L1963&lt;&gt;-1),MAX($P$8:P1963)+1,"")</f>
        <v/>
      </c>
      <c r="Q1964" s="24" t="str">
        <f ca="1">IF(AND(L1964&lt;&gt;-1,L1963=-1),MAX($Q$8:Q1963)+1,"")</f>
        <v/>
      </c>
    </row>
    <row r="1965" spans="1:17" x14ac:dyDescent="0.3">
      <c r="A1965" s="3">
        <v>43075</v>
      </c>
      <c r="B1965" s="9">
        <v>24.57217</v>
      </c>
      <c r="C1965" s="9">
        <v>21.383389000000001</v>
      </c>
      <c r="E1965" s="14">
        <f t="shared" si="214"/>
        <v>1.1491242103859214</v>
      </c>
      <c r="F1965" s="18">
        <f t="shared" ca="1" si="213"/>
        <v>0.38857718172731903</v>
      </c>
      <c r="G1965" s="15">
        <f t="shared" ca="1" si="218"/>
        <v>1.1460903725795484</v>
      </c>
      <c r="H1965" s="15">
        <f t="shared" ca="1" si="219"/>
        <v>7.8075552272186153E-3</v>
      </c>
      <c r="J1965" s="17">
        <f t="shared" ca="1" si="215"/>
        <v>1</v>
      </c>
      <c r="K1965" s="24">
        <f t="shared" ca="1" si="216"/>
        <v>0</v>
      </c>
      <c r="L1965" s="17">
        <f t="shared" ca="1" si="217"/>
        <v>1</v>
      </c>
      <c r="N1965" s="24" t="str">
        <f ca="1">IF(AND(L1965=1,L1964&lt;&gt;1),MAX($N$8:N1964)+1,"")</f>
        <v/>
      </c>
      <c r="O1965" s="24" t="str">
        <f ca="1">IF(AND(L1965&lt;&gt;1,L1964=1),MAX($O$8:O1964)+1,"")</f>
        <v/>
      </c>
      <c r="P1965" s="17" t="str">
        <f ca="1">IF(AND(L1965=-1,L1964&lt;&gt;-1),MAX($P$8:P1964)+1,"")</f>
        <v/>
      </c>
      <c r="Q1965" s="24" t="str">
        <f ca="1">IF(AND(L1965&lt;&gt;-1,L1964=-1),MAX($Q$8:Q1964)+1,"")</f>
        <v/>
      </c>
    </row>
    <row r="1966" spans="1:17" x14ac:dyDescent="0.3">
      <c r="A1966" s="3">
        <v>43076</v>
      </c>
      <c r="B1966" s="9">
        <v>24.490347</v>
      </c>
      <c r="C1966" s="9">
        <v>21.228408999999999</v>
      </c>
      <c r="E1966" s="14">
        <f t="shared" si="214"/>
        <v>1.1536590895719034</v>
      </c>
      <c r="F1966" s="18">
        <f t="shared" ca="1" si="213"/>
        <v>1.1539007333007527</v>
      </c>
      <c r="G1966" s="15">
        <f t="shared" ca="1" si="218"/>
        <v>1.1476810693588233</v>
      </c>
      <c r="H1966" s="15">
        <f t="shared" ca="1" si="219"/>
        <v>5.1807057925857356E-3</v>
      </c>
      <c r="J1966" s="17">
        <f t="shared" ca="1" si="215"/>
        <v>1</v>
      </c>
      <c r="K1966" s="24">
        <f t="shared" ca="1" si="216"/>
        <v>0</v>
      </c>
      <c r="L1966" s="17">
        <f t="shared" ca="1" si="217"/>
        <v>1</v>
      </c>
      <c r="N1966" s="24" t="str">
        <f ca="1">IF(AND(L1966=1,L1965&lt;&gt;1),MAX($N$8:N1965)+1,"")</f>
        <v/>
      </c>
      <c r="O1966" s="24" t="str">
        <f ca="1">IF(AND(L1966&lt;&gt;1,L1965=1),MAX($O$8:O1965)+1,"")</f>
        <v/>
      </c>
      <c r="P1966" s="17" t="str">
        <f ca="1">IF(AND(L1966=-1,L1965&lt;&gt;-1),MAX($P$8:P1965)+1,"")</f>
        <v/>
      </c>
      <c r="Q1966" s="24" t="str">
        <f ca="1">IF(AND(L1966&lt;&gt;-1,L1965=-1),MAX($Q$8:Q1965)+1,"")</f>
        <v/>
      </c>
    </row>
    <row r="1967" spans="1:17" x14ac:dyDescent="0.3">
      <c r="A1967" s="3">
        <v>43077</v>
      </c>
      <c r="B1967" s="9">
        <v>24.700814999999999</v>
      </c>
      <c r="C1967" s="9">
        <v>21.286550999999999</v>
      </c>
      <c r="E1967" s="14">
        <f t="shared" si="214"/>
        <v>1.1603953594924796</v>
      </c>
      <c r="F1967" s="18">
        <f t="shared" ca="1" si="213"/>
        <v>2.2343334625590554</v>
      </c>
      <c r="G1967" s="15">
        <f t="shared" ca="1" si="218"/>
        <v>1.148779159678518</v>
      </c>
      <c r="H1967" s="15">
        <f t="shared" ca="1" si="219"/>
        <v>5.198955307529278E-3</v>
      </c>
      <c r="J1967" s="17">
        <f t="shared" ca="1" si="215"/>
        <v>1</v>
      </c>
      <c r="K1967" s="24">
        <f t="shared" ca="1" si="216"/>
        <v>0</v>
      </c>
      <c r="L1967" s="17">
        <f t="shared" ca="1" si="217"/>
        <v>1</v>
      </c>
      <c r="N1967" s="24" t="str">
        <f ca="1">IF(AND(L1967=1,L1966&lt;&gt;1),MAX($N$8:N1966)+1,"")</f>
        <v/>
      </c>
      <c r="O1967" s="24" t="str">
        <f ca="1">IF(AND(L1967&lt;&gt;1,L1966=1),MAX($O$8:O1966)+1,"")</f>
        <v/>
      </c>
      <c r="P1967" s="17" t="str">
        <f ca="1">IF(AND(L1967=-1,L1966&lt;&gt;-1),MAX($P$8:P1966)+1,"")</f>
        <v/>
      </c>
      <c r="Q1967" s="24" t="str">
        <f ca="1">IF(AND(L1967&lt;&gt;-1,L1966=-1),MAX($Q$8:Q1966)+1,"")</f>
        <v/>
      </c>
    </row>
    <row r="1968" spans="1:17" x14ac:dyDescent="0.3">
      <c r="A1968" s="3">
        <v>43080</v>
      </c>
      <c r="B1968" s="9">
        <v>24.765094999999999</v>
      </c>
      <c r="C1968" s="9">
        <v>21.286550999999999</v>
      </c>
      <c r="E1968" s="14">
        <f t="shared" si="214"/>
        <v>1.163415106561885</v>
      </c>
      <c r="F1968" s="18">
        <f t="shared" ca="1" si="213"/>
        <v>2.520096978669693</v>
      </c>
      <c r="G1968" s="15">
        <f t="shared" ca="1" si="218"/>
        <v>1.1500064910853516</v>
      </c>
      <c r="H1968" s="15">
        <f t="shared" ca="1" si="219"/>
        <v>5.3206743986540994E-3</v>
      </c>
      <c r="J1968" s="17">
        <f t="shared" ca="1" si="215"/>
        <v>1</v>
      </c>
      <c r="K1968" s="24">
        <f t="shared" ca="1" si="216"/>
        <v>0</v>
      </c>
      <c r="L1968" s="17">
        <f t="shared" ca="1" si="217"/>
        <v>1</v>
      </c>
      <c r="N1968" s="24" t="str">
        <f ca="1">IF(AND(L1968=1,L1967&lt;&gt;1),MAX($N$8:N1967)+1,"")</f>
        <v/>
      </c>
      <c r="O1968" s="24" t="str">
        <f ca="1">IF(AND(L1968&lt;&gt;1,L1967=1),MAX($O$8:O1967)+1,"")</f>
        <v/>
      </c>
      <c r="P1968" s="17" t="str">
        <f ca="1">IF(AND(L1968=-1,L1967&lt;&gt;-1),MAX($P$8:P1967)+1,"")</f>
        <v/>
      </c>
      <c r="Q1968" s="24" t="str">
        <f ca="1">IF(AND(L1968&lt;&gt;-1,L1967=-1),MAX($Q$8:Q1967)+1,"")</f>
        <v/>
      </c>
    </row>
    <row r="1969" spans="1:17" x14ac:dyDescent="0.3">
      <c r="A1969" s="3">
        <v>43081</v>
      </c>
      <c r="B1969" s="9">
        <v>24.963898</v>
      </c>
      <c r="C1969" s="9">
        <v>21.706316000000001</v>
      </c>
      <c r="E1969" s="14">
        <f t="shared" si="214"/>
        <v>1.150075305270595</v>
      </c>
      <c r="F1969" s="18">
        <f t="shared" ca="1" si="213"/>
        <v>-1.073387043608434E-2</v>
      </c>
      <c r="G1969" s="15">
        <f t="shared" ca="1" si="218"/>
        <v>1.1501320672151654</v>
      </c>
      <c r="H1969" s="15">
        <f t="shared" ca="1" si="219"/>
        <v>5.2881153083015131E-3</v>
      </c>
      <c r="J1969" s="17">
        <f t="shared" ca="1" si="215"/>
        <v>0</v>
      </c>
      <c r="K1969" s="24">
        <f t="shared" ca="1" si="216"/>
        <v>0</v>
      </c>
      <c r="L1969" s="17">
        <f t="shared" ca="1" si="217"/>
        <v>0</v>
      </c>
      <c r="N1969" s="24" t="str">
        <f ca="1">IF(AND(L1969=1,L1968&lt;&gt;1),MAX($N$8:N1968)+1,"")</f>
        <v/>
      </c>
      <c r="O1969" s="24">
        <f ca="1">IF(AND(L1969&lt;&gt;1,L1968=1),MAX($O$8:O1968)+1,"")</f>
        <v>65</v>
      </c>
      <c r="P1969" s="17" t="str">
        <f ca="1">IF(AND(L1969=-1,L1968&lt;&gt;-1),MAX($P$8:P1968)+1,"")</f>
        <v/>
      </c>
      <c r="Q1969" s="24" t="str">
        <f ca="1">IF(AND(L1969&lt;&gt;-1,L1968=-1),MAX($Q$8:Q1968)+1,"")</f>
        <v/>
      </c>
    </row>
    <row r="1970" spans="1:17" x14ac:dyDescent="0.3">
      <c r="A1970" s="3">
        <v>43082</v>
      </c>
      <c r="B1970" s="9">
        <v>24.408439999999999</v>
      </c>
      <c r="C1970" s="9">
        <v>21.338215000000002</v>
      </c>
      <c r="E1970" s="14">
        <f t="shared" si="214"/>
        <v>1.1438838721983069</v>
      </c>
      <c r="F1970" s="18">
        <f t="shared" ca="1" si="213"/>
        <v>-1.1169149327621073</v>
      </c>
      <c r="G1970" s="15">
        <f t="shared" ca="1" si="218"/>
        <v>1.1499485220414623</v>
      </c>
      <c r="H1970" s="15">
        <f t="shared" ca="1" si="219"/>
        <v>5.4298225095420691E-3</v>
      </c>
      <c r="J1970" s="17">
        <f t="shared" ca="1" si="215"/>
        <v>0</v>
      </c>
      <c r="K1970" s="24">
        <f t="shared" ca="1" si="216"/>
        <v>-1</v>
      </c>
      <c r="L1970" s="17">
        <f t="shared" ca="1" si="217"/>
        <v>-1</v>
      </c>
      <c r="N1970" s="24" t="str">
        <f ca="1">IF(AND(L1970=1,L1969&lt;&gt;1),MAX($N$8:N1969)+1,"")</f>
        <v/>
      </c>
      <c r="O1970" s="24" t="str">
        <f ca="1">IF(AND(L1970&lt;&gt;1,L1969=1),MAX($O$8:O1969)+1,"")</f>
        <v/>
      </c>
      <c r="P1970" s="17">
        <f ca="1">IF(AND(L1970=-1,L1969&lt;&gt;-1),MAX($P$8:P1969)+1,"")</f>
        <v>73</v>
      </c>
      <c r="Q1970" s="24" t="str">
        <f ca="1">IF(AND(L1970&lt;&gt;-1,L1969=-1),MAX($Q$8:Q1969)+1,"")</f>
        <v/>
      </c>
    </row>
    <row r="1971" spans="1:17" x14ac:dyDescent="0.3">
      <c r="A1971" s="3">
        <v>43083</v>
      </c>
      <c r="B1971" s="9">
        <v>24.022576999999998</v>
      </c>
      <c r="C1971" s="9">
        <v>21.170265000000001</v>
      </c>
      <c r="E1971" s="14">
        <f t="shared" si="214"/>
        <v>1.1347319931989512</v>
      </c>
      <c r="F1971" s="18">
        <f t="shared" ca="1" si="213"/>
        <v>-2.3247404706144899</v>
      </c>
      <c r="G1971" s="15">
        <f t="shared" ca="1" si="218"/>
        <v>1.1493400260820676</v>
      </c>
      <c r="H1971" s="15">
        <f t="shared" ca="1" si="219"/>
        <v>6.2837263203213041E-3</v>
      </c>
      <c r="J1971" s="17">
        <f t="shared" ca="1" si="215"/>
        <v>0</v>
      </c>
      <c r="K1971" s="24">
        <f t="shared" ca="1" si="216"/>
        <v>-1</v>
      </c>
      <c r="L1971" s="17">
        <f t="shared" ca="1" si="217"/>
        <v>-1</v>
      </c>
      <c r="N1971" s="24" t="str">
        <f ca="1">IF(AND(L1971=1,L1970&lt;&gt;1),MAX($N$8:N1970)+1,"")</f>
        <v/>
      </c>
      <c r="O1971" s="24" t="str">
        <f ca="1">IF(AND(L1971&lt;&gt;1,L1970=1),MAX($O$8:O1970)+1,"")</f>
        <v/>
      </c>
      <c r="P1971" s="17" t="str">
        <f ca="1">IF(AND(L1971=-1,L1970&lt;&gt;-1),MAX($P$8:P1970)+1,"")</f>
        <v/>
      </c>
      <c r="Q1971" s="24" t="str">
        <f ca="1">IF(AND(L1971&lt;&gt;-1,L1970=-1),MAX($Q$8:Q1970)+1,"")</f>
        <v/>
      </c>
    </row>
    <row r="1972" spans="1:17" x14ac:dyDescent="0.3">
      <c r="A1972" s="3">
        <v>43084</v>
      </c>
      <c r="B1972" s="9">
        <v>24.107358999999999</v>
      </c>
      <c r="C1972" s="9">
        <v>21.086297999999999</v>
      </c>
      <c r="E1972" s="14">
        <f t="shared" si="214"/>
        <v>1.1432712845090209</v>
      </c>
      <c r="F1972" s="18">
        <f t="shared" ca="1" si="213"/>
        <v>-0.89609911061163461</v>
      </c>
      <c r="G1972" s="15">
        <f t="shared" ca="1" si="218"/>
        <v>1.1490076059731498</v>
      </c>
      <c r="H1972" s="15">
        <f t="shared" ca="1" si="219"/>
        <v>6.4014363993883392E-3</v>
      </c>
      <c r="J1972" s="17">
        <f t="shared" ca="1" si="215"/>
        <v>0</v>
      </c>
      <c r="K1972" s="24">
        <f t="shared" ca="1" si="216"/>
        <v>-1</v>
      </c>
      <c r="L1972" s="17">
        <f t="shared" ca="1" si="217"/>
        <v>-1</v>
      </c>
      <c r="N1972" s="24" t="str">
        <f ca="1">IF(AND(L1972=1,L1971&lt;&gt;1),MAX($N$8:N1971)+1,"")</f>
        <v/>
      </c>
      <c r="O1972" s="24" t="str">
        <f ca="1">IF(AND(L1972&lt;&gt;1,L1971=1),MAX($O$8:O1971)+1,"")</f>
        <v/>
      </c>
      <c r="P1972" s="17" t="str">
        <f ca="1">IF(AND(L1972=-1,L1971&lt;&gt;-1),MAX($P$8:P1971)+1,"")</f>
        <v/>
      </c>
      <c r="Q1972" s="24" t="str">
        <f ca="1">IF(AND(L1972&lt;&gt;-1,L1971=-1),MAX($Q$8:Q1971)+1,"")</f>
        <v/>
      </c>
    </row>
    <row r="1973" spans="1:17" x14ac:dyDescent="0.3">
      <c r="A1973" s="3">
        <v>43087</v>
      </c>
      <c r="B1973" s="9">
        <v>24.101548999999999</v>
      </c>
      <c r="C1973" s="9">
        <v>21.254239999999999</v>
      </c>
      <c r="E1973" s="14">
        <f t="shared" si="214"/>
        <v>1.1339642819503308</v>
      </c>
      <c r="F1973" s="18">
        <f t="shared" ca="1" si="213"/>
        <v>-2.0089686116059688</v>
      </c>
      <c r="G1973" s="15">
        <f t="shared" ca="1" si="218"/>
        <v>1.1482521402933821</v>
      </c>
      <c r="H1973" s="15">
        <f t="shared" ca="1" si="219"/>
        <v>7.1120366244196978E-3</v>
      </c>
      <c r="J1973" s="17">
        <f t="shared" ca="1" si="215"/>
        <v>0</v>
      </c>
      <c r="K1973" s="24">
        <f t="shared" ca="1" si="216"/>
        <v>-1</v>
      </c>
      <c r="L1973" s="17">
        <f t="shared" ca="1" si="217"/>
        <v>-1</v>
      </c>
      <c r="N1973" s="24" t="str">
        <f ca="1">IF(AND(L1973=1,L1972&lt;&gt;1),MAX($N$8:N1972)+1,"")</f>
        <v/>
      </c>
      <c r="O1973" s="24" t="str">
        <f ca="1">IF(AND(L1973&lt;&gt;1,L1972=1),MAX($O$8:O1972)+1,"")</f>
        <v/>
      </c>
      <c r="P1973" s="17" t="str">
        <f ca="1">IF(AND(L1973=-1,L1972&lt;&gt;-1),MAX($P$8:P1972)+1,"")</f>
        <v/>
      </c>
      <c r="Q1973" s="24" t="str">
        <f ca="1">IF(AND(L1973&lt;&gt;-1,L1972=-1),MAX($Q$8:Q1972)+1,"")</f>
        <v/>
      </c>
    </row>
    <row r="1974" spans="1:17" x14ac:dyDescent="0.3">
      <c r="A1974" s="3">
        <v>43088</v>
      </c>
      <c r="B1974" s="9">
        <v>23.966549000000001</v>
      </c>
      <c r="C1974" s="9">
        <v>21.118604999999999</v>
      </c>
      <c r="E1974" s="14">
        <f t="shared" si="214"/>
        <v>1.1348547406421969</v>
      </c>
      <c r="F1974" s="18">
        <f t="shared" ca="1" si="213"/>
        <v>-1.6683129567982589</v>
      </c>
      <c r="G1974" s="15">
        <f t="shared" ca="1" si="218"/>
        <v>1.147583826747969</v>
      </c>
      <c r="H1974" s="15">
        <f t="shared" ca="1" si="219"/>
        <v>7.6299150311708126E-3</v>
      </c>
      <c r="J1974" s="17">
        <f t="shared" ca="1" si="215"/>
        <v>0</v>
      </c>
      <c r="K1974" s="24">
        <f t="shared" ca="1" si="216"/>
        <v>-1</v>
      </c>
      <c r="L1974" s="17">
        <f t="shared" ca="1" si="217"/>
        <v>-1</v>
      </c>
      <c r="N1974" s="24" t="str">
        <f ca="1">IF(AND(L1974=1,L1973&lt;&gt;1),MAX($N$8:N1973)+1,"")</f>
        <v/>
      </c>
      <c r="O1974" s="24" t="str">
        <f ca="1">IF(AND(L1974&lt;&gt;1,L1973=1),MAX($O$8:O1973)+1,"")</f>
        <v/>
      </c>
      <c r="P1974" s="17" t="str">
        <f ca="1">IF(AND(L1974=-1,L1973&lt;&gt;-1),MAX($P$8:P1973)+1,"")</f>
        <v/>
      </c>
      <c r="Q1974" s="24" t="str">
        <f ca="1">IF(AND(L1974&lt;&gt;-1,L1973=-1),MAX($Q$8:Q1973)+1,"")</f>
        <v/>
      </c>
    </row>
    <row r="1975" spans="1:17" x14ac:dyDescent="0.3">
      <c r="A1975" s="3">
        <v>43089</v>
      </c>
      <c r="B1975" s="9">
        <v>24.054554</v>
      </c>
      <c r="C1975" s="9">
        <v>21.312380000000001</v>
      </c>
      <c r="E1975" s="14">
        <f t="shared" si="214"/>
        <v>1.1286657801709616</v>
      </c>
      <c r="F1975" s="18">
        <f t="shared" ca="1" si="213"/>
        <v>-2.1156279610706581</v>
      </c>
      <c r="G1975" s="15">
        <f t="shared" ca="1" si="218"/>
        <v>1.1468257746367105</v>
      </c>
      <c r="H1975" s="15">
        <f t="shared" ca="1" si="219"/>
        <v>8.5837372165182817E-3</v>
      </c>
      <c r="J1975" s="17">
        <f t="shared" ca="1" si="215"/>
        <v>0</v>
      </c>
      <c r="K1975" s="24">
        <f t="shared" ca="1" si="216"/>
        <v>-1</v>
      </c>
      <c r="L1975" s="17">
        <f t="shared" ca="1" si="217"/>
        <v>-1</v>
      </c>
      <c r="N1975" s="24" t="str">
        <f ca="1">IF(AND(L1975=1,L1974&lt;&gt;1),MAX($N$8:N1974)+1,"")</f>
        <v/>
      </c>
      <c r="O1975" s="24" t="str">
        <f ca="1">IF(AND(L1975&lt;&gt;1,L1974=1),MAX($O$8:O1974)+1,"")</f>
        <v/>
      </c>
      <c r="P1975" s="17" t="str">
        <f ca="1">IF(AND(L1975=-1,L1974&lt;&gt;-1),MAX($P$8:P1974)+1,"")</f>
        <v/>
      </c>
      <c r="Q1975" s="24" t="str">
        <f ca="1">IF(AND(L1975&lt;&gt;-1,L1974=-1),MAX($Q$8:Q1974)+1,"")</f>
        <v/>
      </c>
    </row>
    <row r="1976" spans="1:17" x14ac:dyDescent="0.3">
      <c r="A1976" s="3">
        <v>43090</v>
      </c>
      <c r="B1976" s="9">
        <v>25.069597000000002</v>
      </c>
      <c r="C1976" s="9">
        <v>21.938790999999998</v>
      </c>
      <c r="E1976" s="14">
        <f t="shared" si="214"/>
        <v>1.1427064052891522</v>
      </c>
      <c r="F1976" s="18">
        <f t="shared" ca="1" si="213"/>
        <v>-0.48406179542430661</v>
      </c>
      <c r="G1976" s="15">
        <f t="shared" ca="1" si="218"/>
        <v>1.1468543032594443</v>
      </c>
      <c r="H1976" s="15">
        <f t="shared" ca="1" si="219"/>
        <v>8.5689430760718596E-3</v>
      </c>
      <c r="J1976" s="17">
        <f t="shared" ca="1" si="215"/>
        <v>0</v>
      </c>
      <c r="K1976" s="24">
        <f t="shared" ca="1" si="216"/>
        <v>-1</v>
      </c>
      <c r="L1976" s="17">
        <f t="shared" ca="1" si="217"/>
        <v>-1</v>
      </c>
      <c r="N1976" s="24" t="str">
        <f ca="1">IF(AND(L1976=1,L1975&lt;&gt;1),MAX($N$8:N1975)+1,"")</f>
        <v/>
      </c>
      <c r="O1976" s="24" t="str">
        <f ca="1">IF(AND(L1976&lt;&gt;1,L1975=1),MAX($O$8:O1975)+1,"")</f>
        <v/>
      </c>
      <c r="P1976" s="17" t="str">
        <f ca="1">IF(AND(L1976=-1,L1975&lt;&gt;-1),MAX($P$8:P1975)+1,"")</f>
        <v/>
      </c>
      <c r="Q1976" s="24" t="str">
        <f ca="1">IF(AND(L1976&lt;&gt;-1,L1975=-1),MAX($Q$8:Q1975)+1,"")</f>
        <v/>
      </c>
    </row>
    <row r="1977" spans="1:17" x14ac:dyDescent="0.3">
      <c r="A1977" s="3">
        <v>43091</v>
      </c>
      <c r="B1977" s="9">
        <v>24.952203999999998</v>
      </c>
      <c r="C1977" s="9">
        <v>22.736639</v>
      </c>
      <c r="E1977" s="14">
        <f t="shared" si="214"/>
        <v>1.0974447014794051</v>
      </c>
      <c r="F1977" s="18">
        <f t="shared" ca="1" si="213"/>
        <v>-3.5295191436841042</v>
      </c>
      <c r="G1977" s="15">
        <f t="shared" ca="1" si="218"/>
        <v>1.1447384766569846</v>
      </c>
      <c r="H1977" s="15">
        <f t="shared" ca="1" si="219"/>
        <v>1.3399495300148549E-2</v>
      </c>
      <c r="J1977" s="17">
        <f t="shared" ca="1" si="215"/>
        <v>0</v>
      </c>
      <c r="K1977" s="24">
        <f t="shared" ca="1" si="216"/>
        <v>-1</v>
      </c>
      <c r="L1977" s="17">
        <f t="shared" ca="1" si="217"/>
        <v>-1</v>
      </c>
      <c r="N1977" s="24" t="str">
        <f ca="1">IF(AND(L1977=1,L1976&lt;&gt;1),MAX($N$8:N1976)+1,"")</f>
        <v/>
      </c>
      <c r="O1977" s="24" t="str">
        <f ca="1">IF(AND(L1977&lt;&gt;1,L1976=1),MAX($O$8:O1976)+1,"")</f>
        <v/>
      </c>
      <c r="P1977" s="17" t="str">
        <f ca="1">IF(AND(L1977=-1,L1976&lt;&gt;-1),MAX($P$8:P1976)+1,"")</f>
        <v/>
      </c>
      <c r="Q1977" s="24" t="str">
        <f ca="1">IF(AND(L1977&lt;&gt;-1,L1976=-1),MAX($Q$8:Q1976)+1,"")</f>
        <v/>
      </c>
    </row>
    <row r="1978" spans="1:17" x14ac:dyDescent="0.3">
      <c r="A1978" s="3">
        <v>43095</v>
      </c>
      <c r="B1978" s="9">
        <v>25.051995999999999</v>
      </c>
      <c r="C1978" s="9">
        <v>22.732824000000001</v>
      </c>
      <c r="E1978" s="14">
        <f t="shared" si="214"/>
        <v>1.1020186493327886</v>
      </c>
      <c r="F1978" s="18">
        <f t="shared" ca="1" si="213"/>
        <v>-2.5310161995227873</v>
      </c>
      <c r="G1978" s="15">
        <f t="shared" ca="1" si="218"/>
        <v>1.14260395227167</v>
      </c>
      <c r="H1978" s="15">
        <f t="shared" ca="1" si="219"/>
        <v>1.6035181025918995E-2</v>
      </c>
      <c r="J1978" s="17">
        <f t="shared" ca="1" si="215"/>
        <v>0</v>
      </c>
      <c r="K1978" s="24">
        <f t="shared" ca="1" si="216"/>
        <v>-1</v>
      </c>
      <c r="L1978" s="17">
        <f t="shared" ca="1" si="217"/>
        <v>-1</v>
      </c>
      <c r="N1978" s="24" t="str">
        <f ca="1">IF(AND(L1978=1,L1977&lt;&gt;1),MAX($N$8:N1977)+1,"")</f>
        <v/>
      </c>
      <c r="O1978" s="24" t="str">
        <f ca="1">IF(AND(L1978&lt;&gt;1,L1977=1),MAX($O$8:O1977)+1,"")</f>
        <v/>
      </c>
      <c r="P1978" s="17" t="str">
        <f ca="1">IF(AND(L1978=-1,L1977&lt;&gt;-1),MAX($P$8:P1977)+1,"")</f>
        <v/>
      </c>
      <c r="Q1978" s="24" t="str">
        <f ca="1">IF(AND(L1978&lt;&gt;-1,L1977=-1),MAX($Q$8:Q1977)+1,"")</f>
        <v/>
      </c>
    </row>
    <row r="1979" spans="1:17" x14ac:dyDescent="0.3">
      <c r="A1979" s="3">
        <v>43096</v>
      </c>
      <c r="B1979" s="9">
        <v>24.917000000000002</v>
      </c>
      <c r="C1979" s="9">
        <v>22.760204000000002</v>
      </c>
      <c r="E1979" s="14">
        <f t="shared" si="214"/>
        <v>1.0947617165470045</v>
      </c>
      <c r="F1979" s="18">
        <f t="shared" ca="1" si="213"/>
        <v>-2.4142492495378534</v>
      </c>
      <c r="G1979" s="15">
        <f t="shared" ca="1" si="218"/>
        <v>1.1401631301638833</v>
      </c>
      <c r="H1979" s="15">
        <f t="shared" ca="1" si="219"/>
        <v>1.8805603284569612E-2</v>
      </c>
      <c r="J1979" s="17">
        <f t="shared" ca="1" si="215"/>
        <v>0</v>
      </c>
      <c r="K1979" s="24">
        <f t="shared" ca="1" si="216"/>
        <v>-1</v>
      </c>
      <c r="L1979" s="17">
        <f t="shared" ca="1" si="217"/>
        <v>-1</v>
      </c>
      <c r="N1979" s="24" t="str">
        <f ca="1">IF(AND(L1979=1,L1978&lt;&gt;1),MAX($N$8:N1978)+1,"")</f>
        <v/>
      </c>
      <c r="O1979" s="24" t="str">
        <f ca="1">IF(AND(L1979&lt;&gt;1,L1978=1),MAX($O$8:O1978)+1,"")</f>
        <v/>
      </c>
      <c r="P1979" s="17" t="str">
        <f ca="1">IF(AND(L1979=-1,L1978&lt;&gt;-1),MAX($P$8:P1978)+1,"")</f>
        <v/>
      </c>
      <c r="Q1979" s="24" t="str">
        <f ca="1">IF(AND(L1979&lt;&gt;-1,L1978=-1),MAX($Q$8:Q1978)+1,"")</f>
        <v/>
      </c>
    </row>
    <row r="1980" spans="1:17" x14ac:dyDescent="0.3">
      <c r="A1980" s="3">
        <v>43097</v>
      </c>
      <c r="B1980" s="9">
        <v>24.981598000000002</v>
      </c>
      <c r="C1980" s="9">
        <v>23.101357</v>
      </c>
      <c r="E1980" s="14">
        <f t="shared" si="214"/>
        <v>1.0813909330088272</v>
      </c>
      <c r="F1980" s="18">
        <f t="shared" ca="1" si="213"/>
        <v>-2.5107838039152934</v>
      </c>
      <c r="G1980" s="15">
        <f t="shared" ca="1" si="218"/>
        <v>1.1367160417226478</v>
      </c>
      <c r="H1980" s="15">
        <f t="shared" ca="1" si="219"/>
        <v>2.203499505913142E-2</v>
      </c>
      <c r="J1980" s="17">
        <f t="shared" ca="1" si="215"/>
        <v>0</v>
      </c>
      <c r="K1980" s="24">
        <f t="shared" ca="1" si="216"/>
        <v>-1</v>
      </c>
      <c r="L1980" s="17">
        <f t="shared" ca="1" si="217"/>
        <v>-1</v>
      </c>
      <c r="N1980" s="24" t="str">
        <f ca="1">IF(AND(L1980=1,L1979&lt;&gt;1),MAX($N$8:N1979)+1,"")</f>
        <v/>
      </c>
      <c r="O1980" s="24" t="str">
        <f ca="1">IF(AND(L1980&lt;&gt;1,L1979=1),MAX($O$8:O1979)+1,"")</f>
        <v/>
      </c>
      <c r="P1980" s="17" t="str">
        <f ca="1">IF(AND(L1980=-1,L1979&lt;&gt;-1),MAX($P$8:P1979)+1,"")</f>
        <v/>
      </c>
      <c r="Q1980" s="24" t="str">
        <f ca="1">IF(AND(L1980&lt;&gt;-1,L1979=-1),MAX($Q$8:Q1979)+1,"")</f>
        <v/>
      </c>
    </row>
    <row r="1981" spans="1:17" x14ac:dyDescent="0.3">
      <c r="A1981" s="3">
        <v>43098</v>
      </c>
      <c r="B1981" s="9">
        <v>24.981598000000002</v>
      </c>
      <c r="C1981" s="9">
        <v>23.101357</v>
      </c>
      <c r="E1981" s="14">
        <f t="shared" si="214"/>
        <v>1.0813909330088272</v>
      </c>
      <c r="F1981" s="18">
        <f t="shared" ca="1" si="213"/>
        <v>-2.1262140948073607</v>
      </c>
      <c r="G1981" s="15">
        <f t="shared" ca="1" si="218"/>
        <v>1.1333400122517405</v>
      </c>
      <c r="H1981" s="15">
        <f t="shared" ca="1" si="219"/>
        <v>2.4432666197530806E-2</v>
      </c>
      <c r="J1981" s="17">
        <f t="shared" ca="1" si="215"/>
        <v>0</v>
      </c>
      <c r="K1981" s="24">
        <f t="shared" ca="1" si="216"/>
        <v>-1</v>
      </c>
      <c r="L1981" s="17">
        <f t="shared" ca="1" si="217"/>
        <v>-1</v>
      </c>
      <c r="N1981" s="24" t="str">
        <f ca="1">IF(AND(L1981=1,L1980&lt;&gt;1),MAX($N$8:N1980)+1,"")</f>
        <v/>
      </c>
      <c r="O1981" s="24" t="str">
        <f ca="1">IF(AND(L1981&lt;&gt;1,L1980=1),MAX($O$8:O1980)+1,"")</f>
        <v/>
      </c>
      <c r="P1981" s="17" t="str">
        <f ca="1">IF(AND(L1981=-1,L1980&lt;&gt;-1),MAX($P$8:P1980)+1,"")</f>
        <v/>
      </c>
      <c r="Q1981" s="24" t="str">
        <f ca="1">IF(AND(L1981&lt;&gt;-1,L1980=-1),MAX($Q$8:Q1980)+1,"")</f>
        <v/>
      </c>
    </row>
    <row r="1982" spans="1:17" x14ac:dyDescent="0.3">
      <c r="A1982" s="3">
        <v>43102</v>
      </c>
      <c r="B1982" s="9">
        <v>25.753312999999999</v>
      </c>
      <c r="C1982" s="9">
        <v>23.613219999999998</v>
      </c>
      <c r="E1982" s="14">
        <f t="shared" si="214"/>
        <v>1.0906311379811817</v>
      </c>
      <c r="F1982" s="18">
        <f t="shared" ca="1" si="213"/>
        <v>-1.559545453470794</v>
      </c>
      <c r="G1982" s="15">
        <f t="shared" ca="1" si="218"/>
        <v>1.1304629425213912</v>
      </c>
      <c r="H1982" s="15">
        <f t="shared" ca="1" si="219"/>
        <v>2.5540649970517488E-2</v>
      </c>
      <c r="J1982" s="17">
        <f t="shared" ca="1" si="215"/>
        <v>0</v>
      </c>
      <c r="K1982" s="24">
        <f t="shared" ca="1" si="216"/>
        <v>-1</v>
      </c>
      <c r="L1982" s="17">
        <f t="shared" ca="1" si="217"/>
        <v>-1</v>
      </c>
      <c r="N1982" s="24" t="str">
        <f ca="1">IF(AND(L1982=1,L1981&lt;&gt;1),MAX($N$8:N1981)+1,"")</f>
        <v/>
      </c>
      <c r="O1982" s="24" t="str">
        <f ca="1">IF(AND(L1982&lt;&gt;1,L1981=1),MAX($O$8:O1981)+1,"")</f>
        <v/>
      </c>
      <c r="P1982" s="17" t="str">
        <f ca="1">IF(AND(L1982=-1,L1981&lt;&gt;-1),MAX($P$8:P1981)+1,"")</f>
        <v/>
      </c>
      <c r="Q1982" s="24" t="str">
        <f ca="1">IF(AND(L1982&lt;&gt;-1,L1981=-1),MAX($Q$8:Q1981)+1,"")</f>
        <v/>
      </c>
    </row>
    <row r="1983" spans="1:17" x14ac:dyDescent="0.3">
      <c r="A1983" s="3">
        <v>43103</v>
      </c>
      <c r="B1983" s="9">
        <v>25.929387999999999</v>
      </c>
      <c r="C1983" s="9">
        <v>23.720624999999998</v>
      </c>
      <c r="E1983" s="14">
        <f t="shared" si="214"/>
        <v>1.0931157168076306</v>
      </c>
      <c r="F1983" s="18">
        <f t="shared" ca="1" si="213"/>
        <v>-1.3220946032914922</v>
      </c>
      <c r="G1983" s="15">
        <f t="shared" ca="1" si="218"/>
        <v>1.1281303950468267</v>
      </c>
      <c r="H1983" s="15">
        <f t="shared" ca="1" si="219"/>
        <v>2.648424564476954E-2</v>
      </c>
      <c r="J1983" s="17">
        <f t="shared" ca="1" si="215"/>
        <v>0</v>
      </c>
      <c r="K1983" s="24">
        <f t="shared" ca="1" si="216"/>
        <v>-1</v>
      </c>
      <c r="L1983" s="17">
        <f t="shared" ca="1" si="217"/>
        <v>-1</v>
      </c>
      <c r="N1983" s="24" t="str">
        <f ca="1">IF(AND(L1983=1,L1982&lt;&gt;1),MAX($N$8:N1982)+1,"")</f>
        <v/>
      </c>
      <c r="O1983" s="24" t="str">
        <f ca="1">IF(AND(L1983&lt;&gt;1,L1982=1),MAX($O$8:O1982)+1,"")</f>
        <v/>
      </c>
      <c r="P1983" s="17" t="str">
        <f ca="1">IF(AND(L1983=-1,L1982&lt;&gt;-1),MAX($P$8:P1982)+1,"")</f>
        <v/>
      </c>
      <c r="Q1983" s="24" t="str">
        <f ca="1">IF(AND(L1983&lt;&gt;-1,L1982=-1),MAX($Q$8:Q1982)+1,"")</f>
        <v/>
      </c>
    </row>
    <row r="1984" spans="1:17" x14ac:dyDescent="0.3">
      <c r="A1984" s="3">
        <v>43104</v>
      </c>
      <c r="B1984" s="9">
        <v>26.469394999999999</v>
      </c>
      <c r="C1984" s="9">
        <v>24.109812000000002</v>
      </c>
      <c r="E1984" s="14">
        <f t="shared" si="214"/>
        <v>1.0978681625555602</v>
      </c>
      <c r="F1984" s="18">
        <f t="shared" ca="1" si="213"/>
        <v>-1.0433681171987113</v>
      </c>
      <c r="G1984" s="15">
        <f t="shared" ca="1" si="218"/>
        <v>1.1259175704296429</v>
      </c>
      <c r="H1984" s="15">
        <f t="shared" ca="1" si="219"/>
        <v>2.688352021853152E-2</v>
      </c>
      <c r="J1984" s="17">
        <f t="shared" ca="1" si="215"/>
        <v>0</v>
      </c>
      <c r="K1984" s="24">
        <f t="shared" ca="1" si="216"/>
        <v>-1</v>
      </c>
      <c r="L1984" s="17">
        <f t="shared" ca="1" si="217"/>
        <v>-1</v>
      </c>
      <c r="N1984" s="24" t="str">
        <f ca="1">IF(AND(L1984=1,L1983&lt;&gt;1),MAX($N$8:N1983)+1,"")</f>
        <v/>
      </c>
      <c r="O1984" s="24" t="str">
        <f ca="1">IF(AND(L1984&lt;&gt;1,L1983=1),MAX($O$8:O1983)+1,"")</f>
        <v/>
      </c>
      <c r="P1984" s="17" t="str">
        <f ca="1">IF(AND(L1984=-1,L1983&lt;&gt;-1),MAX($P$8:P1983)+1,"")</f>
        <v/>
      </c>
      <c r="Q1984" s="24" t="str">
        <f ca="1">IF(AND(L1984&lt;&gt;-1,L1983=-1),MAX($Q$8:Q1983)+1,"")</f>
        <v/>
      </c>
    </row>
    <row r="1985" spans="1:17" x14ac:dyDescent="0.3">
      <c r="A1985" s="3">
        <v>43105</v>
      </c>
      <c r="B1985" s="9">
        <v>26.545636999999999</v>
      </c>
      <c r="C1985" s="9">
        <v>24.246361</v>
      </c>
      <c r="E1985" s="14">
        <f t="shared" si="214"/>
        <v>1.0948297354807182</v>
      </c>
      <c r="F1985" s="18">
        <f t="shared" ca="1" si="213"/>
        <v>-1.0558400180356931</v>
      </c>
      <c r="G1985" s="15">
        <f t="shared" ca="1" si="218"/>
        <v>1.1236858383861634</v>
      </c>
      <c r="H1985" s="15">
        <f t="shared" ca="1" si="219"/>
        <v>2.7329995465723841E-2</v>
      </c>
      <c r="J1985" s="17">
        <f t="shared" ca="1" si="215"/>
        <v>0</v>
      </c>
      <c r="K1985" s="24">
        <f t="shared" ca="1" si="216"/>
        <v>-1</v>
      </c>
      <c r="L1985" s="17">
        <f t="shared" ca="1" si="217"/>
        <v>-1</v>
      </c>
      <c r="N1985" s="24" t="str">
        <f ca="1">IF(AND(L1985=1,L1984&lt;&gt;1),MAX($N$8:N1984)+1,"")</f>
        <v/>
      </c>
      <c r="O1985" s="24" t="str">
        <f ca="1">IF(AND(L1985&lt;&gt;1,L1984=1),MAX($O$8:O1984)+1,"")</f>
        <v/>
      </c>
      <c r="P1985" s="17" t="str">
        <f ca="1">IF(AND(L1985=-1,L1984&lt;&gt;-1),MAX($P$8:P1984)+1,"")</f>
        <v/>
      </c>
      <c r="Q1985" s="24" t="str">
        <f ca="1">IF(AND(L1985&lt;&gt;-1,L1984=-1),MAX($Q$8:Q1984)+1,"")</f>
        <v/>
      </c>
    </row>
    <row r="1986" spans="1:17" x14ac:dyDescent="0.3">
      <c r="A1986" s="3">
        <v>43108</v>
      </c>
      <c r="B1986" s="9">
        <v>26.457602999999999</v>
      </c>
      <c r="C1986" s="9">
        <v>24.239509999999999</v>
      </c>
      <c r="E1986" s="14">
        <f t="shared" si="214"/>
        <v>1.091507336575698</v>
      </c>
      <c r="F1986" s="18">
        <f t="shared" ref="F1986:F2049" ca="1" si="220">IF(ISNUMBER(G1986),(E1986-G1986)/H1986,"")</f>
        <v>-1.0738136661517805</v>
      </c>
      <c r="G1986" s="15">
        <f t="shared" ca="1" si="218"/>
        <v>1.1210775660008794</v>
      </c>
      <c r="H1986" s="15">
        <f t="shared" ca="1" si="219"/>
        <v>2.7537579709850445E-2</v>
      </c>
      <c r="J1986" s="17">
        <f t="shared" ca="1" si="215"/>
        <v>0</v>
      </c>
      <c r="K1986" s="24">
        <f t="shared" ca="1" si="216"/>
        <v>-1</v>
      </c>
      <c r="L1986" s="17">
        <f t="shared" ca="1" si="217"/>
        <v>-1</v>
      </c>
      <c r="N1986" s="24" t="str">
        <f ca="1">IF(AND(L1986=1,L1985&lt;&gt;1),MAX($N$8:N1985)+1,"")</f>
        <v/>
      </c>
      <c r="O1986" s="24" t="str">
        <f ca="1">IF(AND(L1986&lt;&gt;1,L1985=1),MAX($O$8:O1985)+1,"")</f>
        <v/>
      </c>
      <c r="P1986" s="17" t="str">
        <f ca="1">IF(AND(L1986=-1,L1985&lt;&gt;-1),MAX($P$8:P1985)+1,"")</f>
        <v/>
      </c>
      <c r="Q1986" s="24" t="str">
        <f ca="1">IF(AND(L1986&lt;&gt;-1,L1985=-1),MAX($Q$8:Q1985)+1,"")</f>
        <v/>
      </c>
    </row>
    <row r="1987" spans="1:17" x14ac:dyDescent="0.3">
      <c r="A1987" s="3">
        <v>43109</v>
      </c>
      <c r="B1987" s="9">
        <v>26.170076000000002</v>
      </c>
      <c r="C1987" s="9">
        <v>24.014178999999999</v>
      </c>
      <c r="E1987" s="14">
        <f t="shared" ref="E1987:E2050" si="221">IF(ISNUMBER(B1987),B1987/C1987,"")</f>
        <v>1.089776002752374</v>
      </c>
      <c r="F1987" s="18">
        <f t="shared" ca="1" si="220"/>
        <v>-1.0376949234011601</v>
      </c>
      <c r="G1987" s="15">
        <f t="shared" ca="1" si="218"/>
        <v>1.1183799201993543</v>
      </c>
      <c r="H1987" s="15">
        <f t="shared" ca="1" si="219"/>
        <v>2.7564862082227221E-2</v>
      </c>
      <c r="J1987" s="17">
        <f t="shared" ca="1" si="215"/>
        <v>0</v>
      </c>
      <c r="K1987" s="24">
        <f t="shared" ca="1" si="216"/>
        <v>-1</v>
      </c>
      <c r="L1987" s="17">
        <f t="shared" ca="1" si="217"/>
        <v>-1</v>
      </c>
      <c r="N1987" s="24" t="str">
        <f ca="1">IF(AND(L1987=1,L1986&lt;&gt;1),MAX($N$8:N1986)+1,"")</f>
        <v/>
      </c>
      <c r="O1987" s="24" t="str">
        <f ca="1">IF(AND(L1987&lt;&gt;1,L1986=1),MAX($O$8:O1986)+1,"")</f>
        <v/>
      </c>
      <c r="P1987" s="17" t="str">
        <f ca="1">IF(AND(L1987=-1,L1986&lt;&gt;-1),MAX($P$8:P1986)+1,"")</f>
        <v/>
      </c>
      <c r="Q1987" s="24" t="str">
        <f ca="1">IF(AND(L1987&lt;&gt;-1,L1986=-1),MAX($Q$8:Q1986)+1,"")</f>
        <v/>
      </c>
    </row>
    <row r="1988" spans="1:17" x14ac:dyDescent="0.3">
      <c r="A1988" s="3">
        <v>43110</v>
      </c>
      <c r="B1988" s="9">
        <v>26.082042999999999</v>
      </c>
      <c r="C1988" s="9">
        <v>23.761545000000002</v>
      </c>
      <c r="E1988" s="14">
        <f t="shared" si="221"/>
        <v>1.0976577070219971</v>
      </c>
      <c r="F1988" s="18">
        <f t="shared" ca="1" si="220"/>
        <v>-0.67915892299411151</v>
      </c>
      <c r="G1988" s="15">
        <f t="shared" ca="1" si="218"/>
        <v>1.1158344028107225</v>
      </c>
      <c r="H1988" s="15">
        <f t="shared" ca="1" si="219"/>
        <v>2.6763538213695957E-2</v>
      </c>
      <c r="J1988" s="17">
        <f t="shared" ca="1" si="215"/>
        <v>0</v>
      </c>
      <c r="K1988" s="24">
        <f t="shared" ca="1" si="216"/>
        <v>-1</v>
      </c>
      <c r="L1988" s="17">
        <f t="shared" ca="1" si="217"/>
        <v>-1</v>
      </c>
      <c r="N1988" s="24" t="str">
        <f ca="1">IF(AND(L1988=1,L1987&lt;&gt;1),MAX($N$8:N1987)+1,"")</f>
        <v/>
      </c>
      <c r="O1988" s="24" t="str">
        <f ca="1">IF(AND(L1988&lt;&gt;1,L1987=1),MAX($O$8:O1987)+1,"")</f>
        <v/>
      </c>
      <c r="P1988" s="17" t="str">
        <f ca="1">IF(AND(L1988=-1,L1987&lt;&gt;-1),MAX($P$8:P1987)+1,"")</f>
        <v/>
      </c>
      <c r="Q1988" s="24" t="str">
        <f ca="1">IF(AND(L1988&lt;&gt;-1,L1987=-1),MAX($Q$8:Q1987)+1,"")</f>
        <v/>
      </c>
    </row>
    <row r="1989" spans="1:17" x14ac:dyDescent="0.3">
      <c r="A1989" s="3">
        <v>43111</v>
      </c>
      <c r="B1989" s="9">
        <v>26.627859000000001</v>
      </c>
      <c r="C1989" s="9">
        <v>24.239509999999999</v>
      </c>
      <c r="E1989" s="14">
        <f t="shared" si="221"/>
        <v>1.0985312409368011</v>
      </c>
      <c r="F1989" s="18">
        <f t="shared" ca="1" si="220"/>
        <v>-0.57655017831088984</v>
      </c>
      <c r="G1989" s="15">
        <f t="shared" ca="1" si="218"/>
        <v>1.1130223974218281</v>
      </c>
      <c r="H1989" s="15">
        <f t="shared" ca="1" si="219"/>
        <v>2.5134250287601134E-2</v>
      </c>
      <c r="J1989" s="17">
        <f t="shared" ca="1" si="215"/>
        <v>0</v>
      </c>
      <c r="K1989" s="24">
        <f t="shared" ca="1" si="216"/>
        <v>-1</v>
      </c>
      <c r="L1989" s="17">
        <f t="shared" ca="1" si="217"/>
        <v>-1</v>
      </c>
      <c r="N1989" s="24" t="str">
        <f ca="1">IF(AND(L1989=1,L1988&lt;&gt;1),MAX($N$8:N1988)+1,"")</f>
        <v/>
      </c>
      <c r="O1989" s="24" t="str">
        <f ca="1">IF(AND(L1989&lt;&gt;1,L1988=1),MAX($O$8:O1988)+1,"")</f>
        <v/>
      </c>
      <c r="P1989" s="17" t="str">
        <f ca="1">IF(AND(L1989=-1,L1988&lt;&gt;-1),MAX($P$8:P1988)+1,"")</f>
        <v/>
      </c>
      <c r="Q1989" s="24" t="str">
        <f ca="1">IF(AND(L1989&lt;&gt;-1,L1988=-1),MAX($Q$8:Q1988)+1,"")</f>
        <v/>
      </c>
    </row>
    <row r="1990" spans="1:17" x14ac:dyDescent="0.3">
      <c r="A1990" s="3">
        <v>43112</v>
      </c>
      <c r="B1990" s="9">
        <v>26.604355000000002</v>
      </c>
      <c r="C1990" s="9">
        <v>24.239509999999999</v>
      </c>
      <c r="E1990" s="14">
        <f t="shared" si="221"/>
        <v>1.0975615843719615</v>
      </c>
      <c r="F1990" s="18">
        <f t="shared" ca="1" si="220"/>
        <v>-0.54767963736108016</v>
      </c>
      <c r="G1990" s="15">
        <f t="shared" ca="1" si="218"/>
        <v>1.1100290555041044</v>
      </c>
      <c r="H1990" s="15">
        <f t="shared" ca="1" si="219"/>
        <v>2.2764167739037503E-2</v>
      </c>
      <c r="J1990" s="17">
        <f t="shared" ca="1" si="215"/>
        <v>0</v>
      </c>
      <c r="K1990" s="24">
        <f t="shared" ca="1" si="216"/>
        <v>-1</v>
      </c>
      <c r="L1990" s="17">
        <f t="shared" ca="1" si="217"/>
        <v>-1</v>
      </c>
      <c r="N1990" s="24" t="str">
        <f ca="1">IF(AND(L1990=1,L1989&lt;&gt;1),MAX($N$8:N1989)+1,"")</f>
        <v/>
      </c>
      <c r="O1990" s="24" t="str">
        <f ca="1">IF(AND(L1990&lt;&gt;1,L1989=1),MAX($O$8:O1989)+1,"")</f>
        <v/>
      </c>
      <c r="P1990" s="17" t="str">
        <f ca="1">IF(AND(L1990=-1,L1989&lt;&gt;-1),MAX($P$8:P1989)+1,"")</f>
        <v/>
      </c>
      <c r="Q1990" s="24" t="str">
        <f ca="1">IF(AND(L1990&lt;&gt;-1,L1989=-1),MAX($Q$8:Q1989)+1,"")</f>
        <v/>
      </c>
    </row>
    <row r="1991" spans="1:17" x14ac:dyDescent="0.3">
      <c r="A1991" s="3">
        <v>43115</v>
      </c>
      <c r="B1991" s="9">
        <v>26.768720999999999</v>
      </c>
      <c r="C1991" s="9">
        <v>24.410205999999999</v>
      </c>
      <c r="E1991" s="14">
        <f t="shared" si="221"/>
        <v>1.0966200367174288</v>
      </c>
      <c r="F1991" s="18">
        <f t="shared" ca="1" si="220"/>
        <v>-0.51896293685272266</v>
      </c>
      <c r="G1991" s="15">
        <f t="shared" ca="1" si="218"/>
        <v>1.1075992705698694</v>
      </c>
      <c r="H1991" s="15">
        <f t="shared" ca="1" si="219"/>
        <v>2.1156103977337422E-2</v>
      </c>
      <c r="J1991" s="17">
        <f t="shared" ca="1" si="215"/>
        <v>0</v>
      </c>
      <c r="K1991" s="24">
        <f t="shared" ca="1" si="216"/>
        <v>-1</v>
      </c>
      <c r="L1991" s="17">
        <f t="shared" ca="1" si="217"/>
        <v>-1</v>
      </c>
      <c r="N1991" s="24" t="str">
        <f ca="1">IF(AND(L1991=1,L1990&lt;&gt;1),MAX($N$8:N1990)+1,"")</f>
        <v/>
      </c>
      <c r="O1991" s="24" t="str">
        <f ca="1">IF(AND(L1991&lt;&gt;1,L1990=1),MAX($O$8:O1990)+1,"")</f>
        <v/>
      </c>
      <c r="P1991" s="17" t="str">
        <f ca="1">IF(AND(L1991=-1,L1990&lt;&gt;-1),MAX($P$8:P1990)+1,"")</f>
        <v/>
      </c>
      <c r="Q1991" s="24" t="str">
        <f ca="1">IF(AND(L1991&lt;&gt;-1,L1990=-1),MAX($Q$8:Q1990)+1,"")</f>
        <v/>
      </c>
    </row>
    <row r="1992" spans="1:17" x14ac:dyDescent="0.3">
      <c r="A1992" s="3">
        <v>43116</v>
      </c>
      <c r="B1992" s="9">
        <v>27.015212999999999</v>
      </c>
      <c r="C1992" s="9">
        <v>24.574162000000001</v>
      </c>
      <c r="E1992" s="14">
        <f t="shared" si="221"/>
        <v>1.099334048501837</v>
      </c>
      <c r="F1992" s="18">
        <f t="shared" ca="1" si="220"/>
        <v>-0.31731487056415253</v>
      </c>
      <c r="G1992" s="15">
        <f t="shared" ca="1" si="218"/>
        <v>1.1055742785836662</v>
      </c>
      <c r="H1992" s="15">
        <f t="shared" ca="1" si="219"/>
        <v>1.966573476602182E-2</v>
      </c>
      <c r="J1992" s="17">
        <f t="shared" ref="J1992:J2055" ca="1" si="222">IF(ISNUMBER(F1992),IF(AND(J1991&lt;&gt;1,F1992&gt;$L$1),1,IF(AND(J1991=1,F1992&gt;$N$1),1,0)),"")</f>
        <v>0</v>
      </c>
      <c r="K1992" s="24">
        <f t="shared" ca="1" si="216"/>
        <v>-1</v>
      </c>
      <c r="L1992" s="17">
        <f t="shared" ca="1" si="217"/>
        <v>-1</v>
      </c>
      <c r="N1992" s="24" t="str">
        <f ca="1">IF(AND(L1992=1,L1991&lt;&gt;1),MAX($N$8:N1991)+1,"")</f>
        <v/>
      </c>
      <c r="O1992" s="24" t="str">
        <f ca="1">IF(AND(L1992&lt;&gt;1,L1991=1),MAX($O$8:O1991)+1,"")</f>
        <v/>
      </c>
      <c r="P1992" s="17" t="str">
        <f ca="1">IF(AND(L1992=-1,L1991&lt;&gt;-1),MAX($P$8:P1991)+1,"")</f>
        <v/>
      </c>
      <c r="Q1992" s="24" t="str">
        <f ca="1">IF(AND(L1992&lt;&gt;-1,L1991=-1),MAX($Q$8:Q1991)+1,"")</f>
        <v/>
      </c>
    </row>
    <row r="1993" spans="1:17" x14ac:dyDescent="0.3">
      <c r="A1993" s="3">
        <v>43117</v>
      </c>
      <c r="B1993" s="9">
        <v>27.461207999999999</v>
      </c>
      <c r="C1993" s="9">
        <v>25.188670999999999</v>
      </c>
      <c r="E1993" s="14">
        <f t="shared" si="221"/>
        <v>1.0902205995703387</v>
      </c>
      <c r="F1993" s="18">
        <f t="shared" ca="1" si="220"/>
        <v>-0.70778649175893227</v>
      </c>
      <c r="G1993" s="15">
        <f t="shared" ca="1" si="218"/>
        <v>1.1035510334187293</v>
      </c>
      <c r="H1993" s="15">
        <f t="shared" ca="1" si="219"/>
        <v>1.8833976069906225E-2</v>
      </c>
      <c r="J1993" s="17">
        <f t="shared" ca="1" si="222"/>
        <v>0</v>
      </c>
      <c r="K1993" s="24">
        <f t="shared" ref="K1993:K2056" ca="1" si="223">IF(ISNUMBER(F1993),IF(AND(K1992&lt;&gt;-1,F1993&lt;$P$1),-1,IF(AND(K1992=-1,F1993&lt;R1986),-1,0)),"")</f>
        <v>-1</v>
      </c>
      <c r="L1993" s="17">
        <f t="shared" ref="L1993:L2056" ca="1" si="224">IF(ISNUMBER(F1993),IF(J1993=1,1,IF(K1993=-1,-1,0)),"")</f>
        <v>-1</v>
      </c>
      <c r="N1993" s="24" t="str">
        <f ca="1">IF(AND(L1993=1,L1992&lt;&gt;1),MAX($N$8:N1992)+1,"")</f>
        <v/>
      </c>
      <c r="O1993" s="24" t="str">
        <f ca="1">IF(AND(L1993&lt;&gt;1,L1992=1),MAX($O$8:O1992)+1,"")</f>
        <v/>
      </c>
      <c r="P1993" s="17" t="str">
        <f ca="1">IF(AND(L1993=-1,L1992&lt;&gt;-1),MAX($P$8:P1992)+1,"")</f>
        <v/>
      </c>
      <c r="Q1993" s="24" t="str">
        <f ca="1">IF(AND(L1993&lt;&gt;-1,L1992=-1),MAX($Q$8:Q1992)+1,"")</f>
        <v/>
      </c>
    </row>
    <row r="1994" spans="1:17" x14ac:dyDescent="0.3">
      <c r="A1994" s="3">
        <v>43118</v>
      </c>
      <c r="B1994" s="9">
        <v>27.396677</v>
      </c>
      <c r="C1994" s="9">
        <v>25.161353999999999</v>
      </c>
      <c r="E1994" s="14">
        <f t="shared" si="221"/>
        <v>1.0888395354240477</v>
      </c>
      <c r="F1994" s="18">
        <f t="shared" ca="1" si="220"/>
        <v>-0.72269769423721908</v>
      </c>
      <c r="G1994" s="15">
        <f t="shared" ca="1" si="218"/>
        <v>1.1010768630057759</v>
      </c>
      <c r="H1994" s="15">
        <f t="shared" ca="1" si="219"/>
        <v>1.6932844368134164E-2</v>
      </c>
      <c r="J1994" s="17">
        <f t="shared" ca="1" si="222"/>
        <v>0</v>
      </c>
      <c r="K1994" s="24">
        <f t="shared" ca="1" si="223"/>
        <v>-1</v>
      </c>
      <c r="L1994" s="17">
        <f t="shared" ca="1" si="224"/>
        <v>-1</v>
      </c>
      <c r="N1994" s="24" t="str">
        <f ca="1">IF(AND(L1994=1,L1993&lt;&gt;1),MAX($N$8:N1993)+1,"")</f>
        <v/>
      </c>
      <c r="O1994" s="24" t="str">
        <f ca="1">IF(AND(L1994&lt;&gt;1,L1993=1),MAX($O$8:O1993)+1,"")</f>
        <v/>
      </c>
      <c r="P1994" s="17" t="str">
        <f ca="1">IF(AND(L1994=-1,L1993&lt;&gt;-1),MAX($P$8:P1993)+1,"")</f>
        <v/>
      </c>
      <c r="Q1994" s="24" t="str">
        <f ca="1">IF(AND(L1994&lt;&gt;-1,L1993=-1),MAX($Q$8:Q1993)+1,"")</f>
        <v/>
      </c>
    </row>
    <row r="1995" spans="1:17" x14ac:dyDescent="0.3">
      <c r="A1995" s="3">
        <v>43119</v>
      </c>
      <c r="B1995" s="9">
        <v>27.619671</v>
      </c>
      <c r="C1995" s="9">
        <v>25.338823000000001</v>
      </c>
      <c r="E1995" s="14">
        <f t="shared" si="221"/>
        <v>1.0900139678942466</v>
      </c>
      <c r="F1995" s="18">
        <f t="shared" ca="1" si="220"/>
        <v>-0.58621602919432048</v>
      </c>
      <c r="G1995" s="15">
        <f t="shared" ca="1" si="218"/>
        <v>1.099079121457772</v>
      </c>
      <c r="H1995" s="15">
        <f t="shared" ca="1" si="219"/>
        <v>1.5463844576178226E-2</v>
      </c>
      <c r="J1995" s="17">
        <f t="shared" ca="1" si="222"/>
        <v>0</v>
      </c>
      <c r="K1995" s="24">
        <f t="shared" ca="1" si="223"/>
        <v>-1</v>
      </c>
      <c r="L1995" s="17">
        <f t="shared" ca="1" si="224"/>
        <v>-1</v>
      </c>
      <c r="N1995" s="24" t="str">
        <f ca="1">IF(AND(L1995=1,L1994&lt;&gt;1),MAX($N$8:N1994)+1,"")</f>
        <v/>
      </c>
      <c r="O1995" s="24" t="str">
        <f ca="1">IF(AND(L1995&lt;&gt;1,L1994=1),MAX($O$8:O1994)+1,"")</f>
        <v/>
      </c>
      <c r="P1995" s="17" t="str">
        <f ca="1">IF(AND(L1995=-1,L1994&lt;&gt;-1),MAX($P$8:P1994)+1,"")</f>
        <v/>
      </c>
      <c r="Q1995" s="24" t="str">
        <f ca="1">IF(AND(L1995&lt;&gt;-1,L1994=-1),MAX($Q$8:Q1994)+1,"")</f>
        <v/>
      </c>
    </row>
    <row r="1996" spans="1:17" x14ac:dyDescent="0.3">
      <c r="A1996" s="3">
        <v>43122</v>
      </c>
      <c r="B1996" s="9">
        <v>28.306360000000002</v>
      </c>
      <c r="C1996" s="9">
        <v>25.687087999999999</v>
      </c>
      <c r="E1996" s="14">
        <f t="shared" si="221"/>
        <v>1.1019684286517804</v>
      </c>
      <c r="F1996" s="18">
        <f t="shared" ca="1" si="220"/>
        <v>0.32759596135031815</v>
      </c>
      <c r="G1996" s="15">
        <f t="shared" ca="1" si="218"/>
        <v>1.0975842890945715</v>
      </c>
      <c r="H1996" s="15">
        <f t="shared" ca="1" si="219"/>
        <v>1.3382764363571071E-2</v>
      </c>
      <c r="J1996" s="17">
        <f t="shared" ca="1" si="222"/>
        <v>0</v>
      </c>
      <c r="K1996" s="24">
        <f t="shared" ca="1" si="223"/>
        <v>0</v>
      </c>
      <c r="L1996" s="17">
        <f t="shared" ca="1" si="224"/>
        <v>0</v>
      </c>
      <c r="N1996" s="24" t="str">
        <f ca="1">IF(AND(L1996=1,L1995&lt;&gt;1),MAX($N$8:N1995)+1,"")</f>
        <v/>
      </c>
      <c r="O1996" s="24" t="str">
        <f ca="1">IF(AND(L1996&lt;&gt;1,L1995=1),MAX($O$8:O1995)+1,"")</f>
        <v/>
      </c>
      <c r="P1996" s="17" t="str">
        <f ca="1">IF(AND(L1996=-1,L1995&lt;&gt;-1),MAX($P$8:P1995)+1,"")</f>
        <v/>
      </c>
      <c r="Q1996" s="24">
        <f ca="1">IF(AND(L1996&lt;&gt;-1,L1995=-1),MAX($Q$8:Q1995)+1,"")</f>
        <v>73</v>
      </c>
    </row>
    <row r="1997" spans="1:17" x14ac:dyDescent="0.3">
      <c r="A1997" s="3">
        <v>43123</v>
      </c>
      <c r="B1997" s="9">
        <v>28.200707999999999</v>
      </c>
      <c r="C1997" s="9">
        <v>25.803175</v>
      </c>
      <c r="E1997" s="14">
        <f t="shared" si="221"/>
        <v>1.0929162012039215</v>
      </c>
      <c r="F1997" s="18">
        <f t="shared" ca="1" si="220"/>
        <v>-0.26334019942948683</v>
      </c>
      <c r="G1997" s="15">
        <f t="shared" ca="1" si="218"/>
        <v>1.095959308232433</v>
      </c>
      <c r="H1997" s="15">
        <f t="shared" ca="1" si="219"/>
        <v>1.1555801336462312E-2</v>
      </c>
      <c r="J1997" s="17">
        <f t="shared" ca="1" si="222"/>
        <v>0</v>
      </c>
      <c r="K1997" s="24">
        <f t="shared" ca="1" si="223"/>
        <v>0</v>
      </c>
      <c r="L1997" s="17">
        <f t="shared" ca="1" si="224"/>
        <v>0</v>
      </c>
      <c r="N1997" s="24" t="str">
        <f ca="1">IF(AND(L1997=1,L1996&lt;&gt;1),MAX($N$8:N1996)+1,"")</f>
        <v/>
      </c>
      <c r="O1997" s="24" t="str">
        <f ca="1">IF(AND(L1997&lt;&gt;1,L1996=1),MAX($O$8:O1996)+1,"")</f>
        <v/>
      </c>
      <c r="P1997" s="17" t="str">
        <f ca="1">IF(AND(L1997=-1,L1996&lt;&gt;-1),MAX($P$8:P1996)+1,"")</f>
        <v/>
      </c>
      <c r="Q1997" s="24" t="str">
        <f ca="1">IF(AND(L1997&lt;&gt;-1,L1996=-1),MAX($Q$8:Q1996)+1,"")</f>
        <v/>
      </c>
    </row>
    <row r="1998" spans="1:17" x14ac:dyDescent="0.3">
      <c r="A1998" s="3">
        <v>43124</v>
      </c>
      <c r="B1998" s="9">
        <v>29.562353000000002</v>
      </c>
      <c r="C1998" s="9">
        <v>27.175587</v>
      </c>
      <c r="E1998" s="14">
        <f t="shared" si="221"/>
        <v>1.0878275784806415</v>
      </c>
      <c r="F1998" s="18">
        <f t="shared" ca="1" si="220"/>
        <v>-1.0126684955859313</v>
      </c>
      <c r="G1998" s="15">
        <f t="shared" ca="1" si="218"/>
        <v>1.0934648161047733</v>
      </c>
      <c r="H1998" s="15">
        <f t="shared" ca="1" si="219"/>
        <v>5.5667157107223975E-3</v>
      </c>
      <c r="J1998" s="17">
        <f t="shared" ca="1" si="222"/>
        <v>0</v>
      </c>
      <c r="K1998" s="24">
        <f t="shared" ca="1" si="223"/>
        <v>-1</v>
      </c>
      <c r="L1998" s="17">
        <f t="shared" ca="1" si="224"/>
        <v>-1</v>
      </c>
      <c r="N1998" s="24" t="str">
        <f ca="1">IF(AND(L1998=1,L1997&lt;&gt;1),MAX($N$8:N1997)+1,"")</f>
        <v/>
      </c>
      <c r="O1998" s="24" t="str">
        <f ca="1">IF(AND(L1998&lt;&gt;1,L1997=1),MAX($O$8:O1997)+1,"")</f>
        <v/>
      </c>
      <c r="P1998" s="17">
        <f ca="1">IF(AND(L1998=-1,L1997&lt;&gt;-1),MAX($P$8:P1997)+1,"")</f>
        <v>74</v>
      </c>
      <c r="Q1998" s="24" t="str">
        <f ca="1">IF(AND(L1998&lt;&gt;-1,L1997=-1),MAX($Q$8:Q1997)+1,"")</f>
        <v/>
      </c>
    </row>
    <row r="1999" spans="1:17" x14ac:dyDescent="0.3">
      <c r="A1999" s="3">
        <v>43125</v>
      </c>
      <c r="B1999" s="9">
        <v>29.562353000000002</v>
      </c>
      <c r="C1999" s="9">
        <v>27.175587</v>
      </c>
      <c r="E1999" s="14">
        <f t="shared" si="221"/>
        <v>1.0878275784806415</v>
      </c>
      <c r="F1999" s="18">
        <f t="shared" ca="1" si="220"/>
        <v>-0.92620328885063197</v>
      </c>
      <c r="G1999" s="15">
        <f t="shared" ca="1" si="218"/>
        <v>1.0930276741502842</v>
      </c>
      <c r="H1999" s="15">
        <f t="shared" ca="1" si="219"/>
        <v>5.6144215122533011E-3</v>
      </c>
      <c r="J1999" s="17">
        <f t="shared" ca="1" si="222"/>
        <v>0</v>
      </c>
      <c r="K1999" s="24">
        <f t="shared" ca="1" si="223"/>
        <v>-1</v>
      </c>
      <c r="L1999" s="17">
        <f t="shared" ca="1" si="224"/>
        <v>-1</v>
      </c>
      <c r="N1999" s="24" t="str">
        <f ca="1">IF(AND(L1999=1,L1998&lt;&gt;1),MAX($N$8:N1998)+1,"")</f>
        <v/>
      </c>
      <c r="O1999" s="24" t="str">
        <f ca="1">IF(AND(L1999&lt;&gt;1,L1998=1),MAX($O$8:O1998)+1,"")</f>
        <v/>
      </c>
      <c r="P1999" s="17" t="str">
        <f ca="1">IF(AND(L1999=-1,L1998&lt;&gt;-1),MAX($P$8:P1998)+1,"")</f>
        <v/>
      </c>
      <c r="Q1999" s="24" t="str">
        <f ca="1">IF(AND(L1999&lt;&gt;-1,L1998=-1),MAX($Q$8:Q1998)+1,"")</f>
        <v/>
      </c>
    </row>
    <row r="2000" spans="1:17" x14ac:dyDescent="0.3">
      <c r="A2000" s="3">
        <v>43126</v>
      </c>
      <c r="B2000" s="9">
        <v>31.047243000000002</v>
      </c>
      <c r="C2000" s="9">
        <v>28.131504</v>
      </c>
      <c r="E2000" s="14">
        <f t="shared" si="221"/>
        <v>1.1036467513432628</v>
      </c>
      <c r="F2000" s="18">
        <f t="shared" ca="1" si="220"/>
        <v>1.8365664660224046</v>
      </c>
      <c r="G2000" s="15">
        <f t="shared" ca="1" si="218"/>
        <v>1.0931016787871237</v>
      </c>
      <c r="H2000" s="15">
        <f t="shared" ca="1" si="219"/>
        <v>5.7417320588333568E-3</v>
      </c>
      <c r="J2000" s="17">
        <f t="shared" ca="1" si="222"/>
        <v>1</v>
      </c>
      <c r="K2000" s="24">
        <f t="shared" ca="1" si="223"/>
        <v>0</v>
      </c>
      <c r="L2000" s="17">
        <f t="shared" ca="1" si="224"/>
        <v>1</v>
      </c>
      <c r="N2000" s="24">
        <f ca="1">IF(AND(L2000=1,L1999&lt;&gt;1),MAX($N$8:N1999)+1,"")</f>
        <v>66</v>
      </c>
      <c r="O2000" s="24" t="str">
        <f ca="1">IF(AND(L2000&lt;&gt;1,L1999=1),MAX($O$8:O1999)+1,"")</f>
        <v/>
      </c>
      <c r="P2000" s="17" t="str">
        <f ca="1">IF(AND(L2000=-1,L1999&lt;&gt;-1),MAX($P$8:P1999)+1,"")</f>
        <v/>
      </c>
      <c r="Q2000" s="24">
        <f ca="1">IF(AND(L2000&lt;&gt;-1,L1999=-1),MAX($Q$8:Q1999)+1,"")</f>
        <v>74</v>
      </c>
    </row>
    <row r="2001" spans="1:17" x14ac:dyDescent="0.3">
      <c r="A2001" s="3">
        <v>43129</v>
      </c>
      <c r="B2001" s="9">
        <v>30.337054999999999</v>
      </c>
      <c r="C2001" s="9">
        <v>27.312131999999998</v>
      </c>
      <c r="E2001" s="14">
        <f t="shared" si="221"/>
        <v>1.1107538217814708</v>
      </c>
      <c r="F2001" s="18">
        <f t="shared" ca="1" si="220"/>
        <v>2.4826400602646448</v>
      </c>
      <c r="G2001" s="15">
        <f t="shared" ca="1" si="218"/>
        <v>1.093828592661418</v>
      </c>
      <c r="H2001" s="15">
        <f t="shared" ca="1" si="219"/>
        <v>6.8174317296114959E-3</v>
      </c>
      <c r="J2001" s="17">
        <f t="shared" ca="1" si="222"/>
        <v>1</v>
      </c>
      <c r="K2001" s="24">
        <f t="shared" ca="1" si="223"/>
        <v>0</v>
      </c>
      <c r="L2001" s="17">
        <f t="shared" ca="1" si="224"/>
        <v>1</v>
      </c>
      <c r="N2001" s="24" t="str">
        <f ca="1">IF(AND(L2001=1,L2000&lt;&gt;1),MAX($N$8:N2000)+1,"")</f>
        <v/>
      </c>
      <c r="O2001" s="24" t="str">
        <f ca="1">IF(AND(L2001&lt;&gt;1,L2000=1),MAX($O$8:O2000)+1,"")</f>
        <v/>
      </c>
      <c r="P2001" s="17" t="str">
        <f ca="1">IF(AND(L2001=-1,L2000&lt;&gt;-1),MAX($P$8:P2000)+1,"")</f>
        <v/>
      </c>
      <c r="Q2001" s="24" t="str">
        <f ca="1">IF(AND(L2001&lt;&gt;-1,L2000=-1),MAX($Q$8:Q2000)+1,"")</f>
        <v/>
      </c>
    </row>
    <row r="2002" spans="1:17" x14ac:dyDescent="0.3">
      <c r="A2002" s="3">
        <v>43130</v>
      </c>
      <c r="B2002" s="9">
        <v>30.219711</v>
      </c>
      <c r="C2002" s="9">
        <v>27.585315999999999</v>
      </c>
      <c r="E2002" s="14">
        <f t="shared" si="221"/>
        <v>1.0954999029193648</v>
      </c>
      <c r="F2002" s="18">
        <f t="shared" ca="1" si="220"/>
        <v>0.16459062477105177</v>
      </c>
      <c r="G2002" s="15">
        <f t="shared" ca="1" si="218"/>
        <v>1.0944699094755332</v>
      </c>
      <c r="H2002" s="15">
        <f t="shared" ca="1" si="219"/>
        <v>6.2579107726477559E-3</v>
      </c>
      <c r="J2002" s="17">
        <f t="shared" ca="1" si="222"/>
        <v>1</v>
      </c>
      <c r="K2002" s="24">
        <f t="shared" ca="1" si="223"/>
        <v>0</v>
      </c>
      <c r="L2002" s="17">
        <f t="shared" ca="1" si="224"/>
        <v>1</v>
      </c>
      <c r="N2002" s="24" t="str">
        <f ca="1">IF(AND(L2002=1,L2001&lt;&gt;1),MAX($N$8:N2001)+1,"")</f>
        <v/>
      </c>
      <c r="O2002" s="24" t="str">
        <f ca="1">IF(AND(L2002&lt;&gt;1,L2001=1),MAX($O$8:O2001)+1,"")</f>
        <v/>
      </c>
      <c r="P2002" s="17" t="str">
        <f ca="1">IF(AND(L2002=-1,L2001&lt;&gt;-1),MAX($P$8:P2001)+1,"")</f>
        <v/>
      </c>
      <c r="Q2002" s="24" t="str">
        <f ca="1">IF(AND(L2002&lt;&gt;-1,L2001=-1),MAX($Q$8:Q2001)+1,"")</f>
        <v/>
      </c>
    </row>
    <row r="2003" spans="1:17" x14ac:dyDescent="0.3">
      <c r="A2003" s="3">
        <v>43131</v>
      </c>
      <c r="B2003" s="9">
        <v>30.671595</v>
      </c>
      <c r="C2003" s="9">
        <v>27.824252999999999</v>
      </c>
      <c r="E2003" s="14">
        <f t="shared" si="221"/>
        <v>1.1023330976756143</v>
      </c>
      <c r="F2003" s="18">
        <f t="shared" ca="1" si="220"/>
        <v>1.1978406940831907</v>
      </c>
      <c r="G2003" s="15">
        <f t="shared" ca="1" si="218"/>
        <v>1.0954218260512965</v>
      </c>
      <c r="H2003" s="15">
        <f t="shared" ca="1" si="219"/>
        <v>5.7697752785128079E-3</v>
      </c>
      <c r="J2003" s="17">
        <f t="shared" ca="1" si="222"/>
        <v>1</v>
      </c>
      <c r="K2003" s="24">
        <f t="shared" ca="1" si="223"/>
        <v>0</v>
      </c>
      <c r="L2003" s="17">
        <f t="shared" ca="1" si="224"/>
        <v>1</v>
      </c>
      <c r="N2003" s="24" t="str">
        <f ca="1">IF(AND(L2003=1,L2002&lt;&gt;1),MAX($N$8:N2002)+1,"")</f>
        <v/>
      </c>
      <c r="O2003" s="24" t="str">
        <f ca="1">IF(AND(L2003&lt;&gt;1,L2002=1),MAX($O$8:O2002)+1,"")</f>
        <v/>
      </c>
      <c r="P2003" s="17" t="str">
        <f ca="1">IF(AND(L2003=-1,L2002&lt;&gt;-1),MAX($P$8:P2002)+1,"")</f>
        <v/>
      </c>
      <c r="Q2003" s="24" t="str">
        <f ca="1">IF(AND(L2003&lt;&gt;-1,L2002=-1),MAX($Q$8:Q2002)+1,"")</f>
        <v/>
      </c>
    </row>
    <row r="2004" spans="1:17" x14ac:dyDescent="0.3">
      <c r="A2004" s="3">
        <v>43132</v>
      </c>
      <c r="B2004" s="9">
        <v>30.827200000000001</v>
      </c>
      <c r="C2004" s="9">
        <v>27.086811000000001</v>
      </c>
      <c r="E2004" s="14">
        <f t="shared" si="221"/>
        <v>1.1380889392996467</v>
      </c>
      <c r="F2004" s="18">
        <f t="shared" ca="1" si="220"/>
        <v>3.8564650176322672</v>
      </c>
      <c r="G2004" s="15">
        <f t="shared" ca="1" si="218"/>
        <v>1.0975789988384994</v>
      </c>
      <c r="H2004" s="15">
        <f t="shared" ca="1" si="219"/>
        <v>1.0504423163682417E-2</v>
      </c>
      <c r="J2004" s="17">
        <f t="shared" ca="1" si="222"/>
        <v>1</v>
      </c>
      <c r="K2004" s="24">
        <f t="shared" ca="1" si="223"/>
        <v>0</v>
      </c>
      <c r="L2004" s="17">
        <f t="shared" ca="1" si="224"/>
        <v>1</v>
      </c>
      <c r="N2004" s="24" t="str">
        <f ca="1">IF(AND(L2004=1,L2003&lt;&gt;1),MAX($N$8:N2003)+1,"")</f>
        <v/>
      </c>
      <c r="O2004" s="24" t="str">
        <f ca="1">IF(AND(L2004&lt;&gt;1,L2003=1),MAX($O$8:O2003)+1,"")</f>
        <v/>
      </c>
      <c r="P2004" s="17" t="str">
        <f ca="1">IF(AND(L2004=-1,L2003&lt;&gt;-1),MAX($P$8:P2003)+1,"")</f>
        <v/>
      </c>
      <c r="Q2004" s="24" t="str">
        <f ca="1">IF(AND(L2004&lt;&gt;-1,L2003=-1),MAX($Q$8:Q2003)+1,"")</f>
        <v/>
      </c>
    </row>
    <row r="2005" spans="1:17" x14ac:dyDescent="0.3">
      <c r="A2005" s="3">
        <v>43133</v>
      </c>
      <c r="B2005" s="9">
        <v>30.439741000000001</v>
      </c>
      <c r="C2005" s="9">
        <v>26.244781</v>
      </c>
      <c r="E2005" s="14">
        <f t="shared" si="221"/>
        <v>1.1598397791926709</v>
      </c>
      <c r="F2005" s="18">
        <f t="shared" ca="1" si="220"/>
        <v>3.5622663526431904</v>
      </c>
      <c r="G2005" s="15">
        <f t="shared" ca="1" si="218"/>
        <v>1.100611910765092</v>
      </c>
      <c r="H2005" s="15">
        <f t="shared" ca="1" si="219"/>
        <v>1.662645702605365E-2</v>
      </c>
      <c r="J2005" s="17">
        <f t="shared" ca="1" si="222"/>
        <v>1</v>
      </c>
      <c r="K2005" s="24">
        <f t="shared" ca="1" si="223"/>
        <v>0</v>
      </c>
      <c r="L2005" s="17">
        <f t="shared" ca="1" si="224"/>
        <v>1</v>
      </c>
      <c r="N2005" s="24" t="str">
        <f ca="1">IF(AND(L2005=1,L2004&lt;&gt;1),MAX($N$8:N2004)+1,"")</f>
        <v/>
      </c>
      <c r="O2005" s="24" t="str">
        <f ca="1">IF(AND(L2005&lt;&gt;1,L2004=1),MAX($O$8:O2004)+1,"")</f>
        <v/>
      </c>
      <c r="P2005" s="17" t="str">
        <f ca="1">IF(AND(L2005=-1,L2004&lt;&gt;-1),MAX($P$8:P2004)+1,"")</f>
        <v/>
      </c>
      <c r="Q2005" s="24" t="str">
        <f ca="1">IF(AND(L2005&lt;&gt;-1,L2004=-1),MAX($Q$8:Q2004)+1,"")</f>
        <v/>
      </c>
    </row>
    <row r="2006" spans="1:17" x14ac:dyDescent="0.3">
      <c r="A2006" s="3">
        <v>43136</v>
      </c>
      <c r="B2006" s="9">
        <v>29.371206000000001</v>
      </c>
      <c r="C2006" s="9">
        <v>25.821256999999999</v>
      </c>
      <c r="E2006" s="14">
        <f t="shared" si="221"/>
        <v>1.1374816493248179</v>
      </c>
      <c r="F2006" s="18">
        <f t="shared" ca="1" si="220"/>
        <v>1.9170482599163232</v>
      </c>
      <c r="G2006" s="15">
        <f t="shared" ca="1" si="218"/>
        <v>1.1024125238000584</v>
      </c>
      <c r="H2006" s="15">
        <f t="shared" ca="1" si="219"/>
        <v>1.8293293005722359E-2</v>
      </c>
      <c r="J2006" s="17">
        <f t="shared" ca="1" si="222"/>
        <v>1</v>
      </c>
      <c r="K2006" s="24">
        <f t="shared" ca="1" si="223"/>
        <v>0</v>
      </c>
      <c r="L2006" s="17">
        <f t="shared" ca="1" si="224"/>
        <v>1</v>
      </c>
      <c r="N2006" s="24" t="str">
        <f ca="1">IF(AND(L2006=1,L2005&lt;&gt;1),MAX($N$8:N2005)+1,"")</f>
        <v/>
      </c>
      <c r="O2006" s="24" t="str">
        <f ca="1">IF(AND(L2006&lt;&gt;1,L2005=1),MAX($O$8:O2005)+1,"")</f>
        <v/>
      </c>
      <c r="P2006" s="17" t="str">
        <f ca="1">IF(AND(L2006=-1,L2005&lt;&gt;-1),MAX($P$8:P2005)+1,"")</f>
        <v/>
      </c>
      <c r="Q2006" s="24" t="str">
        <f ca="1">IF(AND(L2006&lt;&gt;-1,L2005=-1),MAX($Q$8:Q2005)+1,"")</f>
        <v/>
      </c>
    </row>
    <row r="2007" spans="1:17" x14ac:dyDescent="0.3">
      <c r="A2007" s="3">
        <v>43137</v>
      </c>
      <c r="B2007" s="9">
        <v>30.427942000000002</v>
      </c>
      <c r="C2007" s="9">
        <v>26.436022000000001</v>
      </c>
      <c r="E2007" s="14">
        <f t="shared" si="221"/>
        <v>1.1510030518207315</v>
      </c>
      <c r="F2007" s="18">
        <f t="shared" ca="1" si="220"/>
        <v>2.2128371287029789</v>
      </c>
      <c r="G2007" s="15">
        <f t="shared" ca="1" si="218"/>
        <v>1.1049658563609681</v>
      </c>
      <c r="H2007" s="15">
        <f t="shared" ca="1" si="219"/>
        <v>2.0804601867263215E-2</v>
      </c>
      <c r="J2007" s="17">
        <f t="shared" ca="1" si="222"/>
        <v>1</v>
      </c>
      <c r="K2007" s="24">
        <f t="shared" ca="1" si="223"/>
        <v>0</v>
      </c>
      <c r="L2007" s="17">
        <f t="shared" ca="1" si="224"/>
        <v>1</v>
      </c>
      <c r="N2007" s="24" t="str">
        <f ca="1">IF(AND(L2007=1,L2006&lt;&gt;1),MAX($N$8:N2006)+1,"")</f>
        <v/>
      </c>
      <c r="O2007" s="24" t="str">
        <f ca="1">IF(AND(L2007&lt;&gt;1,L2006=1),MAX($O$8:O2006)+1,"")</f>
        <v/>
      </c>
      <c r="P2007" s="17" t="str">
        <f ca="1">IF(AND(L2007=-1,L2006&lt;&gt;-1),MAX($P$8:P2006)+1,"")</f>
        <v/>
      </c>
      <c r="Q2007" s="24" t="str">
        <f ca="1">IF(AND(L2007&lt;&gt;-1,L2006=-1),MAX($Q$8:Q2006)+1,"")</f>
        <v/>
      </c>
    </row>
    <row r="2008" spans="1:17" x14ac:dyDescent="0.3">
      <c r="A2008" s="3">
        <v>43138</v>
      </c>
      <c r="B2008" s="9">
        <v>29.705845</v>
      </c>
      <c r="C2008" s="9">
        <v>26.039815999999998</v>
      </c>
      <c r="E2008" s="14">
        <f t="shared" si="221"/>
        <v>1.1407855186073512</v>
      </c>
      <c r="F2008" s="18">
        <f t="shared" ca="1" si="220"/>
        <v>1.5360603113433813</v>
      </c>
      <c r="G2008" s="15">
        <f t="shared" ca="1" si="218"/>
        <v>1.1072057737260432</v>
      </c>
      <c r="H2008" s="15">
        <f t="shared" ca="1" si="219"/>
        <v>2.1860954699064124E-2</v>
      </c>
      <c r="J2008" s="17">
        <f t="shared" ca="1" si="222"/>
        <v>1</v>
      </c>
      <c r="K2008" s="24">
        <f t="shared" ca="1" si="223"/>
        <v>0</v>
      </c>
      <c r="L2008" s="17">
        <f t="shared" ca="1" si="224"/>
        <v>1</v>
      </c>
      <c r="N2008" s="24" t="str">
        <f ca="1">IF(AND(L2008=1,L2007&lt;&gt;1),MAX($N$8:N2007)+1,"")</f>
        <v/>
      </c>
      <c r="O2008" s="24" t="str">
        <f ca="1">IF(AND(L2008&lt;&gt;1,L2007=1),MAX($O$8:O2007)+1,"")</f>
        <v/>
      </c>
      <c r="P2008" s="17" t="str">
        <f ca="1">IF(AND(L2008=-1,L2007&lt;&gt;-1),MAX($P$8:P2007)+1,"")</f>
        <v/>
      </c>
      <c r="Q2008" s="24" t="str">
        <f ca="1">IF(AND(L2008&lt;&gt;-1,L2007=-1),MAX($Q$8:Q2007)+1,"")</f>
        <v/>
      </c>
    </row>
    <row r="2009" spans="1:17" x14ac:dyDescent="0.3">
      <c r="A2009" s="3">
        <v>43139</v>
      </c>
      <c r="B2009" s="9">
        <v>29.559132000000002</v>
      </c>
      <c r="C2009" s="9">
        <v>25.718730999999998</v>
      </c>
      <c r="E2009" s="14">
        <f t="shared" si="221"/>
        <v>1.1493231139592386</v>
      </c>
      <c r="F2009" s="18">
        <f t="shared" ca="1" si="220"/>
        <v>1.7000673809431077</v>
      </c>
      <c r="G2009" s="15">
        <f t="shared" ca="1" si="218"/>
        <v>1.1099124605990822</v>
      </c>
      <c r="H2009" s="15">
        <f t="shared" ca="1" si="219"/>
        <v>2.3181818439627619E-2</v>
      </c>
      <c r="J2009" s="17">
        <f t="shared" ca="1" si="222"/>
        <v>1</v>
      </c>
      <c r="K2009" s="24">
        <f t="shared" ca="1" si="223"/>
        <v>0</v>
      </c>
      <c r="L2009" s="17">
        <f t="shared" ca="1" si="224"/>
        <v>1</v>
      </c>
      <c r="N2009" s="24" t="str">
        <f ca="1">IF(AND(L2009=1,L2008&lt;&gt;1),MAX($N$8:N2008)+1,"")</f>
        <v/>
      </c>
      <c r="O2009" s="24" t="str">
        <f ca="1">IF(AND(L2009&lt;&gt;1,L2008=1),MAX($O$8:O2008)+1,"")</f>
        <v/>
      </c>
      <c r="P2009" s="17" t="str">
        <f ca="1">IF(AND(L2009=-1,L2008&lt;&gt;-1),MAX($P$8:P2008)+1,"")</f>
        <v/>
      </c>
      <c r="Q2009" s="24" t="str">
        <f ca="1">IF(AND(L2009&lt;&gt;-1,L2008=-1),MAX($Q$8:Q2008)+1,"")</f>
        <v/>
      </c>
    </row>
    <row r="2010" spans="1:17" x14ac:dyDescent="0.3">
      <c r="A2010" s="3">
        <v>43140</v>
      </c>
      <c r="B2010" s="9">
        <v>29.635389</v>
      </c>
      <c r="C2010" s="9">
        <v>25.425046999999999</v>
      </c>
      <c r="E2010" s="14">
        <f t="shared" si="221"/>
        <v>1.165598199287498</v>
      </c>
      <c r="F2010" s="18">
        <f t="shared" ca="1" si="220"/>
        <v>2.0442867825116258</v>
      </c>
      <c r="G2010" s="15">
        <f t="shared" ca="1" si="218"/>
        <v>1.1130006647929687</v>
      </c>
      <c r="H2010" s="15">
        <f t="shared" ca="1" si="219"/>
        <v>2.572903906853401E-2</v>
      </c>
      <c r="J2010" s="17">
        <f t="shared" ca="1" si="222"/>
        <v>1</v>
      </c>
      <c r="K2010" s="24">
        <f t="shared" ca="1" si="223"/>
        <v>0</v>
      </c>
      <c r="L2010" s="17">
        <f t="shared" ca="1" si="224"/>
        <v>1</v>
      </c>
      <c r="N2010" s="24" t="str">
        <f ca="1">IF(AND(L2010=1,L2009&lt;&gt;1),MAX($N$8:N2009)+1,"")</f>
        <v/>
      </c>
      <c r="O2010" s="24" t="str">
        <f ca="1">IF(AND(L2010&lt;&gt;1,L2009=1),MAX($O$8:O2009)+1,"")</f>
        <v/>
      </c>
      <c r="P2010" s="17" t="str">
        <f ca="1">IF(AND(L2010=-1,L2009&lt;&gt;-1),MAX($P$8:P2009)+1,"")</f>
        <v/>
      </c>
      <c r="Q2010" s="24" t="str">
        <f ca="1">IF(AND(L2010&lt;&gt;-1,L2009=-1),MAX($Q$8:Q2009)+1,"")</f>
        <v/>
      </c>
    </row>
    <row r="2011" spans="1:17" x14ac:dyDescent="0.3">
      <c r="A2011" s="3">
        <v>43146</v>
      </c>
      <c r="B2011" s="9">
        <v>30.921066</v>
      </c>
      <c r="C2011" s="9">
        <v>26.463349999999998</v>
      </c>
      <c r="E2011" s="14">
        <f t="shared" si="221"/>
        <v>1.1684486657962805</v>
      </c>
      <c r="F2011" s="18">
        <f t="shared" ca="1" si="220"/>
        <v>1.8690305712429705</v>
      </c>
      <c r="G2011" s="15">
        <f t="shared" ca="1" si="218"/>
        <v>1.1161787295593086</v>
      </c>
      <c r="H2011" s="15">
        <f t="shared" ca="1" si="219"/>
        <v>2.796633561868949E-2</v>
      </c>
      <c r="J2011" s="17">
        <f t="shared" ca="1" si="222"/>
        <v>1</v>
      </c>
      <c r="K2011" s="24">
        <f t="shared" ca="1" si="223"/>
        <v>0</v>
      </c>
      <c r="L2011" s="17">
        <f t="shared" ca="1" si="224"/>
        <v>1</v>
      </c>
      <c r="N2011" s="24" t="str">
        <f ca="1">IF(AND(L2011=1,L2010&lt;&gt;1),MAX($N$8:N2010)+1,"")</f>
        <v/>
      </c>
      <c r="O2011" s="24" t="str">
        <f ca="1">IF(AND(L2011&lt;&gt;1,L2010=1),MAX($O$8:O2010)+1,"")</f>
        <v/>
      </c>
      <c r="P2011" s="17" t="str">
        <f ca="1">IF(AND(L2011=-1,L2010&lt;&gt;-1),MAX($P$8:P2010)+1,"")</f>
        <v/>
      </c>
      <c r="Q2011" s="24" t="str">
        <f ca="1">IF(AND(L2011&lt;&gt;-1,L2010=-1),MAX($Q$8:Q2010)+1,"")</f>
        <v/>
      </c>
    </row>
    <row r="2012" spans="1:17" x14ac:dyDescent="0.3">
      <c r="A2012" s="3">
        <v>43147</v>
      </c>
      <c r="B2012" s="9">
        <v>31.087869999999999</v>
      </c>
      <c r="C2012" s="9">
        <v>26.415555999999999</v>
      </c>
      <c r="E2012" s="14">
        <f t="shared" si="221"/>
        <v>1.1768773672604127</v>
      </c>
      <c r="F2012" s="18">
        <f t="shared" ca="1" si="220"/>
        <v>1.8814614026597587</v>
      </c>
      <c r="G2012" s="15">
        <f t="shared" ca="1" si="218"/>
        <v>1.1197839924178745</v>
      </c>
      <c r="H2012" s="15">
        <f t="shared" ca="1" si="219"/>
        <v>3.0345227790390596E-2</v>
      </c>
      <c r="J2012" s="17">
        <f t="shared" ca="1" si="222"/>
        <v>1</v>
      </c>
      <c r="K2012" s="24">
        <f t="shared" ca="1" si="223"/>
        <v>0</v>
      </c>
      <c r="L2012" s="17">
        <f t="shared" ca="1" si="224"/>
        <v>1</v>
      </c>
      <c r="N2012" s="24" t="str">
        <f ca="1">IF(AND(L2012=1,L2011&lt;&gt;1),MAX($N$8:N2011)+1,"")</f>
        <v/>
      </c>
      <c r="O2012" s="24" t="str">
        <f ca="1">IF(AND(L2012&lt;&gt;1,L2011=1),MAX($O$8:O2011)+1,"")</f>
        <v/>
      </c>
      <c r="P2012" s="17" t="str">
        <f ca="1">IF(AND(L2012=-1,L2011&lt;&gt;-1),MAX($P$8:P2011)+1,"")</f>
        <v/>
      </c>
      <c r="Q2012" s="24" t="str">
        <f ca="1">IF(AND(L2012&lt;&gt;-1,L2011=-1),MAX($Q$8:Q2011)+1,"")</f>
        <v/>
      </c>
    </row>
    <row r="2013" spans="1:17" x14ac:dyDescent="0.3">
      <c r="A2013" s="3">
        <v>43150</v>
      </c>
      <c r="B2013" s="9">
        <v>30.843191000000001</v>
      </c>
      <c r="C2013" s="9">
        <v>26.285715</v>
      </c>
      <c r="E2013" s="14">
        <f t="shared" si="221"/>
        <v>1.1733822344189611</v>
      </c>
      <c r="F2013" s="18">
        <f t="shared" ca="1" si="220"/>
        <v>1.5729516513322044</v>
      </c>
      <c r="G2013" s="15">
        <f t="shared" ca="1" si="218"/>
        <v>1.1232731832224898</v>
      </c>
      <c r="H2013" s="15">
        <f t="shared" ca="1" si="219"/>
        <v>3.1856701478415822E-2</v>
      </c>
      <c r="J2013" s="17">
        <f t="shared" ca="1" si="222"/>
        <v>1</v>
      </c>
      <c r="K2013" s="24">
        <f t="shared" ca="1" si="223"/>
        <v>0</v>
      </c>
      <c r="L2013" s="17">
        <f t="shared" ca="1" si="224"/>
        <v>1</v>
      </c>
      <c r="N2013" s="24" t="str">
        <f ca="1">IF(AND(L2013=1,L2012&lt;&gt;1),MAX($N$8:N2012)+1,"")</f>
        <v/>
      </c>
      <c r="O2013" s="24" t="str">
        <f ca="1">IF(AND(L2013&lt;&gt;1,L2012=1),MAX($O$8:O2012)+1,"")</f>
        <v/>
      </c>
      <c r="P2013" s="17" t="str">
        <f ca="1">IF(AND(L2013=-1,L2012&lt;&gt;-1),MAX($P$8:P2012)+1,"")</f>
        <v/>
      </c>
      <c r="Q2013" s="24" t="str">
        <f ca="1">IF(AND(L2013&lt;&gt;-1,L2012=-1),MAX($Q$8:Q2012)+1,"")</f>
        <v/>
      </c>
    </row>
    <row r="2014" spans="1:17" x14ac:dyDescent="0.3">
      <c r="A2014" s="3">
        <v>43151</v>
      </c>
      <c r="B2014" s="9">
        <v>31.601616</v>
      </c>
      <c r="C2014" s="9">
        <v>27.084978</v>
      </c>
      <c r="E2014" s="14">
        <f t="shared" si="221"/>
        <v>1.1667580457329521</v>
      </c>
      <c r="F2014" s="18">
        <f t="shared" ca="1" si="220"/>
        <v>1.2383680352016018</v>
      </c>
      <c r="G2014" s="15">
        <f t="shared" ca="1" si="218"/>
        <v>1.1263379103693587</v>
      </c>
      <c r="H2014" s="15">
        <f t="shared" ca="1" si="219"/>
        <v>3.2639840673062186E-2</v>
      </c>
      <c r="J2014" s="17">
        <f t="shared" ca="1" si="222"/>
        <v>1</v>
      </c>
      <c r="K2014" s="24">
        <f t="shared" ca="1" si="223"/>
        <v>0</v>
      </c>
      <c r="L2014" s="17">
        <f t="shared" ca="1" si="224"/>
        <v>1</v>
      </c>
      <c r="N2014" s="24" t="str">
        <f ca="1">IF(AND(L2014=1,L2013&lt;&gt;1),MAX($N$8:N2013)+1,"")</f>
        <v/>
      </c>
      <c r="O2014" s="24" t="str">
        <f ca="1">IF(AND(L2014&lt;&gt;1,L2013=1),MAX($O$8:O2013)+1,"")</f>
        <v/>
      </c>
      <c r="P2014" s="17" t="str">
        <f ca="1">IF(AND(L2014=-1,L2013&lt;&gt;-1),MAX($P$8:P2013)+1,"")</f>
        <v/>
      </c>
      <c r="Q2014" s="24" t="str">
        <f ca="1">IF(AND(L2014&lt;&gt;-1,L2013=-1),MAX($Q$8:Q2013)+1,"")</f>
        <v/>
      </c>
    </row>
    <row r="2015" spans="1:17" x14ac:dyDescent="0.3">
      <c r="A2015" s="3">
        <v>43152</v>
      </c>
      <c r="B2015" s="9">
        <v>32.017463999999997</v>
      </c>
      <c r="C2015" s="9">
        <v>27.228442999999999</v>
      </c>
      <c r="E2015" s="14">
        <f t="shared" si="221"/>
        <v>1.1758830279057821</v>
      </c>
      <c r="F2015" s="18">
        <f t="shared" ca="1" si="220"/>
        <v>1.3748901083872649</v>
      </c>
      <c r="G2015" s="15">
        <f t="shared" ref="G2015:G2078" ca="1" si="225">IF(ISNUMBER(E2015),IF(ROW(E2015)&gt;$J$1,AVERAGE(OFFSET(E2015,0,0,-$J$1)),""),"")</f>
        <v>1.1302316571118789</v>
      </c>
      <c r="H2015" s="15">
        <f t="shared" ref="H2015:H2078" ca="1" si="226">IF(ISNUMBER(E2015),IF(ROW(E2015)&gt;$J$1,_xlfn.STDEV.P(OFFSET(E2015,0,0,-$J$1)),""),"")</f>
        <v>3.3203650615722252E-2</v>
      </c>
      <c r="J2015" s="17">
        <f t="shared" ca="1" si="222"/>
        <v>1</v>
      </c>
      <c r="K2015" s="24">
        <f t="shared" ca="1" si="223"/>
        <v>0</v>
      </c>
      <c r="L2015" s="17">
        <f t="shared" ca="1" si="224"/>
        <v>1</v>
      </c>
      <c r="N2015" s="24" t="str">
        <f ca="1">IF(AND(L2015=1,L2014&lt;&gt;1),MAX($N$8:N2014)+1,"")</f>
        <v/>
      </c>
      <c r="O2015" s="24" t="str">
        <f ca="1">IF(AND(L2015&lt;&gt;1,L2014=1),MAX($O$8:O2014)+1,"")</f>
        <v/>
      </c>
      <c r="P2015" s="17" t="str">
        <f ca="1">IF(AND(L2015=-1,L2014&lt;&gt;-1),MAX($P$8:P2014)+1,"")</f>
        <v/>
      </c>
      <c r="Q2015" s="24" t="str">
        <f ca="1">IF(AND(L2015&lt;&gt;-1,L2014=-1),MAX($Q$8:Q2014)+1,"")</f>
        <v/>
      </c>
    </row>
    <row r="2016" spans="1:17" x14ac:dyDescent="0.3">
      <c r="A2016" s="3">
        <v>43153</v>
      </c>
      <c r="B2016" s="9">
        <v>32.194813000000003</v>
      </c>
      <c r="C2016" s="9">
        <v>27.392358999999999</v>
      </c>
      <c r="E2016" s="14">
        <f t="shared" si="221"/>
        <v>1.1753209353017025</v>
      </c>
      <c r="F2016" s="18">
        <f t="shared" ca="1" si="220"/>
        <v>1.2400887254905655</v>
      </c>
      <c r="G2016" s="15">
        <f t="shared" ca="1" si="225"/>
        <v>1.1341626298335905</v>
      </c>
      <c r="H2016" s="15">
        <f t="shared" ca="1" si="226"/>
        <v>3.3189807005002944E-2</v>
      </c>
      <c r="J2016" s="17">
        <f t="shared" ca="1" si="222"/>
        <v>1</v>
      </c>
      <c r="K2016" s="24">
        <f t="shared" ca="1" si="223"/>
        <v>0</v>
      </c>
      <c r="L2016" s="17">
        <f t="shared" ca="1" si="224"/>
        <v>1</v>
      </c>
      <c r="N2016" s="24" t="str">
        <f ca="1">IF(AND(L2016=1,L2015&lt;&gt;1),MAX($N$8:N2015)+1,"")</f>
        <v/>
      </c>
      <c r="O2016" s="24" t="str">
        <f ca="1">IF(AND(L2016&lt;&gt;1,L2015=1),MAX($O$8:O2015)+1,"")</f>
        <v/>
      </c>
      <c r="P2016" s="17" t="str">
        <f ca="1">IF(AND(L2016=-1,L2015&lt;&gt;-1),MAX($P$8:P2015)+1,"")</f>
        <v/>
      </c>
      <c r="Q2016" s="24" t="str">
        <f ca="1">IF(AND(L2016&lt;&gt;-1,L2015=-1),MAX($Q$8:Q2015)+1,"")</f>
        <v/>
      </c>
    </row>
    <row r="2017" spans="1:17" x14ac:dyDescent="0.3">
      <c r="A2017" s="3">
        <v>43154</v>
      </c>
      <c r="B2017" s="9">
        <v>32.414988999999998</v>
      </c>
      <c r="C2017" s="9">
        <v>27.645111</v>
      </c>
      <c r="E2017" s="14">
        <f t="shared" si="221"/>
        <v>1.1725396580972309</v>
      </c>
      <c r="F2017" s="18">
        <f t="shared" ca="1" si="220"/>
        <v>1.0606063646791055</v>
      </c>
      <c r="G2017" s="15">
        <f t="shared" ca="1" si="225"/>
        <v>1.1379137975700899</v>
      </c>
      <c r="H2017" s="15">
        <f t="shared" ca="1" si="226"/>
        <v>3.2647230565712587E-2</v>
      </c>
      <c r="J2017" s="17">
        <f t="shared" ca="1" si="222"/>
        <v>1</v>
      </c>
      <c r="K2017" s="24">
        <f t="shared" ca="1" si="223"/>
        <v>0</v>
      </c>
      <c r="L2017" s="17">
        <f t="shared" ca="1" si="224"/>
        <v>1</v>
      </c>
      <c r="N2017" s="24" t="str">
        <f ca="1">IF(AND(L2017=1,L2016&lt;&gt;1),MAX($N$8:N2016)+1,"")</f>
        <v/>
      </c>
      <c r="O2017" s="24" t="str">
        <f ca="1">IF(AND(L2017&lt;&gt;1,L2016=1),MAX($O$8:O2016)+1,"")</f>
        <v/>
      </c>
      <c r="P2017" s="17" t="str">
        <f ca="1">IF(AND(L2017=-1,L2016&lt;&gt;-1),MAX($P$8:P2016)+1,"")</f>
        <v/>
      </c>
      <c r="Q2017" s="24" t="str">
        <f ca="1">IF(AND(L2017&lt;&gt;-1,L2016=-1),MAX($Q$8:Q2016)+1,"")</f>
        <v/>
      </c>
    </row>
    <row r="2018" spans="1:17" x14ac:dyDescent="0.3">
      <c r="A2018" s="3">
        <v>43157</v>
      </c>
      <c r="B2018" s="9">
        <v>32.378287999999998</v>
      </c>
      <c r="C2018" s="9">
        <v>27.645111</v>
      </c>
      <c r="E2018" s="14">
        <f t="shared" si="221"/>
        <v>1.1712120815865055</v>
      </c>
      <c r="F2018" s="18">
        <f t="shared" ca="1" si="220"/>
        <v>0.93153884236337803</v>
      </c>
      <c r="G2018" s="15">
        <f t="shared" ca="1" si="225"/>
        <v>1.1410612363398502</v>
      </c>
      <c r="H2018" s="15">
        <f t="shared" ca="1" si="226"/>
        <v>3.2366707511798938E-2</v>
      </c>
      <c r="J2018" s="17">
        <f t="shared" ca="1" si="222"/>
        <v>1</v>
      </c>
      <c r="K2018" s="24">
        <f t="shared" ca="1" si="223"/>
        <v>0</v>
      </c>
      <c r="L2018" s="17">
        <f t="shared" ca="1" si="224"/>
        <v>1</v>
      </c>
      <c r="N2018" s="24" t="str">
        <f ca="1">IF(AND(L2018=1,L2017&lt;&gt;1),MAX($N$8:N2017)+1,"")</f>
        <v/>
      </c>
      <c r="O2018" s="24" t="str">
        <f ca="1">IF(AND(L2018&lt;&gt;1,L2017=1),MAX($O$8:O2017)+1,"")</f>
        <v/>
      </c>
      <c r="P2018" s="17" t="str">
        <f ca="1">IF(AND(L2018=-1,L2017&lt;&gt;-1),MAX($P$8:P2017)+1,"")</f>
        <v/>
      </c>
      <c r="Q2018" s="24" t="str">
        <f ca="1">IF(AND(L2018&lt;&gt;-1,L2017=-1),MAX($Q$8:Q2017)+1,"")</f>
        <v/>
      </c>
    </row>
    <row r="2019" spans="1:17" x14ac:dyDescent="0.3">
      <c r="A2019" s="3">
        <v>43158</v>
      </c>
      <c r="B2019" s="9">
        <v>31.895178000000001</v>
      </c>
      <c r="C2019" s="9">
        <v>27.344571999999999</v>
      </c>
      <c r="E2019" s="14">
        <f t="shared" si="221"/>
        <v>1.1664171595006132</v>
      </c>
      <c r="F2019" s="18">
        <f t="shared" ca="1" si="220"/>
        <v>0.71041747891815554</v>
      </c>
      <c r="G2019" s="15">
        <f t="shared" ca="1" si="225"/>
        <v>1.1444021889896998</v>
      </c>
      <c r="H2019" s="15">
        <f t="shared" ca="1" si="226"/>
        <v>3.0988779364548334E-2</v>
      </c>
      <c r="J2019" s="17">
        <f t="shared" ca="1" si="222"/>
        <v>1</v>
      </c>
      <c r="K2019" s="24">
        <f t="shared" ca="1" si="223"/>
        <v>0</v>
      </c>
      <c r="L2019" s="17">
        <f t="shared" ca="1" si="224"/>
        <v>1</v>
      </c>
      <c r="N2019" s="24" t="str">
        <f ca="1">IF(AND(L2019=1,L2018&lt;&gt;1),MAX($N$8:N2018)+1,"")</f>
        <v/>
      </c>
      <c r="O2019" s="24" t="str">
        <f ca="1">IF(AND(L2019&lt;&gt;1,L2018=1),MAX($O$8:O2018)+1,"")</f>
        <v/>
      </c>
      <c r="P2019" s="17" t="str">
        <f ca="1">IF(AND(L2019=-1,L2018&lt;&gt;-1),MAX($P$8:P2018)+1,"")</f>
        <v/>
      </c>
      <c r="Q2019" s="24" t="str">
        <f ca="1">IF(AND(L2019&lt;&gt;-1,L2018=-1),MAX($Q$8:Q2018)+1,"")</f>
        <v/>
      </c>
    </row>
    <row r="2020" spans="1:17" x14ac:dyDescent="0.3">
      <c r="A2020" s="3">
        <v>43159</v>
      </c>
      <c r="B2020" s="9">
        <v>30.812640999999999</v>
      </c>
      <c r="C2020" s="9">
        <v>26.483820000000001</v>
      </c>
      <c r="E2020" s="14">
        <f t="shared" si="221"/>
        <v>1.1634515338044134</v>
      </c>
      <c r="F2020" s="18">
        <f t="shared" ca="1" si="220"/>
        <v>0.54535820294452186</v>
      </c>
      <c r="G2020" s="15">
        <f t="shared" ca="1" si="225"/>
        <v>1.1478396415044168</v>
      </c>
      <c r="H2020" s="15">
        <f t="shared" ca="1" si="226"/>
        <v>2.8626858852959736E-2</v>
      </c>
      <c r="J2020" s="17">
        <f t="shared" ca="1" si="222"/>
        <v>1</v>
      </c>
      <c r="K2020" s="24">
        <f t="shared" ca="1" si="223"/>
        <v>0</v>
      </c>
      <c r="L2020" s="17">
        <f t="shared" ca="1" si="224"/>
        <v>1</v>
      </c>
      <c r="N2020" s="24" t="str">
        <f ca="1">IF(AND(L2020=1,L2019&lt;&gt;1),MAX($N$8:N2019)+1,"")</f>
        <v/>
      </c>
      <c r="O2020" s="24" t="str">
        <f ca="1">IF(AND(L2020&lt;&gt;1,L2019=1),MAX($O$8:O2019)+1,"")</f>
        <v/>
      </c>
      <c r="P2020" s="17" t="str">
        <f ca="1">IF(AND(L2020=-1,L2019&lt;&gt;-1),MAX($P$8:P2019)+1,"")</f>
        <v/>
      </c>
      <c r="Q2020" s="24" t="str">
        <f ca="1">IF(AND(L2020&lt;&gt;-1,L2019=-1),MAX($Q$8:Q2019)+1,"")</f>
        <v/>
      </c>
    </row>
    <row r="2021" spans="1:17" x14ac:dyDescent="0.3">
      <c r="A2021" s="3">
        <v>43160</v>
      </c>
      <c r="B2021" s="9">
        <v>31.268353999999999</v>
      </c>
      <c r="C2021" s="9">
        <v>26.634134</v>
      </c>
      <c r="E2021" s="14">
        <f t="shared" si="221"/>
        <v>1.1739955201847374</v>
      </c>
      <c r="F2021" s="18">
        <f t="shared" ca="1" si="220"/>
        <v>0.85818076178627933</v>
      </c>
      <c r="G2021" s="15">
        <f t="shared" ca="1" si="225"/>
        <v>1.1517563661273302</v>
      </c>
      <c r="H2021" s="15">
        <f t="shared" ca="1" si="226"/>
        <v>2.5914300398807582E-2</v>
      </c>
      <c r="J2021" s="17">
        <f t="shared" ca="1" si="222"/>
        <v>1</v>
      </c>
      <c r="K2021" s="24">
        <f t="shared" ca="1" si="223"/>
        <v>0</v>
      </c>
      <c r="L2021" s="17">
        <f t="shared" ca="1" si="224"/>
        <v>1</v>
      </c>
      <c r="N2021" s="24" t="str">
        <f ca="1">IF(AND(L2021=1,L2020&lt;&gt;1),MAX($N$8:N2020)+1,"")</f>
        <v/>
      </c>
      <c r="O2021" s="24" t="str">
        <f ca="1">IF(AND(L2021&lt;&gt;1,L2020=1),MAX($O$8:O2020)+1,"")</f>
        <v/>
      </c>
      <c r="P2021" s="17" t="str">
        <f ca="1">IF(AND(L2021=-1,L2020&lt;&gt;-1),MAX($P$8:P2020)+1,"")</f>
        <v/>
      </c>
      <c r="Q2021" s="24" t="str">
        <f ca="1">IF(AND(L2021&lt;&gt;-1,L2020=-1),MAX($Q$8:Q2020)+1,"")</f>
        <v/>
      </c>
    </row>
    <row r="2022" spans="1:17" x14ac:dyDescent="0.3">
      <c r="A2022" s="3">
        <v>43161</v>
      </c>
      <c r="B2022" s="9">
        <v>31.433537999999999</v>
      </c>
      <c r="C2022" s="9">
        <v>26.803056999999999</v>
      </c>
      <c r="E2022" s="14">
        <f t="shared" si="221"/>
        <v>1.1727594356121394</v>
      </c>
      <c r="F2022" s="18">
        <f t="shared" ca="1" si="220"/>
        <v>0.74389229718099492</v>
      </c>
      <c r="G2022" s="15">
        <f t="shared" ca="1" si="225"/>
        <v>1.1548978517759154</v>
      </c>
      <c r="H2022" s="15">
        <f t="shared" ca="1" si="226"/>
        <v>2.4010981030333309E-2</v>
      </c>
      <c r="J2022" s="17">
        <f t="shared" ca="1" si="222"/>
        <v>1</v>
      </c>
      <c r="K2022" s="24">
        <f t="shared" ca="1" si="223"/>
        <v>0</v>
      </c>
      <c r="L2022" s="17">
        <f t="shared" ca="1" si="224"/>
        <v>1</v>
      </c>
      <c r="N2022" s="24" t="str">
        <f ca="1">IF(AND(L2022=1,L2021&lt;&gt;1),MAX($N$8:N2021)+1,"")</f>
        <v/>
      </c>
      <c r="O2022" s="24" t="str">
        <f ca="1">IF(AND(L2022&lt;&gt;1,L2021=1),MAX($O$8:O2021)+1,"")</f>
        <v/>
      </c>
      <c r="P2022" s="17" t="str">
        <f ca="1">IF(AND(L2022=-1,L2021&lt;&gt;-1),MAX($P$8:P2021)+1,"")</f>
        <v/>
      </c>
      <c r="Q2022" s="24" t="str">
        <f ca="1">IF(AND(L2022&lt;&gt;-1,L2021=-1),MAX($Q$8:Q2021)+1,"")</f>
        <v/>
      </c>
    </row>
    <row r="2023" spans="1:17" x14ac:dyDescent="0.3">
      <c r="A2023" s="3">
        <v>43164</v>
      </c>
      <c r="B2023" s="9">
        <v>31.880168999999999</v>
      </c>
      <c r="C2023" s="9">
        <v>26.980779999999999</v>
      </c>
      <c r="E2023" s="14">
        <f t="shared" si="221"/>
        <v>1.1815881156882788</v>
      </c>
      <c r="F2023" s="18">
        <f t="shared" ca="1" si="220"/>
        <v>1.0393290440753422</v>
      </c>
      <c r="G2023" s="15">
        <f t="shared" ca="1" si="225"/>
        <v>1.1581175924080429</v>
      </c>
      <c r="H2023" s="15">
        <f t="shared" ca="1" si="226"/>
        <v>2.2582379867115986E-2</v>
      </c>
      <c r="J2023" s="17">
        <f t="shared" ca="1" si="222"/>
        <v>1</v>
      </c>
      <c r="K2023" s="24">
        <f t="shared" ca="1" si="223"/>
        <v>0</v>
      </c>
      <c r="L2023" s="17">
        <f t="shared" ca="1" si="224"/>
        <v>1</v>
      </c>
      <c r="N2023" s="24" t="str">
        <f ca="1">IF(AND(L2023=1,L2022&lt;&gt;1),MAX($N$8:N2022)+1,"")</f>
        <v/>
      </c>
      <c r="O2023" s="24" t="str">
        <f ca="1">IF(AND(L2023&lt;&gt;1,L2022=1),MAX($O$8:O2022)+1,"")</f>
        <v/>
      </c>
      <c r="P2023" s="17" t="str">
        <f ca="1">IF(AND(L2023=-1,L2022&lt;&gt;-1),MAX($P$8:P2022)+1,"")</f>
        <v/>
      </c>
      <c r="Q2023" s="24" t="str">
        <f ca="1">IF(AND(L2023&lt;&gt;-1,L2022=-1),MAX($Q$8:Q2022)+1,"")</f>
        <v/>
      </c>
    </row>
    <row r="2024" spans="1:17" x14ac:dyDescent="0.3">
      <c r="A2024" s="3">
        <v>43165</v>
      </c>
      <c r="B2024" s="9">
        <v>31.763909999999999</v>
      </c>
      <c r="C2024" s="9">
        <v>27.028578</v>
      </c>
      <c r="E2024" s="14">
        <f t="shared" si="221"/>
        <v>1.1751972301317517</v>
      </c>
      <c r="F2024" s="18">
        <f t="shared" ca="1" si="220"/>
        <v>0.73869054235744502</v>
      </c>
      <c r="G2024" s="15">
        <f t="shared" ca="1" si="225"/>
        <v>1.1617401981904241</v>
      </c>
      <c r="H2024" s="15">
        <f t="shared" ca="1" si="226"/>
        <v>1.8217414694901984E-2</v>
      </c>
      <c r="J2024" s="17">
        <f t="shared" ca="1" si="222"/>
        <v>1</v>
      </c>
      <c r="K2024" s="24">
        <f t="shared" ca="1" si="223"/>
        <v>0</v>
      </c>
      <c r="L2024" s="17">
        <f t="shared" ca="1" si="224"/>
        <v>1</v>
      </c>
      <c r="N2024" s="24" t="str">
        <f ca="1">IF(AND(L2024=1,L2023&lt;&gt;1),MAX($N$8:N2023)+1,"")</f>
        <v/>
      </c>
      <c r="O2024" s="24" t="str">
        <f ca="1">IF(AND(L2024&lt;&gt;1,L2023=1),MAX($O$8:O2023)+1,"")</f>
        <v/>
      </c>
      <c r="P2024" s="17" t="str">
        <f ca="1">IF(AND(L2024=-1,L2023&lt;&gt;-1),MAX($P$8:P2023)+1,"")</f>
        <v/>
      </c>
      <c r="Q2024" s="24" t="str">
        <f ca="1">IF(AND(L2024&lt;&gt;-1,L2023=-1),MAX($Q$8:Q2023)+1,"")</f>
        <v/>
      </c>
    </row>
    <row r="2025" spans="1:17" x14ac:dyDescent="0.3">
      <c r="A2025" s="3">
        <v>43166</v>
      </c>
      <c r="B2025" s="9">
        <v>31.721150999999999</v>
      </c>
      <c r="C2025" s="9">
        <v>26.550208999999999</v>
      </c>
      <c r="E2025" s="14">
        <f t="shared" si="221"/>
        <v>1.1947608774002494</v>
      </c>
      <c r="F2025" s="18">
        <f t="shared" ca="1" si="220"/>
        <v>2.0208990519908978</v>
      </c>
      <c r="G2025" s="15">
        <f t="shared" ca="1" si="225"/>
        <v>1.1659414609051801</v>
      </c>
      <c r="H2025" s="15">
        <f t="shared" ca="1" si="226"/>
        <v>1.426069078842789E-2</v>
      </c>
      <c r="J2025" s="17">
        <f t="shared" ca="1" si="222"/>
        <v>1</v>
      </c>
      <c r="K2025" s="24">
        <f t="shared" ca="1" si="223"/>
        <v>0</v>
      </c>
      <c r="L2025" s="17">
        <f t="shared" ca="1" si="224"/>
        <v>1</v>
      </c>
      <c r="N2025" s="24" t="str">
        <f ca="1">IF(AND(L2025=1,L2024&lt;&gt;1),MAX($N$8:N2024)+1,"")</f>
        <v/>
      </c>
      <c r="O2025" s="24" t="str">
        <f ca="1">IF(AND(L2025&lt;&gt;1,L2024=1),MAX($O$8:O2024)+1,"")</f>
        <v/>
      </c>
      <c r="P2025" s="17" t="str">
        <f ca="1">IF(AND(L2025=-1,L2024&lt;&gt;-1),MAX($P$8:P2024)+1,"")</f>
        <v/>
      </c>
      <c r="Q2025" s="24" t="str">
        <f ca="1">IF(AND(L2025&lt;&gt;-1,L2024=-1),MAX($Q$8:Q2024)+1,"")</f>
        <v/>
      </c>
    </row>
    <row r="2026" spans="1:17" x14ac:dyDescent="0.3">
      <c r="A2026" s="3">
        <v>43167</v>
      </c>
      <c r="B2026" s="9">
        <v>31.500893000000001</v>
      </c>
      <c r="C2026" s="9">
        <v>26.201729</v>
      </c>
      <c r="E2026" s="14">
        <f t="shared" si="221"/>
        <v>1.2022448213245776</v>
      </c>
      <c r="F2026" s="18">
        <f t="shared" ca="1" si="220"/>
        <v>2.2534880164948001</v>
      </c>
      <c r="G2026" s="15">
        <f t="shared" ca="1" si="225"/>
        <v>1.1688576373608586</v>
      </c>
      <c r="H2026" s="15">
        <f t="shared" ca="1" si="226"/>
        <v>1.4815780567429531E-2</v>
      </c>
      <c r="J2026" s="17">
        <f t="shared" ca="1" si="222"/>
        <v>1</v>
      </c>
      <c r="K2026" s="24">
        <f t="shared" ca="1" si="223"/>
        <v>0</v>
      </c>
      <c r="L2026" s="17">
        <f t="shared" ca="1" si="224"/>
        <v>1</v>
      </c>
      <c r="N2026" s="24" t="str">
        <f ca="1">IF(AND(L2026=1,L2025&lt;&gt;1),MAX($N$8:N2025)+1,"")</f>
        <v/>
      </c>
      <c r="O2026" s="24" t="str">
        <f ca="1">IF(AND(L2026&lt;&gt;1,L2025=1),MAX($O$8:O2025)+1,"")</f>
        <v/>
      </c>
      <c r="P2026" s="17" t="str">
        <f ca="1">IF(AND(L2026=-1,L2025&lt;&gt;-1),MAX($P$8:P2025)+1,"")</f>
        <v/>
      </c>
      <c r="Q2026" s="24" t="str">
        <f ca="1">IF(AND(L2026&lt;&gt;-1,L2025=-1),MAX($Q$8:Q2025)+1,"")</f>
        <v/>
      </c>
    </row>
    <row r="2027" spans="1:17" x14ac:dyDescent="0.3">
      <c r="A2027" s="3">
        <v>43168</v>
      </c>
      <c r="B2027" s="9">
        <v>31.935251000000001</v>
      </c>
      <c r="C2027" s="9">
        <v>26.762105999999999</v>
      </c>
      <c r="E2027" s="14">
        <f t="shared" si="221"/>
        <v>1.1933011176325212</v>
      </c>
      <c r="F2027" s="18">
        <f t="shared" ca="1" si="220"/>
        <v>1.4776239104698641</v>
      </c>
      <c r="G2027" s="15">
        <f t="shared" ca="1" si="225"/>
        <v>1.1703786072899427</v>
      </c>
      <c r="H2027" s="15">
        <f t="shared" ca="1" si="226"/>
        <v>1.5513088398312048E-2</v>
      </c>
      <c r="J2027" s="17">
        <f t="shared" ca="1" si="222"/>
        <v>1</v>
      </c>
      <c r="K2027" s="24">
        <f t="shared" ca="1" si="223"/>
        <v>0</v>
      </c>
      <c r="L2027" s="17">
        <f t="shared" ca="1" si="224"/>
        <v>1</v>
      </c>
      <c r="N2027" s="24" t="str">
        <f ca="1">IF(AND(L2027=1,L2026&lt;&gt;1),MAX($N$8:N2026)+1,"")</f>
        <v/>
      </c>
      <c r="O2027" s="24" t="str">
        <f ca="1">IF(AND(L2027&lt;&gt;1,L2026=1),MAX($O$8:O2026)+1,"")</f>
        <v/>
      </c>
      <c r="P2027" s="17" t="str">
        <f ca="1">IF(AND(L2027=-1,L2026&lt;&gt;-1),MAX($P$8:P2026)+1,"")</f>
        <v/>
      </c>
      <c r="Q2027" s="24" t="str">
        <f ca="1">IF(AND(L2027&lt;&gt;-1,L2026=-1),MAX($Q$8:Q2026)+1,"")</f>
        <v/>
      </c>
    </row>
    <row r="2028" spans="1:17" x14ac:dyDescent="0.3">
      <c r="A2028" s="3">
        <v>43171</v>
      </c>
      <c r="B2028" s="9">
        <v>32.296146</v>
      </c>
      <c r="C2028" s="9">
        <v>26.973918999999999</v>
      </c>
      <c r="E2028" s="14">
        <f t="shared" si="221"/>
        <v>1.1973101127796819</v>
      </c>
      <c r="F2028" s="18">
        <f t="shared" ca="1" si="220"/>
        <v>1.6434778321488572</v>
      </c>
      <c r="G2028" s="15">
        <f t="shared" ca="1" si="225"/>
        <v>1.1730980829015274</v>
      </c>
      <c r="H2028" s="15">
        <f t="shared" ca="1" si="226"/>
        <v>1.4732191335064825E-2</v>
      </c>
      <c r="J2028" s="17">
        <f t="shared" ca="1" si="222"/>
        <v>1</v>
      </c>
      <c r="K2028" s="24">
        <f t="shared" ca="1" si="223"/>
        <v>0</v>
      </c>
      <c r="L2028" s="17">
        <f t="shared" ca="1" si="224"/>
        <v>1</v>
      </c>
      <c r="N2028" s="24" t="str">
        <f ca="1">IF(AND(L2028=1,L2027&lt;&gt;1),MAX($N$8:N2027)+1,"")</f>
        <v/>
      </c>
      <c r="O2028" s="24" t="str">
        <f ca="1">IF(AND(L2028&lt;&gt;1,L2027=1),MAX($O$8:O2027)+1,"")</f>
        <v/>
      </c>
      <c r="P2028" s="17" t="str">
        <f ca="1">IF(AND(L2028=-1,L2027&lt;&gt;-1),MAX($P$8:P2027)+1,"")</f>
        <v/>
      </c>
      <c r="Q2028" s="24" t="str">
        <f ca="1">IF(AND(L2028&lt;&gt;-1,L2027=-1),MAX($Q$8:Q2027)+1,"")</f>
        <v/>
      </c>
    </row>
    <row r="2029" spans="1:17" x14ac:dyDescent="0.3">
      <c r="A2029" s="3">
        <v>43172</v>
      </c>
      <c r="B2029" s="9">
        <v>32.033154000000003</v>
      </c>
      <c r="C2029" s="9">
        <v>26.584389000000002</v>
      </c>
      <c r="E2029" s="14">
        <f t="shared" si="221"/>
        <v>1.2049610769688934</v>
      </c>
      <c r="F2029" s="18">
        <f t="shared" ca="1" si="220"/>
        <v>1.9186046114309101</v>
      </c>
      <c r="G2029" s="15">
        <f t="shared" ca="1" si="225"/>
        <v>1.175550720408262</v>
      </c>
      <c r="H2029" s="15">
        <f t="shared" ca="1" si="226"/>
        <v>1.5329034646016476E-2</v>
      </c>
      <c r="J2029" s="17">
        <f t="shared" ca="1" si="222"/>
        <v>1</v>
      </c>
      <c r="K2029" s="24">
        <f t="shared" ca="1" si="223"/>
        <v>0</v>
      </c>
      <c r="L2029" s="17">
        <f t="shared" ca="1" si="224"/>
        <v>1</v>
      </c>
      <c r="N2029" s="24" t="str">
        <f ca="1">IF(AND(L2029=1,L2028&lt;&gt;1),MAX($N$8:N2028)+1,"")</f>
        <v/>
      </c>
      <c r="O2029" s="24" t="str">
        <f ca="1">IF(AND(L2029&lt;&gt;1,L2028=1),MAX($O$8:O2028)+1,"")</f>
        <v/>
      </c>
      <c r="P2029" s="17" t="str">
        <f ca="1">IF(AND(L2029=-1,L2028&lt;&gt;-1),MAX($P$8:P2028)+1,"")</f>
        <v/>
      </c>
      <c r="Q2029" s="24" t="str">
        <f ca="1">IF(AND(L2029&lt;&gt;-1,L2028=-1),MAX($Q$8:Q2028)+1,"")</f>
        <v/>
      </c>
    </row>
    <row r="2030" spans="1:17" x14ac:dyDescent="0.3">
      <c r="A2030" s="3">
        <v>43173</v>
      </c>
      <c r="B2030" s="9">
        <v>31.317364000000001</v>
      </c>
      <c r="C2030" s="9">
        <v>26.440871999999999</v>
      </c>
      <c r="E2030" s="14">
        <f t="shared" si="221"/>
        <v>1.1844300747721181</v>
      </c>
      <c r="F2030" s="18">
        <f t="shared" ca="1" si="220"/>
        <v>0.51440390226208399</v>
      </c>
      <c r="G2030" s="15">
        <f t="shared" ca="1" si="225"/>
        <v>1.1775345638702968</v>
      </c>
      <c r="H2030" s="15">
        <f t="shared" ca="1" si="226"/>
        <v>1.3404857295013657E-2</v>
      </c>
      <c r="J2030" s="17">
        <f t="shared" ca="1" si="222"/>
        <v>1</v>
      </c>
      <c r="K2030" s="24">
        <f t="shared" ca="1" si="223"/>
        <v>0</v>
      </c>
      <c r="L2030" s="17">
        <f t="shared" ca="1" si="224"/>
        <v>1</v>
      </c>
      <c r="N2030" s="24" t="str">
        <f ca="1">IF(AND(L2030=1,L2029&lt;&gt;1),MAX($N$8:N2029)+1,"")</f>
        <v/>
      </c>
      <c r="O2030" s="24" t="str">
        <f ca="1">IF(AND(L2030&lt;&gt;1,L2029=1),MAX($O$8:O2029)+1,"")</f>
        <v/>
      </c>
      <c r="P2030" s="17" t="str">
        <f ca="1">IF(AND(L2030=-1,L2029&lt;&gt;-1),MAX($P$8:P2029)+1,"")</f>
        <v/>
      </c>
      <c r="Q2030" s="24" t="str">
        <f ca="1">IF(AND(L2030&lt;&gt;-1,L2029=-1),MAX($Q$8:Q2029)+1,"")</f>
        <v/>
      </c>
    </row>
    <row r="2031" spans="1:17" x14ac:dyDescent="0.3">
      <c r="A2031" s="3">
        <v>43174</v>
      </c>
      <c r="B2031" s="9">
        <v>31.464199000000001</v>
      </c>
      <c r="C2031" s="9">
        <v>26.058202999999999</v>
      </c>
      <c r="E2031" s="14">
        <f t="shared" si="221"/>
        <v>1.2074585112411629</v>
      </c>
      <c r="F2031" s="18">
        <f t="shared" ca="1" si="220"/>
        <v>2.0492517378065447</v>
      </c>
      <c r="G2031" s="15">
        <f t="shared" ca="1" si="225"/>
        <v>1.1801770819285664</v>
      </c>
      <c r="H2031" s="15">
        <f t="shared" ca="1" si="226"/>
        <v>1.3312873576868436E-2</v>
      </c>
      <c r="J2031" s="17">
        <f t="shared" ca="1" si="222"/>
        <v>1</v>
      </c>
      <c r="K2031" s="24">
        <f t="shared" ca="1" si="223"/>
        <v>0</v>
      </c>
      <c r="L2031" s="17">
        <f t="shared" ca="1" si="224"/>
        <v>1</v>
      </c>
      <c r="N2031" s="24" t="str">
        <f ca="1">IF(AND(L2031=1,L2030&lt;&gt;1),MAX($N$8:N2030)+1,"")</f>
        <v/>
      </c>
      <c r="O2031" s="24" t="str">
        <f ca="1">IF(AND(L2031&lt;&gt;1,L2030=1),MAX($O$8:O2030)+1,"")</f>
        <v/>
      </c>
      <c r="P2031" s="17" t="str">
        <f ca="1">IF(AND(L2031=-1,L2030&lt;&gt;-1),MAX($P$8:P2030)+1,"")</f>
        <v/>
      </c>
      <c r="Q2031" s="24" t="str">
        <f ca="1">IF(AND(L2031&lt;&gt;-1,L2030=-1),MAX($Q$8:Q2030)+1,"")</f>
        <v/>
      </c>
    </row>
    <row r="2032" spans="1:17" x14ac:dyDescent="0.3">
      <c r="A2032" s="3">
        <v>43175</v>
      </c>
      <c r="B2032" s="9">
        <v>31.335718</v>
      </c>
      <c r="C2032" s="9">
        <v>26.126493</v>
      </c>
      <c r="E2032" s="14">
        <f t="shared" si="221"/>
        <v>1.1993847777426538</v>
      </c>
      <c r="F2032" s="18">
        <f t="shared" ca="1" si="220"/>
        <v>1.309993485068305</v>
      </c>
      <c r="G2032" s="15">
        <f t="shared" ca="1" si="225"/>
        <v>1.18171283549471</v>
      </c>
      <c r="H2032" s="15">
        <f t="shared" ca="1" si="226"/>
        <v>1.3490099339709649E-2</v>
      </c>
      <c r="J2032" s="17">
        <f t="shared" ca="1" si="222"/>
        <v>1</v>
      </c>
      <c r="K2032" s="24">
        <f t="shared" ca="1" si="223"/>
        <v>0</v>
      </c>
      <c r="L2032" s="17">
        <f t="shared" ca="1" si="224"/>
        <v>1</v>
      </c>
      <c r="N2032" s="24" t="str">
        <f ca="1">IF(AND(L2032=1,L2031&lt;&gt;1),MAX($N$8:N2031)+1,"")</f>
        <v/>
      </c>
      <c r="O2032" s="24" t="str">
        <f ca="1">IF(AND(L2032&lt;&gt;1,L2031=1),MAX($O$8:O2031)+1,"")</f>
        <v/>
      </c>
      <c r="P2032" s="17" t="str">
        <f ca="1">IF(AND(L2032=-1,L2031&lt;&gt;-1),MAX($P$8:P2031)+1,"")</f>
        <v/>
      </c>
      <c r="Q2032" s="24" t="str">
        <f ca="1">IF(AND(L2032&lt;&gt;-1,L2031=-1),MAX($Q$8:Q2031)+1,"")</f>
        <v/>
      </c>
    </row>
    <row r="2033" spans="1:17" x14ac:dyDescent="0.3">
      <c r="A2033" s="3">
        <v>43178</v>
      </c>
      <c r="B2033" s="9">
        <v>30.662685</v>
      </c>
      <c r="C2033" s="9">
        <v>25.860018</v>
      </c>
      <c r="E2033" s="14">
        <f t="shared" si="221"/>
        <v>1.1857178521685483</v>
      </c>
      <c r="F2033" s="18">
        <f t="shared" ca="1" si="220"/>
        <v>0.24404255784399212</v>
      </c>
      <c r="G2033" s="15">
        <f t="shared" ca="1" si="225"/>
        <v>1.1824977985116312</v>
      </c>
      <c r="H2033" s="15">
        <f t="shared" ca="1" si="226"/>
        <v>1.3194639842185231E-2</v>
      </c>
      <c r="J2033" s="17">
        <f t="shared" ca="1" si="222"/>
        <v>1</v>
      </c>
      <c r="K2033" s="24">
        <f t="shared" ca="1" si="223"/>
        <v>0</v>
      </c>
      <c r="L2033" s="17">
        <f t="shared" ca="1" si="224"/>
        <v>1</v>
      </c>
      <c r="N2033" s="24" t="str">
        <f ca="1">IF(AND(L2033=1,L2032&lt;&gt;1),MAX($N$8:N2032)+1,"")</f>
        <v/>
      </c>
      <c r="O2033" s="24" t="str">
        <f ca="1">IF(AND(L2033&lt;&gt;1,L2032=1),MAX($O$8:O2032)+1,"")</f>
        <v/>
      </c>
      <c r="P2033" s="17" t="str">
        <f ca="1">IF(AND(L2033=-1,L2032&lt;&gt;-1),MAX($P$8:P2032)+1,"")</f>
        <v/>
      </c>
      <c r="Q2033" s="24" t="str">
        <f ca="1">IF(AND(L2033&lt;&gt;-1,L2032=-1),MAX($Q$8:Q2032)+1,"")</f>
        <v/>
      </c>
    </row>
    <row r="2034" spans="1:17" x14ac:dyDescent="0.3">
      <c r="A2034" s="3">
        <v>43179</v>
      </c>
      <c r="B2034" s="9">
        <v>30.760611000000001</v>
      </c>
      <c r="C2034" s="9">
        <v>25.832685000000001</v>
      </c>
      <c r="E2034" s="14">
        <f t="shared" si="221"/>
        <v>1.1907632133477415</v>
      </c>
      <c r="F2034" s="18">
        <f t="shared" ca="1" si="220"/>
        <v>0.57648587585961464</v>
      </c>
      <c r="G2034" s="15">
        <f t="shared" ca="1" si="225"/>
        <v>1.1831289733337824</v>
      </c>
      <c r="H2034" s="15">
        <f t="shared" ca="1" si="226"/>
        <v>1.3242718223712657E-2</v>
      </c>
      <c r="J2034" s="17">
        <f t="shared" ca="1" si="222"/>
        <v>1</v>
      </c>
      <c r="K2034" s="24">
        <f t="shared" ca="1" si="223"/>
        <v>0</v>
      </c>
      <c r="L2034" s="17">
        <f t="shared" ca="1" si="224"/>
        <v>1</v>
      </c>
      <c r="N2034" s="24" t="str">
        <f ca="1">IF(AND(L2034=1,L2033&lt;&gt;1),MAX($N$8:N2033)+1,"")</f>
        <v/>
      </c>
      <c r="O2034" s="24" t="str">
        <f ca="1">IF(AND(L2034&lt;&gt;1,L2033=1),MAX($O$8:O2033)+1,"")</f>
        <v/>
      </c>
      <c r="P2034" s="17" t="str">
        <f ca="1">IF(AND(L2034=-1,L2033&lt;&gt;-1),MAX($P$8:P2033)+1,"")</f>
        <v/>
      </c>
      <c r="Q2034" s="24" t="str">
        <f ca="1">IF(AND(L2034&lt;&gt;-1,L2033=-1),MAX($Q$8:Q2033)+1,"")</f>
        <v/>
      </c>
    </row>
    <row r="2035" spans="1:17" x14ac:dyDescent="0.3">
      <c r="A2035" s="3">
        <v>43180</v>
      </c>
      <c r="B2035" s="9">
        <v>30.638285</v>
      </c>
      <c r="C2035" s="9">
        <v>25.962498</v>
      </c>
      <c r="E2035" s="14">
        <f t="shared" si="221"/>
        <v>1.1800977317359831</v>
      </c>
      <c r="F2035" s="18">
        <f t="shared" ca="1" si="220"/>
        <v>-0.25486787941492772</v>
      </c>
      <c r="G2035" s="15">
        <f t="shared" ca="1" si="225"/>
        <v>1.1834342232118291</v>
      </c>
      <c r="H2035" s="15">
        <f t="shared" ca="1" si="226"/>
        <v>1.3091063038250424E-2</v>
      </c>
      <c r="J2035" s="17">
        <f t="shared" ca="1" si="222"/>
        <v>0</v>
      </c>
      <c r="K2035" s="24">
        <f t="shared" ca="1" si="223"/>
        <v>0</v>
      </c>
      <c r="L2035" s="17">
        <f t="shared" ca="1" si="224"/>
        <v>0</v>
      </c>
      <c r="N2035" s="24" t="str">
        <f ca="1">IF(AND(L2035=1,L2034&lt;&gt;1),MAX($N$8:N2034)+1,"")</f>
        <v/>
      </c>
      <c r="O2035" s="24">
        <f ca="1">IF(AND(L2035&lt;&gt;1,L2034=1),MAX($O$8:O2034)+1,"")</f>
        <v>66</v>
      </c>
      <c r="P2035" s="17" t="str">
        <f ca="1">IF(AND(L2035=-1,L2034&lt;&gt;-1),MAX($P$8:P2034)+1,"")</f>
        <v/>
      </c>
      <c r="Q2035" s="24" t="str">
        <f ca="1">IF(AND(L2035&lt;&gt;-1,L2034=-1),MAX($Q$8:Q2034)+1,"")</f>
        <v/>
      </c>
    </row>
    <row r="2036" spans="1:17" x14ac:dyDescent="0.3">
      <c r="A2036" s="3">
        <v>43181</v>
      </c>
      <c r="B2036" s="9">
        <v>30.540358999999999</v>
      </c>
      <c r="C2036" s="9">
        <v>26.119634999999999</v>
      </c>
      <c r="E2036" s="14">
        <f t="shared" si="221"/>
        <v>1.1692490725846667</v>
      </c>
      <c r="F2036" s="18">
        <f t="shared" ca="1" si="220"/>
        <v>-1.1035751355982515</v>
      </c>
      <c r="G2036" s="15">
        <f t="shared" ca="1" si="225"/>
        <v>1.1835474517050883</v>
      </c>
      <c r="H2036" s="15">
        <f t="shared" ca="1" si="226"/>
        <v>1.2956416522261033E-2</v>
      </c>
      <c r="J2036" s="17">
        <f t="shared" ca="1" si="222"/>
        <v>0</v>
      </c>
      <c r="K2036" s="24">
        <f t="shared" ca="1" si="223"/>
        <v>-1</v>
      </c>
      <c r="L2036" s="17">
        <f t="shared" ca="1" si="224"/>
        <v>-1</v>
      </c>
      <c r="N2036" s="24" t="str">
        <f ca="1">IF(AND(L2036=1,L2035&lt;&gt;1),MAX($N$8:N2035)+1,"")</f>
        <v/>
      </c>
      <c r="O2036" s="24" t="str">
        <f ca="1">IF(AND(L2036&lt;&gt;1,L2035=1),MAX($O$8:O2035)+1,"")</f>
        <v/>
      </c>
      <c r="P2036" s="17">
        <f ca="1">IF(AND(L2036=-1,L2035&lt;&gt;-1),MAX($P$8:P2035)+1,"")</f>
        <v>75</v>
      </c>
      <c r="Q2036" s="24" t="str">
        <f ca="1">IF(AND(L2036&lt;&gt;-1,L2035=-1),MAX($Q$8:Q2035)+1,"")</f>
        <v/>
      </c>
    </row>
    <row r="2037" spans="1:17" x14ac:dyDescent="0.3">
      <c r="A2037" s="3">
        <v>43182</v>
      </c>
      <c r="B2037" s="9">
        <v>30.687190999999999</v>
      </c>
      <c r="C2037" s="9">
        <v>26.297348</v>
      </c>
      <c r="E2037" s="14">
        <f t="shared" si="221"/>
        <v>1.1669310152491421</v>
      </c>
      <c r="F2037" s="18">
        <f t="shared" ca="1" si="220"/>
        <v>-1.2163801146392672</v>
      </c>
      <c r="G2037" s="15">
        <f t="shared" ca="1" si="225"/>
        <v>1.1831405420388776</v>
      </c>
      <c r="H2037" s="15">
        <f t="shared" ca="1" si="226"/>
        <v>1.3326037309104373E-2</v>
      </c>
      <c r="J2037" s="17">
        <f t="shared" ca="1" si="222"/>
        <v>0</v>
      </c>
      <c r="K2037" s="24">
        <f t="shared" ca="1" si="223"/>
        <v>-1</v>
      </c>
      <c r="L2037" s="17">
        <f t="shared" ca="1" si="224"/>
        <v>-1</v>
      </c>
      <c r="N2037" s="24" t="str">
        <f ca="1">IF(AND(L2037=1,L2036&lt;&gt;1),MAX($N$8:N2036)+1,"")</f>
        <v/>
      </c>
      <c r="O2037" s="24" t="str">
        <f ca="1">IF(AND(L2037&lt;&gt;1,L2036=1),MAX($O$8:O2036)+1,"")</f>
        <v/>
      </c>
      <c r="P2037" s="17" t="str">
        <f ca="1">IF(AND(L2037=-1,L2036&lt;&gt;-1),MAX($P$8:P2036)+1,"")</f>
        <v/>
      </c>
      <c r="Q2037" s="24" t="str">
        <f ca="1">IF(AND(L2037&lt;&gt;-1,L2036=-1),MAX($Q$8:Q2036)+1,"")</f>
        <v/>
      </c>
    </row>
    <row r="2038" spans="1:17" x14ac:dyDescent="0.3">
      <c r="A2038" s="3">
        <v>43185</v>
      </c>
      <c r="B2038" s="9">
        <v>31.066471</v>
      </c>
      <c r="C2038" s="9">
        <v>26.447721000000001</v>
      </c>
      <c r="E2038" s="14">
        <f t="shared" si="221"/>
        <v>1.1746369753371189</v>
      </c>
      <c r="F2038" s="18">
        <f t="shared" ca="1" si="220"/>
        <v>-0.6348789612686051</v>
      </c>
      <c r="G2038" s="15">
        <f t="shared" ca="1" si="225"/>
        <v>1.1831094529495785</v>
      </c>
      <c r="H2038" s="15">
        <f t="shared" ca="1" si="226"/>
        <v>1.334502815391779E-2</v>
      </c>
      <c r="J2038" s="17">
        <f t="shared" ca="1" si="222"/>
        <v>0</v>
      </c>
      <c r="K2038" s="24">
        <f t="shared" ca="1" si="223"/>
        <v>-1</v>
      </c>
      <c r="L2038" s="17">
        <f t="shared" ca="1" si="224"/>
        <v>-1</v>
      </c>
      <c r="N2038" s="24" t="str">
        <f ca="1">IF(AND(L2038=1,L2037&lt;&gt;1),MAX($N$8:N2037)+1,"")</f>
        <v/>
      </c>
      <c r="O2038" s="24" t="str">
        <f ca="1">IF(AND(L2038&lt;&gt;1,L2037=1),MAX($O$8:O2037)+1,"")</f>
        <v/>
      </c>
      <c r="P2038" s="17" t="str">
        <f ca="1">IF(AND(L2038=-1,L2037&lt;&gt;-1),MAX($P$8:P2037)+1,"")</f>
        <v/>
      </c>
      <c r="Q2038" s="24" t="str">
        <f ca="1">IF(AND(L2038&lt;&gt;-1,L2037=-1),MAX($Q$8:Q2037)+1,"")</f>
        <v/>
      </c>
    </row>
    <row r="2039" spans="1:17" x14ac:dyDescent="0.3">
      <c r="A2039" s="3">
        <v>43186</v>
      </c>
      <c r="B2039" s="9">
        <v>30.693338000000001</v>
      </c>
      <c r="C2039" s="9">
        <v>26.126493</v>
      </c>
      <c r="E2039" s="14">
        <f t="shared" si="221"/>
        <v>1.1747974747318748</v>
      </c>
      <c r="F2039" s="18">
        <f t="shared" ca="1" si="220"/>
        <v>-0.63402009265520309</v>
      </c>
      <c r="G2039" s="15">
        <f t="shared" ca="1" si="225"/>
        <v>1.1832120809784259</v>
      </c>
      <c r="H2039" s="15">
        <f t="shared" ca="1" si="226"/>
        <v>1.3271828990957846E-2</v>
      </c>
      <c r="J2039" s="17">
        <f t="shared" ca="1" si="222"/>
        <v>0</v>
      </c>
      <c r="K2039" s="24">
        <f t="shared" ca="1" si="223"/>
        <v>-1</v>
      </c>
      <c r="L2039" s="17">
        <f t="shared" ca="1" si="224"/>
        <v>-1</v>
      </c>
      <c r="N2039" s="24" t="str">
        <f ca="1">IF(AND(L2039=1,L2038&lt;&gt;1),MAX($N$8:N2038)+1,"")</f>
        <v/>
      </c>
      <c r="O2039" s="24" t="str">
        <f ca="1">IF(AND(L2039&lt;&gt;1,L2038=1),MAX($O$8:O2038)+1,"")</f>
        <v/>
      </c>
      <c r="P2039" s="17" t="str">
        <f ca="1">IF(AND(L2039=-1,L2038&lt;&gt;-1),MAX($P$8:P2038)+1,"")</f>
        <v/>
      </c>
      <c r="Q2039" s="24" t="str">
        <f ca="1">IF(AND(L2039&lt;&gt;-1,L2038=-1),MAX($Q$8:Q2038)+1,"")</f>
        <v/>
      </c>
    </row>
    <row r="2040" spans="1:17" x14ac:dyDescent="0.3">
      <c r="A2040" s="3">
        <v>43187</v>
      </c>
      <c r="B2040" s="9">
        <v>30.974696999999999</v>
      </c>
      <c r="C2040" s="9">
        <v>26.297348</v>
      </c>
      <c r="E2040" s="14">
        <f t="shared" si="221"/>
        <v>1.1778639047557191</v>
      </c>
      <c r="F2040" s="18">
        <f t="shared" ca="1" si="220"/>
        <v>-0.43235392565409902</v>
      </c>
      <c r="G2040" s="15">
        <f t="shared" ca="1" si="225"/>
        <v>1.1835144365770265</v>
      </c>
      <c r="H2040" s="15">
        <f t="shared" ca="1" si="226"/>
        <v>1.3069227514839377E-2</v>
      </c>
      <c r="J2040" s="17">
        <f t="shared" ca="1" si="222"/>
        <v>0</v>
      </c>
      <c r="K2040" s="24">
        <f t="shared" ca="1" si="223"/>
        <v>-1</v>
      </c>
      <c r="L2040" s="17">
        <f t="shared" ca="1" si="224"/>
        <v>-1</v>
      </c>
      <c r="N2040" s="24" t="str">
        <f ca="1">IF(AND(L2040=1,L2039&lt;&gt;1),MAX($N$8:N2039)+1,"")</f>
        <v/>
      </c>
      <c r="O2040" s="24" t="str">
        <f ca="1">IF(AND(L2040&lt;&gt;1,L2039=1),MAX($O$8:O2039)+1,"")</f>
        <v/>
      </c>
      <c r="P2040" s="17" t="str">
        <f ca="1">IF(AND(L2040=-1,L2039&lt;&gt;-1),MAX($P$8:P2039)+1,"")</f>
        <v/>
      </c>
      <c r="Q2040" s="24" t="str">
        <f ca="1">IF(AND(L2040&lt;&gt;-1,L2039=-1),MAX($Q$8:Q2039)+1,"")</f>
        <v/>
      </c>
    </row>
    <row r="2041" spans="1:17" x14ac:dyDescent="0.3">
      <c r="A2041" s="3">
        <v>43188</v>
      </c>
      <c r="B2041" s="9">
        <v>31.390781</v>
      </c>
      <c r="C2041" s="9">
        <v>26.994394</v>
      </c>
      <c r="E2041" s="14">
        <f t="shared" si="221"/>
        <v>1.1628629633249037</v>
      </c>
      <c r="F2041" s="18">
        <f t="shared" ca="1" si="220"/>
        <v>-1.5406516540432365</v>
      </c>
      <c r="G2041" s="15">
        <f t="shared" ca="1" si="225"/>
        <v>1.1833528822054034</v>
      </c>
      <c r="H2041" s="15">
        <f t="shared" ca="1" si="226"/>
        <v>1.3299514414388605E-2</v>
      </c>
      <c r="J2041" s="17">
        <f t="shared" ca="1" si="222"/>
        <v>0</v>
      </c>
      <c r="K2041" s="24">
        <f t="shared" ca="1" si="223"/>
        <v>-1</v>
      </c>
      <c r="L2041" s="17">
        <f t="shared" ca="1" si="224"/>
        <v>-1</v>
      </c>
      <c r="N2041" s="24" t="str">
        <f ca="1">IF(AND(L2041=1,L2040&lt;&gt;1),MAX($N$8:N2040)+1,"")</f>
        <v/>
      </c>
      <c r="O2041" s="24" t="str">
        <f ca="1">IF(AND(L2041&lt;&gt;1,L2040=1),MAX($O$8:O2040)+1,"")</f>
        <v/>
      </c>
      <c r="P2041" s="17" t="str">
        <f ca="1">IF(AND(L2041=-1,L2040&lt;&gt;-1),MAX($P$8:P2040)+1,"")</f>
        <v/>
      </c>
      <c r="Q2041" s="24" t="str">
        <f ca="1">IF(AND(L2041&lt;&gt;-1,L2040=-1),MAX($Q$8:Q2040)+1,"")</f>
        <v/>
      </c>
    </row>
    <row r="2042" spans="1:17" x14ac:dyDescent="0.3">
      <c r="A2042" s="3">
        <v>43192</v>
      </c>
      <c r="B2042" s="9">
        <v>31.240787999999998</v>
      </c>
      <c r="C2042" s="9">
        <v>26.747036000000001</v>
      </c>
      <c r="E2042" s="14">
        <f t="shared" si="221"/>
        <v>1.1680093450354647</v>
      </c>
      <c r="F2042" s="18">
        <f t="shared" ca="1" si="220"/>
        <v>-1.1943288480619136</v>
      </c>
      <c r="G2042" s="15">
        <f t="shared" ca="1" si="225"/>
        <v>1.1835600554431784</v>
      </c>
      <c r="H2042" s="15">
        <f t="shared" ca="1" si="226"/>
        <v>1.3020459509915124E-2</v>
      </c>
      <c r="J2042" s="17">
        <f t="shared" ca="1" si="222"/>
        <v>0</v>
      </c>
      <c r="K2042" s="24">
        <f t="shared" ca="1" si="223"/>
        <v>-1</v>
      </c>
      <c r="L2042" s="17">
        <f t="shared" ca="1" si="224"/>
        <v>-1</v>
      </c>
      <c r="N2042" s="24" t="str">
        <f ca="1">IF(AND(L2042=1,L2041&lt;&gt;1),MAX($N$8:N2041)+1,"")</f>
        <v/>
      </c>
      <c r="O2042" s="24" t="str">
        <f ca="1">IF(AND(L2042&lt;&gt;1,L2041=1),MAX($O$8:O2041)+1,"")</f>
        <v/>
      </c>
      <c r="P2042" s="17" t="str">
        <f ca="1">IF(AND(L2042=-1,L2041&lt;&gt;-1),MAX($P$8:P2041)+1,"")</f>
        <v/>
      </c>
      <c r="Q2042" s="24" t="str">
        <f ca="1">IF(AND(L2042&lt;&gt;-1,L2041=-1),MAX($Q$8:Q2041)+1,"")</f>
        <v/>
      </c>
    </row>
    <row r="2043" spans="1:17" x14ac:dyDescent="0.3">
      <c r="A2043" s="3">
        <v>43193</v>
      </c>
      <c r="B2043" s="9">
        <v>30.947044000000002</v>
      </c>
      <c r="C2043" s="9">
        <v>27.045845</v>
      </c>
      <c r="E2043" s="14">
        <f t="shared" si="221"/>
        <v>1.1442439309993828</v>
      </c>
      <c r="F2043" s="18">
        <f t="shared" ca="1" si="220"/>
        <v>-2.4827937731178209</v>
      </c>
      <c r="G2043" s="15">
        <f t="shared" ca="1" si="225"/>
        <v>1.1822077104802078</v>
      </c>
      <c r="H2043" s="15">
        <f t="shared" ca="1" si="226"/>
        <v>1.5290750239457522E-2</v>
      </c>
      <c r="J2043" s="17">
        <f t="shared" ca="1" si="222"/>
        <v>0</v>
      </c>
      <c r="K2043" s="24">
        <f t="shared" ca="1" si="223"/>
        <v>-1</v>
      </c>
      <c r="L2043" s="17">
        <f t="shared" ca="1" si="224"/>
        <v>-1</v>
      </c>
      <c r="N2043" s="24" t="str">
        <f ca="1">IF(AND(L2043=1,L2042&lt;&gt;1),MAX($N$8:N2042)+1,"")</f>
        <v/>
      </c>
      <c r="O2043" s="24" t="str">
        <f ca="1">IF(AND(L2043&lt;&gt;1,L2042=1),MAX($O$8:O2042)+1,"")</f>
        <v/>
      </c>
      <c r="P2043" s="17" t="str">
        <f ca="1">IF(AND(L2043=-1,L2042&lt;&gt;-1),MAX($P$8:P2042)+1,"")</f>
        <v/>
      </c>
      <c r="Q2043" s="24" t="str">
        <f ca="1">IF(AND(L2043&lt;&gt;-1,L2042=-1),MAX($Q$8:Q2042)+1,"")</f>
        <v/>
      </c>
    </row>
    <row r="2044" spans="1:17" x14ac:dyDescent="0.3">
      <c r="A2044" s="3">
        <v>43194</v>
      </c>
      <c r="B2044" s="9">
        <v>31.148993000000001</v>
      </c>
      <c r="C2044" s="9">
        <v>26.812632000000001</v>
      </c>
      <c r="E2044" s="14">
        <f t="shared" si="221"/>
        <v>1.1617282853842921</v>
      </c>
      <c r="F2044" s="18">
        <f t="shared" ca="1" si="220"/>
        <v>-1.2671702605380055</v>
      </c>
      <c r="G2044" s="15">
        <f t="shared" ca="1" si="225"/>
        <v>1.1817062945607604</v>
      </c>
      <c r="H2044" s="15">
        <f t="shared" ca="1" si="226"/>
        <v>1.5765844416192495E-2</v>
      </c>
      <c r="J2044" s="17">
        <f t="shared" ca="1" si="222"/>
        <v>0</v>
      </c>
      <c r="K2044" s="24">
        <f t="shared" ca="1" si="223"/>
        <v>-1</v>
      </c>
      <c r="L2044" s="17">
        <f t="shared" ca="1" si="224"/>
        <v>-1</v>
      </c>
      <c r="N2044" s="24" t="str">
        <f ca="1">IF(AND(L2044=1,L2043&lt;&gt;1),MAX($N$8:N2043)+1,"")</f>
        <v/>
      </c>
      <c r="O2044" s="24" t="str">
        <f ca="1">IF(AND(L2044&lt;&gt;1,L2043=1),MAX($O$8:O2043)+1,"")</f>
        <v/>
      </c>
      <c r="P2044" s="17" t="str">
        <f ca="1">IF(AND(L2044=-1,L2043&lt;&gt;-1),MAX($P$8:P2043)+1,"")</f>
        <v/>
      </c>
      <c r="Q2044" s="24" t="str">
        <f ca="1">IF(AND(L2044&lt;&gt;-1,L2043=-1),MAX($Q$8:Q2043)+1,"")</f>
        <v/>
      </c>
    </row>
    <row r="2045" spans="1:17" x14ac:dyDescent="0.3">
      <c r="A2045" s="3">
        <v>43195</v>
      </c>
      <c r="B2045" s="9">
        <v>31.210215000000002</v>
      </c>
      <c r="C2045" s="9">
        <v>26.895388000000001</v>
      </c>
      <c r="E2045" s="14">
        <f t="shared" si="221"/>
        <v>1.1604299963993827</v>
      </c>
      <c r="F2045" s="18">
        <f t="shared" ca="1" si="220"/>
        <v>-1.2404174792379576</v>
      </c>
      <c r="G2045" s="15">
        <f t="shared" ca="1" si="225"/>
        <v>1.1807445618658106</v>
      </c>
      <c r="H2045" s="15">
        <f t="shared" ca="1" si="226"/>
        <v>1.637720026237293E-2</v>
      </c>
      <c r="J2045" s="17">
        <f t="shared" ca="1" si="222"/>
        <v>0</v>
      </c>
      <c r="K2045" s="24">
        <f t="shared" ca="1" si="223"/>
        <v>-1</v>
      </c>
      <c r="L2045" s="17">
        <f t="shared" ca="1" si="224"/>
        <v>-1</v>
      </c>
      <c r="N2045" s="24" t="str">
        <f ca="1">IF(AND(L2045=1,L2044&lt;&gt;1),MAX($N$8:N2044)+1,"")</f>
        <v/>
      </c>
      <c r="O2045" s="24" t="str">
        <f ca="1">IF(AND(L2045&lt;&gt;1,L2044=1),MAX($O$8:O2044)+1,"")</f>
        <v/>
      </c>
      <c r="P2045" s="17" t="str">
        <f ca="1">IF(AND(L2045=-1,L2044&lt;&gt;-1),MAX($P$8:P2044)+1,"")</f>
        <v/>
      </c>
      <c r="Q2045" s="24" t="str">
        <f ca="1">IF(AND(L2045&lt;&gt;-1,L2044=-1),MAX($Q$8:Q2044)+1,"")</f>
        <v/>
      </c>
    </row>
    <row r="2046" spans="1:17" x14ac:dyDescent="0.3">
      <c r="A2046" s="3">
        <v>43196</v>
      </c>
      <c r="B2046" s="9">
        <v>31.363237000000002</v>
      </c>
      <c r="C2046" s="9">
        <v>26.812632000000001</v>
      </c>
      <c r="E2046" s="14">
        <f t="shared" si="221"/>
        <v>1.169718698261327</v>
      </c>
      <c r="F2046" s="18">
        <f t="shared" ca="1" si="220"/>
        <v>-0.6531084372406204</v>
      </c>
      <c r="G2046" s="15">
        <f t="shared" ca="1" si="225"/>
        <v>1.1804955376898822</v>
      </c>
      <c r="H2046" s="15">
        <f t="shared" ca="1" si="226"/>
        <v>1.6500842454412804E-2</v>
      </c>
      <c r="J2046" s="17">
        <f t="shared" ca="1" si="222"/>
        <v>0</v>
      </c>
      <c r="K2046" s="24">
        <f t="shared" ca="1" si="223"/>
        <v>-1</v>
      </c>
      <c r="L2046" s="17">
        <f t="shared" ca="1" si="224"/>
        <v>-1</v>
      </c>
      <c r="N2046" s="24" t="str">
        <f ca="1">IF(AND(L2046=1,L2045&lt;&gt;1),MAX($N$8:N2045)+1,"")</f>
        <v/>
      </c>
      <c r="O2046" s="24" t="str">
        <f ca="1">IF(AND(L2046&lt;&gt;1,L2045=1),MAX($O$8:O2045)+1,"")</f>
        <v/>
      </c>
      <c r="P2046" s="17" t="str">
        <f ca="1">IF(AND(L2046=-1,L2045&lt;&gt;-1),MAX($P$8:P2045)+1,"")</f>
        <v/>
      </c>
      <c r="Q2046" s="24" t="str">
        <f ca="1">IF(AND(L2046&lt;&gt;-1,L2045=-1),MAX($Q$8:Q2045)+1,"")</f>
        <v/>
      </c>
    </row>
    <row r="2047" spans="1:17" x14ac:dyDescent="0.3">
      <c r="A2047" s="3">
        <v>43199</v>
      </c>
      <c r="B2047" s="9">
        <v>30.665607000000001</v>
      </c>
      <c r="C2047" s="9">
        <v>25.797284999999999</v>
      </c>
      <c r="E2047" s="14">
        <f t="shared" si="221"/>
        <v>1.188714510073444</v>
      </c>
      <c r="F2047" s="18">
        <f t="shared" ca="1" si="220"/>
        <v>0.5207664249209788</v>
      </c>
      <c r="G2047" s="15">
        <f t="shared" ca="1" si="225"/>
        <v>1.1802207028113911</v>
      </c>
      <c r="H2047" s="15">
        <f t="shared" ca="1" si="226"/>
        <v>1.6310205219819414E-2</v>
      </c>
      <c r="J2047" s="17">
        <f t="shared" ca="1" si="222"/>
        <v>0</v>
      </c>
      <c r="K2047" s="24">
        <f t="shared" ca="1" si="223"/>
        <v>0</v>
      </c>
      <c r="L2047" s="17">
        <f t="shared" ca="1" si="224"/>
        <v>0</v>
      </c>
      <c r="N2047" s="24" t="str">
        <f ca="1">IF(AND(L2047=1,L2046&lt;&gt;1),MAX($N$8:N2046)+1,"")</f>
        <v/>
      </c>
      <c r="O2047" s="24" t="str">
        <f ca="1">IF(AND(L2047&lt;&gt;1,L2046=1),MAX($O$8:O2046)+1,"")</f>
        <v/>
      </c>
      <c r="P2047" s="17" t="str">
        <f ca="1">IF(AND(L2047=-1,L2046&lt;&gt;-1),MAX($P$8:P2046)+1,"")</f>
        <v/>
      </c>
      <c r="Q2047" s="24">
        <f ca="1">IF(AND(L2047&lt;&gt;-1,L2046=-1),MAX($Q$8:Q2046)+1,"")</f>
        <v>75</v>
      </c>
    </row>
    <row r="2048" spans="1:17" x14ac:dyDescent="0.3">
      <c r="A2048" s="3">
        <v>43200</v>
      </c>
      <c r="B2048" s="9">
        <v>30.818521</v>
      </c>
      <c r="C2048" s="9">
        <v>26.015429999999999</v>
      </c>
      <c r="E2048" s="14">
        <f t="shared" si="221"/>
        <v>1.1846247015713367</v>
      </c>
      <c r="F2048" s="18">
        <f t="shared" ca="1" si="220"/>
        <v>0.33306394951025126</v>
      </c>
      <c r="G2048" s="15">
        <f t="shared" ca="1" si="225"/>
        <v>1.1794197882771529</v>
      </c>
      <c r="H2048" s="15">
        <f t="shared" ca="1" si="226"/>
        <v>1.5627369163901724E-2</v>
      </c>
      <c r="J2048" s="17">
        <f t="shared" ca="1" si="222"/>
        <v>0</v>
      </c>
      <c r="K2048" s="24">
        <f t="shared" ca="1" si="223"/>
        <v>0</v>
      </c>
      <c r="L2048" s="17">
        <f t="shared" ca="1" si="224"/>
        <v>0</v>
      </c>
      <c r="N2048" s="24" t="str">
        <f ca="1">IF(AND(L2048=1,L2047&lt;&gt;1),MAX($N$8:N2047)+1,"")</f>
        <v/>
      </c>
      <c r="O2048" s="24" t="str">
        <f ca="1">IF(AND(L2048&lt;&gt;1,L2047=1),MAX($O$8:O2047)+1,"")</f>
        <v/>
      </c>
      <c r="P2048" s="17" t="str">
        <f ca="1">IF(AND(L2048=-1,L2047&lt;&gt;-1),MAX($P$8:P2047)+1,"")</f>
        <v/>
      </c>
      <c r="Q2048" s="24" t="str">
        <f ca="1">IF(AND(L2048&lt;&gt;-1,L2047=-1),MAX($Q$8:Q2047)+1,"")</f>
        <v/>
      </c>
    </row>
    <row r="2049" spans="1:17" x14ac:dyDescent="0.3">
      <c r="A2049" s="3">
        <v>43201</v>
      </c>
      <c r="B2049" s="9">
        <v>31.326525</v>
      </c>
      <c r="C2049" s="9">
        <v>26.624635999999999</v>
      </c>
      <c r="E2049" s="14">
        <f t="shared" si="221"/>
        <v>1.1765991843043413</v>
      </c>
      <c r="F2049" s="18">
        <f t="shared" ca="1" si="220"/>
        <v>-0.1344035815126797</v>
      </c>
      <c r="G2049" s="15">
        <f t="shared" ca="1" si="225"/>
        <v>1.1786606094895082</v>
      </c>
      <c r="H2049" s="15">
        <f t="shared" ca="1" si="226"/>
        <v>1.5337576290498384E-2</v>
      </c>
      <c r="J2049" s="17">
        <f t="shared" ca="1" si="222"/>
        <v>0</v>
      </c>
      <c r="K2049" s="24">
        <f t="shared" ca="1" si="223"/>
        <v>0</v>
      </c>
      <c r="L2049" s="17">
        <f t="shared" ca="1" si="224"/>
        <v>0</v>
      </c>
      <c r="N2049" s="24" t="str">
        <f ca="1">IF(AND(L2049=1,L2048&lt;&gt;1),MAX($N$8:N2048)+1,"")</f>
        <v/>
      </c>
      <c r="O2049" s="24" t="str">
        <f ca="1">IF(AND(L2049&lt;&gt;1,L2048=1),MAX($O$8:O2048)+1,"")</f>
        <v/>
      </c>
      <c r="P2049" s="17" t="str">
        <f ca="1">IF(AND(L2049=-1,L2048&lt;&gt;-1),MAX($P$8:P2048)+1,"")</f>
        <v/>
      </c>
      <c r="Q2049" s="24" t="str">
        <f ca="1">IF(AND(L2049&lt;&gt;-1,L2048=-1),MAX($Q$8:Q2048)+1,"")</f>
        <v/>
      </c>
    </row>
    <row r="2050" spans="1:17" x14ac:dyDescent="0.3">
      <c r="A2050" s="3">
        <v>43202</v>
      </c>
      <c r="B2050" s="9">
        <v>31.601904000000001</v>
      </c>
      <c r="C2050" s="9">
        <v>26.143314</v>
      </c>
      <c r="E2050" s="14">
        <f t="shared" si="221"/>
        <v>1.2087948758141374</v>
      </c>
      <c r="F2050" s="18">
        <f t="shared" ref="F2050:F2113" ca="1" si="227">IF(ISNUMBER(G2050),(E2050-G2050)/H2050,"")</f>
        <v>1.8349363677597108</v>
      </c>
      <c r="G2050" s="15">
        <f t="shared" ca="1" si="225"/>
        <v>1.1791826441728928</v>
      </c>
      <c r="H2050" s="15">
        <f t="shared" ca="1" si="226"/>
        <v>1.6138015552767327E-2</v>
      </c>
      <c r="J2050" s="17">
        <f t="shared" ca="1" si="222"/>
        <v>1</v>
      </c>
      <c r="K2050" s="24">
        <f t="shared" ca="1" si="223"/>
        <v>0</v>
      </c>
      <c r="L2050" s="17">
        <f t="shared" ca="1" si="224"/>
        <v>1</v>
      </c>
      <c r="N2050" s="24">
        <f ca="1">IF(AND(L2050=1,L2049&lt;&gt;1),MAX($N$8:N2049)+1,"")</f>
        <v>67</v>
      </c>
      <c r="O2050" s="24" t="str">
        <f ca="1">IF(AND(L2050&lt;&gt;1,L2049=1),MAX($O$8:O2049)+1,"")</f>
        <v/>
      </c>
      <c r="P2050" s="17" t="str">
        <f ca="1">IF(AND(L2050=-1,L2049&lt;&gt;-1),MAX($P$8:P2049)+1,"")</f>
        <v/>
      </c>
      <c r="Q2050" s="24" t="str">
        <f ca="1">IF(AND(L2050&lt;&gt;-1,L2049=-1),MAX($Q$8:Q2049)+1,"")</f>
        <v/>
      </c>
    </row>
    <row r="2051" spans="1:17" x14ac:dyDescent="0.3">
      <c r="A2051" s="3">
        <v>43203</v>
      </c>
      <c r="B2051" s="9">
        <v>30.867543999999999</v>
      </c>
      <c r="C2051" s="9">
        <v>25.571650999999999</v>
      </c>
      <c r="E2051" s="14">
        <f t="shared" ref="E2051:E2114" si="228">IF(ISNUMBER(B2051),B2051/C2051,"")</f>
        <v>1.2071001594695625</v>
      </c>
      <c r="F2051" s="18">
        <f t="shared" ca="1" si="227"/>
        <v>1.7069040239394284</v>
      </c>
      <c r="G2051" s="15">
        <f t="shared" ca="1" si="225"/>
        <v>1.1792798751956504</v>
      </c>
      <c r="H2051" s="15">
        <f t="shared" ca="1" si="226"/>
        <v>1.6298681052789751E-2</v>
      </c>
      <c r="J2051" s="17">
        <f t="shared" ca="1" si="222"/>
        <v>1</v>
      </c>
      <c r="K2051" s="24">
        <f t="shared" ca="1" si="223"/>
        <v>0</v>
      </c>
      <c r="L2051" s="17">
        <f t="shared" ca="1" si="224"/>
        <v>1</v>
      </c>
      <c r="N2051" s="24" t="str">
        <f ca="1">IF(AND(L2051=1,L2050&lt;&gt;1),MAX($N$8:N2050)+1,"")</f>
        <v/>
      </c>
      <c r="O2051" s="24" t="str">
        <f ca="1">IF(AND(L2051&lt;&gt;1,L2050=1),MAX($O$8:O2050)+1,"")</f>
        <v/>
      </c>
      <c r="P2051" s="17" t="str">
        <f ca="1">IF(AND(L2051=-1,L2050&lt;&gt;-1),MAX($P$8:P2050)+1,"")</f>
        <v/>
      </c>
      <c r="Q2051" s="24" t="str">
        <f ca="1">IF(AND(L2051&lt;&gt;-1,L2050=-1),MAX($Q$8:Q2050)+1,"")</f>
        <v/>
      </c>
    </row>
    <row r="2052" spans="1:17" x14ac:dyDescent="0.3">
      <c r="A2052" s="3">
        <v>43206</v>
      </c>
      <c r="B2052" s="9">
        <v>30.414631</v>
      </c>
      <c r="C2052" s="9">
        <v>25.015149999999998</v>
      </c>
      <c r="E2052" s="14">
        <f t="shared" si="228"/>
        <v>1.2158484358478763</v>
      </c>
      <c r="F2052" s="18">
        <f t="shared" ca="1" si="227"/>
        <v>1.9547032474172896</v>
      </c>
      <c r="G2052" s="15">
        <f t="shared" ca="1" si="225"/>
        <v>1.1807079825172755</v>
      </c>
      <c r="H2052" s="15">
        <f t="shared" ca="1" si="226"/>
        <v>1.7977385251204327E-2</v>
      </c>
      <c r="J2052" s="17">
        <f t="shared" ca="1" si="222"/>
        <v>1</v>
      </c>
      <c r="K2052" s="24">
        <f t="shared" ca="1" si="223"/>
        <v>0</v>
      </c>
      <c r="L2052" s="17">
        <f t="shared" ca="1" si="224"/>
        <v>1</v>
      </c>
      <c r="N2052" s="24" t="str">
        <f ca="1">IF(AND(L2052=1,L2051&lt;&gt;1),MAX($N$8:N2051)+1,"")</f>
        <v/>
      </c>
      <c r="O2052" s="24" t="str">
        <f ca="1">IF(AND(L2052&lt;&gt;1,L2051=1),MAX($O$8:O2051)+1,"")</f>
        <v/>
      </c>
      <c r="P2052" s="17" t="str">
        <f ca="1">IF(AND(L2052=-1,L2051&lt;&gt;-1),MAX($P$8:P2051)+1,"")</f>
        <v/>
      </c>
      <c r="Q2052" s="24" t="str">
        <f ca="1">IF(AND(L2052&lt;&gt;-1,L2051=-1),MAX($Q$8:Q2051)+1,"")</f>
        <v/>
      </c>
    </row>
    <row r="2053" spans="1:17" x14ac:dyDescent="0.3">
      <c r="A2053" s="3">
        <v>43207</v>
      </c>
      <c r="B2053" s="9">
        <v>30.916471000000001</v>
      </c>
      <c r="C2053" s="9">
        <v>25.331033999999999</v>
      </c>
      <c r="E2053" s="14">
        <f t="shared" si="228"/>
        <v>1.2204977893914635</v>
      </c>
      <c r="F2053" s="18">
        <f t="shared" ca="1" si="227"/>
        <v>2.0593775854730052</v>
      </c>
      <c r="G2053" s="15">
        <f t="shared" ca="1" si="225"/>
        <v>1.1813006769786529</v>
      </c>
      <c r="H2053" s="15">
        <f t="shared" ca="1" si="226"/>
        <v>1.9033475303076881E-2</v>
      </c>
      <c r="J2053" s="17">
        <f t="shared" ca="1" si="222"/>
        <v>1</v>
      </c>
      <c r="K2053" s="24">
        <f t="shared" ca="1" si="223"/>
        <v>0</v>
      </c>
      <c r="L2053" s="17">
        <f t="shared" ca="1" si="224"/>
        <v>1</v>
      </c>
      <c r="N2053" s="24" t="str">
        <f ca="1">IF(AND(L2053=1,L2052&lt;&gt;1),MAX($N$8:N2052)+1,"")</f>
        <v/>
      </c>
      <c r="O2053" s="24" t="str">
        <f ca="1">IF(AND(L2053&lt;&gt;1,L2052=1),MAX($O$8:O2052)+1,"")</f>
        <v/>
      </c>
      <c r="P2053" s="17" t="str">
        <f ca="1">IF(AND(L2053=-1,L2052&lt;&gt;-1),MAX($P$8:P2052)+1,"")</f>
        <v/>
      </c>
      <c r="Q2053" s="24" t="str">
        <f ca="1">IF(AND(L2053&lt;&gt;-1,L2052=-1),MAX($Q$8:Q2052)+1,"")</f>
        <v/>
      </c>
    </row>
    <row r="2054" spans="1:17" x14ac:dyDescent="0.3">
      <c r="A2054" s="3">
        <v>43208</v>
      </c>
      <c r="B2054" s="9">
        <v>31.503966999999999</v>
      </c>
      <c r="C2054" s="9">
        <v>26.180855000000001</v>
      </c>
      <c r="E2054" s="14">
        <f t="shared" si="228"/>
        <v>1.203320785360142</v>
      </c>
      <c r="F2054" s="18">
        <f t="shared" ca="1" si="227"/>
        <v>1.1363667278200453</v>
      </c>
      <c r="G2054" s="15">
        <f t="shared" ca="1" si="225"/>
        <v>1.1814795864158112</v>
      </c>
      <c r="H2054" s="15">
        <f t="shared" ca="1" si="226"/>
        <v>1.9220202782802308E-2</v>
      </c>
      <c r="J2054" s="17">
        <f t="shared" ca="1" si="222"/>
        <v>1</v>
      </c>
      <c r="K2054" s="24">
        <f t="shared" ca="1" si="223"/>
        <v>0</v>
      </c>
      <c r="L2054" s="17">
        <f t="shared" ca="1" si="224"/>
        <v>1</v>
      </c>
      <c r="N2054" s="24" t="str">
        <f ca="1">IF(AND(L2054=1,L2053&lt;&gt;1),MAX($N$8:N2053)+1,"")</f>
        <v/>
      </c>
      <c r="O2054" s="24" t="str">
        <f ca="1">IF(AND(L2054&lt;&gt;1,L2053=1),MAX($O$8:O2053)+1,"")</f>
        <v/>
      </c>
      <c r="P2054" s="17" t="str">
        <f ca="1">IF(AND(L2054=-1,L2053&lt;&gt;-1),MAX($P$8:P2053)+1,"")</f>
        <v/>
      </c>
      <c r="Q2054" s="24" t="str">
        <f ca="1">IF(AND(L2054&lt;&gt;-1,L2053=-1),MAX($Q$8:Q2053)+1,"")</f>
        <v/>
      </c>
    </row>
    <row r="2055" spans="1:17" x14ac:dyDescent="0.3">
      <c r="A2055" s="3">
        <v>43209</v>
      </c>
      <c r="B2055" s="9">
        <v>31.210215000000002</v>
      </c>
      <c r="C2055" s="9">
        <v>26.135729000000001</v>
      </c>
      <c r="E2055" s="14">
        <f t="shared" si="228"/>
        <v>1.194158961473774</v>
      </c>
      <c r="F2055" s="18">
        <f t="shared" ca="1" si="227"/>
        <v>0.63430412967046645</v>
      </c>
      <c r="G2055" s="15">
        <f t="shared" ca="1" si="225"/>
        <v>1.1818632732024126</v>
      </c>
      <c r="H2055" s="15">
        <f t="shared" ca="1" si="226"/>
        <v>1.9384531325295419E-2</v>
      </c>
      <c r="J2055" s="17">
        <f t="shared" ca="1" si="222"/>
        <v>1</v>
      </c>
      <c r="K2055" s="24">
        <f t="shared" ca="1" si="223"/>
        <v>0</v>
      </c>
      <c r="L2055" s="17">
        <f t="shared" ca="1" si="224"/>
        <v>1</v>
      </c>
      <c r="N2055" s="24" t="str">
        <f ca="1">IF(AND(L2055=1,L2054&lt;&gt;1),MAX($N$8:N2054)+1,"")</f>
        <v/>
      </c>
      <c r="O2055" s="24" t="str">
        <f ca="1">IF(AND(L2055&lt;&gt;1,L2054=1),MAX($O$8:O2054)+1,"")</f>
        <v/>
      </c>
      <c r="P2055" s="17" t="str">
        <f ca="1">IF(AND(L2055=-1,L2054&lt;&gt;-1),MAX($P$8:P2054)+1,"")</f>
        <v/>
      </c>
      <c r="Q2055" s="24" t="str">
        <f ca="1">IF(AND(L2055&lt;&gt;-1,L2054=-1),MAX($Q$8:Q2054)+1,"")</f>
        <v/>
      </c>
    </row>
    <row r="2056" spans="1:17" x14ac:dyDescent="0.3">
      <c r="A2056" s="3">
        <v>43210</v>
      </c>
      <c r="B2056" s="9">
        <v>31.142931000000001</v>
      </c>
      <c r="C2056" s="9">
        <v>25.767225</v>
      </c>
      <c r="E2056" s="14">
        <f t="shared" si="228"/>
        <v>1.2086257251217389</v>
      </c>
      <c r="F2056" s="18">
        <f t="shared" ca="1" si="227"/>
        <v>1.2909966996326487</v>
      </c>
      <c r="G2056" s="15">
        <f t="shared" ca="1" si="225"/>
        <v>1.1826752055557761</v>
      </c>
      <c r="H2056" s="15">
        <f t="shared" ca="1" si="226"/>
        <v>2.0101150973776325E-2</v>
      </c>
      <c r="J2056" s="17">
        <f t="shared" ref="J2056:J2119" ca="1" si="229">IF(ISNUMBER(F2056),IF(AND(J2055&lt;&gt;1,F2056&gt;$L$1),1,IF(AND(J2055=1,F2056&gt;$N$1),1,0)),"")</f>
        <v>1</v>
      </c>
      <c r="K2056" s="24">
        <f t="shared" ca="1" si="223"/>
        <v>0</v>
      </c>
      <c r="L2056" s="17">
        <f t="shared" ca="1" si="224"/>
        <v>1</v>
      </c>
      <c r="N2056" s="24" t="str">
        <f ca="1">IF(AND(L2056=1,L2055&lt;&gt;1),MAX($N$8:N2055)+1,"")</f>
        <v/>
      </c>
      <c r="O2056" s="24" t="str">
        <f ca="1">IF(AND(L2056&lt;&gt;1,L2055=1),MAX($O$8:O2055)+1,"")</f>
        <v/>
      </c>
      <c r="P2056" s="17" t="str">
        <f ca="1">IF(AND(L2056=-1,L2055&lt;&gt;-1),MAX($P$8:P2055)+1,"")</f>
        <v/>
      </c>
      <c r="Q2056" s="24" t="str">
        <f ca="1">IF(AND(L2056&lt;&gt;-1,L2055=-1),MAX($Q$8:Q2055)+1,"")</f>
        <v/>
      </c>
    </row>
    <row r="2057" spans="1:17" x14ac:dyDescent="0.3">
      <c r="A2057" s="3">
        <v>43213</v>
      </c>
      <c r="B2057" s="9">
        <v>31.198015000000002</v>
      </c>
      <c r="C2057" s="9">
        <v>25.759737000000001</v>
      </c>
      <c r="E2057" s="14">
        <f t="shared" si="228"/>
        <v>1.2111154318073978</v>
      </c>
      <c r="F2057" s="18">
        <f t="shared" ca="1" si="227"/>
        <v>1.2907751497699449</v>
      </c>
      <c r="G2057" s="15">
        <f t="shared" ca="1" si="225"/>
        <v>1.1840851010135678</v>
      </c>
      <c r="H2057" s="15">
        <f t="shared" ca="1" si="226"/>
        <v>2.0941161439812048E-2</v>
      </c>
      <c r="J2057" s="17">
        <f t="shared" ca="1" si="229"/>
        <v>1</v>
      </c>
      <c r="K2057" s="24">
        <f t="shared" ref="K2057:K2120" ca="1" si="230">IF(ISNUMBER(F2057),IF(AND(K2056&lt;&gt;-1,F2057&lt;$P$1),-1,IF(AND(K2056=-1,F2057&lt;R2050),-1,0)),"")</f>
        <v>0</v>
      </c>
      <c r="L2057" s="17">
        <f t="shared" ref="L2057:L2120" ca="1" si="231">IF(ISNUMBER(F2057),IF(J2057=1,1,IF(K2057=-1,-1,0)),"")</f>
        <v>1</v>
      </c>
      <c r="N2057" s="24" t="str">
        <f ca="1">IF(AND(L2057=1,L2056&lt;&gt;1),MAX($N$8:N2056)+1,"")</f>
        <v/>
      </c>
      <c r="O2057" s="24" t="str">
        <f ca="1">IF(AND(L2057&lt;&gt;1,L2056=1),MAX($O$8:O2056)+1,"")</f>
        <v/>
      </c>
      <c r="P2057" s="17" t="str">
        <f ca="1">IF(AND(L2057=-1,L2056&lt;&gt;-1),MAX($P$8:P2056)+1,"")</f>
        <v/>
      </c>
      <c r="Q2057" s="24" t="str">
        <f ca="1">IF(AND(L2057&lt;&gt;-1,L2056=-1),MAX($Q$8:Q2056)+1,"")</f>
        <v/>
      </c>
    </row>
    <row r="2058" spans="1:17" x14ac:dyDescent="0.3">
      <c r="A2058" s="3">
        <v>43214</v>
      </c>
      <c r="B2058" s="9">
        <v>31.044982999999998</v>
      </c>
      <c r="C2058" s="9">
        <v>25.804863000000001</v>
      </c>
      <c r="E2058" s="14">
        <f t="shared" si="228"/>
        <v>1.2030671505599544</v>
      </c>
      <c r="F2058" s="18">
        <f t="shared" ca="1" si="227"/>
        <v>0.82925881532084711</v>
      </c>
      <c r="G2058" s="15">
        <f t="shared" ca="1" si="225"/>
        <v>1.1856222863760808</v>
      </c>
      <c r="H2058" s="15">
        <f t="shared" ca="1" si="226"/>
        <v>2.1036694288409857E-2</v>
      </c>
      <c r="J2058" s="17">
        <f t="shared" ca="1" si="229"/>
        <v>1</v>
      </c>
      <c r="K2058" s="24">
        <f t="shared" ca="1" si="230"/>
        <v>0</v>
      </c>
      <c r="L2058" s="17">
        <f t="shared" ca="1" si="231"/>
        <v>1</v>
      </c>
      <c r="N2058" s="24" t="str">
        <f ca="1">IF(AND(L2058=1,L2057&lt;&gt;1),MAX($N$8:N2057)+1,"")</f>
        <v/>
      </c>
      <c r="O2058" s="24" t="str">
        <f ca="1">IF(AND(L2058&lt;&gt;1,L2057=1),MAX($O$8:O2057)+1,"")</f>
        <v/>
      </c>
      <c r="P2058" s="17" t="str">
        <f ca="1">IF(AND(L2058=-1,L2057&lt;&gt;-1),MAX($P$8:P2057)+1,"")</f>
        <v/>
      </c>
      <c r="Q2058" s="24" t="str">
        <f ca="1">IF(AND(L2058&lt;&gt;-1,L2057=-1),MAX($Q$8:Q2057)+1,"")</f>
        <v/>
      </c>
    </row>
    <row r="2059" spans="1:17" x14ac:dyDescent="0.3">
      <c r="A2059" s="3">
        <v>43215</v>
      </c>
      <c r="B2059" s="9">
        <v>30.861402999999999</v>
      </c>
      <c r="C2059" s="9">
        <v>26.120750000000001</v>
      </c>
      <c r="E2059" s="14">
        <f t="shared" si="228"/>
        <v>1.1814899265909287</v>
      </c>
      <c r="F2059" s="18">
        <f t="shared" ca="1" si="227"/>
        <v>-0.23200397406865761</v>
      </c>
      <c r="G2059" s="15">
        <f t="shared" ca="1" si="225"/>
        <v>1.1862840550734344</v>
      </c>
      <c r="H2059" s="15">
        <f t="shared" ca="1" si="226"/>
        <v>2.0663992941288886E-2</v>
      </c>
      <c r="J2059" s="17">
        <f t="shared" ca="1" si="229"/>
        <v>0</v>
      </c>
      <c r="K2059" s="24">
        <f t="shared" ca="1" si="230"/>
        <v>0</v>
      </c>
      <c r="L2059" s="17">
        <f t="shared" ca="1" si="231"/>
        <v>0</v>
      </c>
      <c r="N2059" s="24" t="str">
        <f ca="1">IF(AND(L2059=1,L2058&lt;&gt;1),MAX($N$8:N2058)+1,"")</f>
        <v/>
      </c>
      <c r="O2059" s="24">
        <f ca="1">IF(AND(L2059&lt;&gt;1,L2058=1),MAX($O$8:O2058)+1,"")</f>
        <v>67</v>
      </c>
      <c r="P2059" s="17" t="str">
        <f ca="1">IF(AND(L2059=-1,L2058&lt;&gt;-1),MAX($P$8:P2058)+1,"")</f>
        <v/>
      </c>
      <c r="Q2059" s="24" t="str">
        <f ca="1">IF(AND(L2059&lt;&gt;-1,L2058=-1),MAX($Q$8:Q2058)+1,"")</f>
        <v/>
      </c>
    </row>
    <row r="2060" spans="1:17" x14ac:dyDescent="0.3">
      <c r="A2060" s="3">
        <v>43216</v>
      </c>
      <c r="B2060" s="9">
        <v>31.577387000000002</v>
      </c>
      <c r="C2060" s="9">
        <v>26.120750000000001</v>
      </c>
      <c r="E2060" s="14">
        <f t="shared" si="228"/>
        <v>1.2089004718470948</v>
      </c>
      <c r="F2060" s="18">
        <f t="shared" ca="1" si="227"/>
        <v>1.002060385281863</v>
      </c>
      <c r="G2060" s="15">
        <f t="shared" ca="1" si="225"/>
        <v>1.187841486732979</v>
      </c>
      <c r="H2060" s="15">
        <f t="shared" ca="1" si="226"/>
        <v>2.1015684706657985E-2</v>
      </c>
      <c r="J2060" s="17">
        <f t="shared" ca="1" si="229"/>
        <v>1</v>
      </c>
      <c r="K2060" s="24">
        <f t="shared" ca="1" si="230"/>
        <v>0</v>
      </c>
      <c r="L2060" s="17">
        <f t="shared" ca="1" si="231"/>
        <v>1</v>
      </c>
      <c r="N2060" s="24">
        <f ca="1">IF(AND(L2060=1,L2059&lt;&gt;1),MAX($N$8:N2059)+1,"")</f>
        <v>68</v>
      </c>
      <c r="O2060" s="24" t="str">
        <f ca="1">IF(AND(L2060&lt;&gt;1,L2059=1),MAX($O$8:O2059)+1,"")</f>
        <v/>
      </c>
      <c r="P2060" s="17" t="str">
        <f ca="1">IF(AND(L2060=-1,L2059&lt;&gt;-1),MAX($P$8:P2059)+1,"")</f>
        <v/>
      </c>
      <c r="Q2060" s="24" t="str">
        <f ca="1">IF(AND(L2060&lt;&gt;-1,L2059=-1),MAX($Q$8:Q2059)+1,"")</f>
        <v/>
      </c>
    </row>
    <row r="2061" spans="1:17" x14ac:dyDescent="0.3">
      <c r="A2061" s="3">
        <v>43217</v>
      </c>
      <c r="B2061" s="9">
        <v>31.516165000000001</v>
      </c>
      <c r="C2061" s="9">
        <v>26.406496000000001</v>
      </c>
      <c r="E2061" s="14">
        <f t="shared" si="228"/>
        <v>1.1935004553425037</v>
      </c>
      <c r="F2061" s="18">
        <f t="shared" ca="1" si="227"/>
        <v>0.23065659421119489</v>
      </c>
      <c r="G2061" s="15">
        <f t="shared" ca="1" si="225"/>
        <v>1.1886916222152804</v>
      </c>
      <c r="H2061" s="15">
        <f t="shared" ca="1" si="226"/>
        <v>2.0848452842498266E-2</v>
      </c>
      <c r="J2061" s="17">
        <f t="shared" ca="1" si="229"/>
        <v>1</v>
      </c>
      <c r="K2061" s="24">
        <f t="shared" ca="1" si="230"/>
        <v>0</v>
      </c>
      <c r="L2061" s="17">
        <f t="shared" ca="1" si="231"/>
        <v>1</v>
      </c>
      <c r="N2061" s="24" t="str">
        <f ca="1">IF(AND(L2061=1,L2060&lt;&gt;1),MAX($N$8:N2060)+1,"")</f>
        <v/>
      </c>
      <c r="O2061" s="24" t="str">
        <f ca="1">IF(AND(L2061&lt;&gt;1,L2060=1),MAX($O$8:O2060)+1,"")</f>
        <v/>
      </c>
      <c r="P2061" s="17" t="str">
        <f ca="1">IF(AND(L2061=-1,L2060&lt;&gt;-1),MAX($P$8:P2060)+1,"")</f>
        <v/>
      </c>
      <c r="Q2061" s="24" t="str">
        <f ca="1">IF(AND(L2061&lt;&gt;-1,L2060=-1),MAX($Q$8:Q2060)+1,"")</f>
        <v/>
      </c>
    </row>
    <row r="2062" spans="1:17" x14ac:dyDescent="0.3">
      <c r="A2062" s="3">
        <v>43220</v>
      </c>
      <c r="B2062" s="9">
        <v>31.216363999999999</v>
      </c>
      <c r="C2062" s="9">
        <v>26.000354999999999</v>
      </c>
      <c r="E2062" s="14">
        <f t="shared" si="228"/>
        <v>1.2006129916303065</v>
      </c>
      <c r="F2062" s="18">
        <f t="shared" ca="1" si="227"/>
        <v>0.52217535260360148</v>
      </c>
      <c r="G2062" s="15">
        <f t="shared" ca="1" si="225"/>
        <v>1.1897256716186708</v>
      </c>
      <c r="H2062" s="15">
        <f t="shared" ca="1" si="226"/>
        <v>2.0849930885000249E-2</v>
      </c>
      <c r="J2062" s="17">
        <f t="shared" ca="1" si="229"/>
        <v>1</v>
      </c>
      <c r="K2062" s="24">
        <f t="shared" ca="1" si="230"/>
        <v>0</v>
      </c>
      <c r="L2062" s="17">
        <f t="shared" ca="1" si="231"/>
        <v>1</v>
      </c>
      <c r="N2062" s="24" t="str">
        <f ca="1">IF(AND(L2062=1,L2061&lt;&gt;1),MAX($N$8:N2061)+1,"")</f>
        <v/>
      </c>
      <c r="O2062" s="24" t="str">
        <f ca="1">IF(AND(L2062&lt;&gt;1,L2061=1),MAX($O$8:O2061)+1,"")</f>
        <v/>
      </c>
      <c r="P2062" s="17" t="str">
        <f ca="1">IF(AND(L2062=-1,L2061&lt;&gt;-1),MAX($P$8:P2061)+1,"")</f>
        <v/>
      </c>
      <c r="Q2062" s="24" t="str">
        <f ca="1">IF(AND(L2062&lt;&gt;-1,L2061=-1),MAX($Q$8:Q2061)+1,"")</f>
        <v/>
      </c>
    </row>
    <row r="2063" spans="1:17" x14ac:dyDescent="0.3">
      <c r="A2063" s="3">
        <v>43222</v>
      </c>
      <c r="B2063" s="9">
        <v>29.811495000000001</v>
      </c>
      <c r="C2063" s="9">
        <v>25.331033999999999</v>
      </c>
      <c r="E2063" s="14">
        <f t="shared" si="228"/>
        <v>1.1768763564882507</v>
      </c>
      <c r="F2063" s="18">
        <f t="shared" ca="1" si="227"/>
        <v>-0.66683898465610991</v>
      </c>
      <c r="G2063" s="15">
        <f t="shared" ca="1" si="225"/>
        <v>1.1903626440351864</v>
      </c>
      <c r="H2063" s="15">
        <f t="shared" ca="1" si="226"/>
        <v>2.0224203829190653E-2</v>
      </c>
      <c r="J2063" s="17">
        <f t="shared" ca="1" si="229"/>
        <v>0</v>
      </c>
      <c r="K2063" s="24">
        <f t="shared" ca="1" si="230"/>
        <v>0</v>
      </c>
      <c r="L2063" s="17">
        <f t="shared" ca="1" si="231"/>
        <v>0</v>
      </c>
      <c r="N2063" s="24" t="str">
        <f ca="1">IF(AND(L2063=1,L2062&lt;&gt;1),MAX($N$8:N2062)+1,"")</f>
        <v/>
      </c>
      <c r="O2063" s="24">
        <f ca="1">IF(AND(L2063&lt;&gt;1,L2062=1),MAX($O$8:O2062)+1,"")</f>
        <v>68</v>
      </c>
      <c r="P2063" s="17" t="str">
        <f ca="1">IF(AND(L2063=-1,L2062&lt;&gt;-1),MAX($P$8:P2062)+1,"")</f>
        <v/>
      </c>
      <c r="Q2063" s="24" t="str">
        <f ca="1">IF(AND(L2063&lt;&gt;-1,L2062=-1),MAX($Q$8:Q2062)+1,"")</f>
        <v/>
      </c>
    </row>
    <row r="2064" spans="1:17" x14ac:dyDescent="0.3">
      <c r="A2064" s="3">
        <v>43223</v>
      </c>
      <c r="B2064" s="9">
        <v>29.223837</v>
      </c>
      <c r="C2064" s="9">
        <v>24.809719000000001</v>
      </c>
      <c r="E2064" s="14">
        <f t="shared" si="228"/>
        <v>1.177918903474884</v>
      </c>
      <c r="F2064" s="18">
        <f t="shared" ca="1" si="227"/>
        <v>-0.65030782814983978</v>
      </c>
      <c r="G2064" s="15">
        <f t="shared" ca="1" si="225"/>
        <v>1.1908130785097055</v>
      </c>
      <c r="H2064" s="15">
        <f t="shared" ca="1" si="226"/>
        <v>1.9827802275587083E-2</v>
      </c>
      <c r="J2064" s="17">
        <f t="shared" ca="1" si="229"/>
        <v>0</v>
      </c>
      <c r="K2064" s="24">
        <f t="shared" ca="1" si="230"/>
        <v>0</v>
      </c>
      <c r="L2064" s="17">
        <f t="shared" ca="1" si="231"/>
        <v>0</v>
      </c>
      <c r="N2064" s="24" t="str">
        <f ca="1">IF(AND(L2064=1,L2063&lt;&gt;1),MAX($N$8:N2063)+1,"")</f>
        <v/>
      </c>
      <c r="O2064" s="24" t="str">
        <f ca="1">IF(AND(L2064&lt;&gt;1,L2063=1),MAX($O$8:O2063)+1,"")</f>
        <v/>
      </c>
      <c r="P2064" s="17" t="str">
        <f ca="1">IF(AND(L2064=-1,L2063&lt;&gt;-1),MAX($P$8:P2063)+1,"")</f>
        <v/>
      </c>
      <c r="Q2064" s="24" t="str">
        <f ca="1">IF(AND(L2064&lt;&gt;-1,L2063=-1),MAX($Q$8:Q2063)+1,"")</f>
        <v/>
      </c>
    </row>
    <row r="2065" spans="1:17" x14ac:dyDescent="0.3">
      <c r="A2065" s="3">
        <v>43224</v>
      </c>
      <c r="B2065" s="9">
        <v>28.880980000000001</v>
      </c>
      <c r="C2065" s="9">
        <v>24.832293</v>
      </c>
      <c r="E2065" s="14">
        <f t="shared" si="228"/>
        <v>1.1630412060618003</v>
      </c>
      <c r="F2065" s="18">
        <f t="shared" ca="1" si="227"/>
        <v>-1.5784750595266663</v>
      </c>
      <c r="G2065" s="15">
        <f t="shared" ca="1" si="225"/>
        <v>1.1916675001034518</v>
      </c>
      <c r="H2065" s="15">
        <f t="shared" ca="1" si="226"/>
        <v>1.8135411053143667E-2</v>
      </c>
      <c r="J2065" s="17">
        <f t="shared" ca="1" si="229"/>
        <v>0</v>
      </c>
      <c r="K2065" s="24">
        <f t="shared" ca="1" si="230"/>
        <v>-1</v>
      </c>
      <c r="L2065" s="17">
        <f t="shared" ca="1" si="231"/>
        <v>-1</v>
      </c>
      <c r="N2065" s="24" t="str">
        <f ca="1">IF(AND(L2065=1,L2064&lt;&gt;1),MAX($N$8:N2064)+1,"")</f>
        <v/>
      </c>
      <c r="O2065" s="24" t="str">
        <f ca="1">IF(AND(L2065&lt;&gt;1,L2064=1),MAX($O$8:O2064)+1,"")</f>
        <v/>
      </c>
      <c r="P2065" s="17">
        <f ca="1">IF(AND(L2065=-1,L2064&lt;&gt;-1),MAX($P$8:P2064)+1,"")</f>
        <v>76</v>
      </c>
      <c r="Q2065" s="24" t="str">
        <f ca="1">IF(AND(L2065&lt;&gt;-1,L2064=-1),MAX($Q$8:Q2064)+1,"")</f>
        <v/>
      </c>
    </row>
    <row r="2066" spans="1:17" x14ac:dyDescent="0.3">
      <c r="A2066" s="3">
        <v>43227</v>
      </c>
      <c r="B2066" s="9">
        <v>28.923859</v>
      </c>
      <c r="C2066" s="9">
        <v>24.606544</v>
      </c>
      <c r="E2066" s="14">
        <f t="shared" si="228"/>
        <v>1.1754539361561704</v>
      </c>
      <c r="F2066" s="18">
        <f t="shared" ca="1" si="227"/>
        <v>-0.9725820715699941</v>
      </c>
      <c r="G2066" s="15">
        <f t="shared" ca="1" si="225"/>
        <v>1.1922913933203552</v>
      </c>
      <c r="H2066" s="15">
        <f t="shared" ca="1" si="226"/>
        <v>1.7312119620922887E-2</v>
      </c>
      <c r="J2066" s="17">
        <f t="shared" ca="1" si="229"/>
        <v>0</v>
      </c>
      <c r="K2066" s="24">
        <f t="shared" ca="1" si="230"/>
        <v>-1</v>
      </c>
      <c r="L2066" s="17">
        <f t="shared" ca="1" si="231"/>
        <v>-1</v>
      </c>
      <c r="N2066" s="24" t="str">
        <f ca="1">IF(AND(L2066=1,L2065&lt;&gt;1),MAX($N$8:N2065)+1,"")</f>
        <v/>
      </c>
      <c r="O2066" s="24" t="str">
        <f ca="1">IF(AND(L2066&lt;&gt;1,L2065=1),MAX($O$8:O2065)+1,"")</f>
        <v/>
      </c>
      <c r="P2066" s="17" t="str">
        <f ca="1">IF(AND(L2066=-1,L2065&lt;&gt;-1),MAX($P$8:P2065)+1,"")</f>
        <v/>
      </c>
      <c r="Q2066" s="24" t="str">
        <f ca="1">IF(AND(L2066&lt;&gt;-1,L2065=-1),MAX($Q$8:Q2065)+1,"")</f>
        <v/>
      </c>
    </row>
    <row r="2067" spans="1:17" x14ac:dyDescent="0.3">
      <c r="A2067" s="3">
        <v>43228</v>
      </c>
      <c r="B2067" s="9">
        <v>29.01568</v>
      </c>
      <c r="C2067" s="9">
        <v>24.478587999999998</v>
      </c>
      <c r="E2067" s="14">
        <f t="shared" si="228"/>
        <v>1.1853494163960765</v>
      </c>
      <c r="F2067" s="18">
        <f t="shared" ca="1" si="227"/>
        <v>-0.5061784096813563</v>
      </c>
      <c r="G2067" s="15">
        <f t="shared" ca="1" si="225"/>
        <v>1.193424094229296</v>
      </c>
      <c r="H2067" s="15">
        <f t="shared" ca="1" si="226"/>
        <v>1.5952236758384357E-2</v>
      </c>
      <c r="J2067" s="17">
        <f t="shared" ca="1" si="229"/>
        <v>0</v>
      </c>
      <c r="K2067" s="24">
        <f t="shared" ca="1" si="230"/>
        <v>-1</v>
      </c>
      <c r="L2067" s="17">
        <f t="shared" ca="1" si="231"/>
        <v>-1</v>
      </c>
      <c r="N2067" s="24" t="str">
        <f ca="1">IF(AND(L2067=1,L2066&lt;&gt;1),MAX($N$8:N2066)+1,"")</f>
        <v/>
      </c>
      <c r="O2067" s="24" t="str">
        <f ca="1">IF(AND(L2067&lt;&gt;1,L2066=1),MAX($O$8:O2066)+1,"")</f>
        <v/>
      </c>
      <c r="P2067" s="17" t="str">
        <f ca="1">IF(AND(L2067=-1,L2066&lt;&gt;-1),MAX($P$8:P2066)+1,"")</f>
        <v/>
      </c>
      <c r="Q2067" s="24" t="str">
        <f ca="1">IF(AND(L2067&lt;&gt;-1,L2066=-1),MAX($Q$8:Q2066)+1,"")</f>
        <v/>
      </c>
    </row>
    <row r="2068" spans="1:17" x14ac:dyDescent="0.3">
      <c r="A2068" s="3">
        <v>43229</v>
      </c>
      <c r="B2068" s="9">
        <v>29.107503999999999</v>
      </c>
      <c r="C2068" s="9">
        <v>24.674268999999999</v>
      </c>
      <c r="E2068" s="14">
        <f t="shared" si="228"/>
        <v>1.1796703683501222</v>
      </c>
      <c r="F2068" s="18">
        <f t="shared" ca="1" si="227"/>
        <v>-0.92215231095173689</v>
      </c>
      <c r="G2068" s="15">
        <f t="shared" ca="1" si="225"/>
        <v>1.1938764428696957</v>
      </c>
      <c r="H2068" s="15">
        <f t="shared" ca="1" si="226"/>
        <v>1.5405345029078471E-2</v>
      </c>
      <c r="J2068" s="17">
        <f t="shared" ca="1" si="229"/>
        <v>0</v>
      </c>
      <c r="K2068" s="24">
        <f t="shared" ca="1" si="230"/>
        <v>-1</v>
      </c>
      <c r="L2068" s="17">
        <f t="shared" ca="1" si="231"/>
        <v>-1</v>
      </c>
      <c r="N2068" s="24" t="str">
        <f ca="1">IF(AND(L2068=1,L2067&lt;&gt;1),MAX($N$8:N2067)+1,"")</f>
        <v/>
      </c>
      <c r="O2068" s="24" t="str">
        <f ca="1">IF(AND(L2068&lt;&gt;1,L2067=1),MAX($O$8:O2067)+1,"")</f>
        <v/>
      </c>
      <c r="P2068" s="17" t="str">
        <f ca="1">IF(AND(L2068=-1,L2067&lt;&gt;-1),MAX($P$8:P2067)+1,"")</f>
        <v/>
      </c>
      <c r="Q2068" s="24" t="str">
        <f ca="1">IF(AND(L2068&lt;&gt;-1,L2067=-1),MAX($Q$8:Q2067)+1,"")</f>
        <v/>
      </c>
    </row>
    <row r="2069" spans="1:17" x14ac:dyDescent="0.3">
      <c r="A2069" s="3">
        <v>43230</v>
      </c>
      <c r="B2069" s="9">
        <v>29.903316</v>
      </c>
      <c r="C2069" s="9">
        <v>25.170915999999998</v>
      </c>
      <c r="E2069" s="14">
        <f t="shared" si="228"/>
        <v>1.1880106389453606</v>
      </c>
      <c r="F2069" s="18">
        <f t="shared" ca="1" si="227"/>
        <v>-0.37840701940054078</v>
      </c>
      <c r="G2069" s="15">
        <f t="shared" ca="1" si="225"/>
        <v>1.1938444487275102</v>
      </c>
      <c r="H2069" s="15">
        <f t="shared" ca="1" si="226"/>
        <v>1.541675889467181E-2</v>
      </c>
      <c r="J2069" s="17">
        <f t="shared" ca="1" si="229"/>
        <v>0</v>
      </c>
      <c r="K2069" s="24">
        <f t="shared" ca="1" si="230"/>
        <v>-1</v>
      </c>
      <c r="L2069" s="17">
        <f t="shared" ca="1" si="231"/>
        <v>-1</v>
      </c>
      <c r="N2069" s="24" t="str">
        <f ca="1">IF(AND(L2069=1,L2068&lt;&gt;1),MAX($N$8:N2068)+1,"")</f>
        <v/>
      </c>
      <c r="O2069" s="24" t="str">
        <f ca="1">IF(AND(L2069&lt;&gt;1,L2068=1),MAX($O$8:O2068)+1,"")</f>
        <v/>
      </c>
      <c r="P2069" s="17" t="str">
        <f ca="1">IF(AND(L2069=-1,L2068&lt;&gt;-1),MAX($P$8:P2068)+1,"")</f>
        <v/>
      </c>
      <c r="Q2069" s="24" t="str">
        <f ca="1">IF(AND(L2069&lt;&gt;-1,L2068=-1),MAX($Q$8:Q2068)+1,"")</f>
        <v/>
      </c>
    </row>
    <row r="2070" spans="1:17" x14ac:dyDescent="0.3">
      <c r="A2070" s="3">
        <v>43231</v>
      </c>
      <c r="B2070" s="9">
        <v>29.425846</v>
      </c>
      <c r="C2070" s="9">
        <v>24.719418999999998</v>
      </c>
      <c r="E2070" s="14">
        <f t="shared" si="228"/>
        <v>1.1903939166207751</v>
      </c>
      <c r="F2070" s="18">
        <f t="shared" ca="1" si="227"/>
        <v>-0.24256360612561581</v>
      </c>
      <c r="G2070" s="15">
        <f t="shared" ca="1" si="225"/>
        <v>1.1941066857752118</v>
      </c>
      <c r="H2070" s="15">
        <f t="shared" ca="1" si="226"/>
        <v>1.5306373506477403E-2</v>
      </c>
      <c r="J2070" s="17">
        <f t="shared" ca="1" si="229"/>
        <v>0</v>
      </c>
      <c r="K2070" s="24">
        <f t="shared" ca="1" si="230"/>
        <v>-1</v>
      </c>
      <c r="L2070" s="17">
        <f t="shared" ca="1" si="231"/>
        <v>-1</v>
      </c>
      <c r="N2070" s="24" t="str">
        <f ca="1">IF(AND(L2070=1,L2069&lt;&gt;1),MAX($N$8:N2069)+1,"")</f>
        <v/>
      </c>
      <c r="O2070" s="24" t="str">
        <f ca="1">IF(AND(L2070&lt;&gt;1,L2069=1),MAX($O$8:O2069)+1,"")</f>
        <v/>
      </c>
      <c r="P2070" s="17" t="str">
        <f ca="1">IF(AND(L2070=-1,L2069&lt;&gt;-1),MAX($P$8:P2069)+1,"")</f>
        <v/>
      </c>
      <c r="Q2070" s="24" t="str">
        <f ca="1">IF(AND(L2070&lt;&gt;-1,L2069=-1),MAX($Q$8:Q2069)+1,"")</f>
        <v/>
      </c>
    </row>
    <row r="2071" spans="1:17" x14ac:dyDescent="0.3">
      <c r="A2071" s="3">
        <v>43234</v>
      </c>
      <c r="B2071" s="9">
        <v>28.985099999999999</v>
      </c>
      <c r="C2071" s="9">
        <v>24.365721000000001</v>
      </c>
      <c r="E2071" s="14">
        <f t="shared" si="228"/>
        <v>1.1895851553089687</v>
      </c>
      <c r="F2071" s="18">
        <f t="shared" ca="1" si="227"/>
        <v>-0.34390871824125008</v>
      </c>
      <c r="G2071" s="15">
        <f t="shared" ca="1" si="225"/>
        <v>1.1946969571845132</v>
      </c>
      <c r="H2071" s="15">
        <f t="shared" ca="1" si="226"/>
        <v>1.4863833349983865E-2</v>
      </c>
      <c r="J2071" s="17">
        <f t="shared" ca="1" si="229"/>
        <v>0</v>
      </c>
      <c r="K2071" s="24">
        <f t="shared" ca="1" si="230"/>
        <v>-1</v>
      </c>
      <c r="L2071" s="17">
        <f t="shared" ca="1" si="231"/>
        <v>-1</v>
      </c>
      <c r="N2071" s="24" t="str">
        <f ca="1">IF(AND(L2071=1,L2070&lt;&gt;1),MAX($N$8:N2070)+1,"")</f>
        <v/>
      </c>
      <c r="O2071" s="24" t="str">
        <f ca="1">IF(AND(L2071&lt;&gt;1,L2070=1),MAX($O$8:O2070)+1,"")</f>
        <v/>
      </c>
      <c r="P2071" s="17" t="str">
        <f ca="1">IF(AND(L2071=-1,L2070&lt;&gt;-1),MAX($P$8:P2070)+1,"")</f>
        <v/>
      </c>
      <c r="Q2071" s="24" t="str">
        <f ca="1">IF(AND(L2071&lt;&gt;-1,L2070=-1),MAX($Q$8:Q2070)+1,"")</f>
        <v/>
      </c>
    </row>
    <row r="2072" spans="1:17" x14ac:dyDescent="0.3">
      <c r="A2072" s="3">
        <v>43235</v>
      </c>
      <c r="B2072" s="9">
        <v>28.874914</v>
      </c>
      <c r="C2072" s="9">
        <v>24.222769</v>
      </c>
      <c r="E2072" s="14">
        <f t="shared" si="228"/>
        <v>1.1920566967385109</v>
      </c>
      <c r="F2072" s="18">
        <f t="shared" ca="1" si="227"/>
        <v>-0.12919059607555769</v>
      </c>
      <c r="G2072" s="15">
        <f t="shared" ca="1" si="225"/>
        <v>1.1939361308628937</v>
      </c>
      <c r="H2072" s="15">
        <f t="shared" ca="1" si="226"/>
        <v>1.4547762619530414E-2</v>
      </c>
      <c r="J2072" s="17">
        <f t="shared" ca="1" si="229"/>
        <v>0</v>
      </c>
      <c r="K2072" s="24">
        <f t="shared" ca="1" si="230"/>
        <v>-1</v>
      </c>
      <c r="L2072" s="17">
        <f t="shared" ca="1" si="231"/>
        <v>-1</v>
      </c>
      <c r="N2072" s="24" t="str">
        <f ca="1">IF(AND(L2072=1,L2071&lt;&gt;1),MAX($N$8:N2071)+1,"")</f>
        <v/>
      </c>
      <c r="O2072" s="24" t="str">
        <f ca="1">IF(AND(L2072&lt;&gt;1,L2071=1),MAX($O$8:O2071)+1,"")</f>
        <v/>
      </c>
      <c r="P2072" s="17" t="str">
        <f ca="1">IF(AND(L2072=-1,L2071&lt;&gt;-1),MAX($P$8:P2071)+1,"")</f>
        <v/>
      </c>
      <c r="Q2072" s="24" t="str">
        <f ca="1">IF(AND(L2072&lt;&gt;-1,L2071=-1),MAX($Q$8:Q2071)+1,"")</f>
        <v/>
      </c>
    </row>
    <row r="2073" spans="1:17" x14ac:dyDescent="0.3">
      <c r="A2073" s="3">
        <v>43236</v>
      </c>
      <c r="B2073" s="9">
        <v>29.376812000000001</v>
      </c>
      <c r="C2073" s="9">
        <v>24.614032999999999</v>
      </c>
      <c r="E2073" s="14">
        <f t="shared" si="228"/>
        <v>1.1934985217578933</v>
      </c>
      <c r="F2073" s="18">
        <f t="shared" ca="1" si="227"/>
        <v>1.2666877320932766E-2</v>
      </c>
      <c r="G2073" s="15">
        <f t="shared" ca="1" si="225"/>
        <v>1.1933178746032722</v>
      </c>
      <c r="H2073" s="15">
        <f t="shared" ca="1" si="226"/>
        <v>1.4261380294774136E-2</v>
      </c>
      <c r="J2073" s="17">
        <f t="shared" ca="1" si="229"/>
        <v>0</v>
      </c>
      <c r="K2073" s="24">
        <f t="shared" ca="1" si="230"/>
        <v>0</v>
      </c>
      <c r="L2073" s="17">
        <f t="shared" ca="1" si="231"/>
        <v>0</v>
      </c>
      <c r="N2073" s="24" t="str">
        <f ca="1">IF(AND(L2073=1,L2072&lt;&gt;1),MAX($N$8:N2072)+1,"")</f>
        <v/>
      </c>
      <c r="O2073" s="24" t="str">
        <f ca="1">IF(AND(L2073&lt;&gt;1,L2072=1),MAX($O$8:O2072)+1,"")</f>
        <v/>
      </c>
      <c r="P2073" s="17" t="str">
        <f ca="1">IF(AND(L2073=-1,L2072&lt;&gt;-1),MAX($P$8:P2072)+1,"")</f>
        <v/>
      </c>
      <c r="Q2073" s="24">
        <f ca="1">IF(AND(L2073&lt;&gt;-1,L2072=-1),MAX($Q$8:Q2072)+1,"")</f>
        <v>76</v>
      </c>
    </row>
    <row r="2074" spans="1:17" x14ac:dyDescent="0.3">
      <c r="A2074" s="3">
        <v>43237</v>
      </c>
      <c r="B2074" s="9">
        <v>27.840361000000001</v>
      </c>
      <c r="C2074" s="9">
        <v>23.590679000000002</v>
      </c>
      <c r="E2074" s="14">
        <f t="shared" si="228"/>
        <v>1.1801424198091119</v>
      </c>
      <c r="F2074" s="18">
        <f t="shared" ca="1" si="227"/>
        <v>-0.8480490285005281</v>
      </c>
      <c r="G2074" s="15">
        <f t="shared" ca="1" si="225"/>
        <v>1.1916948738742377</v>
      </c>
      <c r="H2074" s="15">
        <f t="shared" ca="1" si="226"/>
        <v>1.3622389362973646E-2</v>
      </c>
      <c r="J2074" s="17">
        <f t="shared" ca="1" si="229"/>
        <v>0</v>
      </c>
      <c r="K2074" s="24">
        <f t="shared" ca="1" si="230"/>
        <v>0</v>
      </c>
      <c r="L2074" s="17">
        <f t="shared" ca="1" si="231"/>
        <v>0</v>
      </c>
      <c r="N2074" s="24" t="str">
        <f ca="1">IF(AND(L2074=1,L2073&lt;&gt;1),MAX($N$8:N2073)+1,"")</f>
        <v/>
      </c>
      <c r="O2074" s="24" t="str">
        <f ca="1">IF(AND(L2074&lt;&gt;1,L2073=1),MAX($O$8:O2073)+1,"")</f>
        <v/>
      </c>
      <c r="P2074" s="17" t="str">
        <f ca="1">IF(AND(L2074=-1,L2073&lt;&gt;-1),MAX($P$8:P2073)+1,"")</f>
        <v/>
      </c>
      <c r="Q2074" s="24" t="str">
        <f ca="1">IF(AND(L2074&lt;&gt;-1,L2073=-1),MAX($Q$8:Q2073)+1,"")</f>
        <v/>
      </c>
    </row>
    <row r="2075" spans="1:17" x14ac:dyDescent="0.3">
      <c r="A2075" s="3">
        <v>43238</v>
      </c>
      <c r="B2075" s="9">
        <v>27.644503</v>
      </c>
      <c r="C2075" s="9">
        <v>23.696054</v>
      </c>
      <c r="E2075" s="14">
        <f t="shared" si="228"/>
        <v>1.1666289670001595</v>
      </c>
      <c r="F2075" s="18">
        <f t="shared" ca="1" si="227"/>
        <v>-1.7325126134475644</v>
      </c>
      <c r="G2075" s="15">
        <f t="shared" ca="1" si="225"/>
        <v>1.1892462910382695</v>
      </c>
      <c r="H2075" s="15">
        <f t="shared" ca="1" si="226"/>
        <v>1.3054637445382464E-2</v>
      </c>
      <c r="J2075" s="17">
        <f t="shared" ca="1" si="229"/>
        <v>0</v>
      </c>
      <c r="K2075" s="24">
        <f t="shared" ca="1" si="230"/>
        <v>-1</v>
      </c>
      <c r="L2075" s="17">
        <f t="shared" ca="1" si="231"/>
        <v>-1</v>
      </c>
      <c r="N2075" s="24" t="str">
        <f ca="1">IF(AND(L2075=1,L2074&lt;&gt;1),MAX($N$8:N2074)+1,"")</f>
        <v/>
      </c>
      <c r="O2075" s="24" t="str">
        <f ca="1">IF(AND(L2075&lt;&gt;1,L2074=1),MAX($O$8:O2074)+1,"")</f>
        <v/>
      </c>
      <c r="P2075" s="17">
        <f ca="1">IF(AND(L2075=-1,L2074&lt;&gt;-1),MAX($P$8:P2074)+1,"")</f>
        <v>77</v>
      </c>
      <c r="Q2075" s="24" t="str">
        <f ca="1">IF(AND(L2075&lt;&gt;-1,L2074=-1),MAX($Q$8:Q2074)+1,"")</f>
        <v/>
      </c>
    </row>
    <row r="2076" spans="1:17" x14ac:dyDescent="0.3">
      <c r="A2076" s="3">
        <v>43241</v>
      </c>
      <c r="B2076" s="9">
        <v>27.26491</v>
      </c>
      <c r="C2076" s="9">
        <v>23.357437000000001</v>
      </c>
      <c r="E2076" s="14">
        <f t="shared" si="228"/>
        <v>1.1672903152858767</v>
      </c>
      <c r="F2076" s="18">
        <f t="shared" ca="1" si="227"/>
        <v>-1.5117074752744779</v>
      </c>
      <c r="G2076" s="15">
        <f t="shared" ca="1" si="225"/>
        <v>1.1876085423985299</v>
      </c>
      <c r="H2076" s="15">
        <f t="shared" ca="1" si="226"/>
        <v>1.3440581226843535E-2</v>
      </c>
      <c r="J2076" s="17">
        <f t="shared" ca="1" si="229"/>
        <v>0</v>
      </c>
      <c r="K2076" s="24">
        <f t="shared" ca="1" si="230"/>
        <v>-1</v>
      </c>
      <c r="L2076" s="17">
        <f t="shared" ca="1" si="231"/>
        <v>-1</v>
      </c>
      <c r="N2076" s="24" t="str">
        <f ca="1">IF(AND(L2076=1,L2075&lt;&gt;1),MAX($N$8:N2075)+1,"")</f>
        <v/>
      </c>
      <c r="O2076" s="24" t="str">
        <f ca="1">IF(AND(L2076&lt;&gt;1,L2075=1),MAX($O$8:O2075)+1,"")</f>
        <v/>
      </c>
      <c r="P2076" s="17" t="str">
        <f ca="1">IF(AND(L2076=-1,L2075&lt;&gt;-1),MAX($P$8:P2075)+1,"")</f>
        <v/>
      </c>
      <c r="Q2076" s="24" t="str">
        <f ca="1">IF(AND(L2076&lt;&gt;-1,L2075=-1),MAX($Q$8:Q2075)+1,"")</f>
        <v/>
      </c>
    </row>
    <row r="2077" spans="1:17" x14ac:dyDescent="0.3">
      <c r="A2077" s="3">
        <v>43242</v>
      </c>
      <c r="B2077" s="9">
        <v>27.926024999999999</v>
      </c>
      <c r="C2077" s="9">
        <v>24.027087999999999</v>
      </c>
      <c r="E2077" s="14">
        <f t="shared" si="228"/>
        <v>1.1622725567076626</v>
      </c>
      <c r="F2077" s="18">
        <f t="shared" ca="1" si="227"/>
        <v>-1.6651642030434206</v>
      </c>
      <c r="G2077" s="15">
        <f t="shared" ca="1" si="225"/>
        <v>1.1861591603637065</v>
      </c>
      <c r="H2077" s="15">
        <f t="shared" ca="1" si="226"/>
        <v>1.4344893802296702E-2</v>
      </c>
      <c r="J2077" s="17">
        <f t="shared" ca="1" si="229"/>
        <v>0</v>
      </c>
      <c r="K2077" s="24">
        <f t="shared" ca="1" si="230"/>
        <v>-1</v>
      </c>
      <c r="L2077" s="17">
        <f t="shared" ca="1" si="231"/>
        <v>-1</v>
      </c>
      <c r="N2077" s="24" t="str">
        <f ca="1">IF(AND(L2077=1,L2076&lt;&gt;1),MAX($N$8:N2076)+1,"")</f>
        <v/>
      </c>
      <c r="O2077" s="24" t="str">
        <f ca="1">IF(AND(L2077&lt;&gt;1,L2076=1),MAX($O$8:O2076)+1,"")</f>
        <v/>
      </c>
      <c r="P2077" s="17" t="str">
        <f ca="1">IF(AND(L2077=-1,L2076&lt;&gt;-1),MAX($P$8:P2076)+1,"")</f>
        <v/>
      </c>
      <c r="Q2077" s="24" t="str">
        <f ca="1">IF(AND(L2077&lt;&gt;-1,L2076=-1),MAX($Q$8:Q2076)+1,"")</f>
        <v/>
      </c>
    </row>
    <row r="2078" spans="1:17" x14ac:dyDescent="0.3">
      <c r="A2078" s="3">
        <v>43243</v>
      </c>
      <c r="B2078" s="9">
        <v>27.399614</v>
      </c>
      <c r="C2078" s="9">
        <v>23.394998999999999</v>
      </c>
      <c r="E2078" s="14">
        <f t="shared" si="228"/>
        <v>1.1711739761134421</v>
      </c>
      <c r="F2078" s="18">
        <f t="shared" ca="1" si="227"/>
        <v>-0.96327794530523791</v>
      </c>
      <c r="G2078" s="15">
        <f t="shared" ca="1" si="225"/>
        <v>1.1844568081360569</v>
      </c>
      <c r="H2078" s="15">
        <f t="shared" ca="1" si="226"/>
        <v>1.3789199770794954E-2</v>
      </c>
      <c r="J2078" s="17">
        <f t="shared" ca="1" si="229"/>
        <v>0</v>
      </c>
      <c r="K2078" s="24">
        <f t="shared" ca="1" si="230"/>
        <v>-1</v>
      </c>
      <c r="L2078" s="17">
        <f t="shared" ca="1" si="231"/>
        <v>-1</v>
      </c>
      <c r="N2078" s="24" t="str">
        <f ca="1">IF(AND(L2078=1,L2077&lt;&gt;1),MAX($N$8:N2077)+1,"")</f>
        <v/>
      </c>
      <c r="O2078" s="24" t="str">
        <f ca="1">IF(AND(L2078&lt;&gt;1,L2077=1),MAX($O$8:O2077)+1,"")</f>
        <v/>
      </c>
      <c r="P2078" s="17" t="str">
        <f ca="1">IF(AND(L2078=-1,L2077&lt;&gt;-1),MAX($P$8:P2077)+1,"")</f>
        <v/>
      </c>
      <c r="Q2078" s="24" t="str">
        <f ca="1">IF(AND(L2078&lt;&gt;-1,L2077=-1),MAX($Q$8:Q2077)+1,"")</f>
        <v/>
      </c>
    </row>
    <row r="2079" spans="1:17" x14ac:dyDescent="0.3">
      <c r="A2079" s="3">
        <v>43244</v>
      </c>
      <c r="B2079" s="9">
        <v>27.760750000000002</v>
      </c>
      <c r="C2079" s="9">
        <v>23.432655</v>
      </c>
      <c r="E2079" s="14">
        <f t="shared" si="228"/>
        <v>1.1847035685883653</v>
      </c>
      <c r="F2079" s="18">
        <f t="shared" ca="1" si="227"/>
        <v>0.11572852521784534</v>
      </c>
      <c r="G2079" s="15">
        <f t="shared" ref="G2079:G2142" ca="1" si="232">IF(ISNUMBER(E2079),IF(ROW(E2079)&gt;$J$1,AVERAGE(OFFSET(E2079,0,0,-$J$1)),""),"")</f>
        <v>1.183256268898828</v>
      </c>
      <c r="H2079" s="15">
        <f t="shared" ref="H2079:H2142" ca="1" si="233">IF(ISNUMBER(E2079),IF(ROW(E2079)&gt;$J$1,_xlfn.STDEV.P(OFFSET(E2079,0,0,-$J$1)),""),"")</f>
        <v>1.2505989226191323E-2</v>
      </c>
      <c r="J2079" s="17">
        <f t="shared" ca="1" si="229"/>
        <v>0</v>
      </c>
      <c r="K2079" s="24">
        <f t="shared" ca="1" si="230"/>
        <v>0</v>
      </c>
      <c r="L2079" s="17">
        <f t="shared" ca="1" si="231"/>
        <v>0</v>
      </c>
      <c r="N2079" s="24" t="str">
        <f ca="1">IF(AND(L2079=1,L2078&lt;&gt;1),MAX($N$8:N2078)+1,"")</f>
        <v/>
      </c>
      <c r="O2079" s="24" t="str">
        <f ca="1">IF(AND(L2079&lt;&gt;1,L2078=1),MAX($O$8:O2078)+1,"")</f>
        <v/>
      </c>
      <c r="P2079" s="17" t="str">
        <f ca="1">IF(AND(L2079=-1,L2078&lt;&gt;-1),MAX($P$8:P2078)+1,"")</f>
        <v/>
      </c>
      <c r="Q2079" s="24">
        <f ca="1">IF(AND(L2079&lt;&gt;-1,L2078=-1),MAX($Q$8:Q2078)+1,"")</f>
        <v>77</v>
      </c>
    </row>
    <row r="2080" spans="1:17" x14ac:dyDescent="0.3">
      <c r="A2080" s="3">
        <v>43245</v>
      </c>
      <c r="B2080" s="9">
        <v>27.515948999999999</v>
      </c>
      <c r="C2080" s="9">
        <v>22.966076000000001</v>
      </c>
      <c r="E2080" s="14">
        <f t="shared" si="228"/>
        <v>1.1981127729438845</v>
      </c>
      <c r="F2080" s="18">
        <f t="shared" ca="1" si="227"/>
        <v>1.23744459517043</v>
      </c>
      <c r="G2080" s="15">
        <f t="shared" ca="1" si="232"/>
        <v>1.1830310699162794</v>
      </c>
      <c r="H2080" s="15">
        <f t="shared" ca="1" si="233"/>
        <v>1.2187780435962046E-2</v>
      </c>
      <c r="J2080" s="17">
        <f t="shared" ca="1" si="229"/>
        <v>1</v>
      </c>
      <c r="K2080" s="24">
        <f t="shared" ca="1" si="230"/>
        <v>0</v>
      </c>
      <c r="L2080" s="17">
        <f t="shared" ca="1" si="231"/>
        <v>1</v>
      </c>
      <c r="N2080" s="24">
        <f ca="1">IF(AND(L2080=1,L2079&lt;&gt;1),MAX($N$8:N2079)+1,"")</f>
        <v>69</v>
      </c>
      <c r="O2080" s="24" t="str">
        <f ca="1">IF(AND(L2080&lt;&gt;1,L2079=1),MAX($O$8:O2079)+1,"")</f>
        <v/>
      </c>
      <c r="P2080" s="17" t="str">
        <f ca="1">IF(AND(L2080=-1,L2079&lt;&gt;-1),MAX($P$8:P2079)+1,"")</f>
        <v/>
      </c>
      <c r="Q2080" s="24" t="str">
        <f ca="1">IF(AND(L2080&lt;&gt;-1,L2079=-1),MAX($Q$8:Q2079)+1,"")</f>
        <v/>
      </c>
    </row>
    <row r="2081" spans="1:17" x14ac:dyDescent="0.3">
      <c r="A2081" s="3">
        <v>43248</v>
      </c>
      <c r="B2081" s="9">
        <v>26.352844000000001</v>
      </c>
      <c r="C2081" s="9">
        <v>21.995358</v>
      </c>
      <c r="E2081" s="14">
        <f t="shared" si="228"/>
        <v>1.1981093465266626</v>
      </c>
      <c r="F2081" s="18">
        <f t="shared" ca="1" si="227"/>
        <v>1.138752593871148</v>
      </c>
      <c r="G2081" s="15">
        <f t="shared" ca="1" si="232"/>
        <v>1.1837864980951764</v>
      </c>
      <c r="H2081" s="15">
        <f t="shared" ca="1" si="233"/>
        <v>1.2577664813738093E-2</v>
      </c>
      <c r="J2081" s="17">
        <f t="shared" ca="1" si="229"/>
        <v>1</v>
      </c>
      <c r="K2081" s="24">
        <f t="shared" ca="1" si="230"/>
        <v>0</v>
      </c>
      <c r="L2081" s="17">
        <f t="shared" ca="1" si="231"/>
        <v>1</v>
      </c>
      <c r="N2081" s="24" t="str">
        <f ca="1">IF(AND(L2081=1,L2080&lt;&gt;1),MAX($N$8:N2080)+1,"")</f>
        <v/>
      </c>
      <c r="O2081" s="24" t="str">
        <f ca="1">IF(AND(L2081&lt;&gt;1,L2080=1),MAX($O$8:O2080)+1,"")</f>
        <v/>
      </c>
      <c r="P2081" s="17" t="str">
        <f ca="1">IF(AND(L2081=-1,L2080&lt;&gt;-1),MAX($P$8:P2080)+1,"")</f>
        <v/>
      </c>
      <c r="Q2081" s="24" t="str">
        <f ca="1">IF(AND(L2081&lt;&gt;-1,L2080=-1),MAX($Q$8:Q2080)+1,"")</f>
        <v/>
      </c>
    </row>
    <row r="2082" spans="1:17" x14ac:dyDescent="0.3">
      <c r="A2082" s="3">
        <v>43249</v>
      </c>
      <c r="B2082" s="9">
        <v>26.261023000000002</v>
      </c>
      <c r="C2082" s="9">
        <v>22.085661000000002</v>
      </c>
      <c r="E2082" s="14">
        <f t="shared" si="228"/>
        <v>1.1890530693195009</v>
      </c>
      <c r="F2082" s="18">
        <f t="shared" ca="1" si="227"/>
        <v>0.5410833759861946</v>
      </c>
      <c r="G2082" s="15">
        <f t="shared" ca="1" si="232"/>
        <v>1.1828843434348313</v>
      </c>
      <c r="H2082" s="15">
        <f t="shared" ca="1" si="233"/>
        <v>1.1400693790354128E-2</v>
      </c>
      <c r="J2082" s="17">
        <f t="shared" ca="1" si="229"/>
        <v>1</v>
      </c>
      <c r="K2082" s="24">
        <f t="shared" ca="1" si="230"/>
        <v>0</v>
      </c>
      <c r="L2082" s="17">
        <f t="shared" ca="1" si="231"/>
        <v>1</v>
      </c>
      <c r="N2082" s="24" t="str">
        <f ca="1">IF(AND(L2082=1,L2081&lt;&gt;1),MAX($N$8:N2081)+1,"")</f>
        <v/>
      </c>
      <c r="O2082" s="24" t="str">
        <f ca="1">IF(AND(L2082&lt;&gt;1,L2081=1),MAX($O$8:O2081)+1,"")</f>
        <v/>
      </c>
      <c r="P2082" s="17" t="str">
        <f ca="1">IF(AND(L2082=-1,L2081&lt;&gt;-1),MAX($P$8:P2081)+1,"")</f>
        <v/>
      </c>
      <c r="Q2082" s="24" t="str">
        <f ca="1">IF(AND(L2082&lt;&gt;-1,L2081=-1),MAX($Q$8:Q2081)+1,"")</f>
        <v/>
      </c>
    </row>
    <row r="2083" spans="1:17" x14ac:dyDescent="0.3">
      <c r="A2083" s="3">
        <v>43250</v>
      </c>
      <c r="B2083" s="9">
        <v>26.309967</v>
      </c>
      <c r="C2083" s="9">
        <v>21.950209000000001</v>
      </c>
      <c r="E2083" s="14">
        <f t="shared" si="228"/>
        <v>1.1986203411548382</v>
      </c>
      <c r="F2083" s="18">
        <f t="shared" ca="1" si="227"/>
        <v>1.3291292307733773</v>
      </c>
      <c r="G2083" s="15">
        <f t="shared" ca="1" si="232"/>
        <v>1.1831170655172103</v>
      </c>
      <c r="H2083" s="15">
        <f t="shared" ca="1" si="233"/>
        <v>1.166423495825686E-2</v>
      </c>
      <c r="J2083" s="17">
        <f t="shared" ca="1" si="229"/>
        <v>1</v>
      </c>
      <c r="K2083" s="24">
        <f t="shared" ca="1" si="230"/>
        <v>0</v>
      </c>
      <c r="L2083" s="17">
        <f t="shared" ca="1" si="231"/>
        <v>1</v>
      </c>
      <c r="N2083" s="24" t="str">
        <f ca="1">IF(AND(L2083=1,L2082&lt;&gt;1),MAX($N$8:N2082)+1,"")</f>
        <v/>
      </c>
      <c r="O2083" s="24" t="str">
        <f ca="1">IF(AND(L2083&lt;&gt;1,L2082=1),MAX($O$8:O2082)+1,"")</f>
        <v/>
      </c>
      <c r="P2083" s="17" t="str">
        <f ca="1">IF(AND(L2083=-1,L2082&lt;&gt;-1),MAX($P$8:P2082)+1,"")</f>
        <v/>
      </c>
      <c r="Q2083" s="24" t="str">
        <f ca="1">IF(AND(L2083&lt;&gt;-1,L2082=-1),MAX($Q$8:Q2082)+1,"")</f>
        <v/>
      </c>
    </row>
    <row r="2084" spans="1:17" x14ac:dyDescent="0.3">
      <c r="A2084" s="3">
        <v>43252</v>
      </c>
      <c r="B2084" s="9">
        <v>26.833532000000002</v>
      </c>
      <c r="C2084" s="9">
        <v>22.48451</v>
      </c>
      <c r="E2084" s="14">
        <f t="shared" si="228"/>
        <v>1.1934230276754976</v>
      </c>
      <c r="F2084" s="18">
        <f t="shared" ca="1" si="227"/>
        <v>0.94402161367588111</v>
      </c>
      <c r="G2084" s="15">
        <f t="shared" ca="1" si="232"/>
        <v>1.1827902489738098</v>
      </c>
      <c r="H2084" s="15">
        <f t="shared" ca="1" si="233"/>
        <v>1.1263278877996552E-2</v>
      </c>
      <c r="J2084" s="17">
        <f t="shared" ca="1" si="229"/>
        <v>1</v>
      </c>
      <c r="K2084" s="24">
        <f t="shared" ca="1" si="230"/>
        <v>0</v>
      </c>
      <c r="L2084" s="17">
        <f t="shared" ca="1" si="231"/>
        <v>1</v>
      </c>
      <c r="N2084" s="24" t="str">
        <f ca="1">IF(AND(L2084=1,L2083&lt;&gt;1),MAX($N$8:N2083)+1,"")</f>
        <v/>
      </c>
      <c r="O2084" s="24" t="str">
        <f ca="1">IF(AND(L2084&lt;&gt;1,L2083=1),MAX($O$8:O2083)+1,"")</f>
        <v/>
      </c>
      <c r="P2084" s="17" t="str">
        <f ca="1">IF(AND(L2084=-1,L2083&lt;&gt;-1),MAX($P$8:P2083)+1,"")</f>
        <v/>
      </c>
      <c r="Q2084" s="24" t="str">
        <f ca="1">IF(AND(L2084&lt;&gt;-1,L2083=-1),MAX($Q$8:Q2083)+1,"")</f>
        <v/>
      </c>
    </row>
    <row r="2085" spans="1:17" x14ac:dyDescent="0.3">
      <c r="A2085" s="3">
        <v>43255</v>
      </c>
      <c r="B2085" s="9">
        <v>27.415337000000001</v>
      </c>
      <c r="C2085" s="9">
        <v>22.715881</v>
      </c>
      <c r="E2085" s="14">
        <f t="shared" si="228"/>
        <v>1.2068797595831744</v>
      </c>
      <c r="F2085" s="18">
        <f t="shared" ca="1" si="227"/>
        <v>1.8568520027768232</v>
      </c>
      <c r="G2085" s="15">
        <f t="shared" ca="1" si="232"/>
        <v>1.184154040023579</v>
      </c>
      <c r="H2085" s="15">
        <f t="shared" ca="1" si="233"/>
        <v>1.2238842689460573E-2</v>
      </c>
      <c r="J2085" s="17">
        <f t="shared" ca="1" si="229"/>
        <v>1</v>
      </c>
      <c r="K2085" s="24">
        <f t="shared" ca="1" si="230"/>
        <v>0</v>
      </c>
      <c r="L2085" s="17">
        <f t="shared" ca="1" si="231"/>
        <v>1</v>
      </c>
      <c r="N2085" s="24" t="str">
        <f ca="1">IF(AND(L2085=1,L2084&lt;&gt;1),MAX($N$8:N2084)+1,"")</f>
        <v/>
      </c>
      <c r="O2085" s="24" t="str">
        <f ca="1">IF(AND(L2085&lt;&gt;1,L2084=1),MAX($O$8:O2084)+1,"")</f>
        <v/>
      </c>
      <c r="P2085" s="17" t="str">
        <f ca="1">IF(AND(L2085=-1,L2084&lt;&gt;-1),MAX($P$8:P2084)+1,"")</f>
        <v/>
      </c>
      <c r="Q2085" s="24" t="str">
        <f ca="1">IF(AND(L2085&lt;&gt;-1,L2084=-1),MAX($Q$8:Q2084)+1,"")</f>
        <v/>
      </c>
    </row>
    <row r="2086" spans="1:17" x14ac:dyDescent="0.3">
      <c r="A2086" s="3">
        <v>43256</v>
      </c>
      <c r="B2086" s="9">
        <v>26.564125000000001</v>
      </c>
      <c r="C2086" s="9">
        <v>21.624071000000001</v>
      </c>
      <c r="E2086" s="14">
        <f t="shared" si="228"/>
        <v>1.2284516176440596</v>
      </c>
      <c r="F2086" s="18">
        <f t="shared" ca="1" si="227"/>
        <v>2.757830324246231</v>
      </c>
      <c r="G2086" s="15">
        <f t="shared" ca="1" si="232"/>
        <v>1.1864509815767235</v>
      </c>
      <c r="H2086" s="15">
        <f t="shared" ca="1" si="233"/>
        <v>1.5229593966704882E-2</v>
      </c>
      <c r="J2086" s="17">
        <f t="shared" ca="1" si="229"/>
        <v>1</v>
      </c>
      <c r="K2086" s="24">
        <f t="shared" ca="1" si="230"/>
        <v>0</v>
      </c>
      <c r="L2086" s="17">
        <f t="shared" ca="1" si="231"/>
        <v>1</v>
      </c>
      <c r="N2086" s="24" t="str">
        <f ca="1">IF(AND(L2086=1,L2085&lt;&gt;1),MAX($N$8:N2085)+1,"")</f>
        <v/>
      </c>
      <c r="O2086" s="24" t="str">
        <f ca="1">IF(AND(L2086&lt;&gt;1,L2085=1),MAX($O$8:O2085)+1,"")</f>
        <v/>
      </c>
      <c r="P2086" s="17" t="str">
        <f ca="1">IF(AND(L2086=-1,L2085&lt;&gt;-1),MAX($P$8:P2085)+1,"")</f>
        <v/>
      </c>
      <c r="Q2086" s="24" t="str">
        <f ca="1">IF(AND(L2086&lt;&gt;-1,L2085=-1),MAX($Q$8:Q2085)+1,"")</f>
        <v/>
      </c>
    </row>
    <row r="2087" spans="1:17" x14ac:dyDescent="0.3">
      <c r="A2087" s="3">
        <v>43257</v>
      </c>
      <c r="B2087" s="9">
        <v>25.890557999999999</v>
      </c>
      <c r="C2087" s="9">
        <v>21.262667</v>
      </c>
      <c r="E2087" s="14">
        <f t="shared" si="228"/>
        <v>1.217653363992391</v>
      </c>
      <c r="F2087" s="18">
        <f t="shared" ca="1" si="227"/>
        <v>1.8343956662504421</v>
      </c>
      <c r="G2087" s="15">
        <f t="shared" ca="1" si="232"/>
        <v>1.1889333523917502</v>
      </c>
      <c r="H2087" s="15">
        <f t="shared" ca="1" si="233"/>
        <v>1.5656388711027258E-2</v>
      </c>
      <c r="J2087" s="17">
        <f t="shared" ca="1" si="229"/>
        <v>1</v>
      </c>
      <c r="K2087" s="24">
        <f t="shared" ca="1" si="230"/>
        <v>0</v>
      </c>
      <c r="L2087" s="17">
        <f t="shared" ca="1" si="231"/>
        <v>1</v>
      </c>
      <c r="N2087" s="24" t="str">
        <f ca="1">IF(AND(L2087=1,L2086&lt;&gt;1),MAX($N$8:N2086)+1,"")</f>
        <v/>
      </c>
      <c r="O2087" s="24" t="str">
        <f ca="1">IF(AND(L2087&lt;&gt;1,L2086=1),MAX($O$8:O2086)+1,"")</f>
        <v/>
      </c>
      <c r="P2087" s="17" t="str">
        <f ca="1">IF(AND(L2087=-1,L2086&lt;&gt;-1),MAX($P$8:P2086)+1,"")</f>
        <v/>
      </c>
      <c r="Q2087" s="24" t="str">
        <f ca="1">IF(AND(L2087&lt;&gt;-1,L2086=-1),MAX($Q$8:Q2086)+1,"")</f>
        <v/>
      </c>
    </row>
    <row r="2088" spans="1:17" x14ac:dyDescent="0.3">
      <c r="A2088" s="3">
        <v>43258</v>
      </c>
      <c r="B2088" s="9">
        <v>25.137357999999999</v>
      </c>
      <c r="C2088" s="9">
        <v>20.886263</v>
      </c>
      <c r="E2088" s="14">
        <f t="shared" si="228"/>
        <v>1.203535452943401</v>
      </c>
      <c r="F2088" s="18">
        <f t="shared" ca="1" si="227"/>
        <v>0.85147384886602373</v>
      </c>
      <c r="G2088" s="15">
        <f t="shared" ca="1" si="232"/>
        <v>1.190209784972988</v>
      </c>
      <c r="H2088" s="15">
        <f t="shared" ca="1" si="233"/>
        <v>1.5650120069054238E-2</v>
      </c>
      <c r="J2088" s="17">
        <f t="shared" ca="1" si="229"/>
        <v>1</v>
      </c>
      <c r="K2088" s="24">
        <f t="shared" ca="1" si="230"/>
        <v>0</v>
      </c>
      <c r="L2088" s="17">
        <f t="shared" ca="1" si="231"/>
        <v>1</v>
      </c>
      <c r="N2088" s="24" t="str">
        <f ca="1">IF(AND(L2088=1,L2087&lt;&gt;1),MAX($N$8:N2087)+1,"")</f>
        <v/>
      </c>
      <c r="O2088" s="24" t="str">
        <f ca="1">IF(AND(L2088&lt;&gt;1,L2087=1),MAX($O$8:O2087)+1,"")</f>
        <v/>
      </c>
      <c r="P2088" s="17" t="str">
        <f ca="1">IF(AND(L2088=-1,L2087&lt;&gt;-1),MAX($P$8:P2087)+1,"")</f>
        <v/>
      </c>
      <c r="Q2088" s="24" t="str">
        <f ca="1">IF(AND(L2088&lt;&gt;-1,L2087=-1),MAX($Q$8:Q2087)+1,"")</f>
        <v/>
      </c>
    </row>
    <row r="2089" spans="1:17" x14ac:dyDescent="0.3">
      <c r="A2089" s="3">
        <v>43259</v>
      </c>
      <c r="B2089" s="9">
        <v>25.198536000000001</v>
      </c>
      <c r="C2089" s="9">
        <v>20.705560999999999</v>
      </c>
      <c r="E2089" s="14">
        <f t="shared" si="228"/>
        <v>1.2169936376029609</v>
      </c>
      <c r="F2089" s="18">
        <f t="shared" ca="1" si="227"/>
        <v>1.5300836476258597</v>
      </c>
      <c r="G2089" s="15">
        <f t="shared" ca="1" si="232"/>
        <v>1.19164815866421</v>
      </c>
      <c r="H2089" s="15">
        <f t="shared" ca="1" si="233"/>
        <v>1.6564766885835237E-2</v>
      </c>
      <c r="J2089" s="17">
        <f t="shared" ca="1" si="229"/>
        <v>1</v>
      </c>
      <c r="K2089" s="24">
        <f t="shared" ca="1" si="230"/>
        <v>0</v>
      </c>
      <c r="L2089" s="17">
        <f t="shared" ca="1" si="231"/>
        <v>1</v>
      </c>
      <c r="N2089" s="24" t="str">
        <f ca="1">IF(AND(L2089=1,L2088&lt;&gt;1),MAX($N$8:N2088)+1,"")</f>
        <v/>
      </c>
      <c r="O2089" s="24" t="str">
        <f ca="1">IF(AND(L2089&lt;&gt;1,L2088=1),MAX($O$8:O2088)+1,"")</f>
        <v/>
      </c>
      <c r="P2089" s="17" t="str">
        <f ca="1">IF(AND(L2089=-1,L2088&lt;&gt;-1),MAX($P$8:P2088)+1,"")</f>
        <v/>
      </c>
      <c r="Q2089" s="24" t="str">
        <f ca="1">IF(AND(L2089&lt;&gt;-1,L2088=-1),MAX($Q$8:Q2088)+1,"")</f>
        <v/>
      </c>
    </row>
    <row r="2090" spans="1:17" x14ac:dyDescent="0.3">
      <c r="A2090" s="3">
        <v>43262</v>
      </c>
      <c r="B2090" s="9">
        <v>24.469854000000002</v>
      </c>
      <c r="C2090" s="9">
        <v>20.313974000000002</v>
      </c>
      <c r="E2090" s="14">
        <f t="shared" si="228"/>
        <v>1.2045823234784094</v>
      </c>
      <c r="F2090" s="18">
        <f t="shared" ca="1" si="227"/>
        <v>0.71272304975738421</v>
      </c>
      <c r="G2090" s="15">
        <f t="shared" ca="1" si="232"/>
        <v>1.1927805202609503</v>
      </c>
      <c r="H2090" s="15">
        <f t="shared" ca="1" si="233"/>
        <v>1.6558750585485591E-2</v>
      </c>
      <c r="J2090" s="17">
        <f t="shared" ca="1" si="229"/>
        <v>1</v>
      </c>
      <c r="K2090" s="24">
        <f t="shared" ca="1" si="230"/>
        <v>0</v>
      </c>
      <c r="L2090" s="17">
        <f t="shared" ca="1" si="231"/>
        <v>1</v>
      </c>
      <c r="N2090" s="24" t="str">
        <f ca="1">IF(AND(L2090=1,L2089&lt;&gt;1),MAX($N$8:N2089)+1,"")</f>
        <v/>
      </c>
      <c r="O2090" s="24" t="str">
        <f ca="1">IF(AND(L2090&lt;&gt;1,L2089=1),MAX($O$8:O2089)+1,"")</f>
        <v/>
      </c>
      <c r="P2090" s="17" t="str">
        <f ca="1">IF(AND(L2090=-1,L2089&lt;&gt;-1),MAX($P$8:P2089)+1,"")</f>
        <v/>
      </c>
      <c r="Q2090" s="24" t="str">
        <f ca="1">IF(AND(L2090&lt;&gt;-1,L2089=-1),MAX($Q$8:Q2089)+1,"")</f>
        <v/>
      </c>
    </row>
    <row r="2091" spans="1:17" x14ac:dyDescent="0.3">
      <c r="A2091" s="3">
        <v>43263</v>
      </c>
      <c r="B2091" s="9">
        <v>24.4209</v>
      </c>
      <c r="C2091" s="9">
        <v>20.261295</v>
      </c>
      <c r="E2091" s="14">
        <f t="shared" si="228"/>
        <v>1.2052980818846968</v>
      </c>
      <c r="F2091" s="18">
        <f t="shared" ca="1" si="227"/>
        <v>0.70152980350316874</v>
      </c>
      <c r="G2091" s="15">
        <f t="shared" ca="1" si="232"/>
        <v>1.193566313121829</v>
      </c>
      <c r="H2091" s="15">
        <f t="shared" ca="1" si="233"/>
        <v>1.672312238807792E-2</v>
      </c>
      <c r="J2091" s="17">
        <f t="shared" ca="1" si="229"/>
        <v>1</v>
      </c>
      <c r="K2091" s="24">
        <f t="shared" ca="1" si="230"/>
        <v>0</v>
      </c>
      <c r="L2091" s="17">
        <f t="shared" ca="1" si="231"/>
        <v>1</v>
      </c>
      <c r="N2091" s="24" t="str">
        <f ca="1">IF(AND(L2091=1,L2090&lt;&gt;1),MAX($N$8:N2090)+1,"")</f>
        <v/>
      </c>
      <c r="O2091" s="24" t="str">
        <f ca="1">IF(AND(L2091&lt;&gt;1,L2090=1),MAX($O$8:O2090)+1,"")</f>
        <v/>
      </c>
      <c r="P2091" s="17" t="str">
        <f ca="1">IF(AND(L2091=-1,L2090&lt;&gt;-1),MAX($P$8:P2090)+1,"")</f>
        <v/>
      </c>
      <c r="Q2091" s="24" t="str">
        <f ca="1">IF(AND(L2091&lt;&gt;-1,L2090=-1),MAX($Q$8:Q2090)+1,"")</f>
        <v/>
      </c>
    </row>
    <row r="2092" spans="1:17" x14ac:dyDescent="0.3">
      <c r="A2092" s="3">
        <v>43264</v>
      </c>
      <c r="B2092" s="9">
        <v>24.182081</v>
      </c>
      <c r="C2092" s="9">
        <v>19.847218000000002</v>
      </c>
      <c r="E2092" s="14">
        <f t="shared" si="228"/>
        <v>1.2184116181925344</v>
      </c>
      <c r="F2092" s="18">
        <f t="shared" ca="1" si="227"/>
        <v>1.3482973495433073</v>
      </c>
      <c r="G2092" s="15">
        <f t="shared" ca="1" si="232"/>
        <v>1.1948398450114543</v>
      </c>
      <c r="H2092" s="15">
        <f t="shared" ca="1" si="233"/>
        <v>1.7482622204266919E-2</v>
      </c>
      <c r="J2092" s="17">
        <f t="shared" ca="1" si="229"/>
        <v>1</v>
      </c>
      <c r="K2092" s="24">
        <f t="shared" ca="1" si="230"/>
        <v>0</v>
      </c>
      <c r="L2092" s="17">
        <f t="shared" ca="1" si="231"/>
        <v>1</v>
      </c>
      <c r="N2092" s="24" t="str">
        <f ca="1">IF(AND(L2092=1,L2091&lt;&gt;1),MAX($N$8:N2091)+1,"")</f>
        <v/>
      </c>
      <c r="O2092" s="24" t="str">
        <f ca="1">IF(AND(L2092&lt;&gt;1,L2091=1),MAX($O$8:O2091)+1,"")</f>
        <v/>
      </c>
      <c r="P2092" s="17" t="str">
        <f ca="1">IF(AND(L2092=-1,L2091&lt;&gt;-1),MAX($P$8:P2091)+1,"")</f>
        <v/>
      </c>
      <c r="Q2092" s="24" t="str">
        <f ca="1">IF(AND(L2092&lt;&gt;-1,L2091=-1),MAX($Q$8:Q2091)+1,"")</f>
        <v/>
      </c>
    </row>
    <row r="2093" spans="1:17" x14ac:dyDescent="0.3">
      <c r="A2093" s="3">
        <v>43265</v>
      </c>
      <c r="B2093" s="9">
        <v>23.324717</v>
      </c>
      <c r="C2093" s="9">
        <v>19.041553</v>
      </c>
      <c r="E2093" s="14">
        <f t="shared" si="228"/>
        <v>1.2249377453614207</v>
      </c>
      <c r="F2093" s="18">
        <f t="shared" ca="1" si="227"/>
        <v>1.5384094538320696</v>
      </c>
      <c r="G2093" s="15">
        <f t="shared" ca="1" si="232"/>
        <v>1.1964467809229296</v>
      </c>
      <c r="H2093" s="15">
        <f t="shared" ca="1" si="233"/>
        <v>1.851975387145614E-2</v>
      </c>
      <c r="J2093" s="17">
        <f t="shared" ca="1" si="229"/>
        <v>1</v>
      </c>
      <c r="K2093" s="24">
        <f t="shared" ca="1" si="230"/>
        <v>0</v>
      </c>
      <c r="L2093" s="17">
        <f t="shared" ca="1" si="231"/>
        <v>1</v>
      </c>
      <c r="N2093" s="24" t="str">
        <f ca="1">IF(AND(L2093=1,L2092&lt;&gt;1),MAX($N$8:N2092)+1,"")</f>
        <v/>
      </c>
      <c r="O2093" s="24" t="str">
        <f ca="1">IF(AND(L2093&lt;&gt;1,L2092=1),MAX($O$8:O2092)+1,"")</f>
        <v/>
      </c>
      <c r="P2093" s="17" t="str">
        <f ca="1">IF(AND(L2093=-1,L2092&lt;&gt;-1),MAX($P$8:P2092)+1,"")</f>
        <v/>
      </c>
      <c r="Q2093" s="24" t="str">
        <f ca="1">IF(AND(L2093&lt;&gt;-1,L2092=-1),MAX($Q$8:Q2092)+1,"")</f>
        <v/>
      </c>
    </row>
    <row r="2094" spans="1:17" x14ac:dyDescent="0.3">
      <c r="A2094" s="3">
        <v>43266</v>
      </c>
      <c r="B2094" s="9">
        <v>23.551323</v>
      </c>
      <c r="C2094" s="9">
        <v>19.380372999999999</v>
      </c>
      <c r="E2094" s="14">
        <f t="shared" si="228"/>
        <v>1.2152151560756854</v>
      </c>
      <c r="F2094" s="18">
        <f t="shared" ca="1" si="227"/>
        <v>0.93760391542832744</v>
      </c>
      <c r="G2094" s="15">
        <f t="shared" ca="1" si="232"/>
        <v>1.1974994381655284</v>
      </c>
      <c r="H2094" s="15">
        <f t="shared" ca="1" si="233"/>
        <v>1.8894671426434816E-2</v>
      </c>
      <c r="J2094" s="17">
        <f t="shared" ca="1" si="229"/>
        <v>1</v>
      </c>
      <c r="K2094" s="24">
        <f t="shared" ca="1" si="230"/>
        <v>0</v>
      </c>
      <c r="L2094" s="17">
        <f t="shared" ca="1" si="231"/>
        <v>1</v>
      </c>
      <c r="N2094" s="24" t="str">
        <f ca="1">IF(AND(L2094=1,L2093&lt;&gt;1),MAX($N$8:N2093)+1,"")</f>
        <v/>
      </c>
      <c r="O2094" s="24" t="str">
        <f ca="1">IF(AND(L2094&lt;&gt;1,L2093=1),MAX($O$8:O2093)+1,"")</f>
        <v/>
      </c>
      <c r="P2094" s="17" t="str">
        <f ca="1">IF(AND(L2094=-1,L2093&lt;&gt;-1),MAX($P$8:P2093)+1,"")</f>
        <v/>
      </c>
      <c r="Q2094" s="24" t="str">
        <f ca="1">IF(AND(L2094&lt;&gt;-1,L2093=-1),MAX($Q$8:Q2093)+1,"")</f>
        <v/>
      </c>
    </row>
    <row r="2095" spans="1:17" x14ac:dyDescent="0.3">
      <c r="A2095" s="3">
        <v>43269</v>
      </c>
      <c r="B2095" s="9">
        <v>23.073685000000001</v>
      </c>
      <c r="C2095" s="9">
        <v>18.755414999999999</v>
      </c>
      <c r="E2095" s="14">
        <f t="shared" si="228"/>
        <v>1.2302412396633187</v>
      </c>
      <c r="F2095" s="18">
        <f t="shared" ca="1" si="227"/>
        <v>1.5492903255826849</v>
      </c>
      <c r="G2095" s="15">
        <f t="shared" ca="1" si="232"/>
        <v>1.1991695617066842</v>
      </c>
      <c r="H2095" s="15">
        <f t="shared" ca="1" si="233"/>
        <v>2.0055426309428779E-2</v>
      </c>
      <c r="J2095" s="17">
        <f t="shared" ca="1" si="229"/>
        <v>1</v>
      </c>
      <c r="K2095" s="24">
        <f t="shared" ca="1" si="230"/>
        <v>0</v>
      </c>
      <c r="L2095" s="17">
        <f t="shared" ca="1" si="231"/>
        <v>1</v>
      </c>
      <c r="N2095" s="24" t="str">
        <f ca="1">IF(AND(L2095=1,L2094&lt;&gt;1),MAX($N$8:N2094)+1,"")</f>
        <v/>
      </c>
      <c r="O2095" s="24" t="str">
        <f ca="1">IF(AND(L2095&lt;&gt;1,L2094=1),MAX($O$8:O2094)+1,"")</f>
        <v/>
      </c>
      <c r="P2095" s="17" t="str">
        <f ca="1">IF(AND(L2095=-1,L2094&lt;&gt;-1),MAX($P$8:P2094)+1,"")</f>
        <v/>
      </c>
      <c r="Q2095" s="24" t="str">
        <f ca="1">IF(AND(L2095&lt;&gt;-1,L2094=-1),MAX($Q$8:Q2094)+1,"")</f>
        <v/>
      </c>
    </row>
    <row r="2096" spans="1:17" x14ac:dyDescent="0.3">
      <c r="A2096" s="3">
        <v>43270</v>
      </c>
      <c r="B2096" s="9">
        <v>24.114661999999999</v>
      </c>
      <c r="C2096" s="9">
        <v>19.726687999999999</v>
      </c>
      <c r="E2096" s="14">
        <f t="shared" si="228"/>
        <v>1.2224384549499643</v>
      </c>
      <c r="F2096" s="18">
        <f t="shared" ca="1" si="227"/>
        <v>1.0585167295809761</v>
      </c>
      <c r="G2096" s="15">
        <f t="shared" ca="1" si="232"/>
        <v>1.2010921087585409</v>
      </c>
      <c r="H2096" s="15">
        <f t="shared" ca="1" si="233"/>
        <v>2.0166281358513387E-2</v>
      </c>
      <c r="J2096" s="17">
        <f t="shared" ca="1" si="229"/>
        <v>1</v>
      </c>
      <c r="K2096" s="24">
        <f t="shared" ca="1" si="230"/>
        <v>0</v>
      </c>
      <c r="L2096" s="17">
        <f t="shared" ca="1" si="231"/>
        <v>1</v>
      </c>
      <c r="N2096" s="24" t="str">
        <f ca="1">IF(AND(L2096=1,L2095&lt;&gt;1),MAX($N$8:N2095)+1,"")</f>
        <v/>
      </c>
      <c r="O2096" s="24" t="str">
        <f ca="1">IF(AND(L2096&lt;&gt;1,L2095=1),MAX($O$8:O2095)+1,"")</f>
        <v/>
      </c>
      <c r="P2096" s="17" t="str">
        <f ca="1">IF(AND(L2096=-1,L2095&lt;&gt;-1),MAX($P$8:P2095)+1,"")</f>
        <v/>
      </c>
      <c r="Q2096" s="24" t="str">
        <f ca="1">IF(AND(L2096&lt;&gt;-1,L2095=-1),MAX($Q$8:Q2095)+1,"")</f>
        <v/>
      </c>
    </row>
    <row r="2097" spans="1:17" x14ac:dyDescent="0.3">
      <c r="A2097" s="3">
        <v>43271</v>
      </c>
      <c r="B2097" s="9">
        <v>24.561712</v>
      </c>
      <c r="C2097" s="9">
        <v>20.148354000000001</v>
      </c>
      <c r="E2097" s="14">
        <f t="shared" si="228"/>
        <v>1.2190431039676988</v>
      </c>
      <c r="F2097" s="18">
        <f t="shared" ca="1" si="227"/>
        <v>0.81864487151663812</v>
      </c>
      <c r="G2097" s="15">
        <f t="shared" ca="1" si="232"/>
        <v>1.2034745695297928</v>
      </c>
      <c r="H2097" s="15">
        <f t="shared" ca="1" si="233"/>
        <v>1.9017445756501685E-2</v>
      </c>
      <c r="J2097" s="17">
        <f t="shared" ca="1" si="229"/>
        <v>1</v>
      </c>
      <c r="K2097" s="24">
        <f t="shared" ca="1" si="230"/>
        <v>0</v>
      </c>
      <c r="L2097" s="17">
        <f t="shared" ca="1" si="231"/>
        <v>1</v>
      </c>
      <c r="N2097" s="24" t="str">
        <f ca="1">IF(AND(L2097=1,L2096&lt;&gt;1),MAX($N$8:N2096)+1,"")</f>
        <v/>
      </c>
      <c r="O2097" s="24" t="str">
        <f ca="1">IF(AND(L2097&lt;&gt;1,L2096=1),MAX($O$8:O2096)+1,"")</f>
        <v/>
      </c>
      <c r="P2097" s="17" t="str">
        <f ca="1">IF(AND(L2097=-1,L2096&lt;&gt;-1),MAX($P$8:P2096)+1,"")</f>
        <v/>
      </c>
      <c r="Q2097" s="24" t="str">
        <f ca="1">IF(AND(L2097&lt;&gt;-1,L2096=-1),MAX($Q$8:Q2096)+1,"")</f>
        <v/>
      </c>
    </row>
    <row r="2098" spans="1:17" x14ac:dyDescent="0.3">
      <c r="A2098" s="3">
        <v>43272</v>
      </c>
      <c r="B2098" s="9">
        <v>23.906523</v>
      </c>
      <c r="C2098" s="9">
        <v>19.312608999999998</v>
      </c>
      <c r="E2098" s="14">
        <f t="shared" si="228"/>
        <v>1.2378712270310035</v>
      </c>
      <c r="F2098" s="18">
        <f t="shared" ca="1" si="227"/>
        <v>1.677584395907505</v>
      </c>
      <c r="G2098" s="15">
        <f t="shared" ca="1" si="232"/>
        <v>1.2066827927909349</v>
      </c>
      <c r="H2098" s="15">
        <f t="shared" ca="1" si="233"/>
        <v>1.8591275834559065E-2</v>
      </c>
      <c r="J2098" s="17">
        <f t="shared" ca="1" si="229"/>
        <v>1</v>
      </c>
      <c r="K2098" s="24">
        <f t="shared" ca="1" si="230"/>
        <v>0</v>
      </c>
      <c r="L2098" s="17">
        <f t="shared" ca="1" si="231"/>
        <v>1</v>
      </c>
      <c r="N2098" s="24" t="str">
        <f ca="1">IF(AND(L2098=1,L2097&lt;&gt;1),MAX($N$8:N2097)+1,"")</f>
        <v/>
      </c>
      <c r="O2098" s="24" t="str">
        <f ca="1">IF(AND(L2098&lt;&gt;1,L2097=1),MAX($O$8:O2097)+1,"")</f>
        <v/>
      </c>
      <c r="P2098" s="17" t="str">
        <f ca="1">IF(AND(L2098=-1,L2097&lt;&gt;-1),MAX($P$8:P2097)+1,"")</f>
        <v/>
      </c>
      <c r="Q2098" s="24" t="str">
        <f ca="1">IF(AND(L2098&lt;&gt;-1,L2097=-1),MAX($Q$8:Q2097)+1,"")</f>
        <v/>
      </c>
    </row>
    <row r="2099" spans="1:17" x14ac:dyDescent="0.3">
      <c r="A2099" s="3">
        <v>43273</v>
      </c>
      <c r="B2099" s="9">
        <v>24.090225</v>
      </c>
      <c r="C2099" s="9">
        <v>19.681516999999999</v>
      </c>
      <c r="E2099" s="14">
        <f t="shared" si="228"/>
        <v>1.2240024485917422</v>
      </c>
      <c r="F2099" s="18">
        <f t="shared" ca="1" si="227"/>
        <v>0.89709261560329268</v>
      </c>
      <c r="G2099" s="15">
        <f t="shared" ca="1" si="232"/>
        <v>1.2094886969674841</v>
      </c>
      <c r="H2099" s="15">
        <f t="shared" ca="1" si="233"/>
        <v>1.6178654658190114E-2</v>
      </c>
      <c r="J2099" s="17">
        <f t="shared" ca="1" si="229"/>
        <v>1</v>
      </c>
      <c r="K2099" s="24">
        <f t="shared" ca="1" si="230"/>
        <v>0</v>
      </c>
      <c r="L2099" s="17">
        <f t="shared" ca="1" si="231"/>
        <v>1</v>
      </c>
      <c r="N2099" s="24" t="str">
        <f ca="1">IF(AND(L2099=1,L2098&lt;&gt;1),MAX($N$8:N2098)+1,"")</f>
        <v/>
      </c>
      <c r="O2099" s="24" t="str">
        <f ca="1">IF(AND(L2099&lt;&gt;1,L2098=1),MAX($O$8:O2098)+1,"")</f>
        <v/>
      </c>
      <c r="P2099" s="17" t="str">
        <f ca="1">IF(AND(L2099=-1,L2098&lt;&gt;-1),MAX($P$8:P2098)+1,"")</f>
        <v/>
      </c>
      <c r="Q2099" s="24" t="str">
        <f ca="1">IF(AND(L2099&lt;&gt;-1,L2098=-1),MAX($Q$8:Q2098)+1,"")</f>
        <v/>
      </c>
    </row>
    <row r="2100" spans="1:17" x14ac:dyDescent="0.3">
      <c r="A2100" s="3">
        <v>43276</v>
      </c>
      <c r="B2100" s="9">
        <v>24.139187</v>
      </c>
      <c r="C2100" s="9">
        <v>19.651430000000001</v>
      </c>
      <c r="E2100" s="14">
        <f t="shared" si="228"/>
        <v>1.2283679610084355</v>
      </c>
      <c r="F2100" s="18">
        <f t="shared" ca="1" si="227"/>
        <v>1.1385032029481654</v>
      </c>
      <c r="G2100" s="15">
        <f t="shared" ca="1" si="232"/>
        <v>1.2120884235536205</v>
      </c>
      <c r="H2100" s="15">
        <f t="shared" ca="1" si="233"/>
        <v>1.4299070404597023E-2</v>
      </c>
      <c r="J2100" s="17">
        <f t="shared" ca="1" si="229"/>
        <v>1</v>
      </c>
      <c r="K2100" s="24">
        <f t="shared" ca="1" si="230"/>
        <v>0</v>
      </c>
      <c r="L2100" s="17">
        <f t="shared" ca="1" si="231"/>
        <v>1</v>
      </c>
      <c r="N2100" s="24" t="str">
        <f ca="1">IF(AND(L2100=1,L2099&lt;&gt;1),MAX($N$8:N2099)+1,"")</f>
        <v/>
      </c>
      <c r="O2100" s="24" t="str">
        <f ca="1">IF(AND(L2100&lt;&gt;1,L2099=1),MAX($O$8:O2099)+1,"")</f>
        <v/>
      </c>
      <c r="P2100" s="17" t="str">
        <f ca="1">IF(AND(L2100=-1,L2099&lt;&gt;-1),MAX($P$8:P2099)+1,"")</f>
        <v/>
      </c>
      <c r="Q2100" s="24" t="str">
        <f ca="1">IF(AND(L2100&lt;&gt;-1,L2099=-1),MAX($Q$8:Q2099)+1,"")</f>
        <v/>
      </c>
    </row>
    <row r="2101" spans="1:17" x14ac:dyDescent="0.3">
      <c r="A2101" s="3">
        <v>43277</v>
      </c>
      <c r="B2101" s="9">
        <v>24.059550999999999</v>
      </c>
      <c r="C2101" s="9">
        <v>19.54599</v>
      </c>
      <c r="E2101" s="14">
        <f t="shared" si="228"/>
        <v>1.230920050608846</v>
      </c>
      <c r="F2101" s="18">
        <f t="shared" ca="1" si="227"/>
        <v>1.23989561827288</v>
      </c>
      <c r="G2101" s="15">
        <f t="shared" ca="1" si="232"/>
        <v>1.2141891727363694</v>
      </c>
      <c r="H2101" s="15">
        <f t="shared" ca="1" si="233"/>
        <v>1.349377933586216E-2</v>
      </c>
      <c r="J2101" s="17">
        <f t="shared" ca="1" si="229"/>
        <v>1</v>
      </c>
      <c r="K2101" s="24">
        <f t="shared" ca="1" si="230"/>
        <v>0</v>
      </c>
      <c r="L2101" s="17">
        <f t="shared" ca="1" si="231"/>
        <v>1</v>
      </c>
      <c r="N2101" s="24" t="str">
        <f ca="1">IF(AND(L2101=1,L2100&lt;&gt;1),MAX($N$8:N2100)+1,"")</f>
        <v/>
      </c>
      <c r="O2101" s="24" t="str">
        <f ca="1">IF(AND(L2101&lt;&gt;1,L2100=1),MAX($O$8:O2100)+1,"")</f>
        <v/>
      </c>
      <c r="P2101" s="17" t="str">
        <f ca="1">IF(AND(L2101=-1,L2100&lt;&gt;-1),MAX($P$8:P2100)+1,"")</f>
        <v/>
      </c>
      <c r="Q2101" s="24" t="str">
        <f ca="1">IF(AND(L2101&lt;&gt;-1,L2100=-1),MAX($Q$8:Q2100)+1,"")</f>
        <v/>
      </c>
    </row>
    <row r="2102" spans="1:17" x14ac:dyDescent="0.3">
      <c r="A2102" s="3">
        <v>43278</v>
      </c>
      <c r="B2102" s="9">
        <v>23.624801999999999</v>
      </c>
      <c r="C2102" s="9">
        <v>19.229759000000001</v>
      </c>
      <c r="E2102" s="14">
        <f t="shared" si="228"/>
        <v>1.2285542424114622</v>
      </c>
      <c r="F2102" s="18">
        <f t="shared" ca="1" si="227"/>
        <v>0.97354308592306638</v>
      </c>
      <c r="G2102" s="15">
        <f t="shared" ca="1" si="232"/>
        <v>1.2155728758939863</v>
      </c>
      <c r="H2102" s="15">
        <f t="shared" ca="1" si="233"/>
        <v>1.333414689619775E-2</v>
      </c>
      <c r="J2102" s="17">
        <f t="shared" ca="1" si="229"/>
        <v>1</v>
      </c>
      <c r="K2102" s="24">
        <f t="shared" ca="1" si="230"/>
        <v>0</v>
      </c>
      <c r="L2102" s="17">
        <f t="shared" ca="1" si="231"/>
        <v>1</v>
      </c>
      <c r="N2102" s="24" t="str">
        <f ca="1">IF(AND(L2102=1,L2101&lt;&gt;1),MAX($N$8:N2101)+1,"")</f>
        <v/>
      </c>
      <c r="O2102" s="24" t="str">
        <f ca="1">IF(AND(L2102&lt;&gt;1,L2101=1),MAX($O$8:O2101)+1,"")</f>
        <v/>
      </c>
      <c r="P2102" s="17" t="str">
        <f ca="1">IF(AND(L2102=-1,L2101&lt;&gt;-1),MAX($P$8:P2101)+1,"")</f>
        <v/>
      </c>
      <c r="Q2102" s="24" t="str">
        <f ca="1">IF(AND(L2102&lt;&gt;-1,L2101=-1),MAX($Q$8:Q2101)+1,"")</f>
        <v/>
      </c>
    </row>
    <row r="2103" spans="1:17" x14ac:dyDescent="0.3">
      <c r="A2103" s="3">
        <v>43279</v>
      </c>
      <c r="B2103" s="9">
        <v>24.279997000000002</v>
      </c>
      <c r="C2103" s="9">
        <v>19.884809000000001</v>
      </c>
      <c r="E2103" s="14">
        <f t="shared" si="228"/>
        <v>1.2210324474326106</v>
      </c>
      <c r="F2103" s="18">
        <f t="shared" ca="1" si="227"/>
        <v>0.34474095860304615</v>
      </c>
      <c r="G2103" s="15">
        <f t="shared" ca="1" si="232"/>
        <v>1.216614835026075</v>
      </c>
      <c r="H2103" s="15">
        <f t="shared" ca="1" si="233"/>
        <v>1.2814295186845731E-2</v>
      </c>
      <c r="J2103" s="17">
        <f t="shared" ca="1" si="229"/>
        <v>1</v>
      </c>
      <c r="K2103" s="24">
        <f t="shared" ca="1" si="230"/>
        <v>0</v>
      </c>
      <c r="L2103" s="17">
        <f t="shared" ca="1" si="231"/>
        <v>1</v>
      </c>
      <c r="N2103" s="24" t="str">
        <f ca="1">IF(AND(L2103=1,L2102&lt;&gt;1),MAX($N$8:N2102)+1,"")</f>
        <v/>
      </c>
      <c r="O2103" s="24" t="str">
        <f ca="1">IF(AND(L2103&lt;&gt;1,L2102=1),MAX($O$8:O2102)+1,"")</f>
        <v/>
      </c>
      <c r="P2103" s="17" t="str">
        <f ca="1">IF(AND(L2103=-1,L2102&lt;&gt;-1),MAX($P$8:P2102)+1,"")</f>
        <v/>
      </c>
      <c r="Q2103" s="24" t="str">
        <f ca="1">IF(AND(L2103&lt;&gt;-1,L2102=-1),MAX($Q$8:Q2102)+1,"")</f>
        <v/>
      </c>
    </row>
    <row r="2104" spans="1:17" x14ac:dyDescent="0.3">
      <c r="A2104" s="3">
        <v>43280</v>
      </c>
      <c r="B2104" s="9">
        <v>24.702521999999998</v>
      </c>
      <c r="C2104" s="9">
        <v>20.253803000000001</v>
      </c>
      <c r="E2104" s="14">
        <f t="shared" si="228"/>
        <v>1.2196485766154632</v>
      </c>
      <c r="F2104" s="18">
        <f t="shared" ca="1" si="227"/>
        <v>0.14513413332087105</v>
      </c>
      <c r="G2104" s="15">
        <f t="shared" ca="1" si="232"/>
        <v>1.2180055399031644</v>
      </c>
      <c r="H2104" s="15">
        <f t="shared" ca="1" si="233"/>
        <v>1.1320815267255537E-2</v>
      </c>
      <c r="J2104" s="17">
        <f t="shared" ca="1" si="229"/>
        <v>1</v>
      </c>
      <c r="K2104" s="24">
        <f t="shared" ca="1" si="230"/>
        <v>0</v>
      </c>
      <c r="L2104" s="17">
        <f t="shared" ca="1" si="231"/>
        <v>1</v>
      </c>
      <c r="N2104" s="24" t="str">
        <f ca="1">IF(AND(L2104=1,L2103&lt;&gt;1),MAX($N$8:N2103)+1,"")</f>
        <v/>
      </c>
      <c r="O2104" s="24" t="str">
        <f ca="1">IF(AND(L2104&lt;&gt;1,L2103=1),MAX($O$8:O2103)+1,"")</f>
        <v/>
      </c>
      <c r="P2104" s="17" t="str">
        <f ca="1">IF(AND(L2104=-1,L2103&lt;&gt;-1),MAX($P$8:P2103)+1,"")</f>
        <v/>
      </c>
      <c r="Q2104" s="24" t="str">
        <f ca="1">IF(AND(L2104&lt;&gt;-1,L2103=-1),MAX($Q$8:Q2103)+1,"")</f>
        <v/>
      </c>
    </row>
    <row r="2105" spans="1:17" x14ac:dyDescent="0.3">
      <c r="A2105" s="3">
        <v>43283</v>
      </c>
      <c r="B2105" s="9">
        <v>24.717865</v>
      </c>
      <c r="C2105" s="9">
        <v>20.119236000000001</v>
      </c>
      <c r="E2105" s="14">
        <f t="shared" si="228"/>
        <v>1.2285687687146767</v>
      </c>
      <c r="F2105" s="18">
        <f t="shared" ca="1" si="227"/>
        <v>0.86071434875525377</v>
      </c>
      <c r="G2105" s="15">
        <f t="shared" ca="1" si="232"/>
        <v>1.2193668320649751</v>
      </c>
      <c r="H2105" s="15">
        <f t="shared" ca="1" si="233"/>
        <v>1.0691045946903559E-2</v>
      </c>
      <c r="J2105" s="17">
        <f t="shared" ca="1" si="229"/>
        <v>1</v>
      </c>
      <c r="K2105" s="24">
        <f t="shared" ca="1" si="230"/>
        <v>0</v>
      </c>
      <c r="L2105" s="17">
        <f t="shared" ca="1" si="231"/>
        <v>1</v>
      </c>
      <c r="N2105" s="24" t="str">
        <f ca="1">IF(AND(L2105=1,L2104&lt;&gt;1),MAX($N$8:N2104)+1,"")</f>
        <v/>
      </c>
      <c r="O2105" s="24" t="str">
        <f ca="1">IF(AND(L2105&lt;&gt;1,L2104=1),MAX($O$8:O2104)+1,"")</f>
        <v/>
      </c>
      <c r="P2105" s="17" t="str">
        <f ca="1">IF(AND(L2105=-1,L2104&lt;&gt;-1),MAX($P$8:P2104)+1,"")</f>
        <v/>
      </c>
      <c r="Q2105" s="24" t="str">
        <f ca="1">IF(AND(L2105&lt;&gt;-1,L2104=-1),MAX($Q$8:Q2104)+1,"")</f>
        <v/>
      </c>
    </row>
    <row r="2106" spans="1:17" x14ac:dyDescent="0.3">
      <c r="A2106" s="3">
        <v>43284</v>
      </c>
      <c r="B2106" s="9">
        <v>25.299797000000002</v>
      </c>
      <c r="C2106" s="9">
        <v>21.049803000000001</v>
      </c>
      <c r="E2106" s="14">
        <f t="shared" si="228"/>
        <v>1.2019018420267402</v>
      </c>
      <c r="F2106" s="18">
        <f t="shared" ca="1" si="227"/>
        <v>-1.8085200351110839</v>
      </c>
      <c r="G2106" s="15">
        <f t="shared" ca="1" si="232"/>
        <v>1.2197522327173043</v>
      </c>
      <c r="H2106" s="15">
        <f t="shared" ca="1" si="233"/>
        <v>9.8701647446596454E-3</v>
      </c>
      <c r="J2106" s="17">
        <f t="shared" ca="1" si="229"/>
        <v>0</v>
      </c>
      <c r="K2106" s="24">
        <f t="shared" ca="1" si="230"/>
        <v>-1</v>
      </c>
      <c r="L2106" s="17">
        <f t="shared" ca="1" si="231"/>
        <v>-1</v>
      </c>
      <c r="N2106" s="24" t="str">
        <f ca="1">IF(AND(L2106=1,L2105&lt;&gt;1),MAX($N$8:N2105)+1,"")</f>
        <v/>
      </c>
      <c r="O2106" s="24">
        <f ca="1">IF(AND(L2106&lt;&gt;1,L2105=1),MAX($O$8:O2105)+1,"")</f>
        <v>69</v>
      </c>
      <c r="P2106" s="17">
        <f ca="1">IF(AND(L2106=-1,L2105&lt;&gt;-1),MAX($P$8:P2105)+1,"")</f>
        <v>78</v>
      </c>
      <c r="Q2106" s="24" t="str">
        <f ca="1">IF(AND(L2106&lt;&gt;-1,L2105=-1),MAX($Q$8:Q2105)+1,"")</f>
        <v/>
      </c>
    </row>
    <row r="2107" spans="1:17" x14ac:dyDescent="0.3">
      <c r="A2107" s="3">
        <v>43285</v>
      </c>
      <c r="B2107" s="9">
        <v>25.710262</v>
      </c>
      <c r="C2107" s="9">
        <v>21.345535000000002</v>
      </c>
      <c r="E2107" s="14">
        <f t="shared" si="228"/>
        <v>1.204479625364274</v>
      </c>
      <c r="F2107" s="18">
        <f t="shared" ca="1" si="227"/>
        <v>-1.5127339187353031</v>
      </c>
      <c r="G2107" s="15">
        <f t="shared" ca="1" si="232"/>
        <v>1.2196431357073541</v>
      </c>
      <c r="H2107" s="15">
        <f t="shared" ca="1" si="233"/>
        <v>1.002391111568204E-2</v>
      </c>
      <c r="J2107" s="17">
        <f t="shared" ca="1" si="229"/>
        <v>0</v>
      </c>
      <c r="K2107" s="24">
        <f t="shared" ca="1" si="230"/>
        <v>-1</v>
      </c>
      <c r="L2107" s="17">
        <f t="shared" ca="1" si="231"/>
        <v>-1</v>
      </c>
      <c r="N2107" s="24" t="str">
        <f ca="1">IF(AND(L2107=1,L2106&lt;&gt;1),MAX($N$8:N2106)+1,"")</f>
        <v/>
      </c>
      <c r="O2107" s="24" t="str">
        <f ca="1">IF(AND(L2107&lt;&gt;1,L2106=1),MAX($O$8:O2106)+1,"")</f>
        <v/>
      </c>
      <c r="P2107" s="17" t="str">
        <f ca="1">IF(AND(L2107=-1,L2106&lt;&gt;-1),MAX($P$8:P2106)+1,"")</f>
        <v/>
      </c>
      <c r="Q2107" s="24" t="str">
        <f ca="1">IF(AND(L2107&lt;&gt;-1,L2106=-1),MAX($Q$8:Q2106)+1,"")</f>
        <v/>
      </c>
    </row>
    <row r="2108" spans="1:17" x14ac:dyDescent="0.3">
      <c r="A2108" s="3">
        <v>43286</v>
      </c>
      <c r="B2108" s="9">
        <v>25.544861000000001</v>
      </c>
      <c r="C2108" s="9">
        <v>21.300039000000002</v>
      </c>
      <c r="E2108" s="14">
        <f t="shared" si="228"/>
        <v>1.1992870529485884</v>
      </c>
      <c r="F2108" s="18">
        <f t="shared" ca="1" si="227"/>
        <v>-1.7821306188225796</v>
      </c>
      <c r="G2108" s="15">
        <f t="shared" ca="1" si="232"/>
        <v>1.2183174736757418</v>
      </c>
      <c r="H2108" s="15">
        <f t="shared" ca="1" si="233"/>
        <v>1.0678465723082904E-2</v>
      </c>
      <c r="J2108" s="17">
        <f t="shared" ca="1" si="229"/>
        <v>0</v>
      </c>
      <c r="K2108" s="24">
        <f t="shared" ca="1" si="230"/>
        <v>-1</v>
      </c>
      <c r="L2108" s="17">
        <f t="shared" ca="1" si="231"/>
        <v>-1</v>
      </c>
      <c r="N2108" s="24" t="str">
        <f ca="1">IF(AND(L2108=1,L2107&lt;&gt;1),MAX($N$8:N2107)+1,"")</f>
        <v/>
      </c>
      <c r="O2108" s="24" t="str">
        <f ca="1">IF(AND(L2108&lt;&gt;1,L2107=1),MAX($O$8:O2107)+1,"")</f>
        <v/>
      </c>
      <c r="P2108" s="17" t="str">
        <f ca="1">IF(AND(L2108=-1,L2107&lt;&gt;-1),MAX($P$8:P2107)+1,"")</f>
        <v/>
      </c>
      <c r="Q2108" s="24" t="str">
        <f ca="1">IF(AND(L2108&lt;&gt;-1,L2107=-1),MAX($Q$8:Q2107)+1,"")</f>
        <v/>
      </c>
    </row>
    <row r="2109" spans="1:17" x14ac:dyDescent="0.3">
      <c r="A2109" s="3">
        <v>43287</v>
      </c>
      <c r="B2109" s="9">
        <v>25.777616999999999</v>
      </c>
      <c r="C2109" s="9">
        <v>21.360728999999999</v>
      </c>
      <c r="E2109" s="14">
        <f t="shared" si="228"/>
        <v>1.2067760889621324</v>
      </c>
      <c r="F2109" s="18">
        <f t="shared" ca="1" si="227"/>
        <v>-1.0092030192143671</v>
      </c>
      <c r="G2109" s="15">
        <f t="shared" ca="1" si="232"/>
        <v>1.2178230520834574</v>
      </c>
      <c r="H2109" s="15">
        <f t="shared" ca="1" si="233"/>
        <v>1.0946224804127857E-2</v>
      </c>
      <c r="J2109" s="17">
        <f t="shared" ca="1" si="229"/>
        <v>0</v>
      </c>
      <c r="K2109" s="24">
        <f t="shared" ca="1" si="230"/>
        <v>-1</v>
      </c>
      <c r="L2109" s="17">
        <f t="shared" ca="1" si="231"/>
        <v>-1</v>
      </c>
      <c r="N2109" s="24" t="str">
        <f ca="1">IF(AND(L2109=1,L2108&lt;&gt;1),MAX($N$8:N2108)+1,"")</f>
        <v/>
      </c>
      <c r="O2109" s="24" t="str">
        <f ca="1">IF(AND(L2109&lt;&gt;1,L2108=1),MAX($O$8:O2108)+1,"")</f>
        <v/>
      </c>
      <c r="P2109" s="17" t="str">
        <f ca="1">IF(AND(L2109=-1,L2108&lt;&gt;-1),MAX($P$8:P2108)+1,"")</f>
        <v/>
      </c>
      <c r="Q2109" s="24" t="str">
        <f ca="1">IF(AND(L2109&lt;&gt;-1,L2108=-1),MAX($Q$8:Q2108)+1,"")</f>
        <v/>
      </c>
    </row>
    <row r="2110" spans="1:17" x14ac:dyDescent="0.3">
      <c r="A2110" s="3">
        <v>43291</v>
      </c>
      <c r="B2110" s="9">
        <v>25.845053</v>
      </c>
      <c r="C2110" s="9">
        <v>21.080193000000001</v>
      </c>
      <c r="E2110" s="14">
        <f t="shared" si="228"/>
        <v>1.2260349324126207</v>
      </c>
      <c r="F2110" s="18">
        <f t="shared" ca="1" si="227"/>
        <v>0.67762063788017868</v>
      </c>
      <c r="G2110" s="15">
        <f t="shared" ca="1" si="232"/>
        <v>1.2188457556956946</v>
      </c>
      <c r="H2110" s="15">
        <f t="shared" ca="1" si="233"/>
        <v>1.0609441795362393E-2</v>
      </c>
      <c r="J2110" s="17">
        <f t="shared" ca="1" si="229"/>
        <v>0</v>
      </c>
      <c r="K2110" s="24">
        <f t="shared" ca="1" si="230"/>
        <v>0</v>
      </c>
      <c r="L2110" s="17">
        <f t="shared" ca="1" si="231"/>
        <v>0</v>
      </c>
      <c r="N2110" s="24" t="str">
        <f ca="1">IF(AND(L2110=1,L2109&lt;&gt;1),MAX($N$8:N2109)+1,"")</f>
        <v/>
      </c>
      <c r="O2110" s="24" t="str">
        <f ca="1">IF(AND(L2110&lt;&gt;1,L2109=1),MAX($O$8:O2109)+1,"")</f>
        <v/>
      </c>
      <c r="P2110" s="17" t="str">
        <f ca="1">IF(AND(L2110=-1,L2109&lt;&gt;-1),MAX($P$8:P2109)+1,"")</f>
        <v/>
      </c>
      <c r="Q2110" s="24">
        <f ca="1">IF(AND(L2110&lt;&gt;-1,L2109=-1),MAX($Q$8:Q2109)+1,"")</f>
        <v>78</v>
      </c>
    </row>
    <row r="2111" spans="1:17" x14ac:dyDescent="0.3">
      <c r="A2111" s="3">
        <v>43292</v>
      </c>
      <c r="B2111" s="9">
        <v>25.949162999999999</v>
      </c>
      <c r="C2111" s="9">
        <v>20.996758</v>
      </c>
      <c r="E2111" s="14">
        <f t="shared" si="228"/>
        <v>1.2358652226215112</v>
      </c>
      <c r="F2111" s="18">
        <f t="shared" ca="1" si="227"/>
        <v>1.4464986332415195</v>
      </c>
      <c r="G2111" s="15">
        <f t="shared" ca="1" si="232"/>
        <v>1.2197035550147197</v>
      </c>
      <c r="H2111" s="15">
        <f t="shared" ca="1" si="233"/>
        <v>1.11729573989117E-2</v>
      </c>
      <c r="J2111" s="17">
        <f t="shared" ca="1" si="229"/>
        <v>1</v>
      </c>
      <c r="K2111" s="24">
        <f t="shared" ca="1" si="230"/>
        <v>0</v>
      </c>
      <c r="L2111" s="17">
        <f t="shared" ca="1" si="231"/>
        <v>1</v>
      </c>
      <c r="N2111" s="24">
        <f ca="1">IF(AND(L2111=1,L2110&lt;&gt;1),MAX($N$8:N2110)+1,"")</f>
        <v>70</v>
      </c>
      <c r="O2111" s="24" t="str">
        <f ca="1">IF(AND(L2111&lt;&gt;1,L2110=1),MAX($O$8:O2110)+1,"")</f>
        <v/>
      </c>
      <c r="P2111" s="17" t="str">
        <f ca="1">IF(AND(L2111=-1,L2110&lt;&gt;-1),MAX($P$8:P2110)+1,"")</f>
        <v/>
      </c>
      <c r="Q2111" s="24" t="str">
        <f ca="1">IF(AND(L2111&lt;&gt;-1,L2110=-1),MAX($Q$8:Q2110)+1,"")</f>
        <v/>
      </c>
    </row>
    <row r="2112" spans="1:17" x14ac:dyDescent="0.3">
      <c r="A2112" s="3">
        <v>43293</v>
      </c>
      <c r="B2112" s="9">
        <v>26.439209000000002</v>
      </c>
      <c r="C2112" s="9">
        <v>21.610962000000001</v>
      </c>
      <c r="E2112" s="14">
        <f t="shared" si="228"/>
        <v>1.2234165697945329</v>
      </c>
      <c r="F2112" s="18">
        <f t="shared" ca="1" si="227"/>
        <v>0.26718155873786897</v>
      </c>
      <c r="G2112" s="15">
        <f t="shared" ca="1" si="232"/>
        <v>1.2205596571199984</v>
      </c>
      <c r="H2112" s="15">
        <f t="shared" ca="1" si="233"/>
        <v>1.0692776432738355E-2</v>
      </c>
      <c r="J2112" s="17">
        <f t="shared" ca="1" si="229"/>
        <v>1</v>
      </c>
      <c r="K2112" s="24">
        <f t="shared" ca="1" si="230"/>
        <v>0</v>
      </c>
      <c r="L2112" s="17">
        <f t="shared" ca="1" si="231"/>
        <v>1</v>
      </c>
      <c r="N2112" s="24" t="str">
        <f ca="1">IF(AND(L2112=1,L2111&lt;&gt;1),MAX($N$8:N2111)+1,"")</f>
        <v/>
      </c>
      <c r="O2112" s="24" t="str">
        <f ca="1">IF(AND(L2112&lt;&gt;1,L2111=1),MAX($O$8:O2111)+1,"")</f>
        <v/>
      </c>
      <c r="P2112" s="17" t="str">
        <f ca="1">IF(AND(L2112=-1,L2111&lt;&gt;-1),MAX($P$8:P2111)+1,"")</f>
        <v/>
      </c>
      <c r="Q2112" s="24" t="str">
        <f ca="1">IF(AND(L2112&lt;&gt;-1,L2111=-1),MAX($Q$8:Q2111)+1,"")</f>
        <v/>
      </c>
    </row>
    <row r="2113" spans="1:17" x14ac:dyDescent="0.3">
      <c r="A2113" s="3">
        <v>43294</v>
      </c>
      <c r="B2113" s="9">
        <v>27.113115000000001</v>
      </c>
      <c r="C2113" s="9">
        <v>22.043188000000001</v>
      </c>
      <c r="E2113" s="14">
        <f t="shared" si="228"/>
        <v>1.2299997169193495</v>
      </c>
      <c r="F2113" s="18">
        <f t="shared" ca="1" si="227"/>
        <v>0.80579978046284273</v>
      </c>
      <c r="G2113" s="15">
        <f t="shared" ca="1" si="232"/>
        <v>1.2216824587124824</v>
      </c>
      <c r="H2113" s="15">
        <f t="shared" ca="1" si="233"/>
        <v>1.0321742954670185E-2</v>
      </c>
      <c r="J2113" s="17">
        <f t="shared" ca="1" si="229"/>
        <v>1</v>
      </c>
      <c r="K2113" s="24">
        <f t="shared" ca="1" si="230"/>
        <v>0</v>
      </c>
      <c r="L2113" s="17">
        <f t="shared" ca="1" si="231"/>
        <v>1</v>
      </c>
      <c r="N2113" s="24" t="str">
        <f ca="1">IF(AND(L2113=1,L2112&lt;&gt;1),MAX($N$8:N2112)+1,"")</f>
        <v/>
      </c>
      <c r="O2113" s="24" t="str">
        <f ca="1">IF(AND(L2113&lt;&gt;1,L2112=1),MAX($O$8:O2112)+1,"")</f>
        <v/>
      </c>
      <c r="P2113" s="17" t="str">
        <f ca="1">IF(AND(L2113=-1,L2112&lt;&gt;-1),MAX($P$8:P2112)+1,"")</f>
        <v/>
      </c>
      <c r="Q2113" s="24" t="str">
        <f ca="1">IF(AND(L2113&lt;&gt;-1,L2112=-1),MAX($Q$8:Q2112)+1,"")</f>
        <v/>
      </c>
    </row>
    <row r="2114" spans="1:17" x14ac:dyDescent="0.3">
      <c r="A2114" s="3">
        <v>43297</v>
      </c>
      <c r="B2114" s="9">
        <v>27.015070000000001</v>
      </c>
      <c r="C2114" s="9">
        <v>22.141726999999999</v>
      </c>
      <c r="E2114" s="14">
        <f t="shared" si="228"/>
        <v>1.2200976915666968</v>
      </c>
      <c r="F2114" s="18">
        <f t="shared" ref="F2114:F2177" ca="1" si="234">IF(ISNUMBER(G2114),(E2114-G2114)/H2114,"")</f>
        <v>-0.16124816465974307</v>
      </c>
      <c r="G2114" s="15">
        <f t="shared" ca="1" si="232"/>
        <v>1.221759098411308</v>
      </c>
      <c r="H2114" s="15">
        <f t="shared" ca="1" si="233"/>
        <v>1.0303415534167814E-2</v>
      </c>
      <c r="J2114" s="17">
        <f t="shared" ca="1" si="229"/>
        <v>0</v>
      </c>
      <c r="K2114" s="24">
        <f t="shared" ca="1" si="230"/>
        <v>0</v>
      </c>
      <c r="L2114" s="17">
        <f t="shared" ca="1" si="231"/>
        <v>0</v>
      </c>
      <c r="N2114" s="24" t="str">
        <f ca="1">IF(AND(L2114=1,L2113&lt;&gt;1),MAX($N$8:N2113)+1,"")</f>
        <v/>
      </c>
      <c r="O2114" s="24">
        <f ca="1">IF(AND(L2114&lt;&gt;1,L2113=1),MAX($O$8:O2113)+1,"")</f>
        <v>70</v>
      </c>
      <c r="P2114" s="17" t="str">
        <f ca="1">IF(AND(L2114=-1,L2113&lt;&gt;-1),MAX($P$8:P2113)+1,"")</f>
        <v/>
      </c>
      <c r="Q2114" s="24" t="str">
        <f ca="1">IF(AND(L2114&lt;&gt;-1,L2113=-1),MAX($Q$8:Q2113)+1,"")</f>
        <v/>
      </c>
    </row>
    <row r="2115" spans="1:17" x14ac:dyDescent="0.3">
      <c r="A2115" s="3">
        <v>43298</v>
      </c>
      <c r="B2115" s="9">
        <v>27.523485000000001</v>
      </c>
      <c r="C2115" s="9">
        <v>22.778684999999999</v>
      </c>
      <c r="E2115" s="14">
        <f t="shared" ref="E2115:E2178" si="235">IF(ISNUMBER(B2115),B2115/C2115,"")</f>
        <v>1.2082999962464911</v>
      </c>
      <c r="F2115" s="18">
        <f t="shared" ca="1" si="234"/>
        <v>-1.1930671884193924</v>
      </c>
      <c r="G2115" s="15">
        <f t="shared" ca="1" si="232"/>
        <v>1.221002837087902</v>
      </c>
      <c r="H2115" s="15">
        <f t="shared" ca="1" si="233"/>
        <v>1.0647213304256569E-2</v>
      </c>
      <c r="J2115" s="17">
        <f t="shared" ca="1" si="229"/>
        <v>0</v>
      </c>
      <c r="K2115" s="24">
        <f t="shared" ca="1" si="230"/>
        <v>-1</v>
      </c>
      <c r="L2115" s="17">
        <f t="shared" ca="1" si="231"/>
        <v>-1</v>
      </c>
      <c r="N2115" s="24" t="str">
        <f ca="1">IF(AND(L2115=1,L2114&lt;&gt;1),MAX($N$8:N2114)+1,"")</f>
        <v/>
      </c>
      <c r="O2115" s="24" t="str">
        <f ca="1">IF(AND(L2115&lt;&gt;1,L2114=1),MAX($O$8:O2114)+1,"")</f>
        <v/>
      </c>
      <c r="P2115" s="17">
        <f ca="1">IF(AND(L2115=-1,L2114&lt;&gt;-1),MAX($P$8:P2114)+1,"")</f>
        <v>79</v>
      </c>
      <c r="Q2115" s="24" t="str">
        <f ca="1">IF(AND(L2115&lt;&gt;-1,L2114=-1),MAX($Q$8:Q2114)+1,"")</f>
        <v/>
      </c>
    </row>
    <row r="2116" spans="1:17" x14ac:dyDescent="0.3">
      <c r="A2116" s="3">
        <v>43299</v>
      </c>
      <c r="B2116" s="9">
        <v>27.174313000000001</v>
      </c>
      <c r="C2116" s="9">
        <v>22.217614999999999</v>
      </c>
      <c r="E2116" s="14">
        <f t="shared" si="235"/>
        <v>1.2230976637231314</v>
      </c>
      <c r="F2116" s="18">
        <f t="shared" ca="1" si="234"/>
        <v>0.1641515042138815</v>
      </c>
      <c r="G2116" s="15">
        <f t="shared" ca="1" si="232"/>
        <v>1.2213611328900589</v>
      </c>
      <c r="H2116" s="15">
        <f t="shared" ca="1" si="233"/>
        <v>1.0578829852268386E-2</v>
      </c>
      <c r="J2116" s="17">
        <f t="shared" ca="1" si="229"/>
        <v>0</v>
      </c>
      <c r="K2116" s="24">
        <f t="shared" ca="1" si="230"/>
        <v>0</v>
      </c>
      <c r="L2116" s="17">
        <f t="shared" ca="1" si="231"/>
        <v>0</v>
      </c>
      <c r="N2116" s="24" t="str">
        <f ca="1">IF(AND(L2116=1,L2115&lt;&gt;1),MAX($N$8:N2115)+1,"")</f>
        <v/>
      </c>
      <c r="O2116" s="24" t="str">
        <f ca="1">IF(AND(L2116&lt;&gt;1,L2115=1),MAX($O$8:O2115)+1,"")</f>
        <v/>
      </c>
      <c r="P2116" s="17" t="str">
        <f ca="1">IF(AND(L2116=-1,L2115&lt;&gt;-1),MAX($P$8:P2115)+1,"")</f>
        <v/>
      </c>
      <c r="Q2116" s="24">
        <f ca="1">IF(AND(L2116&lt;&gt;-1,L2115=-1),MAX($Q$8:Q2115)+1,"")</f>
        <v>79</v>
      </c>
    </row>
    <row r="2117" spans="1:17" x14ac:dyDescent="0.3">
      <c r="A2117" s="3">
        <v>43300</v>
      </c>
      <c r="B2117" s="9">
        <v>27.566396999999998</v>
      </c>
      <c r="C2117" s="9">
        <v>22.498149999999999</v>
      </c>
      <c r="E2117" s="14">
        <f t="shared" si="235"/>
        <v>1.2252739447465681</v>
      </c>
      <c r="F2117" s="18">
        <f t="shared" ca="1" si="234"/>
        <v>0.3964563578520624</v>
      </c>
      <c r="G2117" s="15">
        <f t="shared" ca="1" si="232"/>
        <v>1.221135346757479</v>
      </c>
      <c r="H2117" s="15">
        <f t="shared" ca="1" si="233"/>
        <v>1.04389749517737E-2</v>
      </c>
      <c r="J2117" s="17">
        <f t="shared" ca="1" si="229"/>
        <v>0</v>
      </c>
      <c r="K2117" s="24">
        <f t="shared" ca="1" si="230"/>
        <v>0</v>
      </c>
      <c r="L2117" s="17">
        <f t="shared" ca="1" si="231"/>
        <v>0</v>
      </c>
      <c r="N2117" s="24" t="str">
        <f ca="1">IF(AND(L2117=1,L2116&lt;&gt;1),MAX($N$8:N2116)+1,"")</f>
        <v/>
      </c>
      <c r="O2117" s="24" t="str">
        <f ca="1">IF(AND(L2117&lt;&gt;1,L2116=1),MAX($O$8:O2116)+1,"")</f>
        <v/>
      </c>
      <c r="P2117" s="17" t="str">
        <f ca="1">IF(AND(L2117=-1,L2116&lt;&gt;-1),MAX($P$8:P2116)+1,"")</f>
        <v/>
      </c>
      <c r="Q2117" s="24" t="str">
        <f ca="1">IF(AND(L2117&lt;&gt;-1,L2116=-1),MAX($Q$8:Q2116)+1,"")</f>
        <v/>
      </c>
    </row>
    <row r="2118" spans="1:17" x14ac:dyDescent="0.3">
      <c r="A2118" s="3">
        <v>43301</v>
      </c>
      <c r="B2118" s="9">
        <v>28.350480999999998</v>
      </c>
      <c r="C2118" s="9">
        <v>23.279146000000001</v>
      </c>
      <c r="E2118" s="14">
        <f t="shared" si="235"/>
        <v>1.2178488420494462</v>
      </c>
      <c r="F2118" s="18">
        <f t="shared" ca="1" si="234"/>
        <v>-0.2943459884779635</v>
      </c>
      <c r="G2118" s="15">
        <f t="shared" ca="1" si="232"/>
        <v>1.2209267279892737</v>
      </c>
      <c r="H2118" s="15">
        <f t="shared" ca="1" si="233"/>
        <v>1.0456694027810489E-2</v>
      </c>
      <c r="J2118" s="17">
        <f t="shared" ca="1" si="229"/>
        <v>0</v>
      </c>
      <c r="K2118" s="24">
        <f t="shared" ca="1" si="230"/>
        <v>0</v>
      </c>
      <c r="L2118" s="17">
        <f t="shared" ca="1" si="231"/>
        <v>0</v>
      </c>
      <c r="N2118" s="24" t="str">
        <f ca="1">IF(AND(L2118=1,L2117&lt;&gt;1),MAX($N$8:N2117)+1,"")</f>
        <v/>
      </c>
      <c r="O2118" s="24" t="str">
        <f ca="1">IF(AND(L2118&lt;&gt;1,L2117=1),MAX($O$8:O2117)+1,"")</f>
        <v/>
      </c>
      <c r="P2118" s="17" t="str">
        <f ca="1">IF(AND(L2118=-1,L2117&lt;&gt;-1),MAX($P$8:P2117)+1,"")</f>
        <v/>
      </c>
      <c r="Q2118" s="24" t="str">
        <f ca="1">IF(AND(L2118&lt;&gt;-1,L2117=-1),MAX($Q$8:Q2117)+1,"")</f>
        <v/>
      </c>
    </row>
    <row r="2119" spans="1:17" x14ac:dyDescent="0.3">
      <c r="A2119" s="3">
        <v>43304</v>
      </c>
      <c r="B2119" s="9">
        <v>27.805299999999999</v>
      </c>
      <c r="C2119" s="9">
        <v>23.013802999999999</v>
      </c>
      <c r="E2119" s="14">
        <f t="shared" si="235"/>
        <v>1.2082010087598298</v>
      </c>
      <c r="F2119" s="18">
        <f t="shared" ca="1" si="234"/>
        <v>-1.1343330665286495</v>
      </c>
      <c r="G2119" s="15">
        <f t="shared" ca="1" si="232"/>
        <v>1.220433905479825</v>
      </c>
      <c r="H2119" s="15">
        <f t="shared" ca="1" si="233"/>
        <v>1.0784219451021535E-2</v>
      </c>
      <c r="J2119" s="17">
        <f t="shared" ca="1" si="229"/>
        <v>0</v>
      </c>
      <c r="K2119" s="24">
        <f t="shared" ca="1" si="230"/>
        <v>-1</v>
      </c>
      <c r="L2119" s="17">
        <f t="shared" ca="1" si="231"/>
        <v>-1</v>
      </c>
      <c r="N2119" s="24" t="str">
        <f ca="1">IF(AND(L2119=1,L2118&lt;&gt;1),MAX($N$8:N2118)+1,"")</f>
        <v/>
      </c>
      <c r="O2119" s="24" t="str">
        <f ca="1">IF(AND(L2119&lt;&gt;1,L2118=1),MAX($O$8:O2118)+1,"")</f>
        <v/>
      </c>
      <c r="P2119" s="17">
        <f ca="1">IF(AND(L2119=-1,L2118&lt;&gt;-1),MAX($P$8:P2118)+1,"")</f>
        <v>80</v>
      </c>
      <c r="Q2119" s="24" t="str">
        <f ca="1">IF(AND(L2119&lt;&gt;-1,L2118=-1),MAX($Q$8:Q2118)+1,"")</f>
        <v/>
      </c>
    </row>
    <row r="2120" spans="1:17" x14ac:dyDescent="0.3">
      <c r="A2120" s="3">
        <v>43305</v>
      </c>
      <c r="B2120" s="9">
        <v>27.786933999999999</v>
      </c>
      <c r="C2120" s="9">
        <v>23.355038</v>
      </c>
      <c r="E2120" s="14">
        <f t="shared" si="235"/>
        <v>1.189761883495972</v>
      </c>
      <c r="F2120" s="18">
        <f t="shared" ca="1" si="234"/>
        <v>-2.403506249586814</v>
      </c>
      <c r="G2120" s="15">
        <f t="shared" ca="1" si="232"/>
        <v>1.2182471171373235</v>
      </c>
      <c r="H2120" s="15">
        <f t="shared" ca="1" si="233"/>
        <v>1.1851533003606026E-2</v>
      </c>
      <c r="J2120" s="17">
        <f t="shared" ref="J2120:J2183" ca="1" si="236">IF(ISNUMBER(F2120),IF(AND(J2119&lt;&gt;1,F2120&gt;$L$1),1,IF(AND(J2119=1,F2120&gt;$N$1),1,0)),"")</f>
        <v>0</v>
      </c>
      <c r="K2120" s="24">
        <f t="shared" ca="1" si="230"/>
        <v>-1</v>
      </c>
      <c r="L2120" s="17">
        <f t="shared" ca="1" si="231"/>
        <v>-1</v>
      </c>
      <c r="N2120" s="24" t="str">
        <f ca="1">IF(AND(L2120=1,L2119&lt;&gt;1),MAX($N$8:N2119)+1,"")</f>
        <v/>
      </c>
      <c r="O2120" s="24" t="str">
        <f ca="1">IF(AND(L2120&lt;&gt;1,L2119=1),MAX($O$8:O2119)+1,"")</f>
        <v/>
      </c>
      <c r="P2120" s="17" t="str">
        <f ca="1">IF(AND(L2120=-1,L2119&lt;&gt;-1),MAX($P$8:P2119)+1,"")</f>
        <v/>
      </c>
      <c r="Q2120" s="24" t="str">
        <f ca="1">IF(AND(L2120&lt;&gt;-1,L2119=-1),MAX($Q$8:Q2119)+1,"")</f>
        <v/>
      </c>
    </row>
    <row r="2121" spans="1:17" x14ac:dyDescent="0.3">
      <c r="A2121" s="3">
        <v>43306</v>
      </c>
      <c r="B2121" s="9">
        <v>28.662893</v>
      </c>
      <c r="C2121" s="9">
        <v>23.779612</v>
      </c>
      <c r="E2121" s="14">
        <f t="shared" si="235"/>
        <v>1.2053557896571232</v>
      </c>
      <c r="F2121" s="18">
        <f t="shared" ca="1" si="234"/>
        <v>-0.99746991987798039</v>
      </c>
      <c r="G2121" s="15">
        <f t="shared" ca="1" si="232"/>
        <v>1.2173995417312045</v>
      </c>
      <c r="H2121" s="15">
        <f t="shared" ca="1" si="233"/>
        <v>1.2074301023087054E-2</v>
      </c>
      <c r="J2121" s="17">
        <f t="shared" ca="1" si="236"/>
        <v>0</v>
      </c>
      <c r="K2121" s="24">
        <f t="shared" ref="K2121:K2184" ca="1" si="237">IF(ISNUMBER(F2121),IF(AND(K2120&lt;&gt;-1,F2121&lt;$P$1),-1,IF(AND(K2120=-1,F2121&lt;R2114),-1,0)),"")</f>
        <v>-1</v>
      </c>
      <c r="L2121" s="17">
        <f t="shared" ref="L2121:L2184" ca="1" si="238">IF(ISNUMBER(F2121),IF(J2121=1,1,IF(K2121=-1,-1,0)),"")</f>
        <v>-1</v>
      </c>
      <c r="N2121" s="24" t="str">
        <f ca="1">IF(AND(L2121=1,L2120&lt;&gt;1),MAX($N$8:N2120)+1,"")</f>
        <v/>
      </c>
      <c r="O2121" s="24" t="str">
        <f ca="1">IF(AND(L2121&lt;&gt;1,L2120=1),MAX($O$8:O2120)+1,"")</f>
        <v/>
      </c>
      <c r="P2121" s="17" t="str">
        <f ca="1">IF(AND(L2121=-1,L2120&lt;&gt;-1),MAX($P$8:P2120)+1,"")</f>
        <v/>
      </c>
      <c r="Q2121" s="24" t="str">
        <f ca="1">IF(AND(L2121&lt;&gt;-1,L2120=-1),MAX($Q$8:Q2120)+1,"")</f>
        <v/>
      </c>
    </row>
    <row r="2122" spans="1:17" x14ac:dyDescent="0.3">
      <c r="A2122" s="3">
        <v>43307</v>
      </c>
      <c r="B2122" s="9">
        <v>28.209607999999999</v>
      </c>
      <c r="C2122" s="9">
        <v>23.173051999999998</v>
      </c>
      <c r="E2122" s="14">
        <f t="shared" si="235"/>
        <v>1.2173453889457462</v>
      </c>
      <c r="F2122" s="18">
        <f t="shared" ca="1" si="234"/>
        <v>3.7758324365429377E-2</v>
      </c>
      <c r="G2122" s="15">
        <f t="shared" ca="1" si="232"/>
        <v>1.2168985157283549</v>
      </c>
      <c r="H2122" s="15">
        <f t="shared" ca="1" si="233"/>
        <v>1.1835091331552226E-2</v>
      </c>
      <c r="J2122" s="17">
        <f t="shared" ca="1" si="236"/>
        <v>0</v>
      </c>
      <c r="K2122" s="24">
        <f t="shared" ca="1" si="237"/>
        <v>0</v>
      </c>
      <c r="L2122" s="17">
        <f t="shared" ca="1" si="238"/>
        <v>0</v>
      </c>
      <c r="N2122" s="24" t="str">
        <f ca="1">IF(AND(L2122=1,L2121&lt;&gt;1),MAX($N$8:N2121)+1,"")</f>
        <v/>
      </c>
      <c r="O2122" s="24" t="str">
        <f ca="1">IF(AND(L2122&lt;&gt;1,L2121=1),MAX($O$8:O2121)+1,"")</f>
        <v/>
      </c>
      <c r="P2122" s="17" t="str">
        <f ca="1">IF(AND(L2122=-1,L2121&lt;&gt;-1),MAX($P$8:P2121)+1,"")</f>
        <v/>
      </c>
      <c r="Q2122" s="24">
        <f ca="1">IF(AND(L2122&lt;&gt;-1,L2121=-1),MAX($Q$8:Q2121)+1,"")</f>
        <v>80</v>
      </c>
    </row>
    <row r="2123" spans="1:17" x14ac:dyDescent="0.3">
      <c r="A2123" s="3">
        <v>43308</v>
      </c>
      <c r="B2123" s="9">
        <v>28.362793</v>
      </c>
      <c r="C2123" s="9">
        <v>23.430835999999999</v>
      </c>
      <c r="E2123" s="14">
        <f t="shared" si="235"/>
        <v>1.2104900140993688</v>
      </c>
      <c r="F2123" s="18">
        <f t="shared" ca="1" si="234"/>
        <v>-0.47671310442161929</v>
      </c>
      <c r="G2123" s="15">
        <f t="shared" ca="1" si="232"/>
        <v>1.215969877705197</v>
      </c>
      <c r="H2123" s="15">
        <f t="shared" ca="1" si="233"/>
        <v>1.1495097481066179E-2</v>
      </c>
      <c r="J2123" s="17">
        <f t="shared" ca="1" si="236"/>
        <v>0</v>
      </c>
      <c r="K2123" s="24">
        <f t="shared" ca="1" si="237"/>
        <v>0</v>
      </c>
      <c r="L2123" s="17">
        <f t="shared" ca="1" si="238"/>
        <v>0</v>
      </c>
      <c r="N2123" s="24" t="str">
        <f ca="1">IF(AND(L2123=1,L2122&lt;&gt;1),MAX($N$8:N2122)+1,"")</f>
        <v/>
      </c>
      <c r="O2123" s="24" t="str">
        <f ca="1">IF(AND(L2123&lt;&gt;1,L2122=1),MAX($O$8:O2122)+1,"")</f>
        <v/>
      </c>
      <c r="P2123" s="17" t="str">
        <f ca="1">IF(AND(L2123=-1,L2122&lt;&gt;-1),MAX($P$8:P2122)+1,"")</f>
        <v/>
      </c>
      <c r="Q2123" s="24" t="str">
        <f ca="1">IF(AND(L2123&lt;&gt;-1,L2122=-1),MAX($Q$8:Q2122)+1,"")</f>
        <v/>
      </c>
    </row>
    <row r="2124" spans="1:17" x14ac:dyDescent="0.3">
      <c r="A2124" s="3">
        <v>43311</v>
      </c>
      <c r="B2124" s="9">
        <v>28.773159</v>
      </c>
      <c r="C2124" s="9">
        <v>23.605267000000001</v>
      </c>
      <c r="E2124" s="14">
        <f t="shared" si="235"/>
        <v>1.2189296143102299</v>
      </c>
      <c r="F2124" s="18">
        <f t="shared" ca="1" si="234"/>
        <v>0.30367976417339471</v>
      </c>
      <c r="G2124" s="15">
        <f t="shared" ca="1" si="232"/>
        <v>1.2155323946096865</v>
      </c>
      <c r="H2124" s="15">
        <f t="shared" ca="1" si="233"/>
        <v>1.1186849113211467E-2</v>
      </c>
      <c r="J2124" s="17">
        <f t="shared" ca="1" si="236"/>
        <v>0</v>
      </c>
      <c r="K2124" s="24">
        <f t="shared" ca="1" si="237"/>
        <v>0</v>
      </c>
      <c r="L2124" s="17">
        <f t="shared" ca="1" si="238"/>
        <v>0</v>
      </c>
      <c r="N2124" s="24" t="str">
        <f ca="1">IF(AND(L2124=1,L2123&lt;&gt;1),MAX($N$8:N2123)+1,"")</f>
        <v/>
      </c>
      <c r="O2124" s="24" t="str">
        <f ca="1">IF(AND(L2124&lt;&gt;1,L2123=1),MAX($O$8:O2123)+1,"")</f>
        <v/>
      </c>
      <c r="P2124" s="17" t="str">
        <f ca="1">IF(AND(L2124=-1,L2123&lt;&gt;-1),MAX($P$8:P2123)+1,"")</f>
        <v/>
      </c>
      <c r="Q2124" s="24" t="str">
        <f ca="1">IF(AND(L2124&lt;&gt;-1,L2123=-1),MAX($Q$8:Q2123)+1,"")</f>
        <v/>
      </c>
    </row>
    <row r="2125" spans="1:17" x14ac:dyDescent="0.3">
      <c r="A2125" s="3">
        <v>43312</v>
      </c>
      <c r="B2125" s="9">
        <v>27.566396999999998</v>
      </c>
      <c r="C2125" s="9">
        <v>23.150303000000001</v>
      </c>
      <c r="E2125" s="14">
        <f t="shared" si="235"/>
        <v>1.1907575032603244</v>
      </c>
      <c r="F2125" s="18">
        <f t="shared" ca="1" si="234"/>
        <v>-1.9119247900795775</v>
      </c>
      <c r="G2125" s="15">
        <f t="shared" ca="1" si="232"/>
        <v>1.2141562607836733</v>
      </c>
      <c r="H2125" s="15">
        <f t="shared" ca="1" si="233"/>
        <v>1.2238325296454298E-2</v>
      </c>
      <c r="J2125" s="17">
        <f t="shared" ca="1" si="236"/>
        <v>0</v>
      </c>
      <c r="K2125" s="24">
        <f t="shared" ca="1" si="237"/>
        <v>-1</v>
      </c>
      <c r="L2125" s="17">
        <f t="shared" ca="1" si="238"/>
        <v>-1</v>
      </c>
      <c r="N2125" s="24" t="str">
        <f ca="1">IF(AND(L2125=1,L2124&lt;&gt;1),MAX($N$8:N2124)+1,"")</f>
        <v/>
      </c>
      <c r="O2125" s="24" t="str">
        <f ca="1">IF(AND(L2125&lt;&gt;1,L2124=1),MAX($O$8:O2124)+1,"")</f>
        <v/>
      </c>
      <c r="P2125" s="17">
        <f ca="1">IF(AND(L2125=-1,L2124&lt;&gt;-1),MAX($P$8:P2124)+1,"")</f>
        <v>81</v>
      </c>
      <c r="Q2125" s="24" t="str">
        <f ca="1">IF(AND(L2125&lt;&gt;-1,L2124=-1),MAX($Q$8:Q2124)+1,"")</f>
        <v/>
      </c>
    </row>
    <row r="2126" spans="1:17" x14ac:dyDescent="0.3">
      <c r="A2126" s="3">
        <v>43313</v>
      </c>
      <c r="B2126" s="9">
        <v>27.912659000000001</v>
      </c>
      <c r="C2126" s="9">
        <v>23.453579000000001</v>
      </c>
      <c r="E2126" s="14">
        <f t="shared" si="235"/>
        <v>1.1901236480794679</v>
      </c>
      <c r="F2126" s="18">
        <f t="shared" ca="1" si="234"/>
        <v>-1.7258436145645406</v>
      </c>
      <c r="G2126" s="15">
        <f t="shared" ca="1" si="232"/>
        <v>1.2128142185774917</v>
      </c>
      <c r="H2126" s="15">
        <f t="shared" ca="1" si="233"/>
        <v>1.3147524089979046E-2</v>
      </c>
      <c r="J2126" s="17">
        <f t="shared" ca="1" si="236"/>
        <v>0</v>
      </c>
      <c r="K2126" s="24">
        <f t="shared" ca="1" si="237"/>
        <v>-1</v>
      </c>
      <c r="L2126" s="17">
        <f t="shared" ca="1" si="238"/>
        <v>-1</v>
      </c>
      <c r="N2126" s="24" t="str">
        <f ca="1">IF(AND(L2126=1,L2125&lt;&gt;1),MAX($N$8:N2125)+1,"")</f>
        <v/>
      </c>
      <c r="O2126" s="24" t="str">
        <f ca="1">IF(AND(L2126&lt;&gt;1,L2125=1),MAX($O$8:O2125)+1,"")</f>
        <v/>
      </c>
      <c r="P2126" s="17" t="str">
        <f ca="1">IF(AND(L2126=-1,L2125&lt;&gt;-1),MAX($P$8:P2125)+1,"")</f>
        <v/>
      </c>
      <c r="Q2126" s="24" t="str">
        <f ca="1">IF(AND(L2126&lt;&gt;-1,L2125=-1),MAX($Q$8:Q2125)+1,"")</f>
        <v/>
      </c>
    </row>
    <row r="2127" spans="1:17" x14ac:dyDescent="0.3">
      <c r="A2127" s="3">
        <v>43314</v>
      </c>
      <c r="B2127" s="9">
        <v>28.010639000000001</v>
      </c>
      <c r="C2127" s="9">
        <v>23.459108000000001</v>
      </c>
      <c r="E2127" s="14">
        <f t="shared" si="235"/>
        <v>1.1940197811442788</v>
      </c>
      <c r="F2127" s="18">
        <f t="shared" ca="1" si="234"/>
        <v>-1.3014005625233862</v>
      </c>
      <c r="G2127" s="15">
        <f t="shared" ca="1" si="232"/>
        <v>1.2112438100515648</v>
      </c>
      <c r="H2127" s="15">
        <f t="shared" ca="1" si="233"/>
        <v>1.323499420800082E-2</v>
      </c>
      <c r="J2127" s="17">
        <f t="shared" ca="1" si="236"/>
        <v>0</v>
      </c>
      <c r="K2127" s="24">
        <f t="shared" ca="1" si="237"/>
        <v>-1</v>
      </c>
      <c r="L2127" s="17">
        <f t="shared" ca="1" si="238"/>
        <v>-1</v>
      </c>
      <c r="N2127" s="24" t="str">
        <f ca="1">IF(AND(L2127=1,L2126&lt;&gt;1),MAX($N$8:N2126)+1,"")</f>
        <v/>
      </c>
      <c r="O2127" s="24" t="str">
        <f ca="1">IF(AND(L2127&lt;&gt;1,L2126=1),MAX($O$8:O2126)+1,"")</f>
        <v/>
      </c>
      <c r="P2127" s="17" t="str">
        <f ca="1">IF(AND(L2127=-1,L2126&lt;&gt;-1),MAX($P$8:P2126)+1,"")</f>
        <v/>
      </c>
      <c r="Q2127" s="24" t="str">
        <f ca="1">IF(AND(L2127&lt;&gt;-1,L2126=-1),MAX($Q$8:Q2126)+1,"")</f>
        <v/>
      </c>
    </row>
    <row r="2128" spans="1:17" x14ac:dyDescent="0.3">
      <c r="A2128" s="3">
        <v>43315</v>
      </c>
      <c r="B2128" s="9">
        <v>28.678614</v>
      </c>
      <c r="C2128" s="9">
        <v>24.354348999999999</v>
      </c>
      <c r="E2128" s="14">
        <f t="shared" si="235"/>
        <v>1.177556172821536</v>
      </c>
      <c r="F2128" s="18">
        <f t="shared" ca="1" si="234"/>
        <v>-2.18887500870578</v>
      </c>
      <c r="G2128" s="15">
        <f t="shared" ca="1" si="232"/>
        <v>1.2101371887240553</v>
      </c>
      <c r="H2128" s="15">
        <f t="shared" ca="1" si="233"/>
        <v>1.4884822464935311E-2</v>
      </c>
      <c r="J2128" s="17">
        <f t="shared" ca="1" si="236"/>
        <v>0</v>
      </c>
      <c r="K2128" s="24">
        <f t="shared" ca="1" si="237"/>
        <v>-1</v>
      </c>
      <c r="L2128" s="17">
        <f t="shared" ca="1" si="238"/>
        <v>-1</v>
      </c>
      <c r="N2128" s="24" t="str">
        <f ca="1">IF(AND(L2128=1,L2127&lt;&gt;1),MAX($N$8:N2127)+1,"")</f>
        <v/>
      </c>
      <c r="O2128" s="24" t="str">
        <f ca="1">IF(AND(L2128&lt;&gt;1,L2127=1),MAX($O$8:O2127)+1,"")</f>
        <v/>
      </c>
      <c r="P2128" s="17" t="str">
        <f ca="1">IF(AND(L2128=-1,L2127&lt;&gt;-1),MAX($P$8:P2127)+1,"")</f>
        <v/>
      </c>
      <c r="Q2128" s="24" t="str">
        <f ca="1">IF(AND(L2128&lt;&gt;-1,L2127=-1),MAX($Q$8:Q2127)+1,"")</f>
        <v/>
      </c>
    </row>
    <row r="2129" spans="1:17" x14ac:dyDescent="0.3">
      <c r="A2129" s="3">
        <v>43318</v>
      </c>
      <c r="B2129" s="9">
        <v>28.470234000000001</v>
      </c>
      <c r="C2129" s="9">
        <v>24.187469</v>
      </c>
      <c r="E2129" s="14">
        <f t="shared" si="235"/>
        <v>1.177065446574836</v>
      </c>
      <c r="F2129" s="18">
        <f t="shared" ca="1" si="234"/>
        <v>-1.9430974967312589</v>
      </c>
      <c r="G2129" s="15">
        <f t="shared" ca="1" si="232"/>
        <v>1.2088910896881719</v>
      </c>
      <c r="H2129" s="15">
        <f t="shared" ca="1" si="233"/>
        <v>1.6378819470908707E-2</v>
      </c>
      <c r="J2129" s="17">
        <f t="shared" ca="1" si="236"/>
        <v>0</v>
      </c>
      <c r="K2129" s="24">
        <f t="shared" ca="1" si="237"/>
        <v>-1</v>
      </c>
      <c r="L2129" s="17">
        <f t="shared" ca="1" si="238"/>
        <v>-1</v>
      </c>
      <c r="N2129" s="24" t="str">
        <f ca="1">IF(AND(L2129=1,L2128&lt;&gt;1),MAX($N$8:N2128)+1,"")</f>
        <v/>
      </c>
      <c r="O2129" s="24" t="str">
        <f ca="1">IF(AND(L2129&lt;&gt;1,L2128=1),MAX($O$8:O2128)+1,"")</f>
        <v/>
      </c>
      <c r="P2129" s="17" t="str">
        <f ca="1">IF(AND(L2129=-1,L2128&lt;&gt;-1),MAX($P$8:P2128)+1,"")</f>
        <v/>
      </c>
      <c r="Q2129" s="24" t="str">
        <f ca="1">IF(AND(L2129&lt;&gt;-1,L2128=-1),MAX($Q$8:Q2128)+1,"")</f>
        <v/>
      </c>
    </row>
    <row r="2130" spans="1:17" x14ac:dyDescent="0.3">
      <c r="A2130" s="3">
        <v>43319</v>
      </c>
      <c r="B2130" s="9">
        <v>28.29871</v>
      </c>
      <c r="C2130" s="9">
        <v>23.82329</v>
      </c>
      <c r="E2130" s="14">
        <f t="shared" si="235"/>
        <v>1.1878590236696946</v>
      </c>
      <c r="F2130" s="18">
        <f t="shared" ca="1" si="234"/>
        <v>-1.2173923934791924</v>
      </c>
      <c r="G2130" s="15">
        <f t="shared" ca="1" si="232"/>
        <v>1.2083716338118584</v>
      </c>
      <c r="H2130" s="15">
        <f t="shared" ca="1" si="233"/>
        <v>1.6849628970935712E-2</v>
      </c>
      <c r="J2130" s="17">
        <f t="shared" ca="1" si="236"/>
        <v>0</v>
      </c>
      <c r="K2130" s="24">
        <f t="shared" ca="1" si="237"/>
        <v>-1</v>
      </c>
      <c r="L2130" s="17">
        <f t="shared" ca="1" si="238"/>
        <v>-1</v>
      </c>
      <c r="N2130" s="24" t="str">
        <f ca="1">IF(AND(L2130=1,L2129&lt;&gt;1),MAX($N$8:N2129)+1,"")</f>
        <v/>
      </c>
      <c r="O2130" s="24" t="str">
        <f ca="1">IF(AND(L2130&lt;&gt;1,L2129=1),MAX($O$8:O2129)+1,"")</f>
        <v/>
      </c>
      <c r="P2130" s="17" t="str">
        <f ca="1">IF(AND(L2130=-1,L2129&lt;&gt;-1),MAX($P$8:P2129)+1,"")</f>
        <v/>
      </c>
      <c r="Q2130" s="24" t="str">
        <f ca="1">IF(AND(L2130&lt;&gt;-1,L2129=-1),MAX($Q$8:Q2129)+1,"")</f>
        <v/>
      </c>
    </row>
    <row r="2131" spans="1:17" x14ac:dyDescent="0.3">
      <c r="A2131" s="3">
        <v>43320</v>
      </c>
      <c r="B2131" s="9">
        <v>27.636897999999999</v>
      </c>
      <c r="C2131" s="9">
        <v>23.254256999999999</v>
      </c>
      <c r="E2131" s="14">
        <f t="shared" si="235"/>
        <v>1.1884661806223265</v>
      </c>
      <c r="F2131" s="18">
        <f t="shared" ca="1" si="234"/>
        <v>-1.0991557378589221</v>
      </c>
      <c r="G2131" s="15">
        <f t="shared" ca="1" si="232"/>
        <v>1.2075393652509583</v>
      </c>
      <c r="H2131" s="15">
        <f t="shared" ca="1" si="233"/>
        <v>1.7352577047712141E-2</v>
      </c>
      <c r="J2131" s="17">
        <f t="shared" ca="1" si="236"/>
        <v>0</v>
      </c>
      <c r="K2131" s="24">
        <f t="shared" ca="1" si="237"/>
        <v>-1</v>
      </c>
      <c r="L2131" s="17">
        <f t="shared" ca="1" si="238"/>
        <v>-1</v>
      </c>
      <c r="N2131" s="24" t="str">
        <f ca="1">IF(AND(L2131=1,L2130&lt;&gt;1),MAX($N$8:N2130)+1,"")</f>
        <v/>
      </c>
      <c r="O2131" s="24" t="str">
        <f ca="1">IF(AND(L2131&lt;&gt;1,L2130=1),MAX($O$8:O2130)+1,"")</f>
        <v/>
      </c>
      <c r="P2131" s="17" t="str">
        <f ca="1">IF(AND(L2131=-1,L2130&lt;&gt;-1),MAX($P$8:P2130)+1,"")</f>
        <v/>
      </c>
      <c r="Q2131" s="24" t="str">
        <f ca="1">IF(AND(L2131&lt;&gt;-1,L2130=-1),MAX($Q$8:Q2130)+1,"")</f>
        <v/>
      </c>
    </row>
    <row r="2132" spans="1:17" x14ac:dyDescent="0.3">
      <c r="A2132" s="3">
        <v>43321</v>
      </c>
      <c r="B2132" s="9">
        <v>27.489826000000001</v>
      </c>
      <c r="C2132" s="9">
        <v>23.01145</v>
      </c>
      <c r="E2132" s="14">
        <f t="shared" si="235"/>
        <v>1.1946151155185789</v>
      </c>
      <c r="F2132" s="18">
        <f t="shared" ca="1" si="234"/>
        <v>-0.67377828973976417</v>
      </c>
      <c r="G2132" s="15">
        <f t="shared" ca="1" si="232"/>
        <v>1.2061111917557747</v>
      </c>
      <c r="H2132" s="15">
        <f t="shared" ca="1" si="233"/>
        <v>1.7062105461480528E-2</v>
      </c>
      <c r="J2132" s="17">
        <f t="shared" ca="1" si="236"/>
        <v>0</v>
      </c>
      <c r="K2132" s="24">
        <f t="shared" ca="1" si="237"/>
        <v>-1</v>
      </c>
      <c r="L2132" s="17">
        <f t="shared" ca="1" si="238"/>
        <v>-1</v>
      </c>
      <c r="N2132" s="24" t="str">
        <f ca="1">IF(AND(L2132=1,L2131&lt;&gt;1),MAX($N$8:N2131)+1,"")</f>
        <v/>
      </c>
      <c r="O2132" s="24" t="str">
        <f ca="1">IF(AND(L2132&lt;&gt;1,L2131=1),MAX($O$8:O2131)+1,"")</f>
        <v/>
      </c>
      <c r="P2132" s="17" t="str">
        <f ca="1">IF(AND(L2132=-1,L2131&lt;&gt;-1),MAX($P$8:P2131)+1,"")</f>
        <v/>
      </c>
      <c r="Q2132" s="24" t="str">
        <f ca="1">IF(AND(L2132&lt;&gt;-1,L2131=-1),MAX($Q$8:Q2131)+1,"")</f>
        <v/>
      </c>
    </row>
    <row r="2133" spans="1:17" x14ac:dyDescent="0.3">
      <c r="A2133" s="3">
        <v>43322</v>
      </c>
      <c r="B2133" s="9">
        <v>26.490947999999999</v>
      </c>
      <c r="C2133" s="9">
        <v>21.865835000000001</v>
      </c>
      <c r="E2133" s="14">
        <f t="shared" si="235"/>
        <v>1.2115223589677686</v>
      </c>
      <c r="F2133" s="18">
        <f t="shared" ca="1" si="234"/>
        <v>0.41140665362303208</v>
      </c>
      <c r="G2133" s="15">
        <f t="shared" ca="1" si="232"/>
        <v>1.205004697953332</v>
      </c>
      <c r="H2133" s="15">
        <f t="shared" ca="1" si="233"/>
        <v>1.5842381150229758E-2</v>
      </c>
      <c r="J2133" s="17">
        <f t="shared" ca="1" si="236"/>
        <v>0</v>
      </c>
      <c r="K2133" s="24">
        <f t="shared" ca="1" si="237"/>
        <v>0</v>
      </c>
      <c r="L2133" s="17">
        <f t="shared" ca="1" si="238"/>
        <v>0</v>
      </c>
      <c r="N2133" s="24" t="str">
        <f ca="1">IF(AND(L2133=1,L2132&lt;&gt;1),MAX($N$8:N2132)+1,"")</f>
        <v/>
      </c>
      <c r="O2133" s="24" t="str">
        <f ca="1">IF(AND(L2133&lt;&gt;1,L2132=1),MAX($O$8:O2132)+1,"")</f>
        <v/>
      </c>
      <c r="P2133" s="17" t="str">
        <f ca="1">IF(AND(L2133=-1,L2132&lt;&gt;-1),MAX($P$8:P2132)+1,"")</f>
        <v/>
      </c>
      <c r="Q2133" s="24">
        <f ca="1">IF(AND(L2133&lt;&gt;-1,L2132=-1),MAX($Q$8:Q2132)+1,"")</f>
        <v>81</v>
      </c>
    </row>
    <row r="2134" spans="1:17" x14ac:dyDescent="0.3">
      <c r="A2134" s="3">
        <v>43325</v>
      </c>
      <c r="B2134" s="9">
        <v>26.699328999999999</v>
      </c>
      <c r="C2134" s="9">
        <v>22.290648000000001</v>
      </c>
      <c r="E2134" s="14">
        <f t="shared" si="235"/>
        <v>1.1977816436740645</v>
      </c>
      <c r="F2134" s="18">
        <f t="shared" ca="1" si="234"/>
        <v>-0.39384265991597966</v>
      </c>
      <c r="G2134" s="15">
        <f t="shared" ca="1" si="232"/>
        <v>1.2038394740387652</v>
      </c>
      <c r="H2134" s="15">
        <f t="shared" ca="1" si="233"/>
        <v>1.5381346363019948E-2</v>
      </c>
      <c r="J2134" s="17">
        <f t="shared" ca="1" si="236"/>
        <v>0</v>
      </c>
      <c r="K2134" s="24">
        <f t="shared" ca="1" si="237"/>
        <v>0</v>
      </c>
      <c r="L2134" s="17">
        <f t="shared" ca="1" si="238"/>
        <v>0</v>
      </c>
      <c r="N2134" s="24" t="str">
        <f ca="1">IF(AND(L2134=1,L2133&lt;&gt;1),MAX($N$8:N2133)+1,"")</f>
        <v/>
      </c>
      <c r="O2134" s="24" t="str">
        <f ca="1">IF(AND(L2134&lt;&gt;1,L2133=1),MAX($O$8:O2133)+1,"")</f>
        <v/>
      </c>
      <c r="P2134" s="17" t="str">
        <f ca="1">IF(AND(L2134=-1,L2133&lt;&gt;-1),MAX($P$8:P2133)+1,"")</f>
        <v/>
      </c>
      <c r="Q2134" s="24" t="str">
        <f ca="1">IF(AND(L2134&lt;&gt;-1,L2133=-1),MAX($Q$8:Q2133)+1,"")</f>
        <v/>
      </c>
    </row>
    <row r="2135" spans="1:17" x14ac:dyDescent="0.3">
      <c r="A2135" s="3">
        <v>43326</v>
      </c>
      <c r="B2135" s="9">
        <v>27.250843</v>
      </c>
      <c r="C2135" s="9">
        <v>22.670031000000002</v>
      </c>
      <c r="E2135" s="14">
        <f t="shared" si="235"/>
        <v>1.2020646553152043</v>
      </c>
      <c r="F2135" s="18">
        <f t="shared" ca="1" si="234"/>
        <v>-3.5359275640227353E-2</v>
      </c>
      <c r="G2135" s="15">
        <f t="shared" ca="1" si="232"/>
        <v>1.2025696985113041</v>
      </c>
      <c r="H2135" s="15">
        <f t="shared" ca="1" si="233"/>
        <v>1.428318841252537E-2</v>
      </c>
      <c r="J2135" s="17">
        <f t="shared" ca="1" si="236"/>
        <v>0</v>
      </c>
      <c r="K2135" s="24">
        <f t="shared" ca="1" si="237"/>
        <v>0</v>
      </c>
      <c r="L2135" s="17">
        <f t="shared" ca="1" si="238"/>
        <v>0</v>
      </c>
      <c r="N2135" s="24" t="str">
        <f ca="1">IF(AND(L2135=1,L2134&lt;&gt;1),MAX($N$8:N2134)+1,"")</f>
        <v/>
      </c>
      <c r="O2135" s="24" t="str">
        <f ca="1">IF(AND(L2135&lt;&gt;1,L2134=1),MAX($O$8:O2134)+1,"")</f>
        <v/>
      </c>
      <c r="P2135" s="17" t="str">
        <f ca="1">IF(AND(L2135=-1,L2134&lt;&gt;-1),MAX($P$8:P2134)+1,"")</f>
        <v/>
      </c>
      <c r="Q2135" s="24" t="str">
        <f ca="1">IF(AND(L2135&lt;&gt;-1,L2134=-1),MAX($Q$8:Q2134)+1,"")</f>
        <v/>
      </c>
    </row>
    <row r="2136" spans="1:17" x14ac:dyDescent="0.3">
      <c r="A2136" s="3">
        <v>43327</v>
      </c>
      <c r="B2136" s="9">
        <v>27.066998999999999</v>
      </c>
      <c r="C2136" s="9">
        <v>22.396896000000002</v>
      </c>
      <c r="E2136" s="14">
        <f t="shared" si="235"/>
        <v>1.2085156353809026</v>
      </c>
      <c r="F2136" s="18">
        <f t="shared" ca="1" si="234"/>
        <v>0.46786778213590552</v>
      </c>
      <c r="G2136" s="15">
        <f t="shared" ca="1" si="232"/>
        <v>1.20204324141195</v>
      </c>
      <c r="H2136" s="15">
        <f t="shared" ca="1" si="233"/>
        <v>1.3833809926823546E-2</v>
      </c>
      <c r="J2136" s="17">
        <f t="shared" ca="1" si="236"/>
        <v>0</v>
      </c>
      <c r="K2136" s="24">
        <f t="shared" ca="1" si="237"/>
        <v>0</v>
      </c>
      <c r="L2136" s="17">
        <f t="shared" ca="1" si="238"/>
        <v>0</v>
      </c>
      <c r="N2136" s="24" t="str">
        <f ca="1">IF(AND(L2136=1,L2135&lt;&gt;1),MAX($N$8:N2135)+1,"")</f>
        <v/>
      </c>
      <c r="O2136" s="24" t="str">
        <f ca="1">IF(AND(L2136&lt;&gt;1,L2135=1),MAX($O$8:O2135)+1,"")</f>
        <v/>
      </c>
      <c r="P2136" s="17" t="str">
        <f ca="1">IF(AND(L2136=-1,L2135&lt;&gt;-1),MAX($P$8:P2135)+1,"")</f>
        <v/>
      </c>
      <c r="Q2136" s="24" t="str">
        <f ca="1">IF(AND(L2136&lt;&gt;-1,L2135=-1),MAX($Q$8:Q2135)+1,"")</f>
        <v/>
      </c>
    </row>
    <row r="2137" spans="1:17" x14ac:dyDescent="0.3">
      <c r="A2137" s="3">
        <v>43328</v>
      </c>
      <c r="B2137" s="9">
        <v>27.030235000000001</v>
      </c>
      <c r="C2137" s="9">
        <v>22.396896000000002</v>
      </c>
      <c r="E2137" s="14">
        <f t="shared" si="235"/>
        <v>1.2068741579190259</v>
      </c>
      <c r="F2137" s="18">
        <f t="shared" ca="1" si="234"/>
        <v>0.35456602158909195</v>
      </c>
      <c r="G2137" s="15">
        <f t="shared" ca="1" si="232"/>
        <v>1.201978430578883</v>
      </c>
      <c r="H2137" s="15">
        <f t="shared" ca="1" si="233"/>
        <v>1.3807660751589314E-2</v>
      </c>
      <c r="J2137" s="17">
        <f t="shared" ca="1" si="236"/>
        <v>0</v>
      </c>
      <c r="K2137" s="24">
        <f t="shared" ca="1" si="237"/>
        <v>0</v>
      </c>
      <c r="L2137" s="17">
        <f t="shared" ca="1" si="238"/>
        <v>0</v>
      </c>
      <c r="N2137" s="24" t="str">
        <f ca="1">IF(AND(L2137=1,L2136&lt;&gt;1),MAX($N$8:N2136)+1,"")</f>
        <v/>
      </c>
      <c r="O2137" s="24" t="str">
        <f ca="1">IF(AND(L2137&lt;&gt;1,L2136=1),MAX($O$8:O2136)+1,"")</f>
        <v/>
      </c>
      <c r="P2137" s="17" t="str">
        <f ca="1">IF(AND(L2137=-1,L2136&lt;&gt;-1),MAX($P$8:P2136)+1,"")</f>
        <v/>
      </c>
      <c r="Q2137" s="24" t="str">
        <f ca="1">IF(AND(L2137&lt;&gt;-1,L2136=-1),MAX($Q$8:Q2136)+1,"")</f>
        <v/>
      </c>
    </row>
    <row r="2138" spans="1:17" x14ac:dyDescent="0.3">
      <c r="A2138" s="3">
        <v>43329</v>
      </c>
      <c r="B2138" s="9">
        <v>26.337720999999998</v>
      </c>
      <c r="C2138" s="9">
        <v>21.714065999999999</v>
      </c>
      <c r="E2138" s="14">
        <f t="shared" si="235"/>
        <v>1.2129336348153312</v>
      </c>
      <c r="F2138" s="18">
        <f t="shared" ca="1" si="234"/>
        <v>0.86153575475389799</v>
      </c>
      <c r="G2138" s="15">
        <f t="shared" ca="1" si="232"/>
        <v>1.2015164292648921</v>
      </c>
      <c r="H2138" s="15">
        <f t="shared" ca="1" si="233"/>
        <v>1.3252155220998933E-2</v>
      </c>
      <c r="J2138" s="17">
        <f t="shared" ca="1" si="236"/>
        <v>0</v>
      </c>
      <c r="K2138" s="24">
        <f t="shared" ca="1" si="237"/>
        <v>0</v>
      </c>
      <c r="L2138" s="17">
        <f t="shared" ca="1" si="238"/>
        <v>0</v>
      </c>
      <c r="N2138" s="24" t="str">
        <f ca="1">IF(AND(L2138=1,L2137&lt;&gt;1),MAX($N$8:N2137)+1,"")</f>
        <v/>
      </c>
      <c r="O2138" s="24" t="str">
        <f ca="1">IF(AND(L2138&lt;&gt;1,L2137=1),MAX($O$8:O2137)+1,"")</f>
        <v/>
      </c>
      <c r="P2138" s="17" t="str">
        <f ca="1">IF(AND(L2138=-1,L2137&lt;&gt;-1),MAX($P$8:P2137)+1,"")</f>
        <v/>
      </c>
      <c r="Q2138" s="24" t="str">
        <f ca="1">IF(AND(L2138&lt;&gt;-1,L2137=-1),MAX($Q$8:Q2137)+1,"")</f>
        <v/>
      </c>
    </row>
    <row r="2139" spans="1:17" x14ac:dyDescent="0.3">
      <c r="A2139" s="3">
        <v>43332</v>
      </c>
      <c r="B2139" s="9">
        <v>26.445914999999999</v>
      </c>
      <c r="C2139" s="9">
        <v>21.850636000000002</v>
      </c>
      <c r="E2139" s="14">
        <f t="shared" si="235"/>
        <v>1.2103041302779469</v>
      </c>
      <c r="F2139" s="18">
        <f t="shared" ca="1" si="234"/>
        <v>0.76542594908380124</v>
      </c>
      <c r="G2139" s="15">
        <f t="shared" ca="1" si="232"/>
        <v>1.2008359831526823</v>
      </c>
      <c r="H2139" s="15">
        <f t="shared" ca="1" si="233"/>
        <v>1.2369775465017671E-2</v>
      </c>
      <c r="J2139" s="17">
        <f t="shared" ca="1" si="236"/>
        <v>0</v>
      </c>
      <c r="K2139" s="24">
        <f t="shared" ca="1" si="237"/>
        <v>0</v>
      </c>
      <c r="L2139" s="17">
        <f t="shared" ca="1" si="238"/>
        <v>0</v>
      </c>
      <c r="N2139" s="24" t="str">
        <f ca="1">IF(AND(L2139=1,L2138&lt;&gt;1),MAX($N$8:N2138)+1,"")</f>
        <v/>
      </c>
      <c r="O2139" s="24" t="str">
        <f ca="1">IF(AND(L2139&lt;&gt;1,L2138=1),MAX($O$8:O2138)+1,"")</f>
        <v/>
      </c>
      <c r="P2139" s="17" t="str">
        <f ca="1">IF(AND(L2139=-1,L2138&lt;&gt;-1),MAX($P$8:P2138)+1,"")</f>
        <v/>
      </c>
      <c r="Q2139" s="24" t="str">
        <f ca="1">IF(AND(L2139&lt;&gt;-1,L2138=-1),MAX($Q$8:Q2138)+1,"")</f>
        <v/>
      </c>
    </row>
    <row r="2140" spans="1:17" x14ac:dyDescent="0.3">
      <c r="A2140" s="3">
        <v>43333</v>
      </c>
      <c r="B2140" s="9">
        <v>26.103978999999999</v>
      </c>
      <c r="C2140" s="9">
        <v>21.319566999999999</v>
      </c>
      <c r="E2140" s="14">
        <f t="shared" si="235"/>
        <v>1.2244141262343649</v>
      </c>
      <c r="F2140" s="18">
        <f t="shared" ca="1" si="234"/>
        <v>1.812128689996088</v>
      </c>
      <c r="G2140" s="15">
        <f t="shared" ca="1" si="232"/>
        <v>1.2011344051610875</v>
      </c>
      <c r="H2140" s="15">
        <f t="shared" ca="1" si="233"/>
        <v>1.2846615807030578E-2</v>
      </c>
      <c r="J2140" s="17">
        <f t="shared" ca="1" si="236"/>
        <v>1</v>
      </c>
      <c r="K2140" s="24">
        <f t="shared" ca="1" si="237"/>
        <v>0</v>
      </c>
      <c r="L2140" s="17">
        <f t="shared" ca="1" si="238"/>
        <v>1</v>
      </c>
      <c r="N2140" s="24">
        <f ca="1">IF(AND(L2140=1,L2139&lt;&gt;1),MAX($N$8:N2139)+1,"")</f>
        <v>71</v>
      </c>
      <c r="O2140" s="24" t="str">
        <f ca="1">IF(AND(L2140&lt;&gt;1,L2139=1),MAX($O$8:O2139)+1,"")</f>
        <v/>
      </c>
      <c r="P2140" s="17" t="str">
        <f ca="1">IF(AND(L2140=-1,L2139&lt;&gt;-1),MAX($P$8:P2139)+1,"")</f>
        <v/>
      </c>
      <c r="Q2140" s="24" t="str">
        <f ca="1">IF(AND(L2140&lt;&gt;-1,L2139=-1),MAX($Q$8:Q2139)+1,"")</f>
        <v/>
      </c>
    </row>
    <row r="2141" spans="1:17" x14ac:dyDescent="0.3">
      <c r="A2141" s="3">
        <v>43334</v>
      </c>
      <c r="B2141" s="9">
        <v>26.725733000000002</v>
      </c>
      <c r="C2141" s="9">
        <v>21.843077000000001</v>
      </c>
      <c r="E2141" s="14">
        <f t="shared" si="235"/>
        <v>1.2235333419371273</v>
      </c>
      <c r="F2141" s="18">
        <f t="shared" ca="1" si="234"/>
        <v>1.5951969129019572</v>
      </c>
      <c r="G2141" s="15">
        <f t="shared" ca="1" si="232"/>
        <v>1.2018313293964191</v>
      </c>
      <c r="H2141" s="15">
        <f t="shared" ca="1" si="233"/>
        <v>1.3604597880789637E-2</v>
      </c>
      <c r="J2141" s="17">
        <f t="shared" ca="1" si="236"/>
        <v>1</v>
      </c>
      <c r="K2141" s="24">
        <f t="shared" ca="1" si="237"/>
        <v>0</v>
      </c>
      <c r="L2141" s="17">
        <f t="shared" ca="1" si="238"/>
        <v>1</v>
      </c>
      <c r="N2141" s="24" t="str">
        <f ca="1">IF(AND(L2141=1,L2140&lt;&gt;1),MAX($N$8:N2140)+1,"")</f>
        <v/>
      </c>
      <c r="O2141" s="24" t="str">
        <f ca="1">IF(AND(L2141&lt;&gt;1,L2140=1),MAX($O$8:O2140)+1,"")</f>
        <v/>
      </c>
      <c r="P2141" s="17" t="str">
        <f ca="1">IF(AND(L2141=-1,L2140&lt;&gt;-1),MAX($P$8:P2140)+1,"")</f>
        <v/>
      </c>
      <c r="Q2141" s="24" t="str">
        <f ca="1">IF(AND(L2141&lt;&gt;-1,L2140=-1),MAX($Q$8:Q2140)+1,"")</f>
        <v/>
      </c>
    </row>
    <row r="2142" spans="1:17" x14ac:dyDescent="0.3">
      <c r="A2142" s="3">
        <v>43335</v>
      </c>
      <c r="B2142" s="9">
        <v>25.687329999999999</v>
      </c>
      <c r="C2142" s="9">
        <v>21.296807999999999</v>
      </c>
      <c r="E2142" s="14">
        <f t="shared" si="235"/>
        <v>1.2061586881940243</v>
      </c>
      <c r="F2142" s="18">
        <f t="shared" ca="1" si="234"/>
        <v>0.26791510592560352</v>
      </c>
      <c r="G2142" s="15">
        <f t="shared" ca="1" si="232"/>
        <v>1.2025766387008761</v>
      </c>
      <c r="H2142" s="15">
        <f t="shared" ca="1" si="233"/>
        <v>1.3370091547368396E-2</v>
      </c>
      <c r="J2142" s="17">
        <f t="shared" ca="1" si="236"/>
        <v>1</v>
      </c>
      <c r="K2142" s="24">
        <f t="shared" ca="1" si="237"/>
        <v>0</v>
      </c>
      <c r="L2142" s="17">
        <f t="shared" ca="1" si="238"/>
        <v>1</v>
      </c>
      <c r="N2142" s="24" t="str">
        <f ca="1">IF(AND(L2142=1,L2141&lt;&gt;1),MAX($N$8:N2141)+1,"")</f>
        <v/>
      </c>
      <c r="O2142" s="24" t="str">
        <f ca="1">IF(AND(L2142&lt;&gt;1,L2141=1),MAX($O$8:O2141)+1,"")</f>
        <v/>
      </c>
      <c r="P2142" s="17" t="str">
        <f ca="1">IF(AND(L2142=-1,L2141&lt;&gt;-1),MAX($P$8:P2141)+1,"")</f>
        <v/>
      </c>
      <c r="Q2142" s="24" t="str">
        <f ca="1">IF(AND(L2142&lt;&gt;-1,L2141=-1),MAX($Q$8:Q2141)+1,"")</f>
        <v/>
      </c>
    </row>
    <row r="2143" spans="1:17" x14ac:dyDescent="0.3">
      <c r="A2143" s="3">
        <v>43336</v>
      </c>
      <c r="B2143" s="9">
        <v>25.880120999999999</v>
      </c>
      <c r="C2143" s="9">
        <v>21.486453999999998</v>
      </c>
      <c r="E2143" s="14">
        <f t="shared" si="235"/>
        <v>1.2044854399893068</v>
      </c>
      <c r="F2143" s="18">
        <f t="shared" ca="1" si="234"/>
        <v>0.14580174465534143</v>
      </c>
      <c r="G2143" s="15">
        <f t="shared" ref="G2143:G2206" ca="1" si="239">IF(ISNUMBER(E2143),IF(ROW(E2143)&gt;$J$1,AVERAGE(OFFSET(E2143,0,0,-$J$1)),""),"")</f>
        <v>1.2025370773523387</v>
      </c>
      <c r="H2143" s="15">
        <f t="shared" ref="H2143:H2206" ca="1" si="240">IF(ISNUMBER(E2143),IF(ROW(E2143)&gt;$J$1,_xlfn.STDEV.P(OFFSET(E2143,0,0,-$J$1)),""),"")</f>
        <v>1.3363095493636073E-2</v>
      </c>
      <c r="J2143" s="17">
        <f t="shared" ca="1" si="236"/>
        <v>1</v>
      </c>
      <c r="K2143" s="24">
        <f t="shared" ca="1" si="237"/>
        <v>0</v>
      </c>
      <c r="L2143" s="17">
        <f t="shared" ca="1" si="238"/>
        <v>1</v>
      </c>
      <c r="N2143" s="24" t="str">
        <f ca="1">IF(AND(L2143=1,L2142&lt;&gt;1),MAX($N$8:N2142)+1,"")</f>
        <v/>
      </c>
      <c r="O2143" s="24" t="str">
        <f ca="1">IF(AND(L2143&lt;&gt;1,L2142=1),MAX($O$8:O2142)+1,"")</f>
        <v/>
      </c>
      <c r="P2143" s="17" t="str">
        <f ca="1">IF(AND(L2143=-1,L2142&lt;&gt;-1),MAX($P$8:P2142)+1,"")</f>
        <v/>
      </c>
      <c r="Q2143" s="24" t="str">
        <f ca="1">IF(AND(L2143&lt;&gt;-1,L2142=-1),MAX($Q$8:Q2142)+1,"")</f>
        <v/>
      </c>
    </row>
    <row r="2144" spans="1:17" x14ac:dyDescent="0.3">
      <c r="A2144" s="3">
        <v>43339</v>
      </c>
      <c r="B2144" s="9">
        <v>26.738230000000001</v>
      </c>
      <c r="C2144" s="9">
        <v>22.063040000000001</v>
      </c>
      <c r="E2144" s="14">
        <f t="shared" si="235"/>
        <v>1.2119014424122878</v>
      </c>
      <c r="F2144" s="18">
        <f t="shared" ca="1" si="234"/>
        <v>0.73176866525073303</v>
      </c>
      <c r="G2144" s="15">
        <f t="shared" ca="1" si="239"/>
        <v>1.2022896252371815</v>
      </c>
      <c r="H2144" s="15">
        <f t="shared" ca="1" si="240"/>
        <v>1.3135048863854939E-2</v>
      </c>
      <c r="J2144" s="17">
        <f t="shared" ca="1" si="236"/>
        <v>1</v>
      </c>
      <c r="K2144" s="24">
        <f t="shared" ca="1" si="237"/>
        <v>0</v>
      </c>
      <c r="L2144" s="17">
        <f t="shared" ca="1" si="238"/>
        <v>1</v>
      </c>
      <c r="N2144" s="24" t="str">
        <f ca="1">IF(AND(L2144=1,L2143&lt;&gt;1),MAX($N$8:N2143)+1,"")</f>
        <v/>
      </c>
      <c r="O2144" s="24" t="str">
        <f ca="1">IF(AND(L2144&lt;&gt;1,L2143=1),MAX($O$8:O2143)+1,"")</f>
        <v/>
      </c>
      <c r="P2144" s="17" t="str">
        <f ca="1">IF(AND(L2144=-1,L2143&lt;&gt;-1),MAX($P$8:P2143)+1,"")</f>
        <v/>
      </c>
      <c r="Q2144" s="24" t="str">
        <f ca="1">IF(AND(L2144&lt;&gt;-1,L2143=-1),MAX($Q$8:Q2143)+1,"")</f>
        <v/>
      </c>
    </row>
    <row r="2145" spans="1:17" x14ac:dyDescent="0.3">
      <c r="A2145" s="3">
        <v>43340</v>
      </c>
      <c r="B2145" s="9">
        <v>26.551684999999999</v>
      </c>
      <c r="C2145" s="9">
        <v>21.926466000000001</v>
      </c>
      <c r="E2145" s="14">
        <f t="shared" si="235"/>
        <v>1.2109422922964419</v>
      </c>
      <c r="F2145" s="18">
        <f t="shared" ca="1" si="234"/>
        <v>0.65652326804117755</v>
      </c>
      <c r="G2145" s="15">
        <f t="shared" ca="1" si="239"/>
        <v>1.2023101833370484</v>
      </c>
      <c r="H2145" s="15">
        <f t="shared" ca="1" si="240"/>
        <v>1.3148214815216677E-2</v>
      </c>
      <c r="J2145" s="17">
        <f t="shared" ca="1" si="236"/>
        <v>1</v>
      </c>
      <c r="K2145" s="24">
        <f t="shared" ca="1" si="237"/>
        <v>0</v>
      </c>
      <c r="L2145" s="17">
        <f t="shared" ca="1" si="238"/>
        <v>1</v>
      </c>
      <c r="N2145" s="24" t="str">
        <f ca="1">IF(AND(L2145=1,L2144&lt;&gt;1),MAX($N$8:N2144)+1,"")</f>
        <v/>
      </c>
      <c r="O2145" s="24" t="str">
        <f ca="1">IF(AND(L2145&lt;&gt;1,L2144=1),MAX($O$8:O2144)+1,"")</f>
        <v/>
      </c>
      <c r="P2145" s="17" t="str">
        <f ca="1">IF(AND(L2145=-1,L2144&lt;&gt;-1),MAX($P$8:P2144)+1,"")</f>
        <v/>
      </c>
      <c r="Q2145" s="24" t="str">
        <f ca="1">IF(AND(L2145&lt;&gt;-1,L2144=-1),MAX($Q$8:Q2144)+1,"")</f>
        <v/>
      </c>
    </row>
    <row r="2146" spans="1:17" x14ac:dyDescent="0.3">
      <c r="A2146" s="3">
        <v>43341</v>
      </c>
      <c r="B2146" s="9">
        <v>26.993147</v>
      </c>
      <c r="C2146" s="9">
        <v>22.192045</v>
      </c>
      <c r="E2146" s="14">
        <f t="shared" si="235"/>
        <v>1.2163433788999616</v>
      </c>
      <c r="F2146" s="18">
        <f t="shared" ca="1" si="234"/>
        <v>1.0876883760199794</v>
      </c>
      <c r="G2146" s="15">
        <f t="shared" ca="1" si="239"/>
        <v>1.202192627182036</v>
      </c>
      <c r="H2146" s="15">
        <f t="shared" ca="1" si="240"/>
        <v>1.3009931916074498E-2</v>
      </c>
      <c r="J2146" s="17">
        <f t="shared" ca="1" si="236"/>
        <v>1</v>
      </c>
      <c r="K2146" s="24">
        <f t="shared" ca="1" si="237"/>
        <v>0</v>
      </c>
      <c r="L2146" s="17">
        <f t="shared" ca="1" si="238"/>
        <v>1</v>
      </c>
      <c r="N2146" s="24" t="str">
        <f ca="1">IF(AND(L2146=1,L2145&lt;&gt;1),MAX($N$8:N2145)+1,"")</f>
        <v/>
      </c>
      <c r="O2146" s="24" t="str">
        <f ca="1">IF(AND(L2146&lt;&gt;1,L2145=1),MAX($O$8:O2145)+1,"")</f>
        <v/>
      </c>
      <c r="P2146" s="17" t="str">
        <f ca="1">IF(AND(L2146=-1,L2145&lt;&gt;-1),MAX($P$8:P2145)+1,"")</f>
        <v/>
      </c>
      <c r="Q2146" s="24" t="str">
        <f ca="1">IF(AND(L2146&lt;&gt;-1,L2145=-1),MAX($Q$8:Q2145)+1,"")</f>
        <v/>
      </c>
    </row>
    <row r="2147" spans="1:17" x14ac:dyDescent="0.3">
      <c r="A2147" s="3">
        <v>43342</v>
      </c>
      <c r="B2147" s="9">
        <v>25.929838</v>
      </c>
      <c r="C2147" s="9">
        <v>21.243641</v>
      </c>
      <c r="E2147" s="14">
        <f t="shared" si="235"/>
        <v>1.2205929294323887</v>
      </c>
      <c r="F2147" s="18">
        <f t="shared" ca="1" si="234"/>
        <v>1.2816052112425218</v>
      </c>
      <c r="G2147" s="15">
        <f t="shared" ca="1" si="239"/>
        <v>1.2035487829171299</v>
      </c>
      <c r="H2147" s="15">
        <f t="shared" ca="1" si="240"/>
        <v>1.3299061493932675E-2</v>
      </c>
      <c r="J2147" s="17">
        <f t="shared" ca="1" si="236"/>
        <v>1</v>
      </c>
      <c r="K2147" s="24">
        <f t="shared" ca="1" si="237"/>
        <v>0</v>
      </c>
      <c r="L2147" s="17">
        <f t="shared" ca="1" si="238"/>
        <v>1</v>
      </c>
      <c r="N2147" s="24" t="str">
        <f ca="1">IF(AND(L2147=1,L2146&lt;&gt;1),MAX($N$8:N2146)+1,"")</f>
        <v/>
      </c>
      <c r="O2147" s="24" t="str">
        <f ca="1">IF(AND(L2147&lt;&gt;1,L2146=1),MAX($O$8:O2146)+1,"")</f>
        <v/>
      </c>
      <c r="P2147" s="17" t="str">
        <f ca="1">IF(AND(L2147=-1,L2146&lt;&gt;-1),MAX($P$8:P2146)+1,"")</f>
        <v/>
      </c>
      <c r="Q2147" s="24" t="str">
        <f ca="1">IF(AND(L2147&lt;&gt;-1,L2146=-1),MAX($Q$8:Q2146)+1,"")</f>
        <v/>
      </c>
    </row>
    <row r="2148" spans="1:17" x14ac:dyDescent="0.3">
      <c r="A2148" s="3">
        <v>43343</v>
      </c>
      <c r="B2148" s="9">
        <v>26.284272999999999</v>
      </c>
      <c r="C2148" s="9">
        <v>21.531969</v>
      </c>
      <c r="E2148" s="14">
        <f t="shared" si="235"/>
        <v>1.2207092161427502</v>
      </c>
      <c r="F2148" s="18">
        <f t="shared" ca="1" si="234"/>
        <v>1.1750311071232022</v>
      </c>
      <c r="G2148" s="15">
        <f t="shared" ca="1" si="239"/>
        <v>1.2049390360109156</v>
      </c>
      <c r="H2148" s="15">
        <f t="shared" ca="1" si="240"/>
        <v>1.342107458792673E-2</v>
      </c>
      <c r="J2148" s="17">
        <f t="shared" ca="1" si="236"/>
        <v>1</v>
      </c>
      <c r="K2148" s="24">
        <f t="shared" ca="1" si="237"/>
        <v>0</v>
      </c>
      <c r="L2148" s="17">
        <f t="shared" ca="1" si="238"/>
        <v>1</v>
      </c>
      <c r="N2148" s="24" t="str">
        <f ca="1">IF(AND(L2148=1,L2147&lt;&gt;1),MAX($N$8:N2147)+1,"")</f>
        <v/>
      </c>
      <c r="O2148" s="24" t="str">
        <f ca="1">IF(AND(L2148&lt;&gt;1,L2147=1),MAX($O$8:O2147)+1,"")</f>
        <v/>
      </c>
      <c r="P2148" s="17" t="str">
        <f ca="1">IF(AND(L2148=-1,L2147&lt;&gt;-1),MAX($P$8:P2147)+1,"")</f>
        <v/>
      </c>
      <c r="Q2148" s="24" t="str">
        <f ca="1">IF(AND(L2148&lt;&gt;-1,L2147=-1),MAX($Q$8:Q2147)+1,"")</f>
        <v/>
      </c>
    </row>
    <row r="2149" spans="1:17" x14ac:dyDescent="0.3">
      <c r="A2149" s="3">
        <v>43346</v>
      </c>
      <c r="B2149" s="9">
        <v>25.920382</v>
      </c>
      <c r="C2149" s="9">
        <v>21.342328999999999</v>
      </c>
      <c r="E2149" s="14">
        <f t="shared" si="235"/>
        <v>1.2145057833191495</v>
      </c>
      <c r="F2149" s="18">
        <f t="shared" ca="1" si="234"/>
        <v>0.64726533173977296</v>
      </c>
      <c r="G2149" s="15">
        <f t="shared" ca="1" si="239"/>
        <v>1.2058702179279552</v>
      </c>
      <c r="H2149" s="15">
        <f t="shared" ca="1" si="240"/>
        <v>1.3341615822344251E-2</v>
      </c>
      <c r="J2149" s="17">
        <f t="shared" ca="1" si="236"/>
        <v>1</v>
      </c>
      <c r="K2149" s="24">
        <f t="shared" ca="1" si="237"/>
        <v>0</v>
      </c>
      <c r="L2149" s="17">
        <f t="shared" ca="1" si="238"/>
        <v>1</v>
      </c>
      <c r="N2149" s="24" t="str">
        <f ca="1">IF(AND(L2149=1,L2148&lt;&gt;1),MAX($N$8:N2148)+1,"")</f>
        <v/>
      </c>
      <c r="O2149" s="24" t="str">
        <f ca="1">IF(AND(L2149&lt;&gt;1,L2148=1),MAX($O$8:O2148)+1,"")</f>
        <v/>
      </c>
      <c r="P2149" s="17" t="str">
        <f ca="1">IF(AND(L2149=-1,L2148&lt;&gt;-1),MAX($P$8:P2148)+1,"")</f>
        <v/>
      </c>
      <c r="Q2149" s="24" t="str">
        <f ca="1">IF(AND(L2149&lt;&gt;-1,L2148=-1),MAX($Q$8:Q2148)+1,"")</f>
        <v/>
      </c>
    </row>
    <row r="2150" spans="1:17" x14ac:dyDescent="0.3">
      <c r="A2150" s="3">
        <v>43347</v>
      </c>
      <c r="B2150" s="9">
        <v>25.696451</v>
      </c>
      <c r="C2150" s="9">
        <v>20.861934999999999</v>
      </c>
      <c r="E2150" s="14">
        <f t="shared" si="235"/>
        <v>1.2317386186851795</v>
      </c>
      <c r="F2150" s="18">
        <f t="shared" ca="1" si="234"/>
        <v>1.817117086338208</v>
      </c>
      <c r="G2150" s="15">
        <f t="shared" ca="1" si="239"/>
        <v>1.2083330563763026</v>
      </c>
      <c r="H2150" s="15">
        <f t="shared" ca="1" si="240"/>
        <v>1.2880602182902259E-2</v>
      </c>
      <c r="J2150" s="17">
        <f t="shared" ca="1" si="236"/>
        <v>1</v>
      </c>
      <c r="K2150" s="24">
        <f t="shared" ca="1" si="237"/>
        <v>0</v>
      </c>
      <c r="L2150" s="17">
        <f t="shared" ca="1" si="238"/>
        <v>1</v>
      </c>
      <c r="N2150" s="24" t="str">
        <f ca="1">IF(AND(L2150=1,L2149&lt;&gt;1),MAX($N$8:N2149)+1,"")</f>
        <v/>
      </c>
      <c r="O2150" s="24" t="str">
        <f ca="1">IF(AND(L2150&lt;&gt;1,L2149=1),MAX($O$8:O2149)+1,"")</f>
        <v/>
      </c>
      <c r="P2150" s="17" t="str">
        <f ca="1">IF(AND(L2150=-1,L2149&lt;&gt;-1),MAX($P$8:P2149)+1,"")</f>
        <v/>
      </c>
      <c r="Q2150" s="24" t="str">
        <f ca="1">IF(AND(L2150&lt;&gt;-1,L2149=-1),MAX($Q$8:Q2149)+1,"")</f>
        <v/>
      </c>
    </row>
    <row r="2151" spans="1:17" x14ac:dyDescent="0.3">
      <c r="A2151" s="3">
        <v>43348</v>
      </c>
      <c r="B2151" s="9">
        <v>25.845735999999999</v>
      </c>
      <c r="C2151" s="9">
        <v>20.991026000000002</v>
      </c>
      <c r="E2151" s="14">
        <f t="shared" si="235"/>
        <v>1.2312754983963146</v>
      </c>
      <c r="F2151" s="18">
        <f t="shared" ca="1" si="234"/>
        <v>1.7349290028347064</v>
      </c>
      <c r="G2151" s="15">
        <f t="shared" ca="1" si="239"/>
        <v>1.2107971496409156</v>
      </c>
      <c r="H2151" s="15">
        <f t="shared" ca="1" si="240"/>
        <v>1.1803565864620025E-2</v>
      </c>
      <c r="J2151" s="17">
        <f t="shared" ca="1" si="236"/>
        <v>1</v>
      </c>
      <c r="K2151" s="24">
        <f t="shared" ca="1" si="237"/>
        <v>0</v>
      </c>
      <c r="L2151" s="17">
        <f t="shared" ca="1" si="238"/>
        <v>1</v>
      </c>
      <c r="N2151" s="24" t="str">
        <f ca="1">IF(AND(L2151=1,L2150&lt;&gt;1),MAX($N$8:N2150)+1,"")</f>
        <v/>
      </c>
      <c r="O2151" s="24" t="str">
        <f ca="1">IF(AND(L2151&lt;&gt;1,L2150=1),MAX($O$8:O2150)+1,"")</f>
        <v/>
      </c>
      <c r="P2151" s="17" t="str">
        <f ca="1">IF(AND(L2151=-1,L2150&lt;&gt;-1),MAX($P$8:P2150)+1,"")</f>
        <v/>
      </c>
      <c r="Q2151" s="24" t="str">
        <f ca="1">IF(AND(L2151&lt;&gt;-1,L2150=-1),MAX($Q$8:Q2150)+1,"")</f>
        <v/>
      </c>
    </row>
    <row r="2152" spans="1:17" x14ac:dyDescent="0.3">
      <c r="A2152" s="3">
        <v>43349</v>
      </c>
      <c r="B2152" s="9">
        <v>26.498875000000002</v>
      </c>
      <c r="C2152" s="9">
        <v>21.590736</v>
      </c>
      <c r="E2152" s="14">
        <f t="shared" si="235"/>
        <v>1.2273261550694707</v>
      </c>
      <c r="F2152" s="18">
        <f t="shared" ca="1" si="234"/>
        <v>1.320013023508493</v>
      </c>
      <c r="G2152" s="15">
        <f t="shared" ca="1" si="239"/>
        <v>1.2125911101590872</v>
      </c>
      <c r="H2152" s="15">
        <f t="shared" ca="1" si="240"/>
        <v>1.1162802675400096E-2</v>
      </c>
      <c r="J2152" s="17">
        <f t="shared" ca="1" si="236"/>
        <v>1</v>
      </c>
      <c r="K2152" s="24">
        <f t="shared" ca="1" si="237"/>
        <v>0</v>
      </c>
      <c r="L2152" s="17">
        <f t="shared" ca="1" si="238"/>
        <v>1</v>
      </c>
      <c r="N2152" s="24" t="str">
        <f ca="1">IF(AND(L2152=1,L2151&lt;&gt;1),MAX($N$8:N2151)+1,"")</f>
        <v/>
      </c>
      <c r="O2152" s="24" t="str">
        <f ca="1">IF(AND(L2152&lt;&gt;1,L2151=1),MAX($O$8:O2151)+1,"")</f>
        <v/>
      </c>
      <c r="P2152" s="17" t="str">
        <f ca="1">IF(AND(L2152=-1,L2151&lt;&gt;-1),MAX($P$8:P2151)+1,"")</f>
        <v/>
      </c>
      <c r="Q2152" s="24" t="str">
        <f ca="1">IF(AND(L2152&lt;&gt;-1,L2151=-1),MAX($Q$8:Q2151)+1,"")</f>
        <v/>
      </c>
    </row>
    <row r="2153" spans="1:17" x14ac:dyDescent="0.3">
      <c r="A2153" s="3">
        <v>43353</v>
      </c>
      <c r="B2153" s="9">
        <v>26.741475999999999</v>
      </c>
      <c r="C2153" s="9">
        <v>21.674282000000002</v>
      </c>
      <c r="E2153" s="14">
        <f t="shared" si="235"/>
        <v>1.2337883211079379</v>
      </c>
      <c r="F2153" s="18">
        <f t="shared" ca="1" si="234"/>
        <v>1.7897445928597335</v>
      </c>
      <c r="G2153" s="15">
        <f t="shared" ca="1" si="239"/>
        <v>1.2146512074538875</v>
      </c>
      <c r="H2153" s="15">
        <f t="shared" ca="1" si="240"/>
        <v>1.0692650633167843E-2</v>
      </c>
      <c r="J2153" s="17">
        <f t="shared" ca="1" si="236"/>
        <v>1</v>
      </c>
      <c r="K2153" s="24">
        <f t="shared" ca="1" si="237"/>
        <v>0</v>
      </c>
      <c r="L2153" s="17">
        <f t="shared" ca="1" si="238"/>
        <v>1</v>
      </c>
      <c r="N2153" s="24" t="str">
        <f ca="1">IF(AND(L2153=1,L2152&lt;&gt;1),MAX($N$8:N2152)+1,"")</f>
        <v/>
      </c>
      <c r="O2153" s="24" t="str">
        <f ca="1">IF(AND(L2153&lt;&gt;1,L2152=1),MAX($O$8:O2152)+1,"")</f>
        <v/>
      </c>
      <c r="P2153" s="17" t="str">
        <f ca="1">IF(AND(L2153=-1,L2152&lt;&gt;-1),MAX($P$8:P2152)+1,"")</f>
        <v/>
      </c>
      <c r="Q2153" s="24" t="str">
        <f ca="1">IF(AND(L2153&lt;&gt;-1,L2152=-1),MAX($Q$8:Q2152)+1,"")</f>
        <v/>
      </c>
    </row>
    <row r="2154" spans="1:17" x14ac:dyDescent="0.3">
      <c r="A2154" s="3">
        <v>43354</v>
      </c>
      <c r="B2154" s="9">
        <v>25.820824000000002</v>
      </c>
      <c r="C2154" s="9">
        <v>21.021360000000001</v>
      </c>
      <c r="E2154" s="14">
        <f t="shared" si="235"/>
        <v>1.2283136771360179</v>
      </c>
      <c r="F2154" s="18">
        <f t="shared" ca="1" si="234"/>
        <v>1.1998050200378814</v>
      </c>
      <c r="G2154" s="15">
        <f t="shared" ca="1" si="239"/>
        <v>1.2161829602546805</v>
      </c>
      <c r="H2154" s="15">
        <f t="shared" ca="1" si="240"/>
        <v>1.0110573533818333E-2</v>
      </c>
      <c r="J2154" s="17">
        <f t="shared" ca="1" si="236"/>
        <v>1</v>
      </c>
      <c r="K2154" s="24">
        <f t="shared" ca="1" si="237"/>
        <v>0</v>
      </c>
      <c r="L2154" s="17">
        <f t="shared" ca="1" si="238"/>
        <v>1</v>
      </c>
      <c r="N2154" s="24" t="str">
        <f ca="1">IF(AND(L2154=1,L2153&lt;&gt;1),MAX($N$8:N2153)+1,"")</f>
        <v/>
      </c>
      <c r="O2154" s="24" t="str">
        <f ca="1">IF(AND(L2154&lt;&gt;1,L2153=1),MAX($O$8:O2153)+1,"")</f>
        <v/>
      </c>
      <c r="P2154" s="17" t="str">
        <f ca="1">IF(AND(L2154=-1,L2153&lt;&gt;-1),MAX($P$8:P2153)+1,"")</f>
        <v/>
      </c>
      <c r="Q2154" s="24" t="str">
        <f ca="1">IF(AND(L2154&lt;&gt;-1,L2153=-1),MAX($Q$8:Q2153)+1,"")</f>
        <v/>
      </c>
    </row>
    <row r="2155" spans="1:17" x14ac:dyDescent="0.3">
      <c r="A2155" s="3">
        <v>43355</v>
      </c>
      <c r="B2155" s="9">
        <v>25.895468000000001</v>
      </c>
      <c r="C2155" s="9">
        <v>21.028922999999999</v>
      </c>
      <c r="E2155" s="14">
        <f t="shared" si="235"/>
        <v>1.231421504563025</v>
      </c>
      <c r="F2155" s="18">
        <f t="shared" ca="1" si="234"/>
        <v>1.3606897913532983</v>
      </c>
      <c r="G2155" s="15">
        <f t="shared" ca="1" si="239"/>
        <v>1.2170874668726466</v>
      </c>
      <c r="H2155" s="15">
        <f t="shared" ca="1" si="240"/>
        <v>1.0534390557984764E-2</v>
      </c>
      <c r="J2155" s="17">
        <f t="shared" ca="1" si="236"/>
        <v>1</v>
      </c>
      <c r="K2155" s="24">
        <f t="shared" ca="1" si="237"/>
        <v>0</v>
      </c>
      <c r="L2155" s="17">
        <f t="shared" ca="1" si="238"/>
        <v>1</v>
      </c>
      <c r="N2155" s="24" t="str">
        <f ca="1">IF(AND(L2155=1,L2154&lt;&gt;1),MAX($N$8:N2154)+1,"")</f>
        <v/>
      </c>
      <c r="O2155" s="24" t="str">
        <f ca="1">IF(AND(L2155&lt;&gt;1,L2154=1),MAX($O$8:O2154)+1,"")</f>
        <v/>
      </c>
      <c r="P2155" s="17" t="str">
        <f ca="1">IF(AND(L2155=-1,L2154&lt;&gt;-1),MAX($P$8:P2154)+1,"")</f>
        <v/>
      </c>
      <c r="Q2155" s="24" t="str">
        <f ca="1">IF(AND(L2155&lt;&gt;-1,L2154=-1),MAX($Q$8:Q2154)+1,"")</f>
        <v/>
      </c>
    </row>
    <row r="2156" spans="1:17" x14ac:dyDescent="0.3">
      <c r="A2156" s="3">
        <v>43356</v>
      </c>
      <c r="B2156" s="9">
        <v>25.752431999999999</v>
      </c>
      <c r="C2156" s="9">
        <v>20.945477</v>
      </c>
      <c r="E2156" s="14">
        <f t="shared" si="235"/>
        <v>1.2294984735845356</v>
      </c>
      <c r="F2156" s="18">
        <f t="shared" ca="1" si="234"/>
        <v>1.1027107115484858</v>
      </c>
      <c r="G2156" s="15">
        <f t="shared" ca="1" si="239"/>
        <v>1.2185291409594863</v>
      </c>
      <c r="H2156" s="15">
        <f t="shared" ca="1" si="240"/>
        <v>9.9476068475344362E-3</v>
      </c>
      <c r="J2156" s="17">
        <f t="shared" ca="1" si="236"/>
        <v>1</v>
      </c>
      <c r="K2156" s="24">
        <f t="shared" ca="1" si="237"/>
        <v>0</v>
      </c>
      <c r="L2156" s="17">
        <f t="shared" ca="1" si="238"/>
        <v>1</v>
      </c>
      <c r="N2156" s="24" t="str">
        <f ca="1">IF(AND(L2156=1,L2155&lt;&gt;1),MAX($N$8:N2155)+1,"")</f>
        <v/>
      </c>
      <c r="O2156" s="24" t="str">
        <f ca="1">IF(AND(L2156&lt;&gt;1,L2155=1),MAX($O$8:O2155)+1,"")</f>
        <v/>
      </c>
      <c r="P2156" s="17" t="str">
        <f ca="1">IF(AND(L2156=-1,L2155&lt;&gt;-1),MAX($P$8:P2155)+1,"")</f>
        <v/>
      </c>
      <c r="Q2156" s="24" t="str">
        <f ca="1">IF(AND(L2156&lt;&gt;-1,L2155=-1),MAX($Q$8:Q2155)+1,"")</f>
        <v/>
      </c>
    </row>
    <row r="2157" spans="1:17" x14ac:dyDescent="0.3">
      <c r="A2157" s="3">
        <v>43357</v>
      </c>
      <c r="B2157" s="9">
        <v>26.206548999999999</v>
      </c>
      <c r="C2157" s="9">
        <v>21.036579</v>
      </c>
      <c r="E2157" s="14">
        <f t="shared" si="235"/>
        <v>1.2457609671230288</v>
      </c>
      <c r="F2157" s="18">
        <f t="shared" ca="1" si="234"/>
        <v>2.3400076107422758</v>
      </c>
      <c r="G2157" s="15">
        <f t="shared" ca="1" si="239"/>
        <v>1.2205153369507509</v>
      </c>
      <c r="H2157" s="15">
        <f t="shared" ca="1" si="240"/>
        <v>1.0788695753117526E-2</v>
      </c>
      <c r="J2157" s="17">
        <f t="shared" ca="1" si="236"/>
        <v>1</v>
      </c>
      <c r="K2157" s="24">
        <f t="shared" ca="1" si="237"/>
        <v>0</v>
      </c>
      <c r="L2157" s="17">
        <f t="shared" ca="1" si="238"/>
        <v>1</v>
      </c>
      <c r="N2157" s="24" t="str">
        <f ca="1">IF(AND(L2157=1,L2156&lt;&gt;1),MAX($N$8:N2156)+1,"")</f>
        <v/>
      </c>
      <c r="O2157" s="24" t="str">
        <f ca="1">IF(AND(L2157&lt;&gt;1,L2156=1),MAX($O$8:O2156)+1,"")</f>
        <v/>
      </c>
      <c r="P2157" s="17" t="str">
        <f ca="1">IF(AND(L2157=-1,L2156&lt;&gt;-1),MAX($P$8:P2156)+1,"")</f>
        <v/>
      </c>
      <c r="Q2157" s="24" t="str">
        <f ca="1">IF(AND(L2157&lt;&gt;-1,L2156=-1),MAX($Q$8:Q2156)+1,"")</f>
        <v/>
      </c>
    </row>
    <row r="2158" spans="1:17" x14ac:dyDescent="0.3">
      <c r="A2158" s="3">
        <v>43360</v>
      </c>
      <c r="B2158" s="9">
        <v>26.828526</v>
      </c>
      <c r="C2158" s="9">
        <v>21.636288</v>
      </c>
      <c r="E2158" s="14">
        <f t="shared" si="235"/>
        <v>1.2399782254700991</v>
      </c>
      <c r="F2158" s="18">
        <f t="shared" ca="1" si="234"/>
        <v>1.6127455242723576</v>
      </c>
      <c r="G2158" s="15">
        <f t="shared" ca="1" si="239"/>
        <v>1.221945454682078</v>
      </c>
      <c r="H2158" s="15">
        <f t="shared" ca="1" si="240"/>
        <v>1.1181411150501926E-2</v>
      </c>
      <c r="J2158" s="17">
        <f t="shared" ca="1" si="236"/>
        <v>1</v>
      </c>
      <c r="K2158" s="24">
        <f t="shared" ca="1" si="237"/>
        <v>0</v>
      </c>
      <c r="L2158" s="17">
        <f t="shared" ca="1" si="238"/>
        <v>1</v>
      </c>
      <c r="N2158" s="24" t="str">
        <f ca="1">IF(AND(L2158=1,L2157&lt;&gt;1),MAX($N$8:N2157)+1,"")</f>
        <v/>
      </c>
      <c r="O2158" s="24" t="str">
        <f ca="1">IF(AND(L2158&lt;&gt;1,L2157=1),MAX($O$8:O2157)+1,"")</f>
        <v/>
      </c>
      <c r="P2158" s="17" t="str">
        <f ca="1">IF(AND(L2158=-1,L2157&lt;&gt;-1),MAX($P$8:P2157)+1,"")</f>
        <v/>
      </c>
      <c r="Q2158" s="24" t="str">
        <f ca="1">IF(AND(L2158&lt;&gt;-1,L2157=-1),MAX($Q$8:Q2157)+1,"")</f>
        <v/>
      </c>
    </row>
    <row r="2159" spans="1:17" x14ac:dyDescent="0.3">
      <c r="A2159" s="3">
        <v>43361</v>
      </c>
      <c r="B2159" s="9">
        <v>26.803702999999999</v>
      </c>
      <c r="C2159" s="9">
        <v>21.810918999999998</v>
      </c>
      <c r="E2159" s="14">
        <f t="shared" si="235"/>
        <v>1.228912133413544</v>
      </c>
      <c r="F2159" s="18">
        <f t="shared" ca="1" si="234"/>
        <v>0.55406629501680249</v>
      </c>
      <c r="G2159" s="15">
        <f t="shared" ca="1" si="239"/>
        <v>1.2229471808409196</v>
      </c>
      <c r="H2159" s="15">
        <f t="shared" ca="1" si="240"/>
        <v>1.0765774107308808E-2</v>
      </c>
      <c r="J2159" s="17">
        <f t="shared" ca="1" si="236"/>
        <v>1</v>
      </c>
      <c r="K2159" s="24">
        <f t="shared" ca="1" si="237"/>
        <v>0</v>
      </c>
      <c r="L2159" s="17">
        <f t="shared" ca="1" si="238"/>
        <v>1</v>
      </c>
      <c r="N2159" s="24" t="str">
        <f ca="1">IF(AND(L2159=1,L2158&lt;&gt;1),MAX($N$8:N2158)+1,"")</f>
        <v/>
      </c>
      <c r="O2159" s="24" t="str">
        <f ca="1">IF(AND(L2159&lt;&gt;1,L2158=1),MAX($O$8:O2158)+1,"")</f>
        <v/>
      </c>
      <c r="P2159" s="17" t="str">
        <f ca="1">IF(AND(L2159=-1,L2158&lt;&gt;-1),MAX($P$8:P2158)+1,"")</f>
        <v/>
      </c>
      <c r="Q2159" s="24" t="str">
        <f ca="1">IF(AND(L2159&lt;&gt;-1,L2158=-1),MAX($Q$8:Q2158)+1,"")</f>
        <v/>
      </c>
    </row>
    <row r="2160" spans="1:17" x14ac:dyDescent="0.3">
      <c r="A2160" s="3">
        <v>43362</v>
      </c>
      <c r="B2160" s="9">
        <v>26.990320000000001</v>
      </c>
      <c r="C2160" s="9">
        <v>21.909587999999999</v>
      </c>
      <c r="E2160" s="14">
        <f t="shared" si="235"/>
        <v>1.2318953692785095</v>
      </c>
      <c r="F2160" s="18">
        <f t="shared" ca="1" si="234"/>
        <v>0.75655198685529657</v>
      </c>
      <c r="G2160" s="15">
        <f t="shared" ca="1" si="239"/>
        <v>1.2238090778619732</v>
      </c>
      <c r="H2160" s="15">
        <f t="shared" ca="1" si="240"/>
        <v>1.0688348662129565E-2</v>
      </c>
      <c r="J2160" s="17">
        <f t="shared" ca="1" si="236"/>
        <v>1</v>
      </c>
      <c r="K2160" s="24">
        <f t="shared" ca="1" si="237"/>
        <v>0</v>
      </c>
      <c r="L2160" s="17">
        <f t="shared" ca="1" si="238"/>
        <v>1</v>
      </c>
      <c r="N2160" s="24" t="str">
        <f ca="1">IF(AND(L2160=1,L2159&lt;&gt;1),MAX($N$8:N2159)+1,"")</f>
        <v/>
      </c>
      <c r="O2160" s="24" t="str">
        <f ca="1">IF(AND(L2160&lt;&gt;1,L2159=1),MAX($O$8:O2159)+1,"")</f>
        <v/>
      </c>
      <c r="P2160" s="17" t="str">
        <f ca="1">IF(AND(L2160=-1,L2159&lt;&gt;-1),MAX($P$8:P2159)+1,"")</f>
        <v/>
      </c>
      <c r="Q2160" s="24" t="str">
        <f ca="1">IF(AND(L2160&lt;&gt;-1,L2159=-1),MAX($Q$8:Q2159)+1,"")</f>
        <v/>
      </c>
    </row>
    <row r="2161" spans="1:17" x14ac:dyDescent="0.3">
      <c r="A2161" s="3">
        <v>43363</v>
      </c>
      <c r="B2161" s="9">
        <v>26.816116000000001</v>
      </c>
      <c r="C2161" s="9">
        <v>21.864035000000001</v>
      </c>
      <c r="E2161" s="14">
        <f t="shared" si="235"/>
        <v>1.2264943776388941</v>
      </c>
      <c r="F2161" s="18">
        <f t="shared" ca="1" si="234"/>
        <v>0.18957595839032826</v>
      </c>
      <c r="G2161" s="15">
        <f t="shared" ca="1" si="239"/>
        <v>1.2245449981965617</v>
      </c>
      <c r="H2161" s="15">
        <f t="shared" ca="1" si="240"/>
        <v>1.0282841025225036E-2</v>
      </c>
      <c r="J2161" s="17">
        <f t="shared" ca="1" si="236"/>
        <v>1</v>
      </c>
      <c r="K2161" s="24">
        <f t="shared" ca="1" si="237"/>
        <v>0</v>
      </c>
      <c r="L2161" s="17">
        <f t="shared" ca="1" si="238"/>
        <v>1</v>
      </c>
      <c r="N2161" s="24" t="str">
        <f ca="1">IF(AND(L2161=1,L2160&lt;&gt;1),MAX($N$8:N2160)+1,"")</f>
        <v/>
      </c>
      <c r="O2161" s="24" t="str">
        <f ca="1">IF(AND(L2161&lt;&gt;1,L2160=1),MAX($O$8:O2160)+1,"")</f>
        <v/>
      </c>
      <c r="P2161" s="17" t="str">
        <f ca="1">IF(AND(L2161=-1,L2160&lt;&gt;-1),MAX($P$8:P2160)+1,"")</f>
        <v/>
      </c>
      <c r="Q2161" s="24" t="str">
        <f ca="1">IF(AND(L2161&lt;&gt;-1,L2160=-1),MAX($Q$8:Q2160)+1,"")</f>
        <v/>
      </c>
    </row>
    <row r="2162" spans="1:17" x14ac:dyDescent="0.3">
      <c r="A2162" s="3">
        <v>43364</v>
      </c>
      <c r="B2162" s="9">
        <v>27.270237000000002</v>
      </c>
      <c r="C2162" s="9">
        <v>22.213224</v>
      </c>
      <c r="E2162" s="14">
        <f t="shared" si="235"/>
        <v>1.2276577681834928</v>
      </c>
      <c r="F2162" s="18">
        <f t="shared" ca="1" si="234"/>
        <v>0.28780849800577424</v>
      </c>
      <c r="G2162" s="15">
        <f t="shared" ca="1" si="239"/>
        <v>1.2246924364669767</v>
      </c>
      <c r="H2162" s="15">
        <f t="shared" ca="1" si="240"/>
        <v>1.0303141627376989E-2</v>
      </c>
      <c r="J2162" s="17">
        <f t="shared" ca="1" si="236"/>
        <v>1</v>
      </c>
      <c r="K2162" s="24">
        <f t="shared" ca="1" si="237"/>
        <v>0</v>
      </c>
      <c r="L2162" s="17">
        <f t="shared" ca="1" si="238"/>
        <v>1</v>
      </c>
      <c r="N2162" s="24" t="str">
        <f ca="1">IF(AND(L2162=1,L2161&lt;&gt;1),MAX($N$8:N2161)+1,"")</f>
        <v/>
      </c>
      <c r="O2162" s="24" t="str">
        <f ca="1">IF(AND(L2162&lt;&gt;1,L2161=1),MAX($O$8:O2161)+1,"")</f>
        <v/>
      </c>
      <c r="P2162" s="17" t="str">
        <f ca="1">IF(AND(L2162=-1,L2161&lt;&gt;-1),MAX($P$8:P2161)+1,"")</f>
        <v/>
      </c>
      <c r="Q2162" s="24" t="str">
        <f ca="1">IF(AND(L2162&lt;&gt;-1,L2161=-1),MAX($Q$8:Q2161)+1,"")</f>
        <v/>
      </c>
    </row>
    <row r="2163" spans="1:17" x14ac:dyDescent="0.3">
      <c r="A2163" s="3">
        <v>43367</v>
      </c>
      <c r="B2163" s="9">
        <v>26.592179999999999</v>
      </c>
      <c r="C2163" s="9">
        <v>21.621068999999999</v>
      </c>
      <c r="E2163" s="14">
        <f t="shared" si="235"/>
        <v>1.2299197602116714</v>
      </c>
      <c r="F2163" s="18">
        <f t="shared" ca="1" si="234"/>
        <v>0.47672112136499128</v>
      </c>
      <c r="G2163" s="15">
        <f t="shared" ca="1" si="239"/>
        <v>1.2249827282067285</v>
      </c>
      <c r="H2163" s="15">
        <f t="shared" ca="1" si="240"/>
        <v>1.0356226698759912E-2</v>
      </c>
      <c r="J2163" s="17">
        <f t="shared" ca="1" si="236"/>
        <v>1</v>
      </c>
      <c r="K2163" s="24">
        <f t="shared" ca="1" si="237"/>
        <v>0</v>
      </c>
      <c r="L2163" s="17">
        <f t="shared" ca="1" si="238"/>
        <v>1</v>
      </c>
      <c r="N2163" s="24" t="str">
        <f ca="1">IF(AND(L2163=1,L2162&lt;&gt;1),MAX($N$8:N2162)+1,"")</f>
        <v/>
      </c>
      <c r="O2163" s="24" t="str">
        <f ca="1">IF(AND(L2163&lt;&gt;1,L2162=1),MAX($O$8:O2162)+1,"")</f>
        <v/>
      </c>
      <c r="P2163" s="17" t="str">
        <f ca="1">IF(AND(L2163=-1,L2162&lt;&gt;-1),MAX($P$8:P2162)+1,"")</f>
        <v/>
      </c>
      <c r="Q2163" s="24" t="str">
        <f ca="1">IF(AND(L2163&lt;&gt;-1,L2162=-1),MAX($Q$8:Q2162)+1,"")</f>
        <v/>
      </c>
    </row>
    <row r="2164" spans="1:17" x14ac:dyDescent="0.3">
      <c r="A2164" s="3">
        <v>43368</v>
      </c>
      <c r="B2164" s="9">
        <v>26.654416999999999</v>
      </c>
      <c r="C2164" s="9">
        <v>21.636288</v>
      </c>
      <c r="E2164" s="14">
        <f t="shared" si="235"/>
        <v>1.2319311427172719</v>
      </c>
      <c r="F2164" s="18">
        <f t="shared" ca="1" si="234"/>
        <v>0.60239535475378136</v>
      </c>
      <c r="G2164" s="15">
        <f t="shared" ca="1" si="239"/>
        <v>1.2261542034123309</v>
      </c>
      <c r="H2164" s="15">
        <f t="shared" ca="1" si="240"/>
        <v>9.5899466344692621E-3</v>
      </c>
      <c r="J2164" s="17">
        <f t="shared" ca="1" si="236"/>
        <v>1</v>
      </c>
      <c r="K2164" s="24">
        <f t="shared" ca="1" si="237"/>
        <v>0</v>
      </c>
      <c r="L2164" s="17">
        <f t="shared" ca="1" si="238"/>
        <v>1</v>
      </c>
      <c r="N2164" s="24" t="str">
        <f ca="1">IF(AND(L2164=1,L2163&lt;&gt;1),MAX($N$8:N2163)+1,"")</f>
        <v/>
      </c>
      <c r="O2164" s="24" t="str">
        <f ca="1">IF(AND(L2164&lt;&gt;1,L2163=1),MAX($O$8:O2163)+1,"")</f>
        <v/>
      </c>
      <c r="P2164" s="17" t="str">
        <f ca="1">IF(AND(L2164=-1,L2163&lt;&gt;-1),MAX($P$8:P2163)+1,"")</f>
        <v/>
      </c>
      <c r="Q2164" s="24" t="str">
        <f ca="1">IF(AND(L2164&lt;&gt;-1,L2163=-1),MAX($Q$8:Q2163)+1,"")</f>
        <v/>
      </c>
    </row>
    <row r="2165" spans="1:17" x14ac:dyDescent="0.3">
      <c r="A2165" s="3">
        <v>43369</v>
      </c>
      <c r="B2165" s="9">
        <v>26.946745</v>
      </c>
      <c r="C2165" s="9">
        <v>21.689398000000001</v>
      </c>
      <c r="E2165" s="14">
        <f t="shared" si="235"/>
        <v>1.2423924813404226</v>
      </c>
      <c r="F2165" s="18">
        <f t="shared" ca="1" si="234"/>
        <v>1.6265036411973102</v>
      </c>
      <c r="G2165" s="15">
        <f t="shared" ca="1" si="239"/>
        <v>1.2278772507464728</v>
      </c>
      <c r="H2165" s="15">
        <f t="shared" ca="1" si="240"/>
        <v>8.9241918839263971E-3</v>
      </c>
      <c r="J2165" s="17">
        <f t="shared" ca="1" si="236"/>
        <v>1</v>
      </c>
      <c r="K2165" s="24">
        <f t="shared" ca="1" si="237"/>
        <v>0</v>
      </c>
      <c r="L2165" s="17">
        <f t="shared" ca="1" si="238"/>
        <v>1</v>
      </c>
      <c r="N2165" s="24" t="str">
        <f ca="1">IF(AND(L2165=1,L2164&lt;&gt;1),MAX($N$8:N2164)+1,"")</f>
        <v/>
      </c>
      <c r="O2165" s="24" t="str">
        <f ca="1">IF(AND(L2165&lt;&gt;1,L2164=1),MAX($O$8:O2164)+1,"")</f>
        <v/>
      </c>
      <c r="P2165" s="17" t="str">
        <f ca="1">IF(AND(L2165=-1,L2164&lt;&gt;-1),MAX($P$8:P2164)+1,"")</f>
        <v/>
      </c>
      <c r="Q2165" s="24" t="str">
        <f ca="1">IF(AND(L2165&lt;&gt;-1,L2164=-1),MAX($Q$8:Q2164)+1,"")</f>
        <v/>
      </c>
    </row>
    <row r="2166" spans="1:17" x14ac:dyDescent="0.3">
      <c r="A2166" s="3">
        <v>43370</v>
      </c>
      <c r="B2166" s="9">
        <v>27.686947</v>
      </c>
      <c r="C2166" s="9">
        <v>22.182886</v>
      </c>
      <c r="E2166" s="14">
        <f t="shared" si="235"/>
        <v>1.2481219531128638</v>
      </c>
      <c r="F2166" s="18">
        <f t="shared" ca="1" si="234"/>
        <v>2.0297396667988119</v>
      </c>
      <c r="G2166" s="15">
        <f t="shared" ca="1" si="239"/>
        <v>1.2295236375964989</v>
      </c>
      <c r="H2166" s="15">
        <f t="shared" ca="1" si="240"/>
        <v>9.1629068597240924E-3</v>
      </c>
      <c r="J2166" s="17">
        <f t="shared" ca="1" si="236"/>
        <v>1</v>
      </c>
      <c r="K2166" s="24">
        <f t="shared" ca="1" si="237"/>
        <v>0</v>
      </c>
      <c r="L2166" s="17">
        <f t="shared" ca="1" si="238"/>
        <v>1</v>
      </c>
      <c r="N2166" s="24" t="str">
        <f ca="1">IF(AND(L2166=1,L2165&lt;&gt;1),MAX($N$8:N2165)+1,"")</f>
        <v/>
      </c>
      <c r="O2166" s="24" t="str">
        <f ca="1">IF(AND(L2166&lt;&gt;1,L2165=1),MAX($O$8:O2165)+1,"")</f>
        <v/>
      </c>
      <c r="P2166" s="17" t="str">
        <f ca="1">IF(AND(L2166=-1,L2165&lt;&gt;-1),MAX($P$8:P2165)+1,"")</f>
        <v/>
      </c>
      <c r="Q2166" s="24" t="str">
        <f ca="1">IF(AND(L2166&lt;&gt;-1,L2165=-1),MAX($Q$8:Q2165)+1,"")</f>
        <v/>
      </c>
    </row>
    <row r="2167" spans="1:17" x14ac:dyDescent="0.3">
      <c r="A2167" s="3">
        <v>43371</v>
      </c>
      <c r="B2167" s="9">
        <v>27.450602</v>
      </c>
      <c r="C2167" s="9">
        <v>21.765378999999999</v>
      </c>
      <c r="E2167" s="14">
        <f t="shared" si="235"/>
        <v>1.2612048703585634</v>
      </c>
      <c r="F2167" s="18">
        <f t="shared" ca="1" si="234"/>
        <v>2.8199786489180263</v>
      </c>
      <c r="G2167" s="15">
        <f t="shared" ca="1" si="239"/>
        <v>1.2318083002356861</v>
      </c>
      <c r="H2167" s="15">
        <f t="shared" ca="1" si="240"/>
        <v>1.0424394572688078E-2</v>
      </c>
      <c r="J2167" s="17">
        <f t="shared" ca="1" si="236"/>
        <v>1</v>
      </c>
      <c r="K2167" s="24">
        <f t="shared" ca="1" si="237"/>
        <v>0</v>
      </c>
      <c r="L2167" s="17">
        <f t="shared" ca="1" si="238"/>
        <v>1</v>
      </c>
      <c r="N2167" s="24" t="str">
        <f ca="1">IF(AND(L2167=1,L2166&lt;&gt;1),MAX($N$8:N2166)+1,"")</f>
        <v/>
      </c>
      <c r="O2167" s="24" t="str">
        <f ca="1">IF(AND(L2167&lt;&gt;1,L2166=1),MAX($O$8:O2166)+1,"")</f>
        <v/>
      </c>
      <c r="P2167" s="17" t="str">
        <f ca="1">IF(AND(L2167=-1,L2166&lt;&gt;-1),MAX($P$8:P2166)+1,"")</f>
        <v/>
      </c>
      <c r="Q2167" s="24" t="str">
        <f ca="1">IF(AND(L2167&lt;&gt;-1,L2166=-1),MAX($Q$8:Q2166)+1,"")</f>
        <v/>
      </c>
    </row>
    <row r="2168" spans="1:17" x14ac:dyDescent="0.3">
      <c r="A2168" s="3">
        <v>43374</v>
      </c>
      <c r="B2168" s="9">
        <v>27.142589999999998</v>
      </c>
      <c r="C2168" s="9">
        <v>21.522407999999999</v>
      </c>
      <c r="E2168" s="14">
        <f t="shared" si="235"/>
        <v>1.2611316540416853</v>
      </c>
      <c r="F2168" s="18">
        <f t="shared" ca="1" si="234"/>
        <v>2.3684728780458384</v>
      </c>
      <c r="G2168" s="15">
        <f t="shared" ca="1" si="239"/>
        <v>1.2338441309239465</v>
      </c>
      <c r="H2168" s="15">
        <f t="shared" ca="1" si="240"/>
        <v>1.1521146545808422E-2</v>
      </c>
      <c r="J2168" s="17">
        <f t="shared" ca="1" si="236"/>
        <v>1</v>
      </c>
      <c r="K2168" s="24">
        <f t="shared" ca="1" si="237"/>
        <v>0</v>
      </c>
      <c r="L2168" s="17">
        <f t="shared" ca="1" si="238"/>
        <v>1</v>
      </c>
      <c r="N2168" s="24" t="str">
        <f ca="1">IF(AND(L2168=1,L2167&lt;&gt;1),MAX($N$8:N2167)+1,"")</f>
        <v/>
      </c>
      <c r="O2168" s="24" t="str">
        <f ca="1">IF(AND(L2168&lt;&gt;1,L2167=1),MAX($O$8:O2167)+1,"")</f>
        <v/>
      </c>
      <c r="P2168" s="17" t="str">
        <f ca="1">IF(AND(L2168=-1,L2167&lt;&gt;-1),MAX($P$8:P2167)+1,"")</f>
        <v/>
      </c>
      <c r="Q2168" s="24" t="str">
        <f ca="1">IF(AND(L2168&lt;&gt;-1,L2167=-1),MAX($Q$8:Q2167)+1,"")</f>
        <v/>
      </c>
    </row>
    <row r="2169" spans="1:17" x14ac:dyDescent="0.3">
      <c r="A2169" s="3">
        <v>43375</v>
      </c>
      <c r="B2169" s="9">
        <v>28.187963</v>
      </c>
      <c r="C2169" s="9">
        <v>22.788903999999999</v>
      </c>
      <c r="E2169" s="14">
        <f t="shared" si="235"/>
        <v>1.2369161325178255</v>
      </c>
      <c r="F2169" s="18">
        <f t="shared" ca="1" si="234"/>
        <v>0.20871093734326959</v>
      </c>
      <c r="G2169" s="15">
        <f t="shared" ca="1" si="239"/>
        <v>1.2345860947005571</v>
      </c>
      <c r="H2169" s="15">
        <f t="shared" ca="1" si="240"/>
        <v>1.1163946877571287E-2</v>
      </c>
      <c r="J2169" s="17">
        <f t="shared" ca="1" si="236"/>
        <v>1</v>
      </c>
      <c r="K2169" s="24">
        <f t="shared" ca="1" si="237"/>
        <v>0</v>
      </c>
      <c r="L2169" s="17">
        <f t="shared" ca="1" si="238"/>
        <v>1</v>
      </c>
      <c r="N2169" s="24" t="str">
        <f ca="1">IF(AND(L2169=1,L2168&lt;&gt;1),MAX($N$8:N2168)+1,"")</f>
        <v/>
      </c>
      <c r="O2169" s="24" t="str">
        <f ca="1">IF(AND(L2169&lt;&gt;1,L2168=1),MAX($O$8:O2168)+1,"")</f>
        <v/>
      </c>
      <c r="P2169" s="17" t="str">
        <f ca="1">IF(AND(L2169=-1,L2168&lt;&gt;-1),MAX($P$8:P2168)+1,"")</f>
        <v/>
      </c>
      <c r="Q2169" s="24" t="str">
        <f ca="1">IF(AND(L2169&lt;&gt;-1,L2168=-1),MAX($Q$8:Q2168)+1,"")</f>
        <v/>
      </c>
    </row>
    <row r="2170" spans="1:17" x14ac:dyDescent="0.3">
      <c r="A2170" s="3">
        <v>43376</v>
      </c>
      <c r="B2170" s="9">
        <v>29.463614</v>
      </c>
      <c r="C2170" s="9">
        <v>23.776394</v>
      </c>
      <c r="E2170" s="14">
        <f t="shared" si="235"/>
        <v>1.2391960698497846</v>
      </c>
      <c r="F2170" s="18">
        <f t="shared" ca="1" si="234"/>
        <v>0.34979270760675024</v>
      </c>
      <c r="G2170" s="15">
        <f t="shared" ca="1" si="239"/>
        <v>1.2354264062326952</v>
      </c>
      <c r="H2170" s="15">
        <f t="shared" ca="1" si="240"/>
        <v>1.0776850217607759E-2</v>
      </c>
      <c r="J2170" s="17">
        <f t="shared" ca="1" si="236"/>
        <v>1</v>
      </c>
      <c r="K2170" s="24">
        <f t="shared" ca="1" si="237"/>
        <v>0</v>
      </c>
      <c r="L2170" s="17">
        <f t="shared" ca="1" si="238"/>
        <v>1</v>
      </c>
      <c r="N2170" s="24" t="str">
        <f ca="1">IF(AND(L2170=1,L2169&lt;&gt;1),MAX($N$8:N2169)+1,"")</f>
        <v/>
      </c>
      <c r="O2170" s="24" t="str">
        <f ca="1">IF(AND(L2170&lt;&gt;1,L2169=1),MAX($O$8:O2169)+1,"")</f>
        <v/>
      </c>
      <c r="P2170" s="17" t="str">
        <f ca="1">IF(AND(L2170=-1,L2169&lt;&gt;-1),MAX($P$8:P2169)+1,"")</f>
        <v/>
      </c>
      <c r="Q2170" s="24" t="str">
        <f ca="1">IF(AND(L2170&lt;&gt;-1,L2169=-1),MAX($Q$8:Q2169)+1,"")</f>
        <v/>
      </c>
    </row>
    <row r="2171" spans="1:17" x14ac:dyDescent="0.3">
      <c r="A2171" s="3">
        <v>43377</v>
      </c>
      <c r="B2171" s="9">
        <v>29.494696000000001</v>
      </c>
      <c r="C2171" s="9">
        <v>23.890332999999998</v>
      </c>
      <c r="E2171" s="14">
        <f t="shared" si="235"/>
        <v>1.2345870607998644</v>
      </c>
      <c r="F2171" s="18">
        <f t="shared" ca="1" si="234"/>
        <v>-0.17934513478988517</v>
      </c>
      <c r="G2171" s="15">
        <f t="shared" ca="1" si="239"/>
        <v>1.2363391915727278</v>
      </c>
      <c r="H2171" s="15">
        <f t="shared" ca="1" si="240"/>
        <v>9.7696030333699387E-3</v>
      </c>
      <c r="J2171" s="17">
        <f t="shared" ca="1" si="236"/>
        <v>0</v>
      </c>
      <c r="K2171" s="24">
        <f t="shared" ca="1" si="237"/>
        <v>0</v>
      </c>
      <c r="L2171" s="17">
        <f t="shared" ca="1" si="238"/>
        <v>0</v>
      </c>
      <c r="N2171" s="24" t="str">
        <f ca="1">IF(AND(L2171=1,L2170&lt;&gt;1),MAX($N$8:N2170)+1,"")</f>
        <v/>
      </c>
      <c r="O2171" s="24">
        <f ca="1">IF(AND(L2171&lt;&gt;1,L2170=1),MAX($O$8:O2170)+1,"")</f>
        <v>71</v>
      </c>
      <c r="P2171" s="17" t="str">
        <f ca="1">IF(AND(L2171=-1,L2170&lt;&gt;-1),MAX($P$8:P2170)+1,"")</f>
        <v/>
      </c>
      <c r="Q2171" s="24" t="str">
        <f ca="1">IF(AND(L2171&lt;&gt;-1,L2170=-1),MAX($Q$8:Q2170)+1,"")</f>
        <v/>
      </c>
    </row>
    <row r="2172" spans="1:17" x14ac:dyDescent="0.3">
      <c r="A2172" s="3">
        <v>43378</v>
      </c>
      <c r="B2172" s="9">
        <v>29.395099999999999</v>
      </c>
      <c r="C2172" s="9">
        <v>23.533374999999999</v>
      </c>
      <c r="E2172" s="14">
        <f t="shared" si="235"/>
        <v>1.2490813578587856</v>
      </c>
      <c r="F2172" s="18">
        <f t="shared" ca="1" si="234"/>
        <v>1.1880323441885561</v>
      </c>
      <c r="G2172" s="15">
        <f t="shared" ca="1" si="239"/>
        <v>1.2371274978988005</v>
      </c>
      <c r="H2172" s="15">
        <f t="shared" ca="1" si="240"/>
        <v>1.0061897740797425E-2</v>
      </c>
      <c r="J2172" s="17">
        <f t="shared" ca="1" si="236"/>
        <v>1</v>
      </c>
      <c r="K2172" s="24">
        <f t="shared" ca="1" si="237"/>
        <v>0</v>
      </c>
      <c r="L2172" s="17">
        <f t="shared" ca="1" si="238"/>
        <v>1</v>
      </c>
      <c r="N2172" s="24">
        <f ca="1">IF(AND(L2172=1,L2171&lt;&gt;1),MAX($N$8:N2171)+1,"")</f>
        <v>72</v>
      </c>
      <c r="O2172" s="24" t="str">
        <f ca="1">IF(AND(L2172&lt;&gt;1,L2171=1),MAX($O$8:O2171)+1,"")</f>
        <v/>
      </c>
      <c r="P2172" s="17" t="str">
        <f ca="1">IF(AND(L2172=-1,L2171&lt;&gt;-1),MAX($P$8:P2171)+1,"")</f>
        <v/>
      </c>
      <c r="Q2172" s="24" t="str">
        <f ca="1">IF(AND(L2172&lt;&gt;-1,L2171=-1),MAX($Q$8:Q2171)+1,"")</f>
        <v/>
      </c>
    </row>
    <row r="2173" spans="1:17" x14ac:dyDescent="0.3">
      <c r="A2173" s="3">
        <v>43381</v>
      </c>
      <c r="B2173" s="9">
        <v>31.143685999999999</v>
      </c>
      <c r="C2173" s="9">
        <v>25.128601</v>
      </c>
      <c r="E2173" s="14">
        <f t="shared" si="235"/>
        <v>1.2393720605456706</v>
      </c>
      <c r="F2173" s="18">
        <f t="shared" ca="1" si="234"/>
        <v>0.18786168000319453</v>
      </c>
      <c r="G2173" s="15">
        <f t="shared" ca="1" si="239"/>
        <v>1.2374955234510439</v>
      </c>
      <c r="H2173" s="15">
        <f t="shared" ca="1" si="240"/>
        <v>9.988929592213017E-3</v>
      </c>
      <c r="J2173" s="17">
        <f t="shared" ca="1" si="236"/>
        <v>1</v>
      </c>
      <c r="K2173" s="24">
        <f t="shared" ca="1" si="237"/>
        <v>0</v>
      </c>
      <c r="L2173" s="17">
        <f t="shared" ca="1" si="238"/>
        <v>1</v>
      </c>
      <c r="N2173" s="24" t="str">
        <f ca="1">IF(AND(L2173=1,L2172&lt;&gt;1),MAX($N$8:N2172)+1,"")</f>
        <v/>
      </c>
      <c r="O2173" s="24" t="str">
        <f ca="1">IF(AND(L2173&lt;&gt;1,L2172=1),MAX($O$8:O2172)+1,"")</f>
        <v/>
      </c>
      <c r="P2173" s="17" t="str">
        <f ca="1">IF(AND(L2173=-1,L2172&lt;&gt;-1),MAX($P$8:P2172)+1,"")</f>
        <v/>
      </c>
      <c r="Q2173" s="24" t="str">
        <f ca="1">IF(AND(L2173&lt;&gt;-1,L2172=-1),MAX($Q$8:Q2172)+1,"")</f>
        <v/>
      </c>
    </row>
    <row r="2174" spans="1:17" x14ac:dyDescent="0.3">
      <c r="A2174" s="3">
        <v>43382</v>
      </c>
      <c r="B2174" s="9">
        <v>30.981839999999998</v>
      </c>
      <c r="C2174" s="9">
        <v>25.219749</v>
      </c>
      <c r="E2174" s="14">
        <f t="shared" si="235"/>
        <v>1.2284753508054342</v>
      </c>
      <c r="F2174" s="18">
        <f t="shared" ca="1" si="234"/>
        <v>-0.91285579241418202</v>
      </c>
      <c r="G2174" s="15">
        <f t="shared" ca="1" si="239"/>
        <v>1.2375477596208606</v>
      </c>
      <c r="H2174" s="15">
        <f t="shared" ca="1" si="240"/>
        <v>9.9384907132297907E-3</v>
      </c>
      <c r="J2174" s="17">
        <f t="shared" ca="1" si="236"/>
        <v>0</v>
      </c>
      <c r="K2174" s="24">
        <f t="shared" ca="1" si="237"/>
        <v>0</v>
      </c>
      <c r="L2174" s="17">
        <f t="shared" ca="1" si="238"/>
        <v>0</v>
      </c>
      <c r="N2174" s="24" t="str">
        <f ca="1">IF(AND(L2174=1,L2173&lt;&gt;1),MAX($N$8:N2173)+1,"")</f>
        <v/>
      </c>
      <c r="O2174" s="24">
        <f ca="1">IF(AND(L2174&lt;&gt;1,L2173=1),MAX($O$8:O2173)+1,"")</f>
        <v>72</v>
      </c>
      <c r="P2174" s="17" t="str">
        <f ca="1">IF(AND(L2174=-1,L2173&lt;&gt;-1),MAX($P$8:P2173)+1,"")</f>
        <v/>
      </c>
      <c r="Q2174" s="24" t="str">
        <f ca="1">IF(AND(L2174&lt;&gt;-1,L2173=-1),MAX($Q$8:Q2173)+1,"")</f>
        <v/>
      </c>
    </row>
    <row r="2175" spans="1:17" x14ac:dyDescent="0.3">
      <c r="A2175" s="3">
        <v>43383</v>
      </c>
      <c r="B2175" s="9">
        <v>29.911631</v>
      </c>
      <c r="C2175" s="9">
        <v>24.399346999999999</v>
      </c>
      <c r="E2175" s="14">
        <f t="shared" si="235"/>
        <v>1.2259193248081599</v>
      </c>
      <c r="F2175" s="18">
        <f t="shared" ca="1" si="234"/>
        <v>-1.1043941327604097</v>
      </c>
      <c r="G2175" s="15">
        <f t="shared" ca="1" si="239"/>
        <v>1.2371900779708707</v>
      </c>
      <c r="H2175" s="15">
        <f t="shared" ca="1" si="240"/>
        <v>1.0205372184058736E-2</v>
      </c>
      <c r="J2175" s="17">
        <f t="shared" ca="1" si="236"/>
        <v>0</v>
      </c>
      <c r="K2175" s="24">
        <f t="shared" ca="1" si="237"/>
        <v>-1</v>
      </c>
      <c r="L2175" s="17">
        <f t="shared" ca="1" si="238"/>
        <v>-1</v>
      </c>
      <c r="N2175" s="24" t="str">
        <f ca="1">IF(AND(L2175=1,L2174&lt;&gt;1),MAX($N$8:N2174)+1,"")</f>
        <v/>
      </c>
      <c r="O2175" s="24" t="str">
        <f ca="1">IF(AND(L2175&lt;&gt;1,L2174=1),MAX($O$8:O2174)+1,"")</f>
        <v/>
      </c>
      <c r="P2175" s="17">
        <f ca="1">IF(AND(L2175=-1,L2174&lt;&gt;-1),MAX($P$8:P2174)+1,"")</f>
        <v>82</v>
      </c>
      <c r="Q2175" s="24" t="str">
        <f ca="1">IF(AND(L2175&lt;&gt;-1,L2174=-1),MAX($Q$8:Q2174)+1,"")</f>
        <v/>
      </c>
    </row>
    <row r="2176" spans="1:17" x14ac:dyDescent="0.3">
      <c r="A2176" s="3">
        <v>43384</v>
      </c>
      <c r="B2176" s="9">
        <v>29.556944000000001</v>
      </c>
      <c r="C2176" s="9">
        <v>24.254961000000002</v>
      </c>
      <c r="E2176" s="14">
        <f t="shared" si="235"/>
        <v>1.2185937549023476</v>
      </c>
      <c r="F2176" s="18">
        <f t="shared" ca="1" si="234"/>
        <v>-1.6849337771726505</v>
      </c>
      <c r="G2176" s="15">
        <f t="shared" ca="1" si="239"/>
        <v>1.2367482633238855</v>
      </c>
      <c r="H2176" s="15">
        <f t="shared" ca="1" si="240"/>
        <v>1.0774612431357142E-2</v>
      </c>
      <c r="J2176" s="17">
        <f t="shared" ca="1" si="236"/>
        <v>0</v>
      </c>
      <c r="K2176" s="24">
        <f t="shared" ca="1" si="237"/>
        <v>-1</v>
      </c>
      <c r="L2176" s="17">
        <f t="shared" ca="1" si="238"/>
        <v>-1</v>
      </c>
      <c r="N2176" s="24" t="str">
        <f ca="1">IF(AND(L2176=1,L2175&lt;&gt;1),MAX($N$8:N2175)+1,"")</f>
        <v/>
      </c>
      <c r="O2176" s="24" t="str">
        <f ca="1">IF(AND(L2176&lt;&gt;1,L2175=1),MAX($O$8:O2175)+1,"")</f>
        <v/>
      </c>
      <c r="P2176" s="17" t="str">
        <f ca="1">IF(AND(L2176=-1,L2175&lt;&gt;-1),MAX($P$8:P2175)+1,"")</f>
        <v/>
      </c>
      <c r="Q2176" s="24" t="str">
        <f ca="1">IF(AND(L2176&lt;&gt;-1,L2175=-1),MAX($Q$8:Q2175)+1,"")</f>
        <v/>
      </c>
    </row>
    <row r="2177" spans="1:17" x14ac:dyDescent="0.3">
      <c r="A2177" s="3">
        <v>43388</v>
      </c>
      <c r="B2177" s="9">
        <v>29.899124</v>
      </c>
      <c r="C2177" s="9">
        <v>24.384129000000001</v>
      </c>
      <c r="E2177" s="14">
        <f t="shared" si="235"/>
        <v>1.2261714986826062</v>
      </c>
      <c r="F2177" s="18">
        <f t="shared" ca="1" si="234"/>
        <v>-0.94440491785416658</v>
      </c>
      <c r="G2177" s="15">
        <f t="shared" ca="1" si="239"/>
        <v>1.2365096266929574</v>
      </c>
      <c r="H2177" s="15">
        <f t="shared" ca="1" si="240"/>
        <v>1.094671132573196E-2</v>
      </c>
      <c r="J2177" s="17">
        <f t="shared" ca="1" si="236"/>
        <v>0</v>
      </c>
      <c r="K2177" s="24">
        <f t="shared" ca="1" si="237"/>
        <v>-1</v>
      </c>
      <c r="L2177" s="17">
        <f t="shared" ca="1" si="238"/>
        <v>-1</v>
      </c>
      <c r="N2177" s="24" t="str">
        <f ca="1">IF(AND(L2177=1,L2176&lt;&gt;1),MAX($N$8:N2176)+1,"")</f>
        <v/>
      </c>
      <c r="O2177" s="24" t="str">
        <f ca="1">IF(AND(L2177&lt;&gt;1,L2176=1),MAX($O$8:O2176)+1,"")</f>
        <v/>
      </c>
      <c r="P2177" s="17" t="str">
        <f ca="1">IF(AND(L2177=-1,L2176&lt;&gt;-1),MAX($P$8:P2176)+1,"")</f>
        <v/>
      </c>
      <c r="Q2177" s="24" t="str">
        <f ca="1">IF(AND(L2177&lt;&gt;-1,L2176=-1),MAX($Q$8:Q2176)+1,"")</f>
        <v/>
      </c>
    </row>
    <row r="2178" spans="1:17" x14ac:dyDescent="0.3">
      <c r="A2178" s="3">
        <v>43389</v>
      </c>
      <c r="B2178" s="9">
        <v>31.093848999999999</v>
      </c>
      <c r="C2178" s="9">
        <v>25.54636</v>
      </c>
      <c r="E2178" s="14">
        <f t="shared" si="235"/>
        <v>1.2171537941217456</v>
      </c>
      <c r="F2178" s="18">
        <f t="shared" ref="F2178:F2241" ca="1" si="241">IF(ISNUMBER(G2178),(E2178-G2178)/H2178,"")</f>
        <v>-1.6217365544160678</v>
      </c>
      <c r="G2178" s="15">
        <f t="shared" ca="1" si="239"/>
        <v>1.2359485048991943</v>
      </c>
      <c r="H2178" s="15">
        <f t="shared" ca="1" si="240"/>
        <v>1.1589250255394279E-2</v>
      </c>
      <c r="J2178" s="17">
        <f t="shared" ca="1" si="236"/>
        <v>0</v>
      </c>
      <c r="K2178" s="24">
        <f t="shared" ca="1" si="237"/>
        <v>-1</v>
      </c>
      <c r="L2178" s="17">
        <f t="shared" ca="1" si="238"/>
        <v>-1</v>
      </c>
      <c r="N2178" s="24" t="str">
        <f ca="1">IF(AND(L2178=1,L2177&lt;&gt;1),MAX($N$8:N2177)+1,"")</f>
        <v/>
      </c>
      <c r="O2178" s="24" t="str">
        <f ca="1">IF(AND(L2178&lt;&gt;1,L2177=1),MAX($O$8:O2177)+1,"")</f>
        <v/>
      </c>
      <c r="P2178" s="17" t="str">
        <f ca="1">IF(AND(L2178=-1,L2177&lt;&gt;-1),MAX($P$8:P2177)+1,"")</f>
        <v/>
      </c>
      <c r="Q2178" s="24" t="str">
        <f ca="1">IF(AND(L2178&lt;&gt;-1,L2177=-1),MAX($Q$8:Q2177)+1,"")</f>
        <v/>
      </c>
    </row>
    <row r="2179" spans="1:17" x14ac:dyDescent="0.3">
      <c r="A2179" s="3">
        <v>43390</v>
      </c>
      <c r="B2179" s="9">
        <v>30.770341999999999</v>
      </c>
      <c r="C2179" s="9">
        <v>25.576719000000001</v>
      </c>
      <c r="E2179" s="14">
        <f t="shared" ref="E2179:E2242" si="242">IF(ISNUMBER(B2179),B2179/C2179,"")</f>
        <v>1.2030605645704595</v>
      </c>
      <c r="F2179" s="18">
        <f t="shared" ca="1" si="241"/>
        <v>-2.3371627096870271</v>
      </c>
      <c r="G2179" s="15">
        <f t="shared" ca="1" si="239"/>
        <v>1.2340075775104411</v>
      </c>
      <c r="H2179" s="15">
        <f t="shared" ca="1" si="240"/>
        <v>1.3241274478543152E-2</v>
      </c>
      <c r="J2179" s="17">
        <f t="shared" ca="1" si="236"/>
        <v>0</v>
      </c>
      <c r="K2179" s="24">
        <f t="shared" ca="1" si="237"/>
        <v>-1</v>
      </c>
      <c r="L2179" s="17">
        <f t="shared" ca="1" si="238"/>
        <v>-1</v>
      </c>
      <c r="N2179" s="24" t="str">
        <f ca="1">IF(AND(L2179=1,L2178&lt;&gt;1),MAX($N$8:N2178)+1,"")</f>
        <v/>
      </c>
      <c r="O2179" s="24" t="str">
        <f ca="1">IF(AND(L2179&lt;&gt;1,L2178=1),MAX($O$8:O2178)+1,"")</f>
        <v/>
      </c>
      <c r="P2179" s="17" t="str">
        <f ca="1">IF(AND(L2179=-1,L2178&lt;&gt;-1),MAX($P$8:P2178)+1,"")</f>
        <v/>
      </c>
      <c r="Q2179" s="24" t="str">
        <f ca="1">IF(AND(L2179&lt;&gt;-1,L2178=-1),MAX($Q$8:Q2178)+1,"")</f>
        <v/>
      </c>
    </row>
    <row r="2180" spans="1:17" x14ac:dyDescent="0.3">
      <c r="A2180" s="3">
        <v>43391</v>
      </c>
      <c r="B2180" s="9">
        <v>29.855630999999999</v>
      </c>
      <c r="C2180" s="9">
        <v>24.870259999999998</v>
      </c>
      <c r="E2180" s="14">
        <f t="shared" si="242"/>
        <v>1.2004551219006154</v>
      </c>
      <c r="F2180" s="18">
        <f t="shared" ca="1" si="241"/>
        <v>-2.132979016140323</v>
      </c>
      <c r="G2180" s="15">
        <f t="shared" ca="1" si="239"/>
        <v>1.2322110728027373</v>
      </c>
      <c r="H2180" s="15">
        <f t="shared" ca="1" si="240"/>
        <v>1.4888074688885157E-2</v>
      </c>
      <c r="J2180" s="17">
        <f t="shared" ca="1" si="236"/>
        <v>0</v>
      </c>
      <c r="K2180" s="24">
        <f t="shared" ca="1" si="237"/>
        <v>-1</v>
      </c>
      <c r="L2180" s="17">
        <f t="shared" ca="1" si="238"/>
        <v>-1</v>
      </c>
      <c r="N2180" s="24" t="str">
        <f ca="1">IF(AND(L2180=1,L2179&lt;&gt;1),MAX($N$8:N2179)+1,"")</f>
        <v/>
      </c>
      <c r="O2180" s="24" t="str">
        <f ca="1">IF(AND(L2180&lt;&gt;1,L2179=1),MAX($O$8:O2179)+1,"")</f>
        <v/>
      </c>
      <c r="P2180" s="17" t="str">
        <f ca="1">IF(AND(L2180=-1,L2179&lt;&gt;-1),MAX($P$8:P2179)+1,"")</f>
        <v/>
      </c>
      <c r="Q2180" s="24" t="str">
        <f ca="1">IF(AND(L2180&lt;&gt;-1,L2179=-1),MAX($Q$8:Q2179)+1,"")</f>
        <v/>
      </c>
    </row>
    <row r="2181" spans="1:17" x14ac:dyDescent="0.3">
      <c r="A2181" s="3">
        <v>43392</v>
      </c>
      <c r="B2181" s="9">
        <v>29.824456999999999</v>
      </c>
      <c r="C2181" s="9">
        <v>24.953852000000001</v>
      </c>
      <c r="E2181" s="14">
        <f t="shared" si="242"/>
        <v>1.195184494962942</v>
      </c>
      <c r="F2181" s="18">
        <f t="shared" ca="1" si="241"/>
        <v>-2.1168885662291541</v>
      </c>
      <c r="G2181" s="15">
        <f t="shared" ca="1" si="239"/>
        <v>1.2306779983277099</v>
      </c>
      <c r="H2181" s="15">
        <f t="shared" ca="1" si="240"/>
        <v>1.67668265259673E-2</v>
      </c>
      <c r="J2181" s="17">
        <f t="shared" ca="1" si="236"/>
        <v>0</v>
      </c>
      <c r="K2181" s="24">
        <f t="shared" ca="1" si="237"/>
        <v>-1</v>
      </c>
      <c r="L2181" s="17">
        <f t="shared" ca="1" si="238"/>
        <v>-1</v>
      </c>
      <c r="N2181" s="24" t="str">
        <f ca="1">IF(AND(L2181=1,L2180&lt;&gt;1),MAX($N$8:N2180)+1,"")</f>
        <v/>
      </c>
      <c r="O2181" s="24" t="str">
        <f ca="1">IF(AND(L2181&lt;&gt;1,L2180=1),MAX($O$8:O2180)+1,"")</f>
        <v/>
      </c>
      <c r="P2181" s="17" t="str">
        <f ca="1">IF(AND(L2181=-1,L2180&lt;&gt;-1),MAX($P$8:P2180)+1,"")</f>
        <v/>
      </c>
      <c r="Q2181" s="24" t="str">
        <f ca="1">IF(AND(L2181&lt;&gt;-1,L2180=-1),MAX($Q$8:Q2180)+1,"")</f>
        <v/>
      </c>
    </row>
    <row r="2182" spans="1:17" x14ac:dyDescent="0.3">
      <c r="A2182" s="3">
        <v>43395</v>
      </c>
      <c r="B2182" s="9">
        <v>30.260057</v>
      </c>
      <c r="C2182" s="9">
        <v>25.257669</v>
      </c>
      <c r="E2182" s="14">
        <f t="shared" si="242"/>
        <v>1.1980542226600561</v>
      </c>
      <c r="F2182" s="18">
        <f t="shared" ca="1" si="241"/>
        <v>-1.7188485664253941</v>
      </c>
      <c r="G2182" s="15">
        <f t="shared" ca="1" si="239"/>
        <v>1.2291397643905073</v>
      </c>
      <c r="H2182" s="15">
        <f t="shared" ca="1" si="240"/>
        <v>1.8085096231076531E-2</v>
      </c>
      <c r="J2182" s="17">
        <f t="shared" ca="1" si="236"/>
        <v>0</v>
      </c>
      <c r="K2182" s="24">
        <f t="shared" ca="1" si="237"/>
        <v>-1</v>
      </c>
      <c r="L2182" s="17">
        <f t="shared" ca="1" si="238"/>
        <v>-1</v>
      </c>
      <c r="N2182" s="24" t="str">
        <f ca="1">IF(AND(L2182=1,L2181&lt;&gt;1),MAX($N$8:N2181)+1,"")</f>
        <v/>
      </c>
      <c r="O2182" s="24" t="str">
        <f ca="1">IF(AND(L2182&lt;&gt;1,L2181=1),MAX($O$8:O2181)+1,"")</f>
        <v/>
      </c>
      <c r="P2182" s="17" t="str">
        <f ca="1">IF(AND(L2182=-1,L2181&lt;&gt;-1),MAX($P$8:P2181)+1,"")</f>
        <v/>
      </c>
      <c r="Q2182" s="24" t="str">
        <f ca="1">IF(AND(L2182&lt;&gt;-1,L2181=-1),MAX($Q$8:Q2181)+1,"")</f>
        <v/>
      </c>
    </row>
    <row r="2183" spans="1:17" x14ac:dyDescent="0.3">
      <c r="A2183" s="3">
        <v>43396</v>
      </c>
      <c r="B2183" s="9">
        <v>30.36581</v>
      </c>
      <c r="C2183" s="9">
        <v>25.348828999999999</v>
      </c>
      <c r="E2183" s="14">
        <f t="shared" si="242"/>
        <v>1.1979176631788395</v>
      </c>
      <c r="F2183" s="18">
        <f t="shared" ca="1" si="241"/>
        <v>-1.556945813575993</v>
      </c>
      <c r="G2183" s="15">
        <f t="shared" ca="1" si="239"/>
        <v>1.2278408228241411</v>
      </c>
      <c r="H2183" s="15">
        <f t="shared" ca="1" si="240"/>
        <v>1.9219140052519911E-2</v>
      </c>
      <c r="J2183" s="17">
        <f t="shared" ca="1" si="236"/>
        <v>0</v>
      </c>
      <c r="K2183" s="24">
        <f t="shared" ca="1" si="237"/>
        <v>-1</v>
      </c>
      <c r="L2183" s="17">
        <f t="shared" ca="1" si="238"/>
        <v>-1</v>
      </c>
      <c r="N2183" s="24" t="str">
        <f ca="1">IF(AND(L2183=1,L2182&lt;&gt;1),MAX($N$8:N2182)+1,"")</f>
        <v/>
      </c>
      <c r="O2183" s="24" t="str">
        <f ca="1">IF(AND(L2183&lt;&gt;1,L2182=1),MAX($O$8:O2182)+1,"")</f>
        <v/>
      </c>
      <c r="P2183" s="17" t="str">
        <f ca="1">IF(AND(L2183=-1,L2182&lt;&gt;-1),MAX($P$8:P2182)+1,"")</f>
        <v/>
      </c>
      <c r="Q2183" s="24" t="str">
        <f ca="1">IF(AND(L2183&lt;&gt;-1,L2182=-1),MAX($Q$8:Q2182)+1,"")</f>
        <v/>
      </c>
    </row>
    <row r="2184" spans="1:17" x14ac:dyDescent="0.3">
      <c r="A2184" s="3">
        <v>43397</v>
      </c>
      <c r="B2184" s="9">
        <v>29.575617000000001</v>
      </c>
      <c r="C2184" s="9">
        <v>24.741188000000001</v>
      </c>
      <c r="E2184" s="14">
        <f t="shared" si="242"/>
        <v>1.1954000349538592</v>
      </c>
      <c r="F2184" s="18">
        <f t="shared" ca="1" si="241"/>
        <v>-1.5203689633606035</v>
      </c>
      <c r="G2184" s="15">
        <f t="shared" ca="1" si="239"/>
        <v>1.2263745622227942</v>
      </c>
      <c r="H2184" s="15">
        <f t="shared" ca="1" si="240"/>
        <v>2.0373033135633951E-2</v>
      </c>
      <c r="J2184" s="17">
        <f t="shared" ref="J2184:J2247" ca="1" si="243">IF(ISNUMBER(F2184),IF(AND(J2183&lt;&gt;1,F2184&gt;$L$1),1,IF(AND(J2183=1,F2184&gt;$N$1),1,0)),"")</f>
        <v>0</v>
      </c>
      <c r="K2184" s="24">
        <f t="shared" ca="1" si="237"/>
        <v>-1</v>
      </c>
      <c r="L2184" s="17">
        <f t="shared" ca="1" si="238"/>
        <v>-1</v>
      </c>
      <c r="N2184" s="24" t="str">
        <f ca="1">IF(AND(L2184=1,L2183&lt;&gt;1),MAX($N$8:N2183)+1,"")</f>
        <v/>
      </c>
      <c r="O2184" s="24" t="str">
        <f ca="1">IF(AND(L2184&lt;&gt;1,L2183=1),MAX($O$8:O2183)+1,"")</f>
        <v/>
      </c>
      <c r="P2184" s="17" t="str">
        <f ca="1">IF(AND(L2184=-1,L2183&lt;&gt;-1),MAX($P$8:P2183)+1,"")</f>
        <v/>
      </c>
      <c r="Q2184" s="24" t="str">
        <f ca="1">IF(AND(L2184&lt;&gt;-1,L2183=-1),MAX($Q$8:Q2183)+1,"")</f>
        <v/>
      </c>
    </row>
    <row r="2185" spans="1:17" x14ac:dyDescent="0.3">
      <c r="A2185" s="3">
        <v>43398</v>
      </c>
      <c r="B2185" s="9">
        <v>29.917795000000002</v>
      </c>
      <c r="C2185" s="9">
        <v>25.455202</v>
      </c>
      <c r="E2185" s="14">
        <f t="shared" si="242"/>
        <v>1.1753116317835546</v>
      </c>
      <c r="F2185" s="18">
        <f t="shared" ca="1" si="241"/>
        <v>-2.1165173463524938</v>
      </c>
      <c r="G2185" s="15">
        <f t="shared" ca="1" si="239"/>
        <v>1.2238923745669708</v>
      </c>
      <c r="H2185" s="15">
        <f t="shared" ca="1" si="240"/>
        <v>2.2953151254412319E-2</v>
      </c>
      <c r="J2185" s="17">
        <f t="shared" ca="1" si="243"/>
        <v>0</v>
      </c>
      <c r="K2185" s="24">
        <f t="shared" ref="K2185:K2248" ca="1" si="244">IF(ISNUMBER(F2185),IF(AND(K2184&lt;&gt;-1,F2185&lt;$P$1),-1,IF(AND(K2184=-1,F2185&lt;R2178),-1,0)),"")</f>
        <v>-1</v>
      </c>
      <c r="L2185" s="17">
        <f t="shared" ref="L2185:L2248" ca="1" si="245">IF(ISNUMBER(F2185),IF(J2185=1,1,IF(K2185=-1,-1,0)),"")</f>
        <v>-1</v>
      </c>
      <c r="N2185" s="24" t="str">
        <f ca="1">IF(AND(L2185=1,L2184&lt;&gt;1),MAX($N$8:N2184)+1,"")</f>
        <v/>
      </c>
      <c r="O2185" s="24" t="str">
        <f ca="1">IF(AND(L2185&lt;&gt;1,L2184=1),MAX($O$8:O2184)+1,"")</f>
        <v/>
      </c>
      <c r="P2185" s="17" t="str">
        <f ca="1">IF(AND(L2185=-1,L2184&lt;&gt;-1),MAX($P$8:P2184)+1,"")</f>
        <v/>
      </c>
      <c r="Q2185" s="24" t="str">
        <f ca="1">IF(AND(L2185&lt;&gt;-1,L2184=-1),MAX($Q$8:Q2184)+1,"")</f>
        <v/>
      </c>
    </row>
    <row r="2186" spans="1:17" x14ac:dyDescent="0.3">
      <c r="A2186" s="3">
        <v>43399</v>
      </c>
      <c r="B2186" s="9">
        <v>30.477817999999999</v>
      </c>
      <c r="C2186" s="9">
        <v>25.895761</v>
      </c>
      <c r="E2186" s="14">
        <f t="shared" si="242"/>
        <v>1.1769423574769631</v>
      </c>
      <c r="F2186" s="18">
        <f t="shared" ca="1" si="241"/>
        <v>-1.7882678960590925</v>
      </c>
      <c r="G2186" s="15">
        <f t="shared" ca="1" si="239"/>
        <v>1.2213928843287749</v>
      </c>
      <c r="H2186" s="15">
        <f t="shared" ca="1" si="240"/>
        <v>2.4856749343747646E-2</v>
      </c>
      <c r="J2186" s="17">
        <f t="shared" ca="1" si="243"/>
        <v>0</v>
      </c>
      <c r="K2186" s="24">
        <f t="shared" ca="1" si="244"/>
        <v>-1</v>
      </c>
      <c r="L2186" s="17">
        <f t="shared" ca="1" si="245"/>
        <v>-1</v>
      </c>
      <c r="N2186" s="24" t="str">
        <f ca="1">IF(AND(L2186=1,L2185&lt;&gt;1),MAX($N$8:N2185)+1,"")</f>
        <v/>
      </c>
      <c r="O2186" s="24" t="str">
        <f ca="1">IF(AND(L2186&lt;&gt;1,L2185=1),MAX($O$8:O2185)+1,"")</f>
        <v/>
      </c>
      <c r="P2186" s="17" t="str">
        <f ca="1">IF(AND(L2186=-1,L2185&lt;&gt;-1),MAX($P$8:P2185)+1,"")</f>
        <v/>
      </c>
      <c r="Q2186" s="24" t="str">
        <f ca="1">IF(AND(L2186&lt;&gt;-1,L2185=-1),MAX($Q$8:Q2185)+1,"")</f>
        <v/>
      </c>
    </row>
    <row r="2187" spans="1:17" x14ac:dyDescent="0.3">
      <c r="A2187" s="3">
        <v>43402</v>
      </c>
      <c r="B2187" s="9">
        <v>29.917795000000002</v>
      </c>
      <c r="C2187" s="9">
        <v>25.409624000000001</v>
      </c>
      <c r="E2187" s="14">
        <f t="shared" si="242"/>
        <v>1.1774198232921511</v>
      </c>
      <c r="F2187" s="18">
        <f t="shared" ca="1" si="241"/>
        <v>-1.5765364979565983</v>
      </c>
      <c r="G2187" s="15">
        <f t="shared" ca="1" si="239"/>
        <v>1.2184395816902169</v>
      </c>
      <c r="H2187" s="15">
        <f t="shared" ca="1" si="240"/>
        <v>2.6018908189713908E-2</v>
      </c>
      <c r="J2187" s="17">
        <f t="shared" ca="1" si="243"/>
        <v>0</v>
      </c>
      <c r="K2187" s="24">
        <f t="shared" ca="1" si="244"/>
        <v>-1</v>
      </c>
      <c r="L2187" s="17">
        <f t="shared" ca="1" si="245"/>
        <v>-1</v>
      </c>
      <c r="N2187" s="24" t="str">
        <f ca="1">IF(AND(L2187=1,L2186&lt;&gt;1),MAX($N$8:N2186)+1,"")</f>
        <v/>
      </c>
      <c r="O2187" s="24" t="str">
        <f ca="1">IF(AND(L2187&lt;&gt;1,L2186=1),MAX($O$8:O2186)+1,"")</f>
        <v/>
      </c>
      <c r="P2187" s="17" t="str">
        <f ca="1">IF(AND(L2187=-1,L2186&lt;&gt;-1),MAX($P$8:P2186)+1,"")</f>
        <v/>
      </c>
      <c r="Q2187" s="24" t="str">
        <f ca="1">IF(AND(L2187&lt;&gt;-1,L2186=-1),MAX($Q$8:Q2186)+1,"")</f>
        <v/>
      </c>
    </row>
    <row r="2188" spans="1:17" x14ac:dyDescent="0.3">
      <c r="A2188" s="3">
        <v>43403</v>
      </c>
      <c r="B2188" s="9">
        <v>30.795169999999999</v>
      </c>
      <c r="C2188" s="9">
        <v>26.397117999999999</v>
      </c>
      <c r="E2188" s="14">
        <f t="shared" si="242"/>
        <v>1.1666110671627108</v>
      </c>
      <c r="F2188" s="18">
        <f t="shared" ca="1" si="241"/>
        <v>-1.7627426145811154</v>
      </c>
      <c r="G2188" s="15">
        <f t="shared" ca="1" si="239"/>
        <v>1.2147345414197555</v>
      </c>
      <c r="H2188" s="15">
        <f t="shared" ca="1" si="240"/>
        <v>2.730034087732108E-2</v>
      </c>
      <c r="J2188" s="17">
        <f t="shared" ca="1" si="243"/>
        <v>0</v>
      </c>
      <c r="K2188" s="24">
        <f t="shared" ca="1" si="244"/>
        <v>-1</v>
      </c>
      <c r="L2188" s="17">
        <f t="shared" ca="1" si="245"/>
        <v>-1</v>
      </c>
      <c r="N2188" s="24" t="str">
        <f ca="1">IF(AND(L2188=1,L2187&lt;&gt;1),MAX($N$8:N2187)+1,"")</f>
        <v/>
      </c>
      <c r="O2188" s="24" t="str">
        <f ca="1">IF(AND(L2188&lt;&gt;1,L2187=1),MAX($O$8:O2187)+1,"")</f>
        <v/>
      </c>
      <c r="P2188" s="17" t="str">
        <f ca="1">IF(AND(L2188=-1,L2187&lt;&gt;-1),MAX($P$8:P2187)+1,"")</f>
        <v/>
      </c>
      <c r="Q2188" s="24" t="str">
        <f ca="1">IF(AND(L2188&lt;&gt;-1,L2187=-1),MAX($Q$8:Q2187)+1,"")</f>
        <v/>
      </c>
    </row>
    <row r="2189" spans="1:17" x14ac:dyDescent="0.3">
      <c r="A2189" s="3">
        <v>43404</v>
      </c>
      <c r="B2189" s="9">
        <v>30.64583</v>
      </c>
      <c r="C2189" s="9">
        <v>26.055282999999999</v>
      </c>
      <c r="E2189" s="14">
        <f t="shared" si="242"/>
        <v>1.1761848835032804</v>
      </c>
      <c r="F2189" s="18">
        <f t="shared" ca="1" si="241"/>
        <v>-1.3111949872977542</v>
      </c>
      <c r="G2189" s="15">
        <f t="shared" ca="1" si="239"/>
        <v>1.2108699965626974</v>
      </c>
      <c r="H2189" s="15">
        <f t="shared" ca="1" si="240"/>
        <v>2.6453054957828716E-2</v>
      </c>
      <c r="J2189" s="17">
        <f t="shared" ca="1" si="243"/>
        <v>0</v>
      </c>
      <c r="K2189" s="24">
        <f t="shared" ca="1" si="244"/>
        <v>-1</v>
      </c>
      <c r="L2189" s="17">
        <f t="shared" ca="1" si="245"/>
        <v>-1</v>
      </c>
      <c r="N2189" s="24" t="str">
        <f ca="1">IF(AND(L2189=1,L2188&lt;&gt;1),MAX($N$8:N2188)+1,"")</f>
        <v/>
      </c>
      <c r="O2189" s="24" t="str">
        <f ca="1">IF(AND(L2189&lt;&gt;1,L2188=1),MAX($O$8:O2188)+1,"")</f>
        <v/>
      </c>
      <c r="P2189" s="17" t="str">
        <f ca="1">IF(AND(L2189=-1,L2188&lt;&gt;-1),MAX($P$8:P2188)+1,"")</f>
        <v/>
      </c>
      <c r="Q2189" s="24" t="str">
        <f ca="1">IF(AND(L2189&lt;&gt;-1,L2188=-1),MAX($Q$8:Q2188)+1,"")</f>
        <v/>
      </c>
    </row>
    <row r="2190" spans="1:17" x14ac:dyDescent="0.3">
      <c r="A2190" s="3">
        <v>43405</v>
      </c>
      <c r="B2190" s="9">
        <v>31.084641999999999</v>
      </c>
      <c r="C2190" s="9">
        <v>27.544224</v>
      </c>
      <c r="E2190" s="14">
        <f t="shared" si="242"/>
        <v>1.1285357685153881</v>
      </c>
      <c r="F2190" s="18">
        <f t="shared" ca="1" si="241"/>
        <v>-2.6069940361794397</v>
      </c>
      <c r="G2190" s="15">
        <f t="shared" ca="1" si="239"/>
        <v>1.2048429108569567</v>
      </c>
      <c r="H2190" s="15">
        <f t="shared" ca="1" si="240"/>
        <v>2.9270163752808994E-2</v>
      </c>
      <c r="J2190" s="17">
        <f t="shared" ca="1" si="243"/>
        <v>0</v>
      </c>
      <c r="K2190" s="24">
        <f t="shared" ca="1" si="244"/>
        <v>-1</v>
      </c>
      <c r="L2190" s="17">
        <f t="shared" ca="1" si="245"/>
        <v>-1</v>
      </c>
      <c r="N2190" s="24" t="str">
        <f ca="1">IF(AND(L2190=1,L2189&lt;&gt;1),MAX($N$8:N2189)+1,"")</f>
        <v/>
      </c>
      <c r="O2190" s="24" t="str">
        <f ca="1">IF(AND(L2190&lt;&gt;1,L2189=1),MAX($O$8:O2189)+1,"")</f>
        <v/>
      </c>
      <c r="P2190" s="17" t="str">
        <f ca="1">IF(AND(L2190=-1,L2189&lt;&gt;-1),MAX($P$8:P2189)+1,"")</f>
        <v/>
      </c>
      <c r="Q2190" s="24" t="str">
        <f ca="1">IF(AND(L2190&lt;&gt;-1,L2189=-1),MAX($Q$8:Q2189)+1,"")</f>
        <v/>
      </c>
    </row>
    <row r="2191" spans="1:17" x14ac:dyDescent="0.3">
      <c r="A2191" s="3">
        <v>43409</v>
      </c>
      <c r="B2191" s="9">
        <v>31.420767000000001</v>
      </c>
      <c r="C2191" s="9">
        <v>28.134893000000002</v>
      </c>
      <c r="E2191" s="14">
        <f t="shared" si="242"/>
        <v>1.1167899945452076</v>
      </c>
      <c r="F2191" s="18">
        <f t="shared" ca="1" si="241"/>
        <v>-2.4541690565667391</v>
      </c>
      <c r="G2191" s="15">
        <f t="shared" ca="1" si="239"/>
        <v>1.1993826318582015</v>
      </c>
      <c r="H2191" s="15">
        <f t="shared" ca="1" si="240"/>
        <v>3.3654012991483538E-2</v>
      </c>
      <c r="J2191" s="17">
        <f t="shared" ca="1" si="243"/>
        <v>0</v>
      </c>
      <c r="K2191" s="24">
        <f t="shared" ca="1" si="244"/>
        <v>-1</v>
      </c>
      <c r="L2191" s="17">
        <f t="shared" ca="1" si="245"/>
        <v>-1</v>
      </c>
      <c r="N2191" s="24" t="str">
        <f ca="1">IF(AND(L2191=1,L2190&lt;&gt;1),MAX($N$8:N2190)+1,"")</f>
        <v/>
      </c>
      <c r="O2191" s="24" t="str">
        <f ca="1">IF(AND(L2191&lt;&gt;1,L2190=1),MAX($O$8:O2190)+1,"")</f>
        <v/>
      </c>
      <c r="P2191" s="17" t="str">
        <f ca="1">IF(AND(L2191=-1,L2190&lt;&gt;-1),MAX($P$8:P2190)+1,"")</f>
        <v/>
      </c>
      <c r="Q2191" s="24" t="str">
        <f ca="1">IF(AND(L2191&lt;&gt;-1,L2190=-1),MAX($Q$8:Q2190)+1,"")</f>
        <v/>
      </c>
    </row>
    <row r="2192" spans="1:17" x14ac:dyDescent="0.3">
      <c r="A2192" s="3">
        <v>43410</v>
      </c>
      <c r="B2192" s="9">
        <v>31.620007000000001</v>
      </c>
      <c r="C2192" s="9">
        <v>27.830925000000001</v>
      </c>
      <c r="E2192" s="14">
        <f t="shared" si="242"/>
        <v>1.136146462972395</v>
      </c>
      <c r="F2192" s="18">
        <f t="shared" ca="1" si="241"/>
        <v>-1.6760903479482121</v>
      </c>
      <c r="G2192" s="15">
        <f t="shared" ca="1" si="239"/>
        <v>1.1946985588183201</v>
      </c>
      <c r="H2192" s="15">
        <f t="shared" ca="1" si="240"/>
        <v>3.4933734877479458E-2</v>
      </c>
      <c r="J2192" s="17">
        <f t="shared" ca="1" si="243"/>
        <v>0</v>
      </c>
      <c r="K2192" s="24">
        <f t="shared" ca="1" si="244"/>
        <v>-1</v>
      </c>
      <c r="L2192" s="17">
        <f t="shared" ca="1" si="245"/>
        <v>-1</v>
      </c>
      <c r="N2192" s="24" t="str">
        <f ca="1">IF(AND(L2192=1,L2191&lt;&gt;1),MAX($N$8:N2191)+1,"")</f>
        <v/>
      </c>
      <c r="O2192" s="24" t="str">
        <f ca="1">IF(AND(L2192&lt;&gt;1,L2191=1),MAX($O$8:O2191)+1,"")</f>
        <v/>
      </c>
      <c r="P2192" s="17" t="str">
        <f ca="1">IF(AND(L2192=-1,L2191&lt;&gt;-1),MAX($P$8:P2191)+1,"")</f>
        <v/>
      </c>
      <c r="Q2192" s="24" t="str">
        <f ca="1">IF(AND(L2192&lt;&gt;-1,L2191=-1),MAX($Q$8:Q2191)+1,"")</f>
        <v/>
      </c>
    </row>
    <row r="2193" spans="1:17" x14ac:dyDescent="0.3">
      <c r="A2193" s="3">
        <v>43411</v>
      </c>
      <c r="B2193" s="9">
        <v>31.651104</v>
      </c>
      <c r="C2193" s="9">
        <v>27.2913</v>
      </c>
      <c r="E2193" s="14">
        <f t="shared" si="242"/>
        <v>1.1597506897802596</v>
      </c>
      <c r="F2193" s="18">
        <f t="shared" ca="1" si="241"/>
        <v>-0.91371610462688879</v>
      </c>
      <c r="G2193" s="15">
        <f t="shared" ca="1" si="239"/>
        <v>1.1912969055901563</v>
      </c>
      <c r="H2193" s="15">
        <f t="shared" ca="1" si="240"/>
        <v>3.4525183095879028E-2</v>
      </c>
      <c r="J2193" s="17">
        <f t="shared" ca="1" si="243"/>
        <v>0</v>
      </c>
      <c r="K2193" s="24">
        <f t="shared" ca="1" si="244"/>
        <v>-1</v>
      </c>
      <c r="L2193" s="17">
        <f t="shared" ca="1" si="245"/>
        <v>-1</v>
      </c>
      <c r="N2193" s="24" t="str">
        <f ca="1">IF(AND(L2193=1,L2192&lt;&gt;1),MAX($N$8:N2192)+1,"")</f>
        <v/>
      </c>
      <c r="O2193" s="24" t="str">
        <f ca="1">IF(AND(L2193&lt;&gt;1,L2192=1),MAX($O$8:O2192)+1,"")</f>
        <v/>
      </c>
      <c r="P2193" s="17" t="str">
        <f ca="1">IF(AND(L2193=-1,L2192&lt;&gt;-1),MAX($P$8:P2192)+1,"")</f>
        <v/>
      </c>
      <c r="Q2193" s="24" t="str">
        <f ca="1">IF(AND(L2193&lt;&gt;-1,L2192=-1),MAX($Q$8:Q2192)+1,"")</f>
        <v/>
      </c>
    </row>
    <row r="2194" spans="1:17" x14ac:dyDescent="0.3">
      <c r="A2194" s="3">
        <v>43412</v>
      </c>
      <c r="B2194" s="9">
        <v>31.215358999999999</v>
      </c>
      <c r="C2194" s="9">
        <v>26.721309999999999</v>
      </c>
      <c r="E2194" s="14">
        <f t="shared" si="242"/>
        <v>1.1681822111266251</v>
      </c>
      <c r="F2194" s="18">
        <f t="shared" ca="1" si="241"/>
        <v>-0.5995740583181729</v>
      </c>
      <c r="G2194" s="15">
        <f t="shared" ca="1" si="239"/>
        <v>1.1876196716477851</v>
      </c>
      <c r="H2194" s="15">
        <f t="shared" ca="1" si="240"/>
        <v>3.2418781719280532E-2</v>
      </c>
      <c r="J2194" s="17">
        <f t="shared" ca="1" si="243"/>
        <v>0</v>
      </c>
      <c r="K2194" s="24">
        <f t="shared" ca="1" si="244"/>
        <v>-1</v>
      </c>
      <c r="L2194" s="17">
        <f t="shared" ca="1" si="245"/>
        <v>-1</v>
      </c>
      <c r="N2194" s="24" t="str">
        <f ca="1">IF(AND(L2194=1,L2193&lt;&gt;1),MAX($N$8:N2193)+1,"")</f>
        <v/>
      </c>
      <c r="O2194" s="24" t="str">
        <f ca="1">IF(AND(L2194&lt;&gt;1,L2193=1),MAX($O$8:O2193)+1,"")</f>
        <v/>
      </c>
      <c r="P2194" s="17" t="str">
        <f ca="1">IF(AND(L2194=-1,L2193&lt;&gt;-1),MAX($P$8:P2193)+1,"")</f>
        <v/>
      </c>
      <c r="Q2194" s="24" t="str">
        <f ca="1">IF(AND(L2194&lt;&gt;-1,L2193=-1),MAX($Q$8:Q2193)+1,"")</f>
        <v/>
      </c>
    </row>
    <row r="2195" spans="1:17" x14ac:dyDescent="0.3">
      <c r="A2195" s="3">
        <v>43413</v>
      </c>
      <c r="B2195" s="9">
        <v>31.607498</v>
      </c>
      <c r="C2195" s="9">
        <v>27.116472000000002</v>
      </c>
      <c r="E2195" s="14">
        <f t="shared" si="242"/>
        <v>1.1656198490718113</v>
      </c>
      <c r="F2195" s="18">
        <f t="shared" ca="1" si="241"/>
        <v>-0.60821360967684979</v>
      </c>
      <c r="G2195" s="15">
        <f t="shared" ca="1" si="239"/>
        <v>1.1842672983989733</v>
      </c>
      <c r="H2195" s="15">
        <f t="shared" ca="1" si="240"/>
        <v>3.0659375309062199E-2</v>
      </c>
      <c r="J2195" s="17">
        <f t="shared" ca="1" si="243"/>
        <v>0</v>
      </c>
      <c r="K2195" s="24">
        <f t="shared" ca="1" si="244"/>
        <v>-1</v>
      </c>
      <c r="L2195" s="17">
        <f t="shared" ca="1" si="245"/>
        <v>-1</v>
      </c>
      <c r="N2195" s="24" t="str">
        <f ca="1">IF(AND(L2195=1,L2194&lt;&gt;1),MAX($N$8:N2194)+1,"")</f>
        <v/>
      </c>
      <c r="O2195" s="24" t="str">
        <f ca="1">IF(AND(L2195&lt;&gt;1,L2194=1),MAX($O$8:O2194)+1,"")</f>
        <v/>
      </c>
      <c r="P2195" s="17" t="str">
        <f ca="1">IF(AND(L2195=-1,L2194&lt;&gt;-1),MAX($P$8:P2194)+1,"")</f>
        <v/>
      </c>
      <c r="Q2195" s="24" t="str">
        <f ca="1">IF(AND(L2195&lt;&gt;-1,L2194=-1),MAX($Q$8:Q2194)+1,"")</f>
        <v/>
      </c>
    </row>
    <row r="2196" spans="1:17" x14ac:dyDescent="0.3">
      <c r="A2196" s="3">
        <v>43416</v>
      </c>
      <c r="B2196" s="9">
        <v>31.694697999999999</v>
      </c>
      <c r="C2196" s="9">
        <v>27.093672000000002</v>
      </c>
      <c r="E2196" s="14">
        <f t="shared" si="242"/>
        <v>1.1698192109212806</v>
      </c>
      <c r="F2196" s="18">
        <f t="shared" ca="1" si="241"/>
        <v>-0.40327619488323579</v>
      </c>
      <c r="G2196" s="15">
        <f t="shared" ca="1" si="239"/>
        <v>1.1816011102224209</v>
      </c>
      <c r="H2196" s="15">
        <f t="shared" ca="1" si="240"/>
        <v>2.9215459406304864E-2</v>
      </c>
      <c r="J2196" s="17">
        <f t="shared" ca="1" si="243"/>
        <v>0</v>
      </c>
      <c r="K2196" s="24">
        <f t="shared" ca="1" si="244"/>
        <v>-1</v>
      </c>
      <c r="L2196" s="17">
        <f t="shared" ca="1" si="245"/>
        <v>-1</v>
      </c>
      <c r="N2196" s="24" t="str">
        <f ca="1">IF(AND(L2196=1,L2195&lt;&gt;1),MAX($N$8:N2195)+1,"")</f>
        <v/>
      </c>
      <c r="O2196" s="24" t="str">
        <f ca="1">IF(AND(L2196&lt;&gt;1,L2195=1),MAX($O$8:O2195)+1,"")</f>
        <v/>
      </c>
      <c r="P2196" s="17" t="str">
        <f ca="1">IF(AND(L2196=-1,L2195&lt;&gt;-1),MAX($P$8:P2195)+1,"")</f>
        <v/>
      </c>
      <c r="Q2196" s="24" t="str">
        <f ca="1">IF(AND(L2196&lt;&gt;-1,L2195=-1),MAX($Q$8:Q2195)+1,"")</f>
        <v/>
      </c>
    </row>
    <row r="2197" spans="1:17" x14ac:dyDescent="0.3">
      <c r="A2197" s="3">
        <v>43417</v>
      </c>
      <c r="B2197" s="9">
        <v>31.576405000000001</v>
      </c>
      <c r="C2197" s="9">
        <v>26.607310999999999</v>
      </c>
      <c r="E2197" s="14">
        <f t="shared" si="242"/>
        <v>1.1867567150998461</v>
      </c>
      <c r="F2197" s="18">
        <f t="shared" ca="1" si="241"/>
        <v>0.25120448739068119</v>
      </c>
      <c r="G2197" s="15">
        <f t="shared" ca="1" si="239"/>
        <v>1.1798209915993156</v>
      </c>
      <c r="H2197" s="15">
        <f t="shared" ca="1" si="240"/>
        <v>2.7609871036037084E-2</v>
      </c>
      <c r="J2197" s="17">
        <f t="shared" ca="1" si="243"/>
        <v>0</v>
      </c>
      <c r="K2197" s="24">
        <f t="shared" ca="1" si="244"/>
        <v>0</v>
      </c>
      <c r="L2197" s="17">
        <f t="shared" ca="1" si="245"/>
        <v>0</v>
      </c>
      <c r="N2197" s="24" t="str">
        <f ca="1">IF(AND(L2197=1,L2196&lt;&gt;1),MAX($N$8:N2196)+1,"")</f>
        <v/>
      </c>
      <c r="O2197" s="24" t="str">
        <f ca="1">IF(AND(L2197&lt;&gt;1,L2196=1),MAX($O$8:O2196)+1,"")</f>
        <v/>
      </c>
      <c r="P2197" s="17" t="str">
        <f ca="1">IF(AND(L2197=-1,L2196&lt;&gt;-1),MAX($P$8:P2196)+1,"")</f>
        <v/>
      </c>
      <c r="Q2197" s="24">
        <f ca="1">IF(AND(L2197&lt;&gt;-1,L2196=-1),MAX($Q$8:Q2196)+1,"")</f>
        <v>82</v>
      </c>
    </row>
    <row r="2198" spans="1:17" x14ac:dyDescent="0.3">
      <c r="A2198" s="3">
        <v>43418</v>
      </c>
      <c r="B2198" s="9">
        <v>31.850254</v>
      </c>
      <c r="C2198" s="9">
        <v>26.979672999999998</v>
      </c>
      <c r="E2198" s="14">
        <f t="shared" si="242"/>
        <v>1.1805277995771113</v>
      </c>
      <c r="F2198" s="18">
        <f t="shared" ca="1" si="241"/>
        <v>9.2710788637150557E-2</v>
      </c>
      <c r="G2198" s="15">
        <f t="shared" ca="1" si="239"/>
        <v>1.1780907209027138</v>
      </c>
      <c r="H2198" s="15">
        <f t="shared" ca="1" si="240"/>
        <v>2.6286894009020338E-2</v>
      </c>
      <c r="J2198" s="17">
        <f t="shared" ca="1" si="243"/>
        <v>0</v>
      </c>
      <c r="K2198" s="24">
        <f t="shared" ca="1" si="244"/>
        <v>0</v>
      </c>
      <c r="L2198" s="17">
        <f t="shared" ca="1" si="245"/>
        <v>0</v>
      </c>
      <c r="N2198" s="24" t="str">
        <f ca="1">IF(AND(L2198=1,L2197&lt;&gt;1),MAX($N$8:N2197)+1,"")</f>
        <v/>
      </c>
      <c r="O2198" s="24" t="str">
        <f ca="1">IF(AND(L2198&lt;&gt;1,L2197=1),MAX($O$8:O2197)+1,"")</f>
        <v/>
      </c>
      <c r="P2198" s="17" t="str">
        <f ca="1">IF(AND(L2198=-1,L2197&lt;&gt;-1),MAX($P$8:P2197)+1,"")</f>
        <v/>
      </c>
      <c r="Q2198" s="24" t="str">
        <f ca="1">IF(AND(L2198&lt;&gt;-1,L2197=-1),MAX($Q$8:Q2197)+1,"")</f>
        <v/>
      </c>
    </row>
    <row r="2199" spans="1:17" x14ac:dyDescent="0.3">
      <c r="A2199" s="3">
        <v>43420</v>
      </c>
      <c r="B2199" s="9">
        <v>32.833754999999996</v>
      </c>
      <c r="C2199" s="9">
        <v>28.286919000000001</v>
      </c>
      <c r="E2199" s="14">
        <f t="shared" si="242"/>
        <v>1.1607398812150589</v>
      </c>
      <c r="F2199" s="18">
        <f t="shared" ca="1" si="241"/>
        <v>-0.59149788533726377</v>
      </c>
      <c r="G2199" s="15">
        <f t="shared" ca="1" si="239"/>
        <v>1.1751165564723707</v>
      </c>
      <c r="H2199" s="15">
        <f t="shared" ca="1" si="240"/>
        <v>2.4305539569451563E-2</v>
      </c>
      <c r="J2199" s="17">
        <f t="shared" ca="1" si="243"/>
        <v>0</v>
      </c>
      <c r="K2199" s="24">
        <f t="shared" ca="1" si="244"/>
        <v>0</v>
      </c>
      <c r="L2199" s="17">
        <f t="shared" ca="1" si="245"/>
        <v>0</v>
      </c>
      <c r="N2199" s="24" t="str">
        <f ca="1">IF(AND(L2199=1,L2198&lt;&gt;1),MAX($N$8:N2198)+1,"")</f>
        <v/>
      </c>
      <c r="O2199" s="24" t="str">
        <f ca="1">IF(AND(L2199&lt;&gt;1,L2198=1),MAX($O$8:O2198)+1,"")</f>
        <v/>
      </c>
      <c r="P2199" s="17" t="str">
        <f ca="1">IF(AND(L2199=-1,L2198&lt;&gt;-1),MAX($P$8:P2198)+1,"")</f>
        <v/>
      </c>
      <c r="Q2199" s="24" t="str">
        <f ca="1">IF(AND(L2199&lt;&gt;-1,L2198=-1),MAX($Q$8:Q2198)+1,"")</f>
        <v/>
      </c>
    </row>
    <row r="2200" spans="1:17" x14ac:dyDescent="0.3">
      <c r="A2200" s="3">
        <v>43423</v>
      </c>
      <c r="B2200" s="9">
        <v>32.815105000000003</v>
      </c>
      <c r="C2200" s="9">
        <v>28.165264000000001</v>
      </c>
      <c r="E2200" s="14">
        <f t="shared" si="242"/>
        <v>1.1650913337790834</v>
      </c>
      <c r="F2200" s="18">
        <f t="shared" ca="1" si="241"/>
        <v>-0.33933356239281937</v>
      </c>
      <c r="G2200" s="15">
        <f t="shared" ca="1" si="239"/>
        <v>1.1727500810022498</v>
      </c>
      <c r="H2200" s="15">
        <f t="shared" ca="1" si="240"/>
        <v>2.2569966758255629E-2</v>
      </c>
      <c r="J2200" s="17">
        <f t="shared" ca="1" si="243"/>
        <v>0</v>
      </c>
      <c r="K2200" s="24">
        <f t="shared" ca="1" si="244"/>
        <v>0</v>
      </c>
      <c r="L2200" s="17">
        <f t="shared" ca="1" si="245"/>
        <v>0</v>
      </c>
      <c r="N2200" s="24" t="str">
        <f ca="1">IF(AND(L2200=1,L2199&lt;&gt;1),MAX($N$8:N2199)+1,"")</f>
        <v/>
      </c>
      <c r="O2200" s="24" t="str">
        <f ca="1">IF(AND(L2200&lt;&gt;1,L2199=1),MAX($O$8:O2199)+1,"")</f>
        <v/>
      </c>
      <c r="P2200" s="17" t="str">
        <f ca="1">IF(AND(L2200=-1,L2199&lt;&gt;-1),MAX($P$8:P2199)+1,"")</f>
        <v/>
      </c>
      <c r="Q2200" s="24" t="str">
        <f ca="1">IF(AND(L2200&lt;&gt;-1,L2199=-1),MAX($Q$8:Q2199)+1,"")</f>
        <v/>
      </c>
    </row>
    <row r="2201" spans="1:17" x14ac:dyDescent="0.3">
      <c r="A2201" s="3">
        <v>43425</v>
      </c>
      <c r="B2201" s="9">
        <v>32.388694999999998</v>
      </c>
      <c r="C2201" s="9">
        <v>27.853725000000001</v>
      </c>
      <c r="E2201" s="14">
        <f t="shared" si="242"/>
        <v>1.1628137708690669</v>
      </c>
      <c r="F2201" s="18">
        <f t="shared" ca="1" si="241"/>
        <v>-0.37442849848653947</v>
      </c>
      <c r="G2201" s="15">
        <f t="shared" ca="1" si="239"/>
        <v>1.17092068128855</v>
      </c>
      <c r="H2201" s="15">
        <f t="shared" ca="1" si="240"/>
        <v>2.1651424643828285E-2</v>
      </c>
      <c r="J2201" s="17">
        <f t="shared" ca="1" si="243"/>
        <v>0</v>
      </c>
      <c r="K2201" s="24">
        <f t="shared" ca="1" si="244"/>
        <v>0</v>
      </c>
      <c r="L2201" s="17">
        <f t="shared" ca="1" si="245"/>
        <v>0</v>
      </c>
      <c r="N2201" s="24" t="str">
        <f ca="1">IF(AND(L2201=1,L2200&lt;&gt;1),MAX($N$8:N2200)+1,"")</f>
        <v/>
      </c>
      <c r="O2201" s="24" t="str">
        <f ca="1">IF(AND(L2201&lt;&gt;1,L2200=1),MAX($O$8:O2200)+1,"")</f>
        <v/>
      </c>
      <c r="P2201" s="17" t="str">
        <f ca="1">IF(AND(L2201=-1,L2200&lt;&gt;-1),MAX($P$8:P2200)+1,"")</f>
        <v/>
      </c>
      <c r="Q2201" s="24" t="str">
        <f ca="1">IF(AND(L2201&lt;&gt;-1,L2200=-1),MAX($Q$8:Q2200)+1,"")</f>
        <v/>
      </c>
    </row>
    <row r="2202" spans="1:17" x14ac:dyDescent="0.3">
      <c r="A2202" s="3">
        <v>43426</v>
      </c>
      <c r="B2202" s="9">
        <v>32.313999000000003</v>
      </c>
      <c r="C2202" s="9">
        <v>27.967731000000001</v>
      </c>
      <c r="E2202" s="14">
        <f t="shared" si="242"/>
        <v>1.1554029534966566</v>
      </c>
      <c r="F2202" s="18">
        <f t="shared" ca="1" si="241"/>
        <v>-0.64517505869597547</v>
      </c>
      <c r="G2202" s="15">
        <f t="shared" ca="1" si="239"/>
        <v>1.1688728554520067</v>
      </c>
      <c r="H2202" s="15">
        <f t="shared" ca="1" si="240"/>
        <v>2.0877902475919381E-2</v>
      </c>
      <c r="J2202" s="17">
        <f t="shared" ca="1" si="243"/>
        <v>0</v>
      </c>
      <c r="K2202" s="24">
        <f t="shared" ca="1" si="244"/>
        <v>0</v>
      </c>
      <c r="L2202" s="17">
        <f t="shared" ca="1" si="245"/>
        <v>0</v>
      </c>
      <c r="N2202" s="24" t="str">
        <f ca="1">IF(AND(L2202=1,L2201&lt;&gt;1),MAX($N$8:N2201)+1,"")</f>
        <v/>
      </c>
      <c r="O2202" s="24" t="str">
        <f ca="1">IF(AND(L2202&lt;&gt;1,L2201=1),MAX($O$8:O2201)+1,"")</f>
        <v/>
      </c>
      <c r="P2202" s="17" t="str">
        <f ca="1">IF(AND(L2202=-1,L2201&lt;&gt;-1),MAX($P$8:P2201)+1,"")</f>
        <v/>
      </c>
      <c r="Q2202" s="24" t="str">
        <f ca="1">IF(AND(L2202&lt;&gt;-1,L2201=-1),MAX($Q$8:Q2201)+1,"")</f>
        <v/>
      </c>
    </row>
    <row r="2203" spans="1:17" x14ac:dyDescent="0.3">
      <c r="A2203" s="3">
        <v>43427</v>
      </c>
      <c r="B2203" s="9">
        <v>32.276648999999999</v>
      </c>
      <c r="C2203" s="9">
        <v>27.906889</v>
      </c>
      <c r="E2203" s="14">
        <f t="shared" si="242"/>
        <v>1.1565835589914735</v>
      </c>
      <c r="F2203" s="18">
        <f t="shared" ca="1" si="241"/>
        <v>-0.52141493779489756</v>
      </c>
      <c r="G2203" s="15">
        <f t="shared" ca="1" si="239"/>
        <v>1.1671182674533036</v>
      </c>
      <c r="H2203" s="15">
        <f t="shared" ca="1" si="240"/>
        <v>2.0204078744621694E-2</v>
      </c>
      <c r="J2203" s="17">
        <f t="shared" ca="1" si="243"/>
        <v>0</v>
      </c>
      <c r="K2203" s="24">
        <f t="shared" ca="1" si="244"/>
        <v>0</v>
      </c>
      <c r="L2203" s="17">
        <f t="shared" ca="1" si="245"/>
        <v>0</v>
      </c>
      <c r="N2203" s="24" t="str">
        <f ca="1">IF(AND(L2203=1,L2202&lt;&gt;1),MAX($N$8:N2202)+1,"")</f>
        <v/>
      </c>
      <c r="O2203" s="24" t="str">
        <f ca="1">IF(AND(L2203&lt;&gt;1,L2202=1),MAX($O$8:O2202)+1,"")</f>
        <v/>
      </c>
      <c r="P2203" s="17" t="str">
        <f ca="1">IF(AND(L2203=-1,L2202&lt;&gt;-1),MAX($P$8:P2202)+1,"")</f>
        <v/>
      </c>
      <c r="Q2203" s="24" t="str">
        <f ca="1">IF(AND(L2203&lt;&gt;-1,L2202=-1),MAX($Q$8:Q2202)+1,"")</f>
        <v/>
      </c>
    </row>
    <row r="2204" spans="1:17" x14ac:dyDescent="0.3">
      <c r="A2204" s="3">
        <v>43430</v>
      </c>
      <c r="B2204" s="9">
        <v>31.744457000000001</v>
      </c>
      <c r="C2204" s="9">
        <v>27.504072000000001</v>
      </c>
      <c r="E2204" s="14">
        <f t="shared" si="242"/>
        <v>1.1541729893668109</v>
      </c>
      <c r="F2204" s="18">
        <f t="shared" ca="1" si="241"/>
        <v>-0.57057830457211423</v>
      </c>
      <c r="G2204" s="15">
        <f t="shared" ca="1" si="239"/>
        <v>1.1651236659399744</v>
      </c>
      <c r="H2204" s="15">
        <f t="shared" ca="1" si="240"/>
        <v>1.9192241424909412E-2</v>
      </c>
      <c r="J2204" s="17">
        <f t="shared" ca="1" si="243"/>
        <v>0</v>
      </c>
      <c r="K2204" s="24">
        <f t="shared" ca="1" si="244"/>
        <v>0</v>
      </c>
      <c r="L2204" s="17">
        <f t="shared" ca="1" si="245"/>
        <v>0</v>
      </c>
      <c r="N2204" s="24" t="str">
        <f ca="1">IF(AND(L2204=1,L2203&lt;&gt;1),MAX($N$8:N2203)+1,"")</f>
        <v/>
      </c>
      <c r="O2204" s="24" t="str">
        <f ca="1">IF(AND(L2204&lt;&gt;1,L2203=1),MAX($O$8:O2203)+1,"")</f>
        <v/>
      </c>
      <c r="P2204" s="17" t="str">
        <f ca="1">IF(AND(L2204=-1,L2203&lt;&gt;-1),MAX($P$8:P2203)+1,"")</f>
        <v/>
      </c>
      <c r="Q2204" s="24" t="str">
        <f ca="1">IF(AND(L2204&lt;&gt;-1,L2203=-1),MAX($Q$8:Q2203)+1,"")</f>
        <v/>
      </c>
    </row>
    <row r="2205" spans="1:17" x14ac:dyDescent="0.3">
      <c r="A2205" s="3">
        <v>43431</v>
      </c>
      <c r="B2205" s="9">
        <v>32.818165</v>
      </c>
      <c r="C2205" s="9">
        <v>28.628921999999999</v>
      </c>
      <c r="E2205" s="14">
        <f t="shared" si="242"/>
        <v>1.1463290514396596</v>
      </c>
      <c r="F2205" s="18">
        <f t="shared" ca="1" si="241"/>
        <v>-0.90550336478752924</v>
      </c>
      <c r="G2205" s="15">
        <f t="shared" ca="1" si="239"/>
        <v>1.1627787290427389</v>
      </c>
      <c r="H2205" s="15">
        <f t="shared" ca="1" si="240"/>
        <v>1.8166335148781226E-2</v>
      </c>
      <c r="J2205" s="17">
        <f t="shared" ca="1" si="243"/>
        <v>0</v>
      </c>
      <c r="K2205" s="24">
        <f t="shared" ca="1" si="244"/>
        <v>0</v>
      </c>
      <c r="L2205" s="17">
        <f t="shared" ca="1" si="245"/>
        <v>0</v>
      </c>
      <c r="N2205" s="24" t="str">
        <f ca="1">IF(AND(L2205=1,L2204&lt;&gt;1),MAX($N$8:N2204)+1,"")</f>
        <v/>
      </c>
      <c r="O2205" s="24" t="str">
        <f ca="1">IF(AND(L2205&lt;&gt;1,L2204=1),MAX($O$8:O2204)+1,"")</f>
        <v/>
      </c>
      <c r="P2205" s="17" t="str">
        <f ca="1">IF(AND(L2205=-1,L2204&lt;&gt;-1),MAX($P$8:P2204)+1,"")</f>
        <v/>
      </c>
      <c r="Q2205" s="24" t="str">
        <f ca="1">IF(AND(L2205&lt;&gt;-1,L2204=-1),MAX($Q$8:Q2204)+1,"")</f>
        <v/>
      </c>
    </row>
    <row r="2206" spans="1:17" x14ac:dyDescent="0.3">
      <c r="A2206" s="3">
        <v>43432</v>
      </c>
      <c r="B2206" s="9">
        <v>33.639797000000002</v>
      </c>
      <c r="C2206" s="9">
        <v>29.21405</v>
      </c>
      <c r="E2206" s="14">
        <f t="shared" si="242"/>
        <v>1.1514937846686784</v>
      </c>
      <c r="F2206" s="18">
        <f t="shared" ca="1" si="241"/>
        <v>-0.55174653709618227</v>
      </c>
      <c r="G2206" s="15">
        <f t="shared" ca="1" si="239"/>
        <v>1.1607829903934126</v>
      </c>
      <c r="H2206" s="15">
        <f t="shared" ca="1" si="240"/>
        <v>1.6836001859881024E-2</v>
      </c>
      <c r="J2206" s="17">
        <f t="shared" ca="1" si="243"/>
        <v>0</v>
      </c>
      <c r="K2206" s="24">
        <f t="shared" ca="1" si="244"/>
        <v>0</v>
      </c>
      <c r="L2206" s="17">
        <f t="shared" ca="1" si="245"/>
        <v>0</v>
      </c>
      <c r="N2206" s="24" t="str">
        <f ca="1">IF(AND(L2206=1,L2205&lt;&gt;1),MAX($N$8:N2205)+1,"")</f>
        <v/>
      </c>
      <c r="O2206" s="24" t="str">
        <f ca="1">IF(AND(L2206&lt;&gt;1,L2205=1),MAX($O$8:O2205)+1,"")</f>
        <v/>
      </c>
      <c r="P2206" s="17" t="str">
        <f ca="1">IF(AND(L2206=-1,L2205&lt;&gt;-1),MAX($P$8:P2205)+1,"")</f>
        <v/>
      </c>
      <c r="Q2206" s="24" t="str">
        <f ca="1">IF(AND(L2206&lt;&gt;-1,L2205=-1),MAX($Q$8:Q2205)+1,"")</f>
        <v/>
      </c>
    </row>
    <row r="2207" spans="1:17" x14ac:dyDescent="0.3">
      <c r="A2207" s="3">
        <v>43433</v>
      </c>
      <c r="B2207" s="9">
        <v>33.938567999999997</v>
      </c>
      <c r="C2207" s="9">
        <v>29.578844</v>
      </c>
      <c r="E2207" s="14">
        <f t="shared" si="242"/>
        <v>1.1473933193602832</v>
      </c>
      <c r="F2207" s="18">
        <f t="shared" ca="1" si="241"/>
        <v>-0.72383715867751619</v>
      </c>
      <c r="G2207" s="15">
        <f t="shared" ref="G2207:G2270" ca="1" si="246">IF(ISNUMBER(E2207),IF(ROW(E2207)&gt;$J$1,AVERAGE(OFFSET(E2207,0,0,-$J$1)),""),"")</f>
        <v>1.159513976192355</v>
      </c>
      <c r="H2207" s="15">
        <f t="shared" ref="H2207:H2270" ca="1" si="247">IF(ISNUMBER(E2207),IF(ROW(E2207)&gt;$J$1,_xlfn.STDEV.P(OFFSET(E2207,0,0,-$J$1)),""),"")</f>
        <v>1.6745004987332716E-2</v>
      </c>
      <c r="J2207" s="17">
        <f t="shared" ca="1" si="243"/>
        <v>0</v>
      </c>
      <c r="K2207" s="24">
        <f t="shared" ca="1" si="244"/>
        <v>0</v>
      </c>
      <c r="L2207" s="17">
        <f t="shared" ca="1" si="245"/>
        <v>0</v>
      </c>
      <c r="N2207" s="24" t="str">
        <f ca="1">IF(AND(L2207=1,L2206&lt;&gt;1),MAX($N$8:N2206)+1,"")</f>
        <v/>
      </c>
      <c r="O2207" s="24" t="str">
        <f ca="1">IF(AND(L2207&lt;&gt;1,L2206=1),MAX($O$8:O2206)+1,"")</f>
        <v/>
      </c>
      <c r="P2207" s="17" t="str">
        <f ca="1">IF(AND(L2207=-1,L2206&lt;&gt;-1),MAX($P$8:P2206)+1,"")</f>
        <v/>
      </c>
      <c r="Q2207" s="24" t="str">
        <f ca="1">IF(AND(L2207&lt;&gt;-1,L2206=-1),MAX($Q$8:Q2206)+1,"")</f>
        <v/>
      </c>
    </row>
    <row r="2208" spans="1:17" x14ac:dyDescent="0.3">
      <c r="A2208" s="3">
        <v>43434</v>
      </c>
      <c r="B2208" s="9">
        <v>33.630459000000002</v>
      </c>
      <c r="C2208" s="9">
        <v>29.229282000000001</v>
      </c>
      <c r="E2208" s="14">
        <f t="shared" si="242"/>
        <v>1.1505742426379135</v>
      </c>
      <c r="F2208" s="18">
        <f t="shared" ca="1" si="241"/>
        <v>-0.47217734009179191</v>
      </c>
      <c r="G2208" s="15">
        <f t="shared" ca="1" si="246"/>
        <v>1.1583154255178525</v>
      </c>
      <c r="H2208" s="15">
        <f t="shared" ca="1" si="247"/>
        <v>1.639465137914935E-2</v>
      </c>
      <c r="J2208" s="17">
        <f t="shared" ca="1" si="243"/>
        <v>0</v>
      </c>
      <c r="K2208" s="24">
        <f t="shared" ca="1" si="244"/>
        <v>0</v>
      </c>
      <c r="L2208" s="17">
        <f t="shared" ca="1" si="245"/>
        <v>0</v>
      </c>
      <c r="N2208" s="24" t="str">
        <f ca="1">IF(AND(L2208=1,L2207&lt;&gt;1),MAX($N$8:N2207)+1,"")</f>
        <v/>
      </c>
      <c r="O2208" s="24" t="str">
        <f ca="1">IF(AND(L2208&lt;&gt;1,L2207=1),MAX($O$8:O2207)+1,"")</f>
        <v/>
      </c>
      <c r="P2208" s="17" t="str">
        <f ca="1">IF(AND(L2208=-1,L2207&lt;&gt;-1),MAX($P$8:P2207)+1,"")</f>
        <v/>
      </c>
      <c r="Q2208" s="24" t="str">
        <f ca="1">IF(AND(L2208&lt;&gt;-1,L2207=-1),MAX($Q$8:Q2207)+1,"")</f>
        <v/>
      </c>
    </row>
    <row r="2209" spans="1:17" x14ac:dyDescent="0.3">
      <c r="A2209" s="3">
        <v>43437</v>
      </c>
      <c r="B2209" s="9">
        <v>33.205455999999998</v>
      </c>
      <c r="C2209" s="9">
        <v>28.727685999999999</v>
      </c>
      <c r="E2209" s="14">
        <f t="shared" si="242"/>
        <v>1.1558694981558904</v>
      </c>
      <c r="F2209" s="18">
        <f t="shared" ca="1" si="241"/>
        <v>-9.2462920883661523E-2</v>
      </c>
      <c r="G2209" s="15">
        <f t="shared" ca="1" si="246"/>
        <v>1.1573358652843859</v>
      </c>
      <c r="H2209" s="15">
        <f t="shared" ca="1" si="247"/>
        <v>1.5858974759629111E-2</v>
      </c>
      <c r="J2209" s="17">
        <f t="shared" ca="1" si="243"/>
        <v>0</v>
      </c>
      <c r="K2209" s="24">
        <f t="shared" ca="1" si="244"/>
        <v>0</v>
      </c>
      <c r="L2209" s="17">
        <f t="shared" ca="1" si="245"/>
        <v>0</v>
      </c>
      <c r="N2209" s="24" t="str">
        <f ca="1">IF(AND(L2209=1,L2208&lt;&gt;1),MAX($N$8:N2208)+1,"")</f>
        <v/>
      </c>
      <c r="O2209" s="24" t="str">
        <f ca="1">IF(AND(L2209&lt;&gt;1,L2208=1),MAX($O$8:O2208)+1,"")</f>
        <v/>
      </c>
      <c r="P2209" s="17" t="str">
        <f ca="1">IF(AND(L2209=-1,L2208&lt;&gt;-1),MAX($P$8:P2208)+1,"")</f>
        <v/>
      </c>
      <c r="Q2209" s="24" t="str">
        <f ca="1">IF(AND(L2209&lt;&gt;-1,L2208=-1),MAX($Q$8:Q2208)+1,"")</f>
        <v/>
      </c>
    </row>
    <row r="2210" spans="1:17" x14ac:dyDescent="0.3">
      <c r="A2210" s="3">
        <v>43438</v>
      </c>
      <c r="B2210" s="9">
        <v>33.168101999999998</v>
      </c>
      <c r="C2210" s="9">
        <v>28.649560999999999</v>
      </c>
      <c r="E2210" s="14">
        <f t="shared" si="242"/>
        <v>1.1577176348356613</v>
      </c>
      <c r="F2210" s="18">
        <f t="shared" ca="1" si="241"/>
        <v>4.9968557817923642E-2</v>
      </c>
      <c r="G2210" s="15">
        <f t="shared" ca="1" si="246"/>
        <v>1.1569316183604292</v>
      </c>
      <c r="H2210" s="15">
        <f t="shared" ca="1" si="247"/>
        <v>1.5730221354318896E-2</v>
      </c>
      <c r="J2210" s="17">
        <f t="shared" ca="1" si="243"/>
        <v>0</v>
      </c>
      <c r="K2210" s="24">
        <f t="shared" ca="1" si="244"/>
        <v>0</v>
      </c>
      <c r="L2210" s="17">
        <f t="shared" ca="1" si="245"/>
        <v>0</v>
      </c>
      <c r="N2210" s="24" t="str">
        <f ca="1">IF(AND(L2210=1,L2209&lt;&gt;1),MAX($N$8:N2209)+1,"")</f>
        <v/>
      </c>
      <c r="O2210" s="24" t="str">
        <f ca="1">IF(AND(L2210&lt;&gt;1,L2209=1),MAX($O$8:O2209)+1,"")</f>
        <v/>
      </c>
      <c r="P2210" s="17" t="str">
        <f ca="1">IF(AND(L2210=-1,L2209&lt;&gt;-1),MAX($P$8:P2209)+1,"")</f>
        <v/>
      </c>
      <c r="Q2210" s="24" t="str">
        <f ca="1">IF(AND(L2210&lt;&gt;-1,L2209=-1),MAX($Q$8:Q2209)+1,"")</f>
        <v/>
      </c>
    </row>
    <row r="2211" spans="1:17" x14ac:dyDescent="0.3">
      <c r="A2211" s="3">
        <v>43439</v>
      </c>
      <c r="B2211" s="9">
        <v>33.186782999999998</v>
      </c>
      <c r="C2211" s="9">
        <v>28.634321</v>
      </c>
      <c r="E2211" s="14">
        <f t="shared" si="242"/>
        <v>1.1589862040032308</v>
      </c>
      <c r="F2211" s="18">
        <f t="shared" ca="1" si="241"/>
        <v>0.18695343332729839</v>
      </c>
      <c r="G2211" s="15">
        <f t="shared" ca="1" si="246"/>
        <v>1.156149860201336</v>
      </c>
      <c r="H2211" s="15">
        <f t="shared" ca="1" si="247"/>
        <v>1.5171391888423999E-2</v>
      </c>
      <c r="J2211" s="17">
        <f t="shared" ca="1" si="243"/>
        <v>0</v>
      </c>
      <c r="K2211" s="24">
        <f t="shared" ca="1" si="244"/>
        <v>0</v>
      </c>
      <c r="L2211" s="17">
        <f t="shared" ca="1" si="245"/>
        <v>0</v>
      </c>
      <c r="N2211" s="24" t="str">
        <f ca="1">IF(AND(L2211=1,L2210&lt;&gt;1),MAX($N$8:N2210)+1,"")</f>
        <v/>
      </c>
      <c r="O2211" s="24" t="str">
        <f ca="1">IF(AND(L2211&lt;&gt;1,L2210=1),MAX($O$8:O2210)+1,"")</f>
        <v/>
      </c>
      <c r="P2211" s="17" t="str">
        <f ca="1">IF(AND(L2211=-1,L2210&lt;&gt;-1),MAX($P$8:P2210)+1,"")</f>
        <v/>
      </c>
      <c r="Q2211" s="24" t="str">
        <f ca="1">IF(AND(L2211&lt;&gt;-1,L2210=-1),MAX($Q$8:Q2210)+1,"")</f>
        <v/>
      </c>
    </row>
    <row r="2212" spans="1:17" x14ac:dyDescent="0.3">
      <c r="A2212" s="3">
        <v>43440</v>
      </c>
      <c r="B2212" s="9">
        <v>33.485683000000002</v>
      </c>
      <c r="C2212" s="9">
        <v>28.946090999999999</v>
      </c>
      <c r="E2212" s="14">
        <f t="shared" si="242"/>
        <v>1.1568291898204839</v>
      </c>
      <c r="F2212" s="18">
        <f t="shared" ca="1" si="241"/>
        <v>-4.3574812589293965E-2</v>
      </c>
      <c r="G2212" s="15">
        <f t="shared" ca="1" si="246"/>
        <v>1.157435924806113</v>
      </c>
      <c r="H2212" s="15">
        <f t="shared" ca="1" si="247"/>
        <v>1.3923983824045227E-2</v>
      </c>
      <c r="J2212" s="17">
        <f t="shared" ca="1" si="243"/>
        <v>0</v>
      </c>
      <c r="K2212" s="24">
        <f t="shared" ca="1" si="244"/>
        <v>0</v>
      </c>
      <c r="L2212" s="17">
        <f t="shared" ca="1" si="245"/>
        <v>0</v>
      </c>
      <c r="N2212" s="24" t="str">
        <f ca="1">IF(AND(L2212=1,L2211&lt;&gt;1),MAX($N$8:N2211)+1,"")</f>
        <v/>
      </c>
      <c r="O2212" s="24" t="str">
        <f ca="1">IF(AND(L2212&lt;&gt;1,L2211=1),MAX($O$8:O2211)+1,"")</f>
        <v/>
      </c>
      <c r="P2212" s="17" t="str">
        <f ca="1">IF(AND(L2212=-1,L2211&lt;&gt;-1),MAX($P$8:P2211)+1,"")</f>
        <v/>
      </c>
      <c r="Q2212" s="24" t="str">
        <f ca="1">IF(AND(L2212&lt;&gt;-1,L2211=-1),MAX($Q$8:Q2211)+1,"")</f>
        <v/>
      </c>
    </row>
    <row r="2213" spans="1:17" x14ac:dyDescent="0.3">
      <c r="A2213" s="3">
        <v>43441</v>
      </c>
      <c r="B2213" s="9">
        <v>33.214806000000003</v>
      </c>
      <c r="C2213" s="9">
        <v>28.809231</v>
      </c>
      <c r="E2213" s="14">
        <f t="shared" si="242"/>
        <v>1.1529223393710162</v>
      </c>
      <c r="F2213" s="18">
        <f t="shared" ca="1" si="241"/>
        <v>-0.56909272727757854</v>
      </c>
      <c r="G2213" s="15">
        <f t="shared" ca="1" si="246"/>
        <v>1.159078304116377</v>
      </c>
      <c r="H2213" s="15">
        <f t="shared" ca="1" si="247"/>
        <v>1.0817155887424004E-2</v>
      </c>
      <c r="J2213" s="17">
        <f t="shared" ca="1" si="243"/>
        <v>0</v>
      </c>
      <c r="K2213" s="24">
        <f t="shared" ca="1" si="244"/>
        <v>0</v>
      </c>
      <c r="L2213" s="17">
        <f t="shared" ca="1" si="245"/>
        <v>0</v>
      </c>
      <c r="N2213" s="24" t="str">
        <f ca="1">IF(AND(L2213=1,L2212&lt;&gt;1),MAX($N$8:N2212)+1,"")</f>
        <v/>
      </c>
      <c r="O2213" s="24" t="str">
        <f ca="1">IF(AND(L2213&lt;&gt;1,L2212=1),MAX($O$8:O2212)+1,"")</f>
        <v/>
      </c>
      <c r="P2213" s="17" t="str">
        <f ca="1">IF(AND(L2213=-1,L2212&lt;&gt;-1),MAX($P$8:P2212)+1,"")</f>
        <v/>
      </c>
      <c r="Q2213" s="24" t="str">
        <f ca="1">IF(AND(L2213&lt;&gt;-1,L2212=-1),MAX($Q$8:Q2212)+1,"")</f>
        <v/>
      </c>
    </row>
    <row r="2214" spans="1:17" x14ac:dyDescent="0.3">
      <c r="A2214" s="3">
        <v>43444</v>
      </c>
      <c r="B2214" s="9">
        <v>32.327461</v>
      </c>
      <c r="C2214" s="9">
        <v>28.254213</v>
      </c>
      <c r="E2214" s="14">
        <f t="shared" si="242"/>
        <v>1.1441642702983799</v>
      </c>
      <c r="F2214" s="18">
        <f t="shared" ca="1" si="241"/>
        <v>-1.5048105599750978</v>
      </c>
      <c r="G2214" s="15">
        <f t="shared" ca="1" si="246"/>
        <v>1.1594427499039219</v>
      </c>
      <c r="H2214" s="15">
        <f t="shared" ca="1" si="247"/>
        <v>1.015309169932653E-2</v>
      </c>
      <c r="J2214" s="17">
        <f t="shared" ca="1" si="243"/>
        <v>0</v>
      </c>
      <c r="K2214" s="24">
        <f t="shared" ca="1" si="244"/>
        <v>-1</v>
      </c>
      <c r="L2214" s="17">
        <f t="shared" ca="1" si="245"/>
        <v>-1</v>
      </c>
      <c r="N2214" s="24" t="str">
        <f ca="1">IF(AND(L2214=1,L2213&lt;&gt;1),MAX($N$8:N2213)+1,"")</f>
        <v/>
      </c>
      <c r="O2214" s="24" t="str">
        <f ca="1">IF(AND(L2214&lt;&gt;1,L2213=1),MAX($O$8:O2213)+1,"")</f>
        <v/>
      </c>
      <c r="P2214" s="17">
        <f ca="1">IF(AND(L2214=-1,L2213&lt;&gt;-1),MAX($P$8:P2213)+1,"")</f>
        <v>83</v>
      </c>
      <c r="Q2214" s="24" t="str">
        <f ca="1">IF(AND(L2214&lt;&gt;-1,L2213=-1),MAX($Q$8:Q2213)+1,"")</f>
        <v/>
      </c>
    </row>
    <row r="2215" spans="1:17" x14ac:dyDescent="0.3">
      <c r="A2215" s="3">
        <v>43445</v>
      </c>
      <c r="B2215" s="9">
        <v>32.617016</v>
      </c>
      <c r="C2215" s="9">
        <v>28.581130999999999</v>
      </c>
      <c r="E2215" s="14">
        <f t="shared" si="242"/>
        <v>1.1412080228735526</v>
      </c>
      <c r="F2215" s="18">
        <f t="shared" ca="1" si="241"/>
        <v>-1.6045612965430007</v>
      </c>
      <c r="G2215" s="15">
        <f t="shared" ca="1" si="246"/>
        <v>1.1585999014081625</v>
      </c>
      <c r="H2215" s="15">
        <f t="shared" ca="1" si="247"/>
        <v>1.0839024082208876E-2</v>
      </c>
      <c r="J2215" s="17">
        <f t="shared" ca="1" si="243"/>
        <v>0</v>
      </c>
      <c r="K2215" s="24">
        <f t="shared" ca="1" si="244"/>
        <v>-1</v>
      </c>
      <c r="L2215" s="17">
        <f t="shared" ca="1" si="245"/>
        <v>-1</v>
      </c>
      <c r="N2215" s="24" t="str">
        <f ca="1">IF(AND(L2215=1,L2214&lt;&gt;1),MAX($N$8:N2214)+1,"")</f>
        <v/>
      </c>
      <c r="O2215" s="24" t="str">
        <f ca="1">IF(AND(L2215&lt;&gt;1,L2214=1),MAX($O$8:O2214)+1,"")</f>
        <v/>
      </c>
      <c r="P2215" s="17" t="str">
        <f ca="1">IF(AND(L2215=-1,L2214&lt;&gt;-1),MAX($P$8:P2214)+1,"")</f>
        <v/>
      </c>
      <c r="Q2215" s="24" t="str">
        <f ca="1">IF(AND(L2215&lt;&gt;-1,L2214=-1),MAX($Q$8:Q2214)+1,"")</f>
        <v/>
      </c>
    </row>
    <row r="2216" spans="1:17" x14ac:dyDescent="0.3">
      <c r="A2216" s="3">
        <v>43446</v>
      </c>
      <c r="B2216" s="9">
        <v>32.841189999999997</v>
      </c>
      <c r="C2216" s="9">
        <v>28.771180999999999</v>
      </c>
      <c r="E2216" s="14">
        <f t="shared" si="242"/>
        <v>1.1414613115811965</v>
      </c>
      <c r="F2216" s="18">
        <f t="shared" ca="1" si="241"/>
        <v>-1.4232221251607939</v>
      </c>
      <c r="G2216" s="15">
        <f t="shared" ca="1" si="246"/>
        <v>1.1573853150651883</v>
      </c>
      <c r="H2216" s="15">
        <f t="shared" ca="1" si="247"/>
        <v>1.1188698659524238E-2</v>
      </c>
      <c r="J2216" s="17">
        <f t="shared" ca="1" si="243"/>
        <v>0</v>
      </c>
      <c r="K2216" s="24">
        <f t="shared" ca="1" si="244"/>
        <v>-1</v>
      </c>
      <c r="L2216" s="17">
        <f t="shared" ca="1" si="245"/>
        <v>-1</v>
      </c>
      <c r="N2216" s="24" t="str">
        <f ca="1">IF(AND(L2216=1,L2215&lt;&gt;1),MAX($N$8:N2215)+1,"")</f>
        <v/>
      </c>
      <c r="O2216" s="24" t="str">
        <f ca="1">IF(AND(L2216&lt;&gt;1,L2215=1),MAX($O$8:O2215)+1,"")</f>
        <v/>
      </c>
      <c r="P2216" s="17" t="str">
        <f ca="1">IF(AND(L2216=-1,L2215&lt;&gt;-1),MAX($P$8:P2215)+1,"")</f>
        <v/>
      </c>
      <c r="Q2216" s="24" t="str">
        <f ca="1">IF(AND(L2216&lt;&gt;-1,L2215=-1),MAX($Q$8:Q2215)+1,"")</f>
        <v/>
      </c>
    </row>
    <row r="2217" spans="1:17" x14ac:dyDescent="0.3">
      <c r="A2217" s="3">
        <v>43447</v>
      </c>
      <c r="B2217" s="9">
        <v>33.420287999999999</v>
      </c>
      <c r="C2217" s="9">
        <v>29.531583999999999</v>
      </c>
      <c r="E2217" s="14">
        <f t="shared" si="242"/>
        <v>1.1316794927085523</v>
      </c>
      <c r="F2217" s="18">
        <f t="shared" ca="1" si="241"/>
        <v>-1.9744831570539028</v>
      </c>
      <c r="G2217" s="15">
        <f t="shared" ca="1" si="246"/>
        <v>1.1558425715941312</v>
      </c>
      <c r="H2217" s="15">
        <f t="shared" ca="1" si="247"/>
        <v>1.2237672830611666E-2</v>
      </c>
      <c r="J2217" s="17">
        <f t="shared" ca="1" si="243"/>
        <v>0</v>
      </c>
      <c r="K2217" s="24">
        <f t="shared" ca="1" si="244"/>
        <v>-1</v>
      </c>
      <c r="L2217" s="17">
        <f t="shared" ca="1" si="245"/>
        <v>-1</v>
      </c>
      <c r="N2217" s="24" t="str">
        <f ca="1">IF(AND(L2217=1,L2216&lt;&gt;1),MAX($N$8:N2216)+1,"")</f>
        <v/>
      </c>
      <c r="O2217" s="24" t="str">
        <f ca="1">IF(AND(L2217&lt;&gt;1,L2216=1),MAX($O$8:O2216)+1,"")</f>
        <v/>
      </c>
      <c r="P2217" s="17" t="str">
        <f ca="1">IF(AND(L2217=-1,L2216&lt;&gt;-1),MAX($P$8:P2216)+1,"")</f>
        <v/>
      </c>
      <c r="Q2217" s="24" t="str">
        <f ca="1">IF(AND(L2217&lt;&gt;-1,L2216=-1),MAX($Q$8:Q2216)+1,"")</f>
        <v/>
      </c>
    </row>
    <row r="2218" spans="1:17" x14ac:dyDescent="0.3">
      <c r="A2218" s="3">
        <v>43448</v>
      </c>
      <c r="B2218" s="9">
        <v>33.177444000000001</v>
      </c>
      <c r="C2218" s="9">
        <v>29.196999000000002</v>
      </c>
      <c r="E2218" s="14">
        <f t="shared" si="242"/>
        <v>1.1363306208285311</v>
      </c>
      <c r="F2218" s="18">
        <f t="shared" ca="1" si="241"/>
        <v>-1.4409353097690965</v>
      </c>
      <c r="G2218" s="15">
        <f t="shared" ca="1" si="246"/>
        <v>1.1543203629535519</v>
      </c>
      <c r="H2218" s="15">
        <f t="shared" ca="1" si="247"/>
        <v>1.2484767361210392E-2</v>
      </c>
      <c r="J2218" s="17">
        <f t="shared" ca="1" si="243"/>
        <v>0</v>
      </c>
      <c r="K2218" s="24">
        <f t="shared" ca="1" si="244"/>
        <v>-1</v>
      </c>
      <c r="L2218" s="17">
        <f t="shared" ca="1" si="245"/>
        <v>-1</v>
      </c>
      <c r="N2218" s="24" t="str">
        <f ca="1">IF(AND(L2218=1,L2217&lt;&gt;1),MAX($N$8:N2217)+1,"")</f>
        <v/>
      </c>
      <c r="O2218" s="24" t="str">
        <f ca="1">IF(AND(L2218&lt;&gt;1,L2217=1),MAX($O$8:O2217)+1,"")</f>
        <v/>
      </c>
      <c r="P2218" s="17" t="str">
        <f ca="1">IF(AND(L2218=-1,L2217&lt;&gt;-1),MAX($P$8:P2217)+1,"")</f>
        <v/>
      </c>
      <c r="Q2218" s="24" t="str">
        <f ca="1">IF(AND(L2218&lt;&gt;-1,L2217=-1),MAX($Q$8:Q2217)+1,"")</f>
        <v/>
      </c>
    </row>
    <row r="2219" spans="1:17" x14ac:dyDescent="0.3">
      <c r="A2219" s="3">
        <v>43451</v>
      </c>
      <c r="B2219" s="9">
        <v>32.290103999999999</v>
      </c>
      <c r="C2219" s="9">
        <v>28.626749</v>
      </c>
      <c r="E2219" s="14">
        <f t="shared" si="242"/>
        <v>1.1279696482475183</v>
      </c>
      <c r="F2219" s="18">
        <f t="shared" ca="1" si="241"/>
        <v>-2.0573161560576816</v>
      </c>
      <c r="G2219" s="15">
        <f t="shared" ca="1" si="246"/>
        <v>1.1516482235511731</v>
      </c>
      <c r="H2219" s="15">
        <f t="shared" ca="1" si="247"/>
        <v>1.1509448965310571E-2</v>
      </c>
      <c r="J2219" s="17">
        <f t="shared" ca="1" si="243"/>
        <v>0</v>
      </c>
      <c r="K2219" s="24">
        <f t="shared" ca="1" si="244"/>
        <v>-1</v>
      </c>
      <c r="L2219" s="17">
        <f t="shared" ca="1" si="245"/>
        <v>-1</v>
      </c>
      <c r="N2219" s="24" t="str">
        <f ca="1">IF(AND(L2219=1,L2218&lt;&gt;1),MAX($N$8:N2218)+1,"")</f>
        <v/>
      </c>
      <c r="O2219" s="24" t="str">
        <f ca="1">IF(AND(L2219&lt;&gt;1,L2218=1),MAX($O$8:O2218)+1,"")</f>
        <v/>
      </c>
      <c r="P2219" s="17" t="str">
        <f ca="1">IF(AND(L2219=-1,L2218&lt;&gt;-1),MAX($P$8:P2218)+1,"")</f>
        <v/>
      </c>
      <c r="Q2219" s="24" t="str">
        <f ca="1">IF(AND(L2219&lt;&gt;-1,L2218=-1),MAX($Q$8:Q2218)+1,"")</f>
        <v/>
      </c>
    </row>
    <row r="2220" spans="1:17" x14ac:dyDescent="0.3">
      <c r="A2220" s="3">
        <v>43452</v>
      </c>
      <c r="B2220" s="9">
        <v>32.813889000000003</v>
      </c>
      <c r="C2220" s="9">
        <v>29.158957000000001</v>
      </c>
      <c r="E2220" s="14">
        <f t="shared" si="242"/>
        <v>1.1253450869316075</v>
      </c>
      <c r="F2220" s="18">
        <f t="shared" ca="1" si="241"/>
        <v>-2.1747602553948213</v>
      </c>
      <c r="G2220" s="15">
        <f t="shared" ca="1" si="246"/>
        <v>1.149139918430923</v>
      </c>
      <c r="H2220" s="15">
        <f t="shared" ca="1" si="247"/>
        <v>1.0941358451024117E-2</v>
      </c>
      <c r="J2220" s="17">
        <f t="shared" ca="1" si="243"/>
        <v>0</v>
      </c>
      <c r="K2220" s="24">
        <f t="shared" ca="1" si="244"/>
        <v>-1</v>
      </c>
      <c r="L2220" s="17">
        <f t="shared" ca="1" si="245"/>
        <v>-1</v>
      </c>
      <c r="N2220" s="24" t="str">
        <f ca="1">IF(AND(L2220=1,L2219&lt;&gt;1),MAX($N$8:N2219)+1,"")</f>
        <v/>
      </c>
      <c r="O2220" s="24" t="str">
        <f ca="1">IF(AND(L2220&lt;&gt;1,L2219=1),MAX($O$8:O2219)+1,"")</f>
        <v/>
      </c>
      <c r="P2220" s="17" t="str">
        <f ca="1">IF(AND(L2220=-1,L2219&lt;&gt;-1),MAX($P$8:P2219)+1,"")</f>
        <v/>
      </c>
      <c r="Q2220" s="24" t="str">
        <f ca="1">IF(AND(L2220&lt;&gt;-1,L2219=-1),MAX($Q$8:Q2219)+1,"")</f>
        <v/>
      </c>
    </row>
    <row r="2221" spans="1:17" x14ac:dyDescent="0.3">
      <c r="A2221" s="3">
        <v>43453</v>
      </c>
      <c r="B2221" s="9">
        <v>32.374752000000001</v>
      </c>
      <c r="C2221" s="9">
        <v>28.740801000000001</v>
      </c>
      <c r="E2221" s="14">
        <f t="shared" si="242"/>
        <v>1.1264387516548338</v>
      </c>
      <c r="F2221" s="18">
        <f t="shared" ca="1" si="241"/>
        <v>-1.8223800621022594</v>
      </c>
      <c r="G2221" s="15">
        <f t="shared" ca="1" si="246"/>
        <v>1.1475807761781853</v>
      </c>
      <c r="H2221" s="15">
        <f t="shared" ca="1" si="247"/>
        <v>1.1601325630704372E-2</v>
      </c>
      <c r="J2221" s="17">
        <f t="shared" ca="1" si="243"/>
        <v>0</v>
      </c>
      <c r="K2221" s="24">
        <f t="shared" ca="1" si="244"/>
        <v>-1</v>
      </c>
      <c r="L2221" s="17">
        <f t="shared" ca="1" si="245"/>
        <v>-1</v>
      </c>
      <c r="N2221" s="24" t="str">
        <f ca="1">IF(AND(L2221=1,L2220&lt;&gt;1),MAX($N$8:N2220)+1,"")</f>
        <v/>
      </c>
      <c r="O2221" s="24" t="str">
        <f ca="1">IF(AND(L2221&lt;&gt;1,L2220=1),MAX($O$8:O2220)+1,"")</f>
        <v/>
      </c>
      <c r="P2221" s="17" t="str">
        <f ca="1">IF(AND(L2221=-1,L2220&lt;&gt;-1),MAX($P$8:P2220)+1,"")</f>
        <v/>
      </c>
      <c r="Q2221" s="24" t="str">
        <f ca="1">IF(AND(L2221&lt;&gt;-1,L2220=-1),MAX($Q$8:Q2220)+1,"")</f>
        <v/>
      </c>
    </row>
    <row r="2222" spans="1:17" x14ac:dyDescent="0.3">
      <c r="A2222" s="3">
        <v>43454</v>
      </c>
      <c r="B2222" s="9">
        <v>32.365409999999997</v>
      </c>
      <c r="C2222" s="9">
        <v>28.892901999999999</v>
      </c>
      <c r="E2222" s="14">
        <f t="shared" si="242"/>
        <v>1.1201855043844331</v>
      </c>
      <c r="F2222" s="18">
        <f t="shared" ca="1" si="241"/>
        <v>-2.066020085055146</v>
      </c>
      <c r="G2222" s="15">
        <f t="shared" ca="1" si="246"/>
        <v>1.1455396021147923</v>
      </c>
      <c r="H2222" s="15">
        <f t="shared" ca="1" si="247"/>
        <v>1.2271951233079368E-2</v>
      </c>
      <c r="J2222" s="17">
        <f t="shared" ca="1" si="243"/>
        <v>0</v>
      </c>
      <c r="K2222" s="24">
        <f t="shared" ca="1" si="244"/>
        <v>-1</v>
      </c>
      <c r="L2222" s="17">
        <f t="shared" ca="1" si="245"/>
        <v>-1</v>
      </c>
      <c r="N2222" s="24" t="str">
        <f ca="1">IF(AND(L2222=1,L2221&lt;&gt;1),MAX($N$8:N2221)+1,"")</f>
        <v/>
      </c>
      <c r="O2222" s="24" t="str">
        <f ca="1">IF(AND(L2222&lt;&gt;1,L2221=1),MAX($O$8:O2221)+1,"")</f>
        <v/>
      </c>
      <c r="P2222" s="17" t="str">
        <f ca="1">IF(AND(L2222=-1,L2221&lt;&gt;-1),MAX($P$8:P2221)+1,"")</f>
        <v/>
      </c>
      <c r="Q2222" s="24" t="str">
        <f ca="1">IF(AND(L2222&lt;&gt;-1,L2221=-1),MAX($Q$8:Q2221)+1,"")</f>
        <v/>
      </c>
    </row>
    <row r="2223" spans="1:17" x14ac:dyDescent="0.3">
      <c r="A2223" s="3">
        <v>43455</v>
      </c>
      <c r="B2223" s="9">
        <v>32.215907999999999</v>
      </c>
      <c r="C2223" s="9">
        <v>28.672374999999999</v>
      </c>
      <c r="E2223" s="14">
        <f t="shared" si="242"/>
        <v>1.1235870066571045</v>
      </c>
      <c r="F2223" s="18">
        <f t="shared" ca="1" si="241"/>
        <v>-1.6160834032157447</v>
      </c>
      <c r="G2223" s="15">
        <f t="shared" ca="1" si="246"/>
        <v>1.1437565673778849</v>
      </c>
      <c r="H2223" s="15">
        <f t="shared" ca="1" si="247"/>
        <v>1.2480519681500466E-2</v>
      </c>
      <c r="J2223" s="17">
        <f t="shared" ca="1" si="243"/>
        <v>0</v>
      </c>
      <c r="K2223" s="24">
        <f t="shared" ca="1" si="244"/>
        <v>-1</v>
      </c>
      <c r="L2223" s="17">
        <f t="shared" ca="1" si="245"/>
        <v>-1</v>
      </c>
      <c r="N2223" s="24" t="str">
        <f ca="1">IF(AND(L2223=1,L2222&lt;&gt;1),MAX($N$8:N2222)+1,"")</f>
        <v/>
      </c>
      <c r="O2223" s="24" t="str">
        <f ca="1">IF(AND(L2223&lt;&gt;1,L2222=1),MAX($O$8:O2222)+1,"")</f>
        <v/>
      </c>
      <c r="P2223" s="17" t="str">
        <f ca="1">IF(AND(L2223=-1,L2222&lt;&gt;-1),MAX($P$8:P2222)+1,"")</f>
        <v/>
      </c>
      <c r="Q2223" s="24" t="str">
        <f ca="1">IF(AND(L2223&lt;&gt;-1,L2222=-1),MAX($Q$8:Q2222)+1,"")</f>
        <v/>
      </c>
    </row>
    <row r="2224" spans="1:17" x14ac:dyDescent="0.3">
      <c r="A2224" s="3">
        <v>43460</v>
      </c>
      <c r="B2224" s="9">
        <v>31.515158</v>
      </c>
      <c r="C2224" s="9">
        <v>28.327044000000001</v>
      </c>
      <c r="E2224" s="14">
        <f t="shared" si="242"/>
        <v>1.1125466532971107</v>
      </c>
      <c r="F2224" s="18">
        <f t="shared" ca="1" si="241"/>
        <v>-2.1224422262306972</v>
      </c>
      <c r="G2224" s="15">
        <f t="shared" ca="1" si="246"/>
        <v>1.1418085537324509</v>
      </c>
      <c r="H2224" s="15">
        <f t="shared" ca="1" si="247"/>
        <v>1.3786900804036148E-2</v>
      </c>
      <c r="J2224" s="17">
        <f t="shared" ca="1" si="243"/>
        <v>0</v>
      </c>
      <c r="K2224" s="24">
        <f t="shared" ca="1" si="244"/>
        <v>-1</v>
      </c>
      <c r="L2224" s="17">
        <f t="shared" ca="1" si="245"/>
        <v>-1</v>
      </c>
      <c r="N2224" s="24" t="str">
        <f ca="1">IF(AND(L2224=1,L2223&lt;&gt;1),MAX($N$8:N2223)+1,"")</f>
        <v/>
      </c>
      <c r="O2224" s="24" t="str">
        <f ca="1">IF(AND(L2224&lt;&gt;1,L2223=1),MAX($O$8:O2223)+1,"")</f>
        <v/>
      </c>
      <c r="P2224" s="17" t="str">
        <f ca="1">IF(AND(L2224=-1,L2223&lt;&gt;-1),MAX($P$8:P2223)+1,"")</f>
        <v/>
      </c>
      <c r="Q2224" s="24" t="str">
        <f ca="1">IF(AND(L2224&lt;&gt;-1,L2223=-1),MAX($Q$8:Q2223)+1,"")</f>
        <v/>
      </c>
    </row>
    <row r="2225" spans="1:17" x14ac:dyDescent="0.3">
      <c r="A2225" s="3">
        <v>43461</v>
      </c>
      <c r="B2225" s="9">
        <v>32.047728999999997</v>
      </c>
      <c r="C2225" s="9">
        <v>28.984878999999999</v>
      </c>
      <c r="E2225" s="14">
        <f t="shared" si="242"/>
        <v>1.1056706153577525</v>
      </c>
      <c r="F2225" s="18">
        <f t="shared" ca="1" si="241"/>
        <v>-2.2103621085678569</v>
      </c>
      <c r="G2225" s="15">
        <f t="shared" ca="1" si="246"/>
        <v>1.1394943290218273</v>
      </c>
      <c r="H2225" s="15">
        <f t="shared" ca="1" si="247"/>
        <v>1.5302340522834072E-2</v>
      </c>
      <c r="J2225" s="17">
        <f t="shared" ca="1" si="243"/>
        <v>0</v>
      </c>
      <c r="K2225" s="24">
        <f t="shared" ca="1" si="244"/>
        <v>-1</v>
      </c>
      <c r="L2225" s="17">
        <f t="shared" ca="1" si="245"/>
        <v>-1</v>
      </c>
      <c r="N2225" s="24" t="str">
        <f ca="1">IF(AND(L2225=1,L2224&lt;&gt;1),MAX($N$8:N2224)+1,"")</f>
        <v/>
      </c>
      <c r="O2225" s="24" t="str">
        <f ca="1">IF(AND(L2225&lt;&gt;1,L2224=1),MAX($O$8:O2224)+1,"")</f>
        <v/>
      </c>
      <c r="P2225" s="17" t="str">
        <f ca="1">IF(AND(L2225=-1,L2224&lt;&gt;-1),MAX($P$8:P2224)+1,"")</f>
        <v/>
      </c>
      <c r="Q2225" s="24" t="str">
        <f ca="1">IF(AND(L2225&lt;&gt;-1,L2224=-1),MAX($Q$8:Q2224)+1,"")</f>
        <v/>
      </c>
    </row>
    <row r="2226" spans="1:17" x14ac:dyDescent="0.3">
      <c r="A2226" s="3">
        <v>43462</v>
      </c>
      <c r="B2226" s="9">
        <v>33.179192</v>
      </c>
      <c r="C2226" s="9">
        <v>29.913640999999998</v>
      </c>
      <c r="E2226" s="14">
        <f t="shared" si="242"/>
        <v>1.1091659487389049</v>
      </c>
      <c r="F2226" s="18">
        <f t="shared" ca="1" si="241"/>
        <v>-1.7473311226900534</v>
      </c>
      <c r="G2226" s="15">
        <f t="shared" ca="1" si="246"/>
        <v>1.1374485544478317</v>
      </c>
      <c r="H2226" s="15">
        <f t="shared" ca="1" si="247"/>
        <v>1.6186174069506093E-2</v>
      </c>
      <c r="J2226" s="17">
        <f t="shared" ca="1" si="243"/>
        <v>0</v>
      </c>
      <c r="K2226" s="24">
        <f t="shared" ca="1" si="244"/>
        <v>-1</v>
      </c>
      <c r="L2226" s="17">
        <f t="shared" ca="1" si="245"/>
        <v>-1</v>
      </c>
      <c r="N2226" s="24" t="str">
        <f ca="1">IF(AND(L2226=1,L2225&lt;&gt;1),MAX($N$8:N2225)+1,"")</f>
        <v/>
      </c>
      <c r="O2226" s="24" t="str">
        <f ca="1">IF(AND(L2226&lt;&gt;1,L2225=1),MAX($O$8:O2225)+1,"")</f>
        <v/>
      </c>
      <c r="P2226" s="17" t="str">
        <f ca="1">IF(AND(L2226=-1,L2225&lt;&gt;-1),MAX($P$8:P2225)+1,"")</f>
        <v/>
      </c>
      <c r="Q2226" s="24" t="str">
        <f ca="1">IF(AND(L2226&lt;&gt;-1,L2225=-1),MAX($Q$8:Q2225)+1,"")</f>
        <v/>
      </c>
    </row>
    <row r="2227" spans="1:17" x14ac:dyDescent="0.3">
      <c r="A2227" s="3">
        <v>43467</v>
      </c>
      <c r="B2227" s="9">
        <v>34.595745000000001</v>
      </c>
      <c r="C2227" s="9">
        <v>31.260331999999998</v>
      </c>
      <c r="E2227" s="14">
        <f t="shared" si="242"/>
        <v>1.1066979391005829</v>
      </c>
      <c r="F2227" s="18">
        <f t="shared" ca="1" si="241"/>
        <v>-1.6765763798173925</v>
      </c>
      <c r="G2227" s="15">
        <f t="shared" ca="1" si="246"/>
        <v>1.135647140250601</v>
      </c>
      <c r="H2227" s="15">
        <f t="shared" ca="1" si="247"/>
        <v>1.7266854942314735E-2</v>
      </c>
      <c r="J2227" s="17">
        <f t="shared" ca="1" si="243"/>
        <v>0</v>
      </c>
      <c r="K2227" s="24">
        <f t="shared" ca="1" si="244"/>
        <v>-1</v>
      </c>
      <c r="L2227" s="17">
        <f t="shared" ca="1" si="245"/>
        <v>-1</v>
      </c>
      <c r="N2227" s="24" t="str">
        <f ca="1">IF(AND(L2227=1,L2226&lt;&gt;1),MAX($N$8:N2226)+1,"")</f>
        <v/>
      </c>
      <c r="O2227" s="24" t="str">
        <f ca="1">IF(AND(L2227&lt;&gt;1,L2226=1),MAX($O$8:O2226)+1,"")</f>
        <v/>
      </c>
      <c r="P2227" s="17" t="str">
        <f ca="1">IF(AND(L2227=-1,L2226&lt;&gt;-1),MAX($P$8:P2226)+1,"")</f>
        <v/>
      </c>
      <c r="Q2227" s="24" t="str">
        <f ca="1">IF(AND(L2227&lt;&gt;-1,L2226=-1),MAX($Q$8:Q2226)+1,"")</f>
        <v/>
      </c>
    </row>
    <row r="2228" spans="1:17" x14ac:dyDescent="0.3">
      <c r="A2228" s="3">
        <v>43468</v>
      </c>
      <c r="B2228" s="9">
        <v>35.166111000000001</v>
      </c>
      <c r="C2228" s="9">
        <v>31.575665000000001</v>
      </c>
      <c r="E2228" s="14">
        <f t="shared" si="242"/>
        <v>1.1137092757983087</v>
      </c>
      <c r="F2228" s="18">
        <f t="shared" ca="1" si="241"/>
        <v>-1.1565726971866985</v>
      </c>
      <c r="G2228" s="15">
        <f t="shared" ca="1" si="246"/>
        <v>1.1339296625746749</v>
      </c>
      <c r="H2228" s="15">
        <f t="shared" ca="1" si="247"/>
        <v>1.7483022749500473E-2</v>
      </c>
      <c r="J2228" s="17">
        <f t="shared" ca="1" si="243"/>
        <v>0</v>
      </c>
      <c r="K2228" s="24">
        <f t="shared" ca="1" si="244"/>
        <v>-1</v>
      </c>
      <c r="L2228" s="17">
        <f t="shared" ca="1" si="245"/>
        <v>-1</v>
      </c>
      <c r="N2228" s="24" t="str">
        <f ca="1">IF(AND(L2228=1,L2227&lt;&gt;1),MAX($N$8:N2227)+1,"")</f>
        <v/>
      </c>
      <c r="O2228" s="24" t="str">
        <f ca="1">IF(AND(L2228&lt;&gt;1,L2227=1),MAX($O$8:O2227)+1,"")</f>
        <v/>
      </c>
      <c r="P2228" s="17" t="str">
        <f ca="1">IF(AND(L2228=-1,L2227&lt;&gt;-1),MAX($P$8:P2227)+1,"")</f>
        <v/>
      </c>
      <c r="Q2228" s="24" t="str">
        <f ca="1">IF(AND(L2228&lt;&gt;-1,L2227=-1),MAX($Q$8:Q2227)+1,"")</f>
        <v/>
      </c>
    </row>
    <row r="2229" spans="1:17" x14ac:dyDescent="0.3">
      <c r="A2229" s="3">
        <v>43469</v>
      </c>
      <c r="B2229" s="9">
        <v>34.577049000000002</v>
      </c>
      <c r="C2229" s="9">
        <v>31.327957000000001</v>
      </c>
      <c r="E2229" s="14">
        <f t="shared" si="242"/>
        <v>1.1037122210043893</v>
      </c>
      <c r="F2229" s="18">
        <f t="shared" ca="1" si="241"/>
        <v>-1.5425248347747118</v>
      </c>
      <c r="G2229" s="15">
        <f t="shared" ca="1" si="246"/>
        <v>1.1319441581039524</v>
      </c>
      <c r="H2229" s="15">
        <f t="shared" ca="1" si="247"/>
        <v>1.8302419813997026E-2</v>
      </c>
      <c r="J2229" s="17">
        <f t="shared" ca="1" si="243"/>
        <v>0</v>
      </c>
      <c r="K2229" s="24">
        <f t="shared" ca="1" si="244"/>
        <v>-1</v>
      </c>
      <c r="L2229" s="17">
        <f t="shared" ca="1" si="245"/>
        <v>-1</v>
      </c>
      <c r="N2229" s="24" t="str">
        <f ca="1">IF(AND(L2229=1,L2228&lt;&gt;1),MAX($N$8:N2228)+1,"")</f>
        <v/>
      </c>
      <c r="O2229" s="24" t="str">
        <f ca="1">IF(AND(L2229&lt;&gt;1,L2228=1),MAX($O$8:O2228)+1,"")</f>
        <v/>
      </c>
      <c r="P2229" s="17" t="str">
        <f ca="1">IF(AND(L2229=-1,L2228&lt;&gt;-1),MAX($P$8:P2228)+1,"")</f>
        <v/>
      </c>
      <c r="Q2229" s="24" t="str">
        <f ca="1">IF(AND(L2229&lt;&gt;-1,L2228=-1),MAX($Q$8:Q2228)+1,"")</f>
        <v/>
      </c>
    </row>
    <row r="2230" spans="1:17" x14ac:dyDescent="0.3">
      <c r="A2230" s="3">
        <v>43472</v>
      </c>
      <c r="B2230" s="9">
        <v>34.642502</v>
      </c>
      <c r="C2230" s="9">
        <v>31.699608000000001</v>
      </c>
      <c r="E2230" s="14">
        <f t="shared" si="242"/>
        <v>1.0928369208855833</v>
      </c>
      <c r="F2230" s="18">
        <f t="shared" ca="1" si="241"/>
        <v>-1.8670344635827509</v>
      </c>
      <c r="G2230" s="15">
        <f t="shared" ca="1" si="246"/>
        <v>1.1293197343879375</v>
      </c>
      <c r="H2230" s="15">
        <f t="shared" ca="1" si="247"/>
        <v>1.9540514229365362E-2</v>
      </c>
      <c r="J2230" s="17">
        <f t="shared" ca="1" si="243"/>
        <v>0</v>
      </c>
      <c r="K2230" s="24">
        <f t="shared" ca="1" si="244"/>
        <v>-1</v>
      </c>
      <c r="L2230" s="17">
        <f t="shared" ca="1" si="245"/>
        <v>-1</v>
      </c>
      <c r="N2230" s="24" t="str">
        <f ca="1">IF(AND(L2230=1,L2229&lt;&gt;1),MAX($N$8:N2229)+1,"")</f>
        <v/>
      </c>
      <c r="O2230" s="24" t="str">
        <f ca="1">IF(AND(L2230&lt;&gt;1,L2229=1),MAX($O$8:O2229)+1,"")</f>
        <v/>
      </c>
      <c r="P2230" s="17" t="str">
        <f ca="1">IF(AND(L2230=-1,L2229&lt;&gt;-1),MAX($P$8:P2229)+1,"")</f>
        <v/>
      </c>
      <c r="Q2230" s="24" t="str">
        <f ca="1">IF(AND(L2230&lt;&gt;-1,L2229=-1),MAX($Q$8:Q2229)+1,"")</f>
        <v/>
      </c>
    </row>
    <row r="2231" spans="1:17" x14ac:dyDescent="0.3">
      <c r="A2231" s="3">
        <v>43473</v>
      </c>
      <c r="B2231" s="9">
        <v>35.081947</v>
      </c>
      <c r="C2231" s="9">
        <v>31.893156000000001</v>
      </c>
      <c r="E2231" s="14">
        <f t="shared" si="242"/>
        <v>1.0999835513299467</v>
      </c>
      <c r="F2231" s="18">
        <f t="shared" ca="1" si="241"/>
        <v>-1.3701788470413969</v>
      </c>
      <c r="G2231" s="15">
        <f t="shared" ca="1" si="246"/>
        <v>1.1267794640776674</v>
      </c>
      <c r="H2231" s="15">
        <f t="shared" ca="1" si="247"/>
        <v>1.9556507389951745E-2</v>
      </c>
      <c r="J2231" s="17">
        <f t="shared" ca="1" si="243"/>
        <v>0</v>
      </c>
      <c r="K2231" s="24">
        <f t="shared" ca="1" si="244"/>
        <v>-1</v>
      </c>
      <c r="L2231" s="17">
        <f t="shared" ca="1" si="245"/>
        <v>-1</v>
      </c>
      <c r="N2231" s="24" t="str">
        <f ca="1">IF(AND(L2231=1,L2230&lt;&gt;1),MAX($N$8:N2230)+1,"")</f>
        <v/>
      </c>
      <c r="O2231" s="24" t="str">
        <f ca="1">IF(AND(L2231&lt;&gt;1,L2230=1),MAX($O$8:O2230)+1,"")</f>
        <v/>
      </c>
      <c r="P2231" s="17" t="str">
        <f ca="1">IF(AND(L2231=-1,L2230&lt;&gt;-1),MAX($P$8:P2230)+1,"")</f>
        <v/>
      </c>
      <c r="Q2231" s="24" t="str">
        <f ca="1">IF(AND(L2231&lt;&gt;-1,L2230=-1),MAX($Q$8:Q2230)+1,"")</f>
        <v/>
      </c>
    </row>
    <row r="2232" spans="1:17" x14ac:dyDescent="0.3">
      <c r="A2232" s="3">
        <v>43474</v>
      </c>
      <c r="B2232" s="9">
        <v>35.614913999999999</v>
      </c>
      <c r="C2232" s="9">
        <v>32.442931999999999</v>
      </c>
      <c r="E2232" s="14">
        <f t="shared" si="242"/>
        <v>1.0977711262348298</v>
      </c>
      <c r="F2232" s="18">
        <f t="shared" ca="1" si="241"/>
        <v>-1.3668319156207329</v>
      </c>
      <c r="G2232" s="15">
        <f t="shared" ca="1" si="246"/>
        <v>1.1240546227776298</v>
      </c>
      <c r="H2232" s="15">
        <f t="shared" ca="1" si="247"/>
        <v>1.9229501625197022E-2</v>
      </c>
      <c r="J2232" s="17">
        <f t="shared" ca="1" si="243"/>
        <v>0</v>
      </c>
      <c r="K2232" s="24">
        <f t="shared" ca="1" si="244"/>
        <v>-1</v>
      </c>
      <c r="L2232" s="17">
        <f t="shared" ca="1" si="245"/>
        <v>-1</v>
      </c>
      <c r="N2232" s="24" t="str">
        <f ca="1">IF(AND(L2232=1,L2231&lt;&gt;1),MAX($N$8:N2231)+1,"")</f>
        <v/>
      </c>
      <c r="O2232" s="24" t="str">
        <f ca="1">IF(AND(L2232&lt;&gt;1,L2231=1),MAX($O$8:O2231)+1,"")</f>
        <v/>
      </c>
      <c r="P2232" s="17" t="str">
        <f ca="1">IF(AND(L2232=-1,L2231&lt;&gt;-1),MAX($P$8:P2231)+1,"")</f>
        <v/>
      </c>
      <c r="Q2232" s="24" t="str">
        <f ca="1">IF(AND(L2232&lt;&gt;-1,L2231=-1),MAX($Q$8:Q2231)+1,"")</f>
        <v/>
      </c>
    </row>
    <row r="2233" spans="1:17" x14ac:dyDescent="0.3">
      <c r="A2233" s="3">
        <v>43475</v>
      </c>
      <c r="B2233" s="9">
        <v>35.371814999999998</v>
      </c>
      <c r="C2233" s="9">
        <v>32.342205</v>
      </c>
      <c r="E2233" s="14">
        <f t="shared" si="242"/>
        <v>1.0936735760595173</v>
      </c>
      <c r="F2233" s="18">
        <f t="shared" ca="1" si="241"/>
        <v>-1.4706139338948629</v>
      </c>
      <c r="G2233" s="15">
        <f t="shared" ca="1" si="246"/>
        <v>1.1210858669620061</v>
      </c>
      <c r="H2233" s="15">
        <f t="shared" ca="1" si="247"/>
        <v>1.864003207822762E-2</v>
      </c>
      <c r="J2233" s="17">
        <f t="shared" ca="1" si="243"/>
        <v>0</v>
      </c>
      <c r="K2233" s="24">
        <f t="shared" ca="1" si="244"/>
        <v>-1</v>
      </c>
      <c r="L2233" s="17">
        <f t="shared" ca="1" si="245"/>
        <v>-1</v>
      </c>
      <c r="N2233" s="24" t="str">
        <f ca="1">IF(AND(L2233=1,L2232&lt;&gt;1),MAX($N$8:N2232)+1,"")</f>
        <v/>
      </c>
      <c r="O2233" s="24" t="str">
        <f ca="1">IF(AND(L2233&lt;&gt;1,L2232=1),MAX($O$8:O2232)+1,"")</f>
        <v/>
      </c>
      <c r="P2233" s="17" t="str">
        <f ca="1">IF(AND(L2233=-1,L2232&lt;&gt;-1),MAX($P$8:P2232)+1,"")</f>
        <v/>
      </c>
      <c r="Q2233" s="24" t="str">
        <f ca="1">IF(AND(L2233&lt;&gt;-1,L2232=-1),MAX($Q$8:Q2232)+1,"")</f>
        <v/>
      </c>
    </row>
    <row r="2234" spans="1:17" x14ac:dyDescent="0.3">
      <c r="A2234" s="3">
        <v>43476</v>
      </c>
      <c r="B2234" s="9">
        <v>35.156761000000003</v>
      </c>
      <c r="C2234" s="9">
        <v>32.133156</v>
      </c>
      <c r="E2234" s="14">
        <f t="shared" si="242"/>
        <v>1.0940961105718967</v>
      </c>
      <c r="F2234" s="18">
        <f t="shared" ca="1" si="241"/>
        <v>-1.3614225918760787</v>
      </c>
      <c r="G2234" s="15">
        <f t="shared" ca="1" si="246"/>
        <v>1.1182343633597975</v>
      </c>
      <c r="H2234" s="15">
        <f t="shared" ca="1" si="247"/>
        <v>1.7730169112764343E-2</v>
      </c>
      <c r="J2234" s="17">
        <f t="shared" ca="1" si="243"/>
        <v>0</v>
      </c>
      <c r="K2234" s="24">
        <f t="shared" ca="1" si="244"/>
        <v>-1</v>
      </c>
      <c r="L2234" s="17">
        <f t="shared" ca="1" si="245"/>
        <v>-1</v>
      </c>
      <c r="N2234" s="24" t="str">
        <f ca="1">IF(AND(L2234=1,L2233&lt;&gt;1),MAX($N$8:N2233)+1,"")</f>
        <v/>
      </c>
      <c r="O2234" s="24" t="str">
        <f ca="1">IF(AND(L2234&lt;&gt;1,L2233=1),MAX($O$8:O2233)+1,"")</f>
        <v/>
      </c>
      <c r="P2234" s="17" t="str">
        <f ca="1">IF(AND(L2234=-1,L2233&lt;&gt;-1),MAX($P$8:P2233)+1,"")</f>
        <v/>
      </c>
      <c r="Q2234" s="24" t="str">
        <f ca="1">IF(AND(L2234&lt;&gt;-1,L2233=-1),MAX($Q$8:Q2233)+1,"")</f>
        <v/>
      </c>
    </row>
    <row r="2235" spans="1:17" x14ac:dyDescent="0.3">
      <c r="A2235" s="3">
        <v>43479</v>
      </c>
      <c r="B2235" s="9">
        <v>35.418568</v>
      </c>
      <c r="C2235" s="9">
        <v>32.512614999999997</v>
      </c>
      <c r="E2235" s="14">
        <f t="shared" si="242"/>
        <v>1.0893792455636067</v>
      </c>
      <c r="F2235" s="18">
        <f t="shared" ca="1" si="241"/>
        <v>-1.527011304477393</v>
      </c>
      <c r="G2235" s="15">
        <f t="shared" ca="1" si="246"/>
        <v>1.1153460409140061</v>
      </c>
      <c r="H2235" s="15">
        <f t="shared" ca="1" si="247"/>
        <v>1.7004979121150905E-2</v>
      </c>
      <c r="J2235" s="17">
        <f t="shared" ca="1" si="243"/>
        <v>0</v>
      </c>
      <c r="K2235" s="24">
        <f t="shared" ca="1" si="244"/>
        <v>-1</v>
      </c>
      <c r="L2235" s="17">
        <f t="shared" ca="1" si="245"/>
        <v>-1</v>
      </c>
      <c r="N2235" s="24" t="str">
        <f ca="1">IF(AND(L2235=1,L2234&lt;&gt;1),MAX($N$8:N2234)+1,"")</f>
        <v/>
      </c>
      <c r="O2235" s="24" t="str">
        <f ca="1">IF(AND(L2235&lt;&gt;1,L2234=1),MAX($O$8:O2234)+1,"")</f>
        <v/>
      </c>
      <c r="P2235" s="17" t="str">
        <f ca="1">IF(AND(L2235=-1,L2234&lt;&gt;-1),MAX($P$8:P2234)+1,"")</f>
        <v/>
      </c>
      <c r="Q2235" s="24" t="str">
        <f ca="1">IF(AND(L2235&lt;&gt;-1,L2234=-1),MAX($Q$8:Q2234)+1,"")</f>
        <v/>
      </c>
    </row>
    <row r="2236" spans="1:17" x14ac:dyDescent="0.3">
      <c r="A2236" s="3">
        <v>43480</v>
      </c>
      <c r="B2236" s="9">
        <v>34.866897999999999</v>
      </c>
      <c r="C2236" s="9">
        <v>32.450642000000002</v>
      </c>
      <c r="E2236" s="14">
        <f t="shared" si="242"/>
        <v>1.0744594205563021</v>
      </c>
      <c r="F2236" s="18">
        <f t="shared" ca="1" si="241"/>
        <v>-2.1172374113925612</v>
      </c>
      <c r="G2236" s="15">
        <f t="shared" ca="1" si="246"/>
        <v>1.1121776386530025</v>
      </c>
      <c r="H2236" s="15">
        <f t="shared" ca="1" si="247"/>
        <v>1.7814826950319267E-2</v>
      </c>
      <c r="J2236" s="17">
        <f t="shared" ca="1" si="243"/>
        <v>0</v>
      </c>
      <c r="K2236" s="24">
        <f t="shared" ca="1" si="244"/>
        <v>-1</v>
      </c>
      <c r="L2236" s="17">
        <f t="shared" ca="1" si="245"/>
        <v>-1</v>
      </c>
      <c r="N2236" s="24" t="str">
        <f ca="1">IF(AND(L2236=1,L2235&lt;&gt;1),MAX($N$8:N2235)+1,"")</f>
        <v/>
      </c>
      <c r="O2236" s="24" t="str">
        <f ca="1">IF(AND(L2236&lt;&gt;1,L2235=1),MAX($O$8:O2235)+1,"")</f>
        <v/>
      </c>
      <c r="P2236" s="17" t="str">
        <f ca="1">IF(AND(L2236=-1,L2235&lt;&gt;-1),MAX($P$8:P2235)+1,"")</f>
        <v/>
      </c>
      <c r="Q2236" s="24" t="str">
        <f ca="1">IF(AND(L2236&lt;&gt;-1,L2235=-1),MAX($Q$8:Q2235)+1,"")</f>
        <v/>
      </c>
    </row>
    <row r="2237" spans="1:17" x14ac:dyDescent="0.3">
      <c r="A2237" s="3">
        <v>43481</v>
      </c>
      <c r="B2237" s="9">
        <v>34.764042000000003</v>
      </c>
      <c r="C2237" s="9">
        <v>32.605530000000002</v>
      </c>
      <c r="E2237" s="14">
        <f t="shared" si="242"/>
        <v>1.0662007947731567</v>
      </c>
      <c r="F2237" s="18">
        <f t="shared" ca="1" si="241"/>
        <v>-2.2326071858893899</v>
      </c>
      <c r="G2237" s="15">
        <f t="shared" ca="1" si="246"/>
        <v>1.1087682191938937</v>
      </c>
      <c r="H2237" s="15">
        <f t="shared" ca="1" si="247"/>
        <v>1.9066239995003734E-2</v>
      </c>
      <c r="J2237" s="17">
        <f t="shared" ca="1" si="243"/>
        <v>0</v>
      </c>
      <c r="K2237" s="24">
        <f t="shared" ca="1" si="244"/>
        <v>-1</v>
      </c>
      <c r="L2237" s="17">
        <f t="shared" ca="1" si="245"/>
        <v>-1</v>
      </c>
      <c r="N2237" s="24" t="str">
        <f ca="1">IF(AND(L2237=1,L2236&lt;&gt;1),MAX($N$8:N2236)+1,"")</f>
        <v/>
      </c>
      <c r="O2237" s="24" t="str">
        <f ca="1">IF(AND(L2237&lt;&gt;1,L2236=1),MAX($O$8:O2236)+1,"")</f>
        <v/>
      </c>
      <c r="P2237" s="17" t="str">
        <f ca="1">IF(AND(L2237=-1,L2236&lt;&gt;-1),MAX($P$8:P2236)+1,"")</f>
        <v/>
      </c>
      <c r="Q2237" s="24" t="str">
        <f ca="1">IF(AND(L2237&lt;&gt;-1,L2236=-1),MAX($Q$8:Q2236)+1,"")</f>
        <v/>
      </c>
    </row>
    <row r="2238" spans="1:17" x14ac:dyDescent="0.3">
      <c r="A2238" s="3">
        <v>43482</v>
      </c>
      <c r="B2238" s="9">
        <v>34.764042000000003</v>
      </c>
      <c r="C2238" s="9">
        <v>32.713867</v>
      </c>
      <c r="E2238" s="14">
        <f t="shared" si="242"/>
        <v>1.0626699069235686</v>
      </c>
      <c r="F2238" s="18">
        <f t="shared" ca="1" si="241"/>
        <v>-2.1292946086181739</v>
      </c>
      <c r="G2238" s="15">
        <f t="shared" ca="1" si="246"/>
        <v>1.105186791709456</v>
      </c>
      <c r="H2238" s="15">
        <f t="shared" ca="1" si="247"/>
        <v>1.9967591433239566E-2</v>
      </c>
      <c r="J2238" s="17">
        <f t="shared" ca="1" si="243"/>
        <v>0</v>
      </c>
      <c r="K2238" s="24">
        <f t="shared" ca="1" si="244"/>
        <v>-1</v>
      </c>
      <c r="L2238" s="17">
        <f t="shared" ca="1" si="245"/>
        <v>-1</v>
      </c>
      <c r="N2238" s="24" t="str">
        <f ca="1">IF(AND(L2238=1,L2237&lt;&gt;1),MAX($N$8:N2237)+1,"")</f>
        <v/>
      </c>
      <c r="O2238" s="24" t="str">
        <f ca="1">IF(AND(L2238&lt;&gt;1,L2237=1),MAX($O$8:O2237)+1,"")</f>
        <v/>
      </c>
      <c r="P2238" s="17" t="str">
        <f ca="1">IF(AND(L2238=-1,L2237&lt;&gt;-1),MAX($P$8:P2237)+1,"")</f>
        <v/>
      </c>
      <c r="Q2238" s="24" t="str">
        <f ca="1">IF(AND(L2238&lt;&gt;-1,L2237=-1),MAX($Q$8:Q2237)+1,"")</f>
        <v/>
      </c>
    </row>
    <row r="2239" spans="1:17" x14ac:dyDescent="0.3">
      <c r="A2239" s="3">
        <v>43483</v>
      </c>
      <c r="B2239" s="9">
        <v>35.212868</v>
      </c>
      <c r="C2239" s="9">
        <v>33.046866999999999</v>
      </c>
      <c r="E2239" s="14">
        <f t="shared" si="242"/>
        <v>1.0655433085381438</v>
      </c>
      <c r="F2239" s="18">
        <f t="shared" ca="1" si="241"/>
        <v>-1.7684503567071101</v>
      </c>
      <c r="G2239" s="15">
        <f t="shared" ca="1" si="246"/>
        <v>1.1021806015198921</v>
      </c>
      <c r="H2239" s="15">
        <f t="shared" ca="1" si="247"/>
        <v>2.0717173565430243E-2</v>
      </c>
      <c r="J2239" s="17">
        <f t="shared" ca="1" si="243"/>
        <v>0</v>
      </c>
      <c r="K2239" s="24">
        <f t="shared" ca="1" si="244"/>
        <v>-1</v>
      </c>
      <c r="L2239" s="17">
        <f t="shared" ca="1" si="245"/>
        <v>-1</v>
      </c>
      <c r="N2239" s="24" t="str">
        <f ca="1">IF(AND(L2239=1,L2238&lt;&gt;1),MAX($N$8:N2238)+1,"")</f>
        <v/>
      </c>
      <c r="O2239" s="24" t="str">
        <f ca="1">IF(AND(L2239&lt;&gt;1,L2238=1),MAX($O$8:O2238)+1,"")</f>
        <v/>
      </c>
      <c r="P2239" s="17" t="str">
        <f ca="1">IF(AND(L2239=-1,L2238&lt;&gt;-1),MAX($P$8:P2238)+1,"")</f>
        <v/>
      </c>
      <c r="Q2239" s="24" t="str">
        <f ca="1">IF(AND(L2239&lt;&gt;-1,L2238=-1),MAX($Q$8:Q2238)+1,"")</f>
        <v/>
      </c>
    </row>
    <row r="2240" spans="1:17" x14ac:dyDescent="0.3">
      <c r="A2240" s="3">
        <v>43486</v>
      </c>
      <c r="B2240" s="9">
        <v>34.923000000000002</v>
      </c>
      <c r="C2240" s="9">
        <v>32.667403999999998</v>
      </c>
      <c r="E2240" s="14">
        <f t="shared" si="242"/>
        <v>1.0690472986466879</v>
      </c>
      <c r="F2240" s="18">
        <f t="shared" ca="1" si="241"/>
        <v>-1.4732397601181875</v>
      </c>
      <c r="G2240" s="15">
        <f t="shared" ca="1" si="246"/>
        <v>1.0991222686934448</v>
      </c>
      <c r="H2240" s="15">
        <f t="shared" ca="1" si="247"/>
        <v>2.0414172126568288E-2</v>
      </c>
      <c r="J2240" s="17">
        <f t="shared" ca="1" si="243"/>
        <v>0</v>
      </c>
      <c r="K2240" s="24">
        <f t="shared" ca="1" si="244"/>
        <v>-1</v>
      </c>
      <c r="L2240" s="17">
        <f t="shared" ca="1" si="245"/>
        <v>-1</v>
      </c>
      <c r="N2240" s="24" t="str">
        <f ca="1">IF(AND(L2240=1,L2239&lt;&gt;1),MAX($N$8:N2239)+1,"")</f>
        <v/>
      </c>
      <c r="O2240" s="24" t="str">
        <f ca="1">IF(AND(L2240&lt;&gt;1,L2239=1),MAX($O$8:O2239)+1,"")</f>
        <v/>
      </c>
      <c r="P2240" s="17" t="str">
        <f ca="1">IF(AND(L2240=-1,L2239&lt;&gt;-1),MAX($P$8:P2239)+1,"")</f>
        <v/>
      </c>
      <c r="Q2240" s="24" t="str">
        <f ca="1">IF(AND(L2240&lt;&gt;-1,L2239=-1),MAX($Q$8:Q2239)+1,"")</f>
        <v/>
      </c>
    </row>
    <row r="2241" spans="1:17" x14ac:dyDescent="0.3">
      <c r="A2241" s="3">
        <v>43487</v>
      </c>
      <c r="B2241" s="9">
        <v>34.866897999999999</v>
      </c>
      <c r="C2241" s="9">
        <v>32.520328999999997</v>
      </c>
      <c r="E2241" s="14">
        <f t="shared" si="242"/>
        <v>1.0721569883256716</v>
      </c>
      <c r="F2241" s="18">
        <f t="shared" ca="1" si="241"/>
        <v>-1.2130641663742265</v>
      </c>
      <c r="G2241" s="15">
        <f t="shared" ca="1" si="246"/>
        <v>1.0965853296060879</v>
      </c>
      <c r="H2241" s="15">
        <f t="shared" ca="1" si="247"/>
        <v>2.0137715677012422E-2</v>
      </c>
      <c r="J2241" s="17">
        <f t="shared" ca="1" si="243"/>
        <v>0</v>
      </c>
      <c r="K2241" s="24">
        <f t="shared" ca="1" si="244"/>
        <v>-1</v>
      </c>
      <c r="L2241" s="17">
        <f t="shared" ca="1" si="245"/>
        <v>-1</v>
      </c>
      <c r="N2241" s="24" t="str">
        <f ca="1">IF(AND(L2241=1,L2240&lt;&gt;1),MAX($N$8:N2240)+1,"")</f>
        <v/>
      </c>
      <c r="O2241" s="24" t="str">
        <f ca="1">IF(AND(L2241&lt;&gt;1,L2240=1),MAX($O$8:O2240)+1,"")</f>
        <v/>
      </c>
      <c r="P2241" s="17" t="str">
        <f ca="1">IF(AND(L2241=-1,L2240&lt;&gt;-1),MAX($P$8:P2240)+1,"")</f>
        <v/>
      </c>
      <c r="Q2241" s="24" t="str">
        <f ca="1">IF(AND(L2241&lt;&gt;-1,L2240=-1),MAX($Q$8:Q2240)+1,"")</f>
        <v/>
      </c>
    </row>
    <row r="2242" spans="1:17" x14ac:dyDescent="0.3">
      <c r="A2242" s="3">
        <v>43488</v>
      </c>
      <c r="B2242" s="9">
        <v>35.100650999999999</v>
      </c>
      <c r="C2242" s="9">
        <v>33.077824</v>
      </c>
      <c r="E2242" s="14">
        <f t="shared" si="242"/>
        <v>1.0611535692311562</v>
      </c>
      <c r="F2242" s="18">
        <f t="shared" ref="F2242:F2305" ca="1" si="248">IF(ISNUMBER(G2242),(E2242-G2242)/H2242,"")</f>
        <v>-1.5932062843753654</v>
      </c>
      <c r="G2242" s="15">
        <f t="shared" ca="1" si="246"/>
        <v>1.0936675333469763</v>
      </c>
      <c r="H2242" s="15">
        <f t="shared" ca="1" si="247"/>
        <v>2.0407880909512951E-2</v>
      </c>
      <c r="J2242" s="17">
        <f t="shared" ca="1" si="243"/>
        <v>0</v>
      </c>
      <c r="K2242" s="24">
        <f t="shared" ca="1" si="244"/>
        <v>-1</v>
      </c>
      <c r="L2242" s="17">
        <f t="shared" ca="1" si="245"/>
        <v>-1</v>
      </c>
      <c r="N2242" s="24" t="str">
        <f ca="1">IF(AND(L2242=1,L2241&lt;&gt;1),MAX($N$8:N2241)+1,"")</f>
        <v/>
      </c>
      <c r="O2242" s="24" t="str">
        <f ca="1">IF(AND(L2242&lt;&gt;1,L2241=1),MAX($O$8:O2241)+1,"")</f>
        <v/>
      </c>
      <c r="P2242" s="17" t="str">
        <f ca="1">IF(AND(L2242=-1,L2241&lt;&gt;-1),MAX($P$8:P2241)+1,"")</f>
        <v/>
      </c>
      <c r="Q2242" s="24" t="str">
        <f ca="1">IF(AND(L2242&lt;&gt;-1,L2241=-1),MAX($Q$8:Q2241)+1,"")</f>
        <v/>
      </c>
    </row>
    <row r="2243" spans="1:17" x14ac:dyDescent="0.3">
      <c r="A2243" s="3">
        <v>43489</v>
      </c>
      <c r="B2243" s="9">
        <v>35.053902000000001</v>
      </c>
      <c r="C2243" s="9">
        <v>33.410744000000001</v>
      </c>
      <c r="E2243" s="14">
        <f t="shared" ref="E2243:E2306" si="249">IF(ISNUMBER(B2243),B2243/C2243,"")</f>
        <v>1.0491805270783554</v>
      </c>
      <c r="F2243" s="18">
        <f t="shared" ca="1" si="248"/>
        <v>-1.9417768909936144</v>
      </c>
      <c r="G2243" s="15">
        <f t="shared" ca="1" si="246"/>
        <v>1.0901557958662276</v>
      </c>
      <c r="H2243" s="15">
        <f t="shared" ca="1" si="247"/>
        <v>2.1101944810407631E-2</v>
      </c>
      <c r="J2243" s="17">
        <f t="shared" ca="1" si="243"/>
        <v>0</v>
      </c>
      <c r="K2243" s="24">
        <f t="shared" ca="1" si="244"/>
        <v>-1</v>
      </c>
      <c r="L2243" s="17">
        <f t="shared" ca="1" si="245"/>
        <v>-1</v>
      </c>
      <c r="N2243" s="24" t="str">
        <f ca="1">IF(AND(L2243=1,L2242&lt;&gt;1),MAX($N$8:N2242)+1,"")</f>
        <v/>
      </c>
      <c r="O2243" s="24" t="str">
        <f ca="1">IF(AND(L2243&lt;&gt;1,L2242=1),MAX($O$8:O2242)+1,"")</f>
        <v/>
      </c>
      <c r="P2243" s="17" t="str">
        <f ca="1">IF(AND(L2243=-1,L2242&lt;&gt;-1),MAX($P$8:P2242)+1,"")</f>
        <v/>
      </c>
      <c r="Q2243" s="24" t="str">
        <f ca="1">IF(AND(L2243&lt;&gt;-1,L2242=-1),MAX($Q$8:Q2242)+1,"")</f>
        <v/>
      </c>
    </row>
    <row r="2244" spans="1:17" x14ac:dyDescent="0.3">
      <c r="A2244" s="3">
        <v>43493</v>
      </c>
      <c r="B2244" s="9">
        <v>35.680359000000003</v>
      </c>
      <c r="C2244" s="9">
        <v>33.681767000000001</v>
      </c>
      <c r="E2244" s="14">
        <f t="shared" si="249"/>
        <v>1.0593375044723752</v>
      </c>
      <c r="F2244" s="18">
        <f t="shared" ca="1" si="248"/>
        <v>-1.3376176476563959</v>
      </c>
      <c r="G2244" s="15">
        <f t="shared" ca="1" si="246"/>
        <v>1.0873899776884068</v>
      </c>
      <c r="H2244" s="15">
        <f t="shared" ca="1" si="247"/>
        <v>2.0971967037951126E-2</v>
      </c>
      <c r="J2244" s="17">
        <f t="shared" ca="1" si="243"/>
        <v>0</v>
      </c>
      <c r="K2244" s="24">
        <f t="shared" ca="1" si="244"/>
        <v>-1</v>
      </c>
      <c r="L2244" s="17">
        <f t="shared" ca="1" si="245"/>
        <v>-1</v>
      </c>
      <c r="N2244" s="24" t="str">
        <f ca="1">IF(AND(L2244=1,L2243&lt;&gt;1),MAX($N$8:N2243)+1,"")</f>
        <v/>
      </c>
      <c r="O2244" s="24" t="str">
        <f ca="1">IF(AND(L2244&lt;&gt;1,L2243=1),MAX($O$8:O2243)+1,"")</f>
        <v/>
      </c>
      <c r="P2244" s="17" t="str">
        <f ca="1">IF(AND(L2244=-1,L2243&lt;&gt;-1),MAX($P$8:P2243)+1,"")</f>
        <v/>
      </c>
      <c r="Q2244" s="24" t="str">
        <f ca="1">IF(AND(L2244&lt;&gt;-1,L2243=-1),MAX($Q$8:Q2243)+1,"")</f>
        <v/>
      </c>
    </row>
    <row r="2245" spans="1:17" x14ac:dyDescent="0.3">
      <c r="A2245" s="3">
        <v>43494</v>
      </c>
      <c r="B2245" s="9">
        <v>35.418568</v>
      </c>
      <c r="C2245" s="9">
        <v>33.248134999999998</v>
      </c>
      <c r="E2245" s="14">
        <f t="shared" si="249"/>
        <v>1.0652798420121912</v>
      </c>
      <c r="F2245" s="18">
        <f t="shared" ca="1" si="248"/>
        <v>-0.97855432888811644</v>
      </c>
      <c r="G2245" s="15">
        <f t="shared" ca="1" si="246"/>
        <v>1.084739652022729</v>
      </c>
      <c r="H2245" s="15">
        <f t="shared" ca="1" si="247"/>
        <v>1.9886284732549397E-2</v>
      </c>
      <c r="J2245" s="17">
        <f t="shared" ca="1" si="243"/>
        <v>0</v>
      </c>
      <c r="K2245" s="24">
        <f t="shared" ca="1" si="244"/>
        <v>-1</v>
      </c>
      <c r="L2245" s="17">
        <f t="shared" ca="1" si="245"/>
        <v>-1</v>
      </c>
      <c r="N2245" s="24" t="str">
        <f ca="1">IF(AND(L2245=1,L2244&lt;&gt;1),MAX($N$8:N2244)+1,"")</f>
        <v/>
      </c>
      <c r="O2245" s="24" t="str">
        <f ca="1">IF(AND(L2245&lt;&gt;1,L2244=1),MAX($O$8:O2244)+1,"")</f>
        <v/>
      </c>
      <c r="P2245" s="17" t="str">
        <f ca="1">IF(AND(L2245=-1,L2244&lt;&gt;-1),MAX($P$8:P2244)+1,"")</f>
        <v/>
      </c>
      <c r="Q2245" s="24" t="str">
        <f ca="1">IF(AND(L2245&lt;&gt;-1,L2244=-1),MAX($Q$8:Q2244)+1,"")</f>
        <v/>
      </c>
    </row>
    <row r="2246" spans="1:17" x14ac:dyDescent="0.3">
      <c r="A2246" s="3">
        <v>43495</v>
      </c>
      <c r="B2246" s="9">
        <v>35.642955999999998</v>
      </c>
      <c r="C2246" s="9">
        <v>33.170734000000003</v>
      </c>
      <c r="E2246" s="14">
        <f t="shared" si="249"/>
        <v>1.0745302169074702</v>
      </c>
      <c r="F2246" s="18">
        <f t="shared" ca="1" si="248"/>
        <v>-0.44573061271153386</v>
      </c>
      <c r="G2246" s="15">
        <f t="shared" ca="1" si="246"/>
        <v>1.0830116321868362</v>
      </c>
      <c r="H2246" s="15">
        <f t="shared" ca="1" si="247"/>
        <v>1.9028119311282159E-2</v>
      </c>
      <c r="J2246" s="17">
        <f t="shared" ca="1" si="243"/>
        <v>0</v>
      </c>
      <c r="K2246" s="24">
        <f t="shared" ca="1" si="244"/>
        <v>-1</v>
      </c>
      <c r="L2246" s="17">
        <f t="shared" ca="1" si="245"/>
        <v>-1</v>
      </c>
      <c r="N2246" s="24" t="str">
        <f ca="1">IF(AND(L2246=1,L2245&lt;&gt;1),MAX($N$8:N2245)+1,"")</f>
        <v/>
      </c>
      <c r="O2246" s="24" t="str">
        <f ca="1">IF(AND(L2246&lt;&gt;1,L2245=1),MAX($O$8:O2245)+1,"")</f>
        <v/>
      </c>
      <c r="P2246" s="17" t="str">
        <f ca="1">IF(AND(L2246=-1,L2245&lt;&gt;-1),MAX($P$8:P2245)+1,"")</f>
        <v/>
      </c>
      <c r="Q2246" s="24" t="str">
        <f ca="1">IF(AND(L2246&lt;&gt;-1,L2245=-1),MAX($Q$8:Q2245)+1,"")</f>
        <v/>
      </c>
    </row>
    <row r="2247" spans="1:17" x14ac:dyDescent="0.3">
      <c r="A2247" s="3">
        <v>43496</v>
      </c>
      <c r="B2247" s="9">
        <v>36.260081999999997</v>
      </c>
      <c r="C2247" s="9">
        <v>35.044559</v>
      </c>
      <c r="E2247" s="14">
        <f t="shared" si="249"/>
        <v>1.0346850705126578</v>
      </c>
      <c r="F2247" s="18">
        <f t="shared" ca="1" si="248"/>
        <v>-2.1636762750625387</v>
      </c>
      <c r="G2247" s="15">
        <f t="shared" ca="1" si="246"/>
        <v>1.0797850165120593</v>
      </c>
      <c r="H2247" s="15">
        <f t="shared" ca="1" si="247"/>
        <v>2.0844128356538878E-2</v>
      </c>
      <c r="J2247" s="17">
        <f t="shared" ca="1" si="243"/>
        <v>0</v>
      </c>
      <c r="K2247" s="24">
        <f t="shared" ca="1" si="244"/>
        <v>-1</v>
      </c>
      <c r="L2247" s="17">
        <f t="shared" ca="1" si="245"/>
        <v>-1</v>
      </c>
      <c r="N2247" s="24" t="str">
        <f ca="1">IF(AND(L2247=1,L2246&lt;&gt;1),MAX($N$8:N2246)+1,"")</f>
        <v/>
      </c>
      <c r="O2247" s="24" t="str">
        <f ca="1">IF(AND(L2247&lt;&gt;1,L2246=1),MAX($O$8:O2246)+1,"")</f>
        <v/>
      </c>
      <c r="P2247" s="17" t="str">
        <f ca="1">IF(AND(L2247=-1,L2246&lt;&gt;-1),MAX($P$8:P2246)+1,"")</f>
        <v/>
      </c>
      <c r="Q2247" s="24" t="str">
        <f ca="1">IF(AND(L2247&lt;&gt;-1,L2246=-1),MAX($Q$8:Q2246)+1,"")</f>
        <v/>
      </c>
    </row>
    <row r="2248" spans="1:17" x14ac:dyDescent="0.3">
      <c r="A2248" s="3">
        <v>43497</v>
      </c>
      <c r="B2248" s="9">
        <v>36.302177</v>
      </c>
      <c r="C2248" s="9">
        <v>34.610928000000001</v>
      </c>
      <c r="E2248" s="14">
        <f t="shared" si="249"/>
        <v>1.0488645955982456</v>
      </c>
      <c r="F2248" s="18">
        <f t="shared" ca="1" si="248"/>
        <v>-1.3570659909782641</v>
      </c>
      <c r="G2248" s="15">
        <f t="shared" ca="1" si="246"/>
        <v>1.0770440459147563</v>
      </c>
      <c r="H2248" s="15">
        <f t="shared" ca="1" si="247"/>
        <v>2.0764981588107641E-2</v>
      </c>
      <c r="J2248" s="17">
        <f t="shared" ref="J2248:J2311" ca="1" si="250">IF(ISNUMBER(F2248),IF(AND(J2247&lt;&gt;1,F2248&gt;$L$1),1,IF(AND(J2247=1,F2248&gt;$N$1),1,0)),"")</f>
        <v>0</v>
      </c>
      <c r="K2248" s="24">
        <f t="shared" ca="1" si="244"/>
        <v>-1</v>
      </c>
      <c r="L2248" s="17">
        <f t="shared" ca="1" si="245"/>
        <v>-1</v>
      </c>
      <c r="N2248" s="24" t="str">
        <f ca="1">IF(AND(L2248=1,L2247&lt;&gt;1),MAX($N$8:N2247)+1,"")</f>
        <v/>
      </c>
      <c r="O2248" s="24" t="str">
        <f ca="1">IF(AND(L2248&lt;&gt;1,L2247=1),MAX($O$8:O2247)+1,"")</f>
        <v/>
      </c>
      <c r="P2248" s="17" t="str">
        <f ca="1">IF(AND(L2248=-1,L2247&lt;&gt;-1),MAX($P$8:P2247)+1,"")</f>
        <v/>
      </c>
      <c r="Q2248" s="24" t="str">
        <f ca="1">IF(AND(L2248&lt;&gt;-1,L2247=-1),MAX($Q$8:Q2247)+1,"")</f>
        <v/>
      </c>
    </row>
    <row r="2249" spans="1:17" x14ac:dyDescent="0.3">
      <c r="A2249" s="3">
        <v>43500</v>
      </c>
      <c r="B2249" s="9">
        <v>37.125304999999997</v>
      </c>
      <c r="C2249" s="9">
        <v>35.375602999999998</v>
      </c>
      <c r="E2249" s="14">
        <f t="shared" si="249"/>
        <v>1.0494606975321381</v>
      </c>
      <c r="F2249" s="18">
        <f t="shared" ca="1" si="248"/>
        <v>-1.2203918942921388</v>
      </c>
      <c r="G2249" s="15">
        <f t="shared" ca="1" si="246"/>
        <v>1.0744423531161909</v>
      </c>
      <c r="H2249" s="15">
        <f t="shared" ca="1" si="247"/>
        <v>2.0470191338449358E-2</v>
      </c>
      <c r="J2249" s="17">
        <f t="shared" ca="1" si="250"/>
        <v>0</v>
      </c>
      <c r="K2249" s="24">
        <f t="shared" ref="K2249:K2312" ca="1" si="251">IF(ISNUMBER(F2249),IF(AND(K2248&lt;&gt;-1,F2249&lt;$P$1),-1,IF(AND(K2248=-1,F2249&lt;R2242),-1,0)),"")</f>
        <v>-1</v>
      </c>
      <c r="L2249" s="17">
        <f t="shared" ref="L2249:L2312" ca="1" si="252">IF(ISNUMBER(F2249),IF(J2249=1,1,IF(K2249=-1,-1,0)),"")</f>
        <v>-1</v>
      </c>
      <c r="N2249" s="24" t="str">
        <f ca="1">IF(AND(L2249=1,L2248&lt;&gt;1),MAX($N$8:N2248)+1,"")</f>
        <v/>
      </c>
      <c r="O2249" s="24" t="str">
        <f ca="1">IF(AND(L2249&lt;&gt;1,L2248=1),MAX($O$8:O2248)+1,"")</f>
        <v/>
      </c>
      <c r="P2249" s="17" t="str">
        <f ca="1">IF(AND(L2249=-1,L2248&lt;&gt;-1),MAX($P$8:P2248)+1,"")</f>
        <v/>
      </c>
      <c r="Q2249" s="24" t="str">
        <f ca="1">IF(AND(L2249&lt;&gt;-1,L2248=-1),MAX($Q$8:Q2248)+1,"")</f>
        <v/>
      </c>
    </row>
    <row r="2250" spans="1:17" x14ac:dyDescent="0.3">
      <c r="A2250" s="3">
        <v>43501</v>
      </c>
      <c r="B2250" s="9">
        <v>35.544502000000001</v>
      </c>
      <c r="C2250" s="9">
        <v>35.391136000000003</v>
      </c>
      <c r="E2250" s="14">
        <f t="shared" si="249"/>
        <v>1.0043334579596428</v>
      </c>
      <c r="F2250" s="18">
        <f t="shared" ca="1" si="248"/>
        <v>-2.7834241381274545</v>
      </c>
      <c r="G2250" s="15">
        <f t="shared" ca="1" si="246"/>
        <v>1.069470725032615</v>
      </c>
      <c r="H2250" s="15">
        <f t="shared" ca="1" si="247"/>
        <v>2.3401847451388853E-2</v>
      </c>
      <c r="J2250" s="17">
        <f t="shared" ca="1" si="250"/>
        <v>0</v>
      </c>
      <c r="K2250" s="24">
        <f t="shared" ca="1" si="251"/>
        <v>-1</v>
      </c>
      <c r="L2250" s="17">
        <f t="shared" ca="1" si="252"/>
        <v>-1</v>
      </c>
      <c r="N2250" s="24" t="str">
        <f ca="1">IF(AND(L2250=1,L2249&lt;&gt;1),MAX($N$8:N2249)+1,"")</f>
        <v/>
      </c>
      <c r="O2250" s="24" t="str">
        <f ca="1">IF(AND(L2250&lt;&gt;1,L2249=1),MAX($O$8:O2249)+1,"")</f>
        <v/>
      </c>
      <c r="P2250" s="17" t="str">
        <f ca="1">IF(AND(L2250=-1,L2249&lt;&gt;-1),MAX($P$8:P2249)+1,"")</f>
        <v/>
      </c>
      <c r="Q2250" s="24" t="str">
        <f ca="1">IF(AND(L2250&lt;&gt;-1,L2249=-1),MAX($Q$8:Q2249)+1,"")</f>
        <v/>
      </c>
    </row>
    <row r="2251" spans="1:17" x14ac:dyDescent="0.3">
      <c r="A2251" s="3">
        <v>43502</v>
      </c>
      <c r="B2251" s="9">
        <v>34.047901000000003</v>
      </c>
      <c r="C2251" s="9">
        <v>33.725723000000002</v>
      </c>
      <c r="E2251" s="14">
        <f t="shared" si="249"/>
        <v>1.0095528863828953</v>
      </c>
      <c r="F2251" s="18">
        <f t="shared" ca="1" si="248"/>
        <v>-2.2006173385060657</v>
      </c>
      <c r="G2251" s="15">
        <f t="shared" ca="1" si="246"/>
        <v>1.0651907552770927</v>
      </c>
      <c r="H2251" s="15">
        <f t="shared" ca="1" si="247"/>
        <v>2.5282845827238793E-2</v>
      </c>
      <c r="J2251" s="17">
        <f t="shared" ca="1" si="250"/>
        <v>0</v>
      </c>
      <c r="K2251" s="24">
        <f t="shared" ca="1" si="251"/>
        <v>-1</v>
      </c>
      <c r="L2251" s="17">
        <f t="shared" ca="1" si="252"/>
        <v>-1</v>
      </c>
      <c r="N2251" s="24" t="str">
        <f ca="1">IF(AND(L2251=1,L2250&lt;&gt;1),MAX($N$8:N2250)+1,"")</f>
        <v/>
      </c>
      <c r="O2251" s="24" t="str">
        <f ca="1">IF(AND(L2251&lt;&gt;1,L2250=1),MAX($O$8:O2250)+1,"")</f>
        <v/>
      </c>
      <c r="P2251" s="17" t="str">
        <f ca="1">IF(AND(L2251=-1,L2250&lt;&gt;-1),MAX($P$8:P2250)+1,"")</f>
        <v/>
      </c>
      <c r="Q2251" s="24" t="str">
        <f ca="1">IF(AND(L2251&lt;&gt;-1,L2250=-1),MAX($Q$8:Q2250)+1,"")</f>
        <v/>
      </c>
    </row>
    <row r="2252" spans="1:17" x14ac:dyDescent="0.3">
      <c r="A2252" s="3">
        <v>43503</v>
      </c>
      <c r="B2252" s="9">
        <v>34.169502000000001</v>
      </c>
      <c r="C2252" s="9">
        <v>34.236961000000001</v>
      </c>
      <c r="E2252" s="14">
        <f t="shared" si="249"/>
        <v>0.99802964404463357</v>
      </c>
      <c r="F2252" s="18">
        <f t="shared" ca="1" si="248"/>
        <v>-2.2348367642709177</v>
      </c>
      <c r="G2252" s="15">
        <f t="shared" ca="1" si="246"/>
        <v>1.060881333602504</v>
      </c>
      <c r="H2252" s="15">
        <f t="shared" ca="1" si="247"/>
        <v>2.8123615363189573E-2</v>
      </c>
      <c r="J2252" s="17">
        <f t="shared" ca="1" si="250"/>
        <v>0</v>
      </c>
      <c r="K2252" s="24">
        <f t="shared" ca="1" si="251"/>
        <v>-1</v>
      </c>
      <c r="L2252" s="17">
        <f t="shared" ca="1" si="252"/>
        <v>-1</v>
      </c>
      <c r="N2252" s="24" t="str">
        <f ca="1">IF(AND(L2252=1,L2251&lt;&gt;1),MAX($N$8:N2251)+1,"")</f>
        <v/>
      </c>
      <c r="O2252" s="24" t="str">
        <f ca="1">IF(AND(L2252&lt;&gt;1,L2251=1),MAX($O$8:O2251)+1,"")</f>
        <v/>
      </c>
      <c r="P2252" s="17" t="str">
        <f ca="1">IF(AND(L2252=-1,L2251&lt;&gt;-1),MAX($P$8:P2251)+1,"")</f>
        <v/>
      </c>
      <c r="Q2252" s="24" t="str">
        <f ca="1">IF(AND(L2252&lt;&gt;-1,L2251=-1),MAX($Q$8:Q2251)+1,"")</f>
        <v/>
      </c>
    </row>
    <row r="2253" spans="1:17" x14ac:dyDescent="0.3">
      <c r="A2253" s="3">
        <v>43504</v>
      </c>
      <c r="B2253" s="9">
        <v>34.899101000000002</v>
      </c>
      <c r="C2253" s="9">
        <v>34.601036000000001</v>
      </c>
      <c r="E2253" s="14">
        <f t="shared" si="249"/>
        <v>1.0086143374435379</v>
      </c>
      <c r="F2253" s="18">
        <f t="shared" ca="1" si="248"/>
        <v>-1.6717040944213113</v>
      </c>
      <c r="G2253" s="15">
        <f t="shared" ca="1" si="246"/>
        <v>1.0567281875167582</v>
      </c>
      <c r="H2253" s="15">
        <f t="shared" ca="1" si="247"/>
        <v>2.8781319752570061E-2</v>
      </c>
      <c r="J2253" s="17">
        <f t="shared" ca="1" si="250"/>
        <v>0</v>
      </c>
      <c r="K2253" s="24">
        <f t="shared" ca="1" si="251"/>
        <v>-1</v>
      </c>
      <c r="L2253" s="17">
        <f t="shared" ca="1" si="252"/>
        <v>-1</v>
      </c>
      <c r="N2253" s="24" t="str">
        <f ca="1">IF(AND(L2253=1,L2252&lt;&gt;1),MAX($N$8:N2252)+1,"")</f>
        <v/>
      </c>
      <c r="O2253" s="24" t="str">
        <f ca="1">IF(AND(L2253&lt;&gt;1,L2252=1),MAX($O$8:O2252)+1,"")</f>
        <v/>
      </c>
      <c r="P2253" s="17" t="str">
        <f ca="1">IF(AND(L2253=-1,L2252&lt;&gt;-1),MAX($P$8:P2252)+1,"")</f>
        <v/>
      </c>
      <c r="Q2253" s="24" t="str">
        <f ca="1">IF(AND(L2253&lt;&gt;-1,L2252=-1),MAX($Q$8:Q2252)+1,"")</f>
        <v/>
      </c>
    </row>
    <row r="2254" spans="1:17" x14ac:dyDescent="0.3">
      <c r="A2254" s="3">
        <v>43507</v>
      </c>
      <c r="B2254" s="9">
        <v>34.506241000000003</v>
      </c>
      <c r="C2254" s="9">
        <v>34.399624000000003</v>
      </c>
      <c r="E2254" s="14">
        <f t="shared" si="249"/>
        <v>1.0030993652721321</v>
      </c>
      <c r="F2254" s="18">
        <f t="shared" ca="1" si="248"/>
        <v>-1.6780831775437877</v>
      </c>
      <c r="G2254" s="15">
        <f t="shared" ca="1" si="246"/>
        <v>1.0524249256548175</v>
      </c>
      <c r="H2254" s="15">
        <f t="shared" ca="1" si="247"/>
        <v>2.939399014468598E-2</v>
      </c>
      <c r="J2254" s="17">
        <f t="shared" ca="1" si="250"/>
        <v>0</v>
      </c>
      <c r="K2254" s="24">
        <f t="shared" ca="1" si="251"/>
        <v>-1</v>
      </c>
      <c r="L2254" s="17">
        <f t="shared" ca="1" si="252"/>
        <v>-1</v>
      </c>
      <c r="N2254" s="24" t="str">
        <f ca="1">IF(AND(L2254=1,L2253&lt;&gt;1),MAX($N$8:N2253)+1,"")</f>
        <v/>
      </c>
      <c r="O2254" s="24" t="str">
        <f ca="1">IF(AND(L2254&lt;&gt;1,L2253=1),MAX($O$8:O2253)+1,"")</f>
        <v/>
      </c>
      <c r="P2254" s="17" t="str">
        <f ca="1">IF(AND(L2254=-1,L2253&lt;&gt;-1),MAX($P$8:P2253)+1,"")</f>
        <v/>
      </c>
      <c r="Q2254" s="24" t="str">
        <f ca="1">IF(AND(L2254&lt;&gt;-1,L2253=-1),MAX($Q$8:Q2253)+1,"")</f>
        <v/>
      </c>
    </row>
    <row r="2255" spans="1:17" x14ac:dyDescent="0.3">
      <c r="A2255" s="3">
        <v>43508</v>
      </c>
      <c r="B2255" s="9">
        <v>35.329371999999999</v>
      </c>
      <c r="C2255" s="9">
        <v>35.089042999999997</v>
      </c>
      <c r="E2255" s="14">
        <f t="shared" si="249"/>
        <v>1.0068491181135948</v>
      </c>
      <c r="F2255" s="18">
        <f t="shared" ca="1" si="248"/>
        <v>-1.4150206599237092</v>
      </c>
      <c r="G2255" s="15">
        <f t="shared" ca="1" si="246"/>
        <v>1.0484783593845484</v>
      </c>
      <c r="H2255" s="15">
        <f t="shared" ca="1" si="247"/>
        <v>2.9419528951045857E-2</v>
      </c>
      <c r="J2255" s="17">
        <f t="shared" ca="1" si="250"/>
        <v>0</v>
      </c>
      <c r="K2255" s="24">
        <f t="shared" ca="1" si="251"/>
        <v>-1</v>
      </c>
      <c r="L2255" s="17">
        <f t="shared" ca="1" si="252"/>
        <v>-1</v>
      </c>
      <c r="N2255" s="24" t="str">
        <f ca="1">IF(AND(L2255=1,L2254&lt;&gt;1),MAX($N$8:N2254)+1,"")</f>
        <v/>
      </c>
      <c r="O2255" s="24" t="str">
        <f ca="1">IF(AND(L2255&lt;&gt;1,L2254=1),MAX($O$8:O2254)+1,"")</f>
        <v/>
      </c>
      <c r="P2255" s="17" t="str">
        <f ca="1">IF(AND(L2255=-1,L2254&lt;&gt;-1),MAX($P$8:P2254)+1,"")</f>
        <v/>
      </c>
      <c r="Q2255" s="24" t="str">
        <f ca="1">IF(AND(L2255&lt;&gt;-1,L2254=-1),MAX($Q$8:Q2254)+1,"")</f>
        <v/>
      </c>
    </row>
    <row r="2256" spans="1:17" x14ac:dyDescent="0.3">
      <c r="A2256" s="3">
        <v>43509</v>
      </c>
      <c r="B2256" s="9">
        <v>34.524943999999998</v>
      </c>
      <c r="C2256" s="9">
        <v>34.546855999999998</v>
      </c>
      <c r="E2256" s="14">
        <f t="shared" si="249"/>
        <v>0.99936573099444992</v>
      </c>
      <c r="F2256" s="18">
        <f t="shared" ca="1" si="248"/>
        <v>-1.5261078407636886</v>
      </c>
      <c r="G2256" s="15">
        <f t="shared" ca="1" si="246"/>
        <v>1.0441724330401192</v>
      </c>
      <c r="H2256" s="15">
        <f t="shared" ca="1" si="247"/>
        <v>2.9360115221770497E-2</v>
      </c>
      <c r="J2256" s="17">
        <f t="shared" ca="1" si="250"/>
        <v>0</v>
      </c>
      <c r="K2256" s="24">
        <f t="shared" ca="1" si="251"/>
        <v>-1</v>
      </c>
      <c r="L2256" s="17">
        <f t="shared" ca="1" si="252"/>
        <v>-1</v>
      </c>
      <c r="N2256" s="24" t="str">
        <f ca="1">IF(AND(L2256=1,L2255&lt;&gt;1),MAX($N$8:N2255)+1,"")</f>
        <v/>
      </c>
      <c r="O2256" s="24" t="str">
        <f ca="1">IF(AND(L2256&lt;&gt;1,L2255=1),MAX($O$8:O2255)+1,"")</f>
        <v/>
      </c>
      <c r="P2256" s="17" t="str">
        <f ca="1">IF(AND(L2256=-1,L2255&lt;&gt;-1),MAX($P$8:P2255)+1,"")</f>
        <v/>
      </c>
      <c r="Q2256" s="24" t="str">
        <f ca="1">IF(AND(L2256&lt;&gt;-1,L2255=-1),MAX($Q$8:Q2255)+1,"")</f>
        <v/>
      </c>
    </row>
    <row r="2257" spans="1:17" x14ac:dyDescent="0.3">
      <c r="A2257" s="3">
        <v>43510</v>
      </c>
      <c r="B2257" s="9">
        <v>35.441623999999997</v>
      </c>
      <c r="C2257" s="9">
        <v>35.863608999999997</v>
      </c>
      <c r="E2257" s="14">
        <f t="shared" si="249"/>
        <v>0.98823361586392489</v>
      </c>
      <c r="F2257" s="18">
        <f t="shared" ca="1" si="248"/>
        <v>-1.7207514365266698</v>
      </c>
      <c r="G2257" s="15">
        <f t="shared" ca="1" si="246"/>
        <v>1.0395749044174065</v>
      </c>
      <c r="H2257" s="15">
        <f t="shared" ca="1" si="247"/>
        <v>2.9836551324991963E-2</v>
      </c>
      <c r="J2257" s="17">
        <f t="shared" ca="1" si="250"/>
        <v>0</v>
      </c>
      <c r="K2257" s="24">
        <f t="shared" ca="1" si="251"/>
        <v>-1</v>
      </c>
      <c r="L2257" s="17">
        <f t="shared" ca="1" si="252"/>
        <v>-1</v>
      </c>
      <c r="N2257" s="24" t="str">
        <f ca="1">IF(AND(L2257=1,L2256&lt;&gt;1),MAX($N$8:N2256)+1,"")</f>
        <v/>
      </c>
      <c r="O2257" s="24" t="str">
        <f ca="1">IF(AND(L2257&lt;&gt;1,L2256=1),MAX($O$8:O2256)+1,"")</f>
        <v/>
      </c>
      <c r="P2257" s="17" t="str">
        <f ca="1">IF(AND(L2257=-1,L2256&lt;&gt;-1),MAX($P$8:P2256)+1,"")</f>
        <v/>
      </c>
      <c r="Q2257" s="24" t="str">
        <f ca="1">IF(AND(L2257&lt;&gt;-1,L2256=-1),MAX($Q$8:Q2256)+1,"")</f>
        <v/>
      </c>
    </row>
    <row r="2258" spans="1:17" x14ac:dyDescent="0.3">
      <c r="A2258" s="3">
        <v>43511</v>
      </c>
      <c r="B2258" s="9">
        <v>35.076816999999998</v>
      </c>
      <c r="C2258" s="9">
        <v>35.631217999999997</v>
      </c>
      <c r="E2258" s="14">
        <f t="shared" si="249"/>
        <v>0.9844405824128718</v>
      </c>
      <c r="F2258" s="18">
        <f t="shared" ca="1" si="248"/>
        <v>-1.6505453484309605</v>
      </c>
      <c r="G2258" s="15">
        <f t="shared" ca="1" si="246"/>
        <v>1.0354831390472505</v>
      </c>
      <c r="H2258" s="15">
        <f t="shared" ca="1" si="247"/>
        <v>3.0924661768851579E-2</v>
      </c>
      <c r="J2258" s="17">
        <f t="shared" ca="1" si="250"/>
        <v>0</v>
      </c>
      <c r="K2258" s="24">
        <f t="shared" ca="1" si="251"/>
        <v>-1</v>
      </c>
      <c r="L2258" s="17">
        <f t="shared" ca="1" si="252"/>
        <v>-1</v>
      </c>
      <c r="N2258" s="24" t="str">
        <f ca="1">IF(AND(L2258=1,L2257&lt;&gt;1),MAX($N$8:N2257)+1,"")</f>
        <v/>
      </c>
      <c r="O2258" s="24" t="str">
        <f ca="1">IF(AND(L2258&lt;&gt;1,L2257=1),MAX($O$8:O2257)+1,"")</f>
        <v/>
      </c>
      <c r="P2258" s="17" t="str">
        <f ca="1">IF(AND(L2258=-1,L2257&lt;&gt;-1),MAX($P$8:P2257)+1,"")</f>
        <v/>
      </c>
      <c r="Q2258" s="24" t="str">
        <f ca="1">IF(AND(L2258&lt;&gt;-1,L2257=-1),MAX($Q$8:Q2257)+1,"")</f>
        <v/>
      </c>
    </row>
    <row r="2259" spans="1:17" x14ac:dyDescent="0.3">
      <c r="A2259" s="3">
        <v>43514</v>
      </c>
      <c r="B2259" s="9">
        <v>34.515591000000001</v>
      </c>
      <c r="C2259" s="9">
        <v>34.817909</v>
      </c>
      <c r="E2259" s="14">
        <f t="shared" si="249"/>
        <v>0.99131716956351401</v>
      </c>
      <c r="F2259" s="18">
        <f t="shared" ca="1" si="248"/>
        <v>-1.2951638872300646</v>
      </c>
      <c r="G2259" s="15">
        <f t="shared" ca="1" si="246"/>
        <v>1.0320793379013578</v>
      </c>
      <c r="H2259" s="15">
        <f t="shared" ca="1" si="247"/>
        <v>3.1472594889146263E-2</v>
      </c>
      <c r="J2259" s="17">
        <f t="shared" ca="1" si="250"/>
        <v>0</v>
      </c>
      <c r="K2259" s="24">
        <f t="shared" ca="1" si="251"/>
        <v>-1</v>
      </c>
      <c r="L2259" s="17">
        <f t="shared" ca="1" si="252"/>
        <v>-1</v>
      </c>
      <c r="N2259" s="24" t="str">
        <f ca="1">IF(AND(L2259=1,L2258&lt;&gt;1),MAX($N$8:N2258)+1,"")</f>
        <v/>
      </c>
      <c r="O2259" s="24" t="str">
        <f ca="1">IF(AND(L2259&lt;&gt;1,L2258=1),MAX($O$8:O2258)+1,"")</f>
        <v/>
      </c>
      <c r="P2259" s="17" t="str">
        <f ca="1">IF(AND(L2259=-1,L2258&lt;&gt;-1),MAX($P$8:P2258)+1,"")</f>
        <v/>
      </c>
      <c r="Q2259" s="24" t="str">
        <f ca="1">IF(AND(L2259&lt;&gt;-1,L2258=-1),MAX($Q$8:Q2258)+1,"")</f>
        <v/>
      </c>
    </row>
    <row r="2260" spans="1:17" x14ac:dyDescent="0.3">
      <c r="A2260" s="3">
        <v>43515</v>
      </c>
      <c r="B2260" s="9">
        <v>35.310668999999997</v>
      </c>
      <c r="C2260" s="9">
        <v>35.112273999999999</v>
      </c>
      <c r="E2260" s="14">
        <f t="shared" si="249"/>
        <v>1.0056503033668511</v>
      </c>
      <c r="F2260" s="18">
        <f t="shared" ca="1" si="248"/>
        <v>-0.76417842887246212</v>
      </c>
      <c r="G2260" s="15">
        <f t="shared" ca="1" si="246"/>
        <v>1.0294875377396886</v>
      </c>
      <c r="H2260" s="15">
        <f t="shared" ca="1" si="247"/>
        <v>3.1193283495333776E-2</v>
      </c>
      <c r="J2260" s="17">
        <f t="shared" ca="1" si="250"/>
        <v>0</v>
      </c>
      <c r="K2260" s="24">
        <f t="shared" ca="1" si="251"/>
        <v>-1</v>
      </c>
      <c r="L2260" s="17">
        <f t="shared" ca="1" si="252"/>
        <v>-1</v>
      </c>
      <c r="N2260" s="24" t="str">
        <f ca="1">IF(AND(L2260=1,L2259&lt;&gt;1),MAX($N$8:N2259)+1,"")</f>
        <v/>
      </c>
      <c r="O2260" s="24" t="str">
        <f ca="1">IF(AND(L2260&lt;&gt;1,L2259=1),MAX($O$8:O2259)+1,"")</f>
        <v/>
      </c>
      <c r="P2260" s="17" t="str">
        <f ca="1">IF(AND(L2260=-1,L2259&lt;&gt;-1),MAX($P$8:P2259)+1,"")</f>
        <v/>
      </c>
      <c r="Q2260" s="24" t="str">
        <f ca="1">IF(AND(L2260&lt;&gt;-1,L2259=-1),MAX($Q$8:Q2259)+1,"")</f>
        <v/>
      </c>
    </row>
    <row r="2261" spans="1:17" x14ac:dyDescent="0.3">
      <c r="A2261" s="3">
        <v>43516</v>
      </c>
      <c r="B2261" s="9">
        <v>34.861687000000003</v>
      </c>
      <c r="C2261" s="9">
        <v>34.531329999999997</v>
      </c>
      <c r="E2261" s="14">
        <f t="shared" si="249"/>
        <v>1.009566877383524</v>
      </c>
      <c r="F2261" s="18">
        <f t="shared" ca="1" si="248"/>
        <v>-0.57117623726284095</v>
      </c>
      <c r="G2261" s="15">
        <f t="shared" ca="1" si="246"/>
        <v>1.0269431545053875</v>
      </c>
      <c r="H2261" s="15">
        <f t="shared" ca="1" si="247"/>
        <v>3.0421918819895494E-2</v>
      </c>
      <c r="J2261" s="17">
        <f t="shared" ca="1" si="250"/>
        <v>0</v>
      </c>
      <c r="K2261" s="24">
        <f t="shared" ca="1" si="251"/>
        <v>-1</v>
      </c>
      <c r="L2261" s="17">
        <f t="shared" ca="1" si="252"/>
        <v>-1</v>
      </c>
      <c r="N2261" s="24" t="str">
        <f ca="1">IF(AND(L2261=1,L2260&lt;&gt;1),MAX($N$8:N2260)+1,"")</f>
        <v/>
      </c>
      <c r="O2261" s="24" t="str">
        <f ca="1">IF(AND(L2261&lt;&gt;1,L2260=1),MAX($O$8:O2260)+1,"")</f>
        <v/>
      </c>
      <c r="P2261" s="17" t="str">
        <f ca="1">IF(AND(L2261=-1,L2260&lt;&gt;-1),MAX($P$8:P2260)+1,"")</f>
        <v/>
      </c>
      <c r="Q2261" s="24" t="str">
        <f ca="1">IF(AND(L2261&lt;&gt;-1,L2260=-1),MAX($Q$8:Q2260)+1,"")</f>
        <v/>
      </c>
    </row>
    <row r="2262" spans="1:17" x14ac:dyDescent="0.3">
      <c r="A2262" s="3">
        <v>43517</v>
      </c>
      <c r="B2262" s="9">
        <v>35.497745999999999</v>
      </c>
      <c r="C2262" s="9">
        <v>34.833419999999997</v>
      </c>
      <c r="E2262" s="14">
        <f t="shared" si="249"/>
        <v>1.0190715123579597</v>
      </c>
      <c r="F2262" s="18">
        <f t="shared" ca="1" si="248"/>
        <v>-0.19292405843472749</v>
      </c>
      <c r="G2262" s="15">
        <f t="shared" ca="1" si="246"/>
        <v>1.0246715278559</v>
      </c>
      <c r="H2262" s="15">
        <f t="shared" ca="1" si="247"/>
        <v>2.9027045892438458E-2</v>
      </c>
      <c r="J2262" s="17">
        <f t="shared" ca="1" si="250"/>
        <v>0</v>
      </c>
      <c r="K2262" s="24">
        <f t="shared" ca="1" si="251"/>
        <v>-1</v>
      </c>
      <c r="L2262" s="17">
        <f t="shared" ca="1" si="252"/>
        <v>-1</v>
      </c>
      <c r="N2262" s="24" t="str">
        <f ca="1">IF(AND(L2262=1,L2261&lt;&gt;1),MAX($N$8:N2261)+1,"")</f>
        <v/>
      </c>
      <c r="O2262" s="24" t="str">
        <f ca="1">IF(AND(L2262&lt;&gt;1,L2261=1),MAX($O$8:O2261)+1,"")</f>
        <v/>
      </c>
      <c r="P2262" s="17" t="str">
        <f ca="1">IF(AND(L2262=-1,L2261&lt;&gt;-1),MAX($P$8:P2261)+1,"")</f>
        <v/>
      </c>
      <c r="Q2262" s="24" t="str">
        <f ca="1">IF(AND(L2262&lt;&gt;-1,L2261=-1),MAX($Q$8:Q2261)+1,"")</f>
        <v/>
      </c>
    </row>
    <row r="2263" spans="1:17" x14ac:dyDescent="0.3">
      <c r="A2263" s="3">
        <v>43518</v>
      </c>
      <c r="B2263" s="9">
        <v>35.267529000000003</v>
      </c>
      <c r="C2263" s="9">
        <v>34.546855999999998</v>
      </c>
      <c r="E2263" s="14">
        <f t="shared" si="249"/>
        <v>1.0208607405547991</v>
      </c>
      <c r="F2263" s="18">
        <f t="shared" ca="1" si="248"/>
        <v>-5.4547799899004192E-2</v>
      </c>
      <c r="G2263" s="15">
        <f t="shared" ca="1" si="246"/>
        <v>1.022339880229951</v>
      </c>
      <c r="H2263" s="15">
        <f t="shared" ca="1" si="247"/>
        <v>2.7116394756352028E-2</v>
      </c>
      <c r="J2263" s="17">
        <f t="shared" ca="1" si="250"/>
        <v>0</v>
      </c>
      <c r="K2263" s="24">
        <f t="shared" ca="1" si="251"/>
        <v>-1</v>
      </c>
      <c r="L2263" s="17">
        <f t="shared" ca="1" si="252"/>
        <v>-1</v>
      </c>
      <c r="N2263" s="24" t="str">
        <f ca="1">IF(AND(L2263=1,L2262&lt;&gt;1),MAX($N$8:N2262)+1,"")</f>
        <v/>
      </c>
      <c r="O2263" s="24" t="str">
        <f ca="1">IF(AND(L2263&lt;&gt;1,L2262=1),MAX($O$8:O2262)+1,"")</f>
        <v/>
      </c>
      <c r="P2263" s="17" t="str">
        <f ca="1">IF(AND(L2263=-1,L2262&lt;&gt;-1),MAX($P$8:P2262)+1,"")</f>
        <v/>
      </c>
      <c r="Q2263" s="24" t="str">
        <f ca="1">IF(AND(L2263&lt;&gt;-1,L2262=-1),MAX($Q$8:Q2262)+1,"")</f>
        <v/>
      </c>
    </row>
    <row r="2264" spans="1:17" x14ac:dyDescent="0.3">
      <c r="A2264" s="3">
        <v>43521</v>
      </c>
      <c r="B2264" s="9">
        <v>34.728805999999999</v>
      </c>
      <c r="C2264" s="9">
        <v>34.198287999999998</v>
      </c>
      <c r="E2264" s="14">
        <f t="shared" si="249"/>
        <v>1.0155129987793541</v>
      </c>
      <c r="F2264" s="18">
        <f t="shared" ca="1" si="248"/>
        <v>-0.18433712278670034</v>
      </c>
      <c r="G2264" s="15">
        <f t="shared" ca="1" si="246"/>
        <v>1.020265308845778</v>
      </c>
      <c r="H2264" s="15">
        <f t="shared" ca="1" si="247"/>
        <v>2.5780537281809152E-2</v>
      </c>
      <c r="J2264" s="17">
        <f t="shared" ca="1" si="250"/>
        <v>0</v>
      </c>
      <c r="K2264" s="24">
        <f t="shared" ca="1" si="251"/>
        <v>-1</v>
      </c>
      <c r="L2264" s="17">
        <f t="shared" ca="1" si="252"/>
        <v>-1</v>
      </c>
      <c r="N2264" s="24" t="str">
        <f ca="1">IF(AND(L2264=1,L2263&lt;&gt;1),MAX($N$8:N2263)+1,"")</f>
        <v/>
      </c>
      <c r="O2264" s="24" t="str">
        <f ca="1">IF(AND(L2264&lt;&gt;1,L2263=1),MAX($O$8:O2263)+1,"")</f>
        <v/>
      </c>
      <c r="P2264" s="17" t="str">
        <f ca="1">IF(AND(L2264=-1,L2263&lt;&gt;-1),MAX($P$8:P2263)+1,"")</f>
        <v/>
      </c>
      <c r="Q2264" s="24" t="str">
        <f ca="1">IF(AND(L2264&lt;&gt;-1,L2263=-1),MAX($Q$8:Q2263)+1,"")</f>
        <v/>
      </c>
    </row>
    <row r="2265" spans="1:17" x14ac:dyDescent="0.3">
      <c r="A2265" s="3">
        <v>43522</v>
      </c>
      <c r="B2265" s="9">
        <v>34.853867000000001</v>
      </c>
      <c r="C2265" s="9">
        <v>34.810181</v>
      </c>
      <c r="E2265" s="14">
        <f t="shared" si="249"/>
        <v>1.0012549776744912</v>
      </c>
      <c r="F2265" s="18">
        <f t="shared" ca="1" si="248"/>
        <v>-0.66621758563026656</v>
      </c>
      <c r="G2265" s="15">
        <f t="shared" ca="1" si="246"/>
        <v>1.018086874781966</v>
      </c>
      <c r="H2265" s="15">
        <f t="shared" ca="1" si="247"/>
        <v>2.5264864618593327E-2</v>
      </c>
      <c r="J2265" s="17">
        <f t="shared" ca="1" si="250"/>
        <v>0</v>
      </c>
      <c r="K2265" s="24">
        <f t="shared" ca="1" si="251"/>
        <v>-1</v>
      </c>
      <c r="L2265" s="17">
        <f t="shared" ca="1" si="252"/>
        <v>-1</v>
      </c>
      <c r="N2265" s="24" t="str">
        <f ca="1">IF(AND(L2265=1,L2264&lt;&gt;1),MAX($N$8:N2264)+1,"")</f>
        <v/>
      </c>
      <c r="O2265" s="24" t="str">
        <f ca="1">IF(AND(L2265&lt;&gt;1,L2264=1),MAX($O$8:O2264)+1,"")</f>
        <v/>
      </c>
      <c r="P2265" s="17" t="str">
        <f ca="1">IF(AND(L2265=-1,L2264&lt;&gt;-1),MAX($P$8:P2264)+1,"")</f>
        <v/>
      </c>
      <c r="Q2265" s="24" t="str">
        <f ca="1">IF(AND(L2265&lt;&gt;-1,L2264=-1),MAX($Q$8:Q2264)+1,"")</f>
        <v/>
      </c>
    </row>
    <row r="2266" spans="1:17" x14ac:dyDescent="0.3">
      <c r="A2266" s="3">
        <v>43523</v>
      </c>
      <c r="B2266" s="9">
        <v>34.546024000000003</v>
      </c>
      <c r="C2266" s="9">
        <v>34.422851999999999</v>
      </c>
      <c r="E2266" s="14">
        <f t="shared" si="249"/>
        <v>1.0035782043858541</v>
      </c>
      <c r="F2266" s="18">
        <f t="shared" ca="1" si="248"/>
        <v>-0.50415300587018474</v>
      </c>
      <c r="G2266" s="15">
        <f t="shared" ca="1" si="246"/>
        <v>1.0155523611416695</v>
      </c>
      <c r="H2266" s="15">
        <f t="shared" ca="1" si="247"/>
        <v>2.3751037118478702E-2</v>
      </c>
      <c r="J2266" s="17">
        <f t="shared" ca="1" si="250"/>
        <v>0</v>
      </c>
      <c r="K2266" s="24">
        <f t="shared" ca="1" si="251"/>
        <v>-1</v>
      </c>
      <c r="L2266" s="17">
        <f t="shared" ca="1" si="252"/>
        <v>-1</v>
      </c>
      <c r="N2266" s="24" t="str">
        <f ca="1">IF(AND(L2266=1,L2265&lt;&gt;1),MAX($N$8:N2265)+1,"")</f>
        <v/>
      </c>
      <c r="O2266" s="24" t="str">
        <f ca="1">IF(AND(L2266&lt;&gt;1,L2265=1),MAX($O$8:O2265)+1,"")</f>
        <v/>
      </c>
      <c r="P2266" s="17" t="str">
        <f ca="1">IF(AND(L2266=-1,L2265&lt;&gt;-1),MAX($P$8:P2265)+1,"")</f>
        <v/>
      </c>
      <c r="Q2266" s="24" t="str">
        <f ca="1">IF(AND(L2266&lt;&gt;-1,L2265=-1),MAX($Q$8:Q2265)+1,"")</f>
        <v/>
      </c>
    </row>
    <row r="2267" spans="1:17" x14ac:dyDescent="0.3">
      <c r="A2267" s="3">
        <v>43524</v>
      </c>
      <c r="B2267" s="9">
        <v>33.891846000000001</v>
      </c>
      <c r="C2267" s="9">
        <v>33.516585999999997</v>
      </c>
      <c r="E2267" s="14">
        <f t="shared" si="249"/>
        <v>1.0111962477323915</v>
      </c>
      <c r="F2267" s="18">
        <f t="shared" ca="1" si="248"/>
        <v>-8.9808601777604968E-2</v>
      </c>
      <c r="G2267" s="15">
        <f t="shared" ca="1" si="246"/>
        <v>1.0130940159471333</v>
      </c>
      <c r="H2267" s="15">
        <f t="shared" ca="1" si="247"/>
        <v>2.1131252209463665E-2</v>
      </c>
      <c r="J2267" s="17">
        <f t="shared" ca="1" si="250"/>
        <v>0</v>
      </c>
      <c r="K2267" s="24">
        <f t="shared" ca="1" si="251"/>
        <v>-1</v>
      </c>
      <c r="L2267" s="17">
        <f t="shared" ca="1" si="252"/>
        <v>-1</v>
      </c>
      <c r="N2267" s="24" t="str">
        <f ca="1">IF(AND(L2267=1,L2266&lt;&gt;1),MAX($N$8:N2266)+1,"")</f>
        <v/>
      </c>
      <c r="O2267" s="24" t="str">
        <f ca="1">IF(AND(L2267&lt;&gt;1,L2266=1),MAX($O$8:O2266)+1,"")</f>
        <v/>
      </c>
      <c r="P2267" s="17" t="str">
        <f ca="1">IF(AND(L2267=-1,L2266&lt;&gt;-1),MAX($P$8:P2266)+1,"")</f>
        <v/>
      </c>
      <c r="Q2267" s="24" t="str">
        <f ca="1">IF(AND(L2267&lt;&gt;-1,L2266=-1),MAX($Q$8:Q2266)+1,"")</f>
        <v/>
      </c>
    </row>
    <row r="2268" spans="1:17" x14ac:dyDescent="0.3">
      <c r="A2268" s="3">
        <v>43525</v>
      </c>
      <c r="B2268" s="9">
        <v>33.530937000000002</v>
      </c>
      <c r="C2268" s="9">
        <v>32.958888999999999</v>
      </c>
      <c r="E2268" s="14">
        <f t="shared" si="249"/>
        <v>1.0173564102843395</v>
      </c>
      <c r="F2268" s="18">
        <f t="shared" ca="1" si="248"/>
        <v>0.41830552072426069</v>
      </c>
      <c r="G2268" s="15">
        <f t="shared" ca="1" si="246"/>
        <v>1.0104952065551727</v>
      </c>
      <c r="H2268" s="15">
        <f t="shared" ca="1" si="247"/>
        <v>1.6402374315517713E-2</v>
      </c>
      <c r="J2268" s="17">
        <f t="shared" ca="1" si="250"/>
        <v>0</v>
      </c>
      <c r="K2268" s="24">
        <f t="shared" ca="1" si="251"/>
        <v>0</v>
      </c>
      <c r="L2268" s="17">
        <f t="shared" ca="1" si="252"/>
        <v>0</v>
      </c>
      <c r="N2268" s="24" t="str">
        <f ca="1">IF(AND(L2268=1,L2267&lt;&gt;1),MAX($N$8:N2267)+1,"")</f>
        <v/>
      </c>
      <c r="O2268" s="24" t="str">
        <f ca="1">IF(AND(L2268&lt;&gt;1,L2267=1),MAX($O$8:O2267)+1,"")</f>
        <v/>
      </c>
      <c r="P2268" s="17" t="str">
        <f ca="1">IF(AND(L2268=-1,L2267&lt;&gt;-1),MAX($P$8:P2267)+1,"")</f>
        <v/>
      </c>
      <c r="Q2268" s="24">
        <f ca="1">IF(AND(L2268&lt;&gt;-1,L2267=-1),MAX($Q$8:Q2267)+1,"")</f>
        <v>83</v>
      </c>
    </row>
    <row r="2269" spans="1:17" x14ac:dyDescent="0.3">
      <c r="A2269" s="3">
        <v>43531</v>
      </c>
      <c r="B2269" s="9">
        <v>34.002533</v>
      </c>
      <c r="C2269" s="9">
        <v>32.941284000000003</v>
      </c>
      <c r="E2269" s="14">
        <f t="shared" si="249"/>
        <v>1.0322163823365234</v>
      </c>
      <c r="F2269" s="18">
        <f t="shared" ca="1" si="248"/>
        <v>1.3440743245079465</v>
      </c>
      <c r="G2269" s="15">
        <f t="shared" ca="1" si="246"/>
        <v>1.0103829934562576</v>
      </c>
      <c r="H2269" s="15">
        <f t="shared" ca="1" si="247"/>
        <v>1.6244182692991153E-2</v>
      </c>
      <c r="J2269" s="17">
        <f t="shared" ca="1" si="250"/>
        <v>1</v>
      </c>
      <c r="K2269" s="24">
        <f t="shared" ca="1" si="251"/>
        <v>0</v>
      </c>
      <c r="L2269" s="17">
        <f t="shared" ca="1" si="252"/>
        <v>1</v>
      </c>
      <c r="N2269" s="24">
        <f ca="1">IF(AND(L2269=1,L2268&lt;&gt;1),MAX($N$8:N2268)+1,"")</f>
        <v>73</v>
      </c>
      <c r="O2269" s="24" t="str">
        <f ca="1">IF(AND(L2269&lt;&gt;1,L2268=1),MAX($O$8:O2268)+1,"")</f>
        <v/>
      </c>
      <c r="P2269" s="17" t="str">
        <f ca="1">IF(AND(L2269=-1,L2268&lt;&gt;-1),MAX($P$8:P2268)+1,"")</f>
        <v/>
      </c>
      <c r="Q2269" s="24" t="str">
        <f ca="1">IF(AND(L2269&lt;&gt;-1,L2268=-1),MAX($Q$8:Q2268)+1,"")</f>
        <v/>
      </c>
    </row>
    <row r="2270" spans="1:17" x14ac:dyDescent="0.3">
      <c r="A2270" s="3">
        <v>43532</v>
      </c>
      <c r="B2270" s="9">
        <v>34.406737999999997</v>
      </c>
      <c r="C2270" s="9">
        <v>33.398505999999998</v>
      </c>
      <c r="E2270" s="14">
        <f t="shared" si="249"/>
        <v>1.030187937149045</v>
      </c>
      <c r="F2270" s="18">
        <f t="shared" ca="1" si="248"/>
        <v>1.4129567340796483</v>
      </c>
      <c r="G2270" s="15">
        <f t="shared" ca="1" si="246"/>
        <v>1.0095340544358393</v>
      </c>
      <c r="H2270" s="15">
        <f t="shared" ca="1" si="247"/>
        <v>1.4617491261442557E-2</v>
      </c>
      <c r="J2270" s="17">
        <f t="shared" ca="1" si="250"/>
        <v>1</v>
      </c>
      <c r="K2270" s="24">
        <f t="shared" ca="1" si="251"/>
        <v>0</v>
      </c>
      <c r="L2270" s="17">
        <f t="shared" ca="1" si="252"/>
        <v>1</v>
      </c>
      <c r="N2270" s="24" t="str">
        <f ca="1">IF(AND(L2270=1,L2269&lt;&gt;1),MAX($N$8:N2269)+1,"")</f>
        <v/>
      </c>
      <c r="O2270" s="24" t="str">
        <f ca="1">IF(AND(L2270&lt;&gt;1,L2269=1),MAX($O$8:O2269)+1,"")</f>
        <v/>
      </c>
      <c r="P2270" s="17" t="str">
        <f ca="1">IF(AND(L2270=-1,L2269&lt;&gt;-1),MAX($P$8:P2269)+1,"")</f>
        <v/>
      </c>
      <c r="Q2270" s="24" t="str">
        <f ca="1">IF(AND(L2270&lt;&gt;-1,L2269=-1),MAX($Q$8:Q2269)+1,"")</f>
        <v/>
      </c>
    </row>
    <row r="2271" spans="1:17" x14ac:dyDescent="0.3">
      <c r="A2271" s="3">
        <v>43535</v>
      </c>
      <c r="B2271" s="9">
        <v>35.532780000000002</v>
      </c>
      <c r="C2271" s="9">
        <v>34.754562</v>
      </c>
      <c r="E2271" s="14">
        <f t="shared" si="249"/>
        <v>1.02239182297852</v>
      </c>
      <c r="F2271" s="18">
        <f t="shared" ca="1" si="248"/>
        <v>1.1611396454335434</v>
      </c>
      <c r="G2271" s="15">
        <f t="shared" ref="G2271:G2334" ca="1" si="253">IF(ISNUMBER(E2271),IF(ROW(E2271)&gt;$J$1,AVERAGE(OFFSET(E2271,0,0,-$J$1)),""),"")</f>
        <v>1.0083036510470385</v>
      </c>
      <c r="H2271" s="15">
        <f t="shared" ref="H2271:H2334" ca="1" si="254">IF(ISNUMBER(E2271),IF(ROW(E2271)&gt;$J$1,_xlfn.STDEV.P(OFFSET(E2271,0,0,-$J$1)),""),"")</f>
        <v>1.2133055646568153E-2</v>
      </c>
      <c r="J2271" s="17">
        <f t="shared" ca="1" si="250"/>
        <v>1</v>
      </c>
      <c r="K2271" s="24">
        <f t="shared" ca="1" si="251"/>
        <v>0</v>
      </c>
      <c r="L2271" s="17">
        <f t="shared" ca="1" si="252"/>
        <v>1</v>
      </c>
      <c r="N2271" s="24" t="str">
        <f ca="1">IF(AND(L2271=1,L2270&lt;&gt;1),MAX($N$8:N2270)+1,"")</f>
        <v/>
      </c>
      <c r="O2271" s="24" t="str">
        <f ca="1">IF(AND(L2271&lt;&gt;1,L2270=1),MAX($O$8:O2270)+1,"")</f>
        <v/>
      </c>
      <c r="P2271" s="17" t="str">
        <f ca="1">IF(AND(L2271=-1,L2270&lt;&gt;-1),MAX($P$8:P2270)+1,"")</f>
        <v/>
      </c>
      <c r="Q2271" s="24" t="str">
        <f ca="1">IF(AND(L2271&lt;&gt;-1,L2270=-1),MAX($Q$8:Q2270)+1,"")</f>
        <v/>
      </c>
    </row>
    <row r="2272" spans="1:17" x14ac:dyDescent="0.3">
      <c r="A2272" s="3">
        <v>43536</v>
      </c>
      <c r="B2272" s="9">
        <v>35.609783</v>
      </c>
      <c r="C2272" s="9">
        <v>34.855277999999998</v>
      </c>
      <c r="E2272" s="14">
        <f t="shared" si="249"/>
        <v>1.0216467933493458</v>
      </c>
      <c r="F2272" s="18">
        <f t="shared" ca="1" si="248"/>
        <v>1.0119105323055251</v>
      </c>
      <c r="G2272" s="15">
        <f t="shared" ca="1" si="253"/>
        <v>1.0090906208374797</v>
      </c>
      <c r="H2272" s="15">
        <f t="shared" ca="1" si="254"/>
        <v>1.2408382076287219E-2</v>
      </c>
      <c r="J2272" s="17">
        <f t="shared" ca="1" si="250"/>
        <v>1</v>
      </c>
      <c r="K2272" s="24">
        <f t="shared" ca="1" si="251"/>
        <v>0</v>
      </c>
      <c r="L2272" s="17">
        <f t="shared" ca="1" si="252"/>
        <v>1</v>
      </c>
      <c r="N2272" s="24" t="str">
        <f ca="1">IF(AND(L2272=1,L2271&lt;&gt;1),MAX($N$8:N2271)+1,"")</f>
        <v/>
      </c>
      <c r="O2272" s="24" t="str">
        <f ca="1">IF(AND(L2272&lt;&gt;1,L2271=1),MAX($O$8:O2271)+1,"")</f>
        <v/>
      </c>
      <c r="P2272" s="17" t="str">
        <f ca="1">IF(AND(L2272=-1,L2271&lt;&gt;-1),MAX($P$8:P2271)+1,"")</f>
        <v/>
      </c>
      <c r="Q2272" s="24" t="str">
        <f ca="1">IF(AND(L2272&lt;&gt;-1,L2271=-1),MAX($Q$8:Q2271)+1,"")</f>
        <v/>
      </c>
    </row>
    <row r="2273" spans="1:17" x14ac:dyDescent="0.3">
      <c r="A2273" s="3">
        <v>43537</v>
      </c>
      <c r="B2273" s="9">
        <v>35.994751000000001</v>
      </c>
      <c r="C2273" s="9">
        <v>35.188544999999998</v>
      </c>
      <c r="E2273" s="14">
        <f t="shared" si="249"/>
        <v>1.0229110353951834</v>
      </c>
      <c r="F2273" s="18">
        <f t="shared" ca="1" si="248"/>
        <v>1.0372600999928219</v>
      </c>
      <c r="G2273" s="15">
        <f t="shared" ca="1" si="253"/>
        <v>1.0096978094289475</v>
      </c>
      <c r="H2273" s="15">
        <f t="shared" ca="1" si="254"/>
        <v>1.273858501481673E-2</v>
      </c>
      <c r="J2273" s="17">
        <f t="shared" ca="1" si="250"/>
        <v>1</v>
      </c>
      <c r="K2273" s="24">
        <f t="shared" ca="1" si="251"/>
        <v>0</v>
      </c>
      <c r="L2273" s="17">
        <f t="shared" ca="1" si="252"/>
        <v>1</v>
      </c>
      <c r="N2273" s="24" t="str">
        <f ca="1">IF(AND(L2273=1,L2272&lt;&gt;1),MAX($N$8:N2272)+1,"")</f>
        <v/>
      </c>
      <c r="O2273" s="24" t="str">
        <f ca="1">IF(AND(L2273&lt;&gt;1,L2272=1),MAX($O$8:O2272)+1,"")</f>
        <v/>
      </c>
      <c r="P2273" s="17" t="str">
        <f ca="1">IF(AND(L2273=-1,L2272&lt;&gt;-1),MAX($P$8:P2272)+1,"")</f>
        <v/>
      </c>
      <c r="Q2273" s="24" t="str">
        <f ca="1">IF(AND(L2273&lt;&gt;-1,L2272=-1),MAX($Q$8:Q2272)+1,"")</f>
        <v/>
      </c>
    </row>
    <row r="2274" spans="1:17" x14ac:dyDescent="0.3">
      <c r="A2274" s="3">
        <v>43538</v>
      </c>
      <c r="B2274" s="9">
        <v>35.426918000000001</v>
      </c>
      <c r="C2274" s="9">
        <v>35.265999000000001</v>
      </c>
      <c r="E2274" s="14">
        <f t="shared" si="249"/>
        <v>1.0045630069915217</v>
      </c>
      <c r="F2274" s="18">
        <f t="shared" ca="1" si="248"/>
        <v>-0.43323601236014037</v>
      </c>
      <c r="G2274" s="15">
        <f t="shared" ca="1" si="253"/>
        <v>1.0099947804719878</v>
      </c>
      <c r="H2274" s="15">
        <f t="shared" ca="1" si="254"/>
        <v>1.2537677675674756E-2</v>
      </c>
      <c r="J2274" s="17">
        <f t="shared" ca="1" si="250"/>
        <v>0</v>
      </c>
      <c r="K2274" s="24">
        <f t="shared" ca="1" si="251"/>
        <v>0</v>
      </c>
      <c r="L2274" s="17">
        <f t="shared" ca="1" si="252"/>
        <v>0</v>
      </c>
      <c r="N2274" s="24" t="str">
        <f ca="1">IF(AND(L2274=1,L2273&lt;&gt;1),MAX($N$8:N2273)+1,"")</f>
        <v/>
      </c>
      <c r="O2274" s="24">
        <f ca="1">IF(AND(L2274&lt;&gt;1,L2273=1),MAX($O$8:O2273)+1,"")</f>
        <v>73</v>
      </c>
      <c r="P2274" s="17" t="str">
        <f ca="1">IF(AND(L2274=-1,L2273&lt;&gt;-1),MAX($P$8:P2273)+1,"")</f>
        <v/>
      </c>
      <c r="Q2274" s="24" t="str">
        <f ca="1">IF(AND(L2274&lt;&gt;-1,L2273=-1),MAX($Q$8:Q2273)+1,"")</f>
        <v/>
      </c>
    </row>
    <row r="2275" spans="1:17" x14ac:dyDescent="0.3">
      <c r="A2275" s="3">
        <v>43539</v>
      </c>
      <c r="B2275" s="9">
        <v>35.417293999999998</v>
      </c>
      <c r="C2275" s="9">
        <v>35.413207999999997</v>
      </c>
      <c r="E2275" s="14">
        <f t="shared" si="249"/>
        <v>1.0001153806794347</v>
      </c>
      <c r="F2275" s="18">
        <f t="shared" ca="1" si="248"/>
        <v>-0.74724606559150231</v>
      </c>
      <c r="G2275" s="15">
        <f t="shared" ca="1" si="253"/>
        <v>1.0096084642554373</v>
      </c>
      <c r="H2275" s="15">
        <f t="shared" ca="1" si="254"/>
        <v>1.2704093086777293E-2</v>
      </c>
      <c r="J2275" s="17">
        <f t="shared" ca="1" si="250"/>
        <v>0</v>
      </c>
      <c r="K2275" s="24">
        <f t="shared" ca="1" si="251"/>
        <v>0</v>
      </c>
      <c r="L2275" s="17">
        <f t="shared" ca="1" si="252"/>
        <v>0</v>
      </c>
      <c r="N2275" s="24" t="str">
        <f ca="1">IF(AND(L2275=1,L2274&lt;&gt;1),MAX($N$8:N2274)+1,"")</f>
        <v/>
      </c>
      <c r="O2275" s="24" t="str">
        <f ca="1">IF(AND(L2275&lt;&gt;1,L2274=1),MAX($O$8:O2274)+1,"")</f>
        <v/>
      </c>
      <c r="P2275" s="17" t="str">
        <f ca="1">IF(AND(L2275=-1,L2274&lt;&gt;-1),MAX($P$8:P2274)+1,"")</f>
        <v/>
      </c>
      <c r="Q2275" s="24" t="str">
        <f ca="1">IF(AND(L2275&lt;&gt;-1,L2274=-1),MAX($Q$8:Q2274)+1,"")</f>
        <v/>
      </c>
    </row>
    <row r="2276" spans="1:17" x14ac:dyDescent="0.3">
      <c r="A2276" s="3">
        <v>43542</v>
      </c>
      <c r="B2276" s="9">
        <v>35.475037</v>
      </c>
      <c r="C2276" s="9">
        <v>35.599173999999998</v>
      </c>
      <c r="E2276" s="14">
        <f t="shared" si="249"/>
        <v>0.99651292470999475</v>
      </c>
      <c r="F2276" s="18">
        <f t="shared" ca="1" si="248"/>
        <v>-0.98968183219689954</v>
      </c>
      <c r="G2276" s="15">
        <f t="shared" ca="1" si="253"/>
        <v>1.0093090805935221</v>
      </c>
      <c r="H2276" s="15">
        <f t="shared" ca="1" si="254"/>
        <v>1.2929565307996391E-2</v>
      </c>
      <c r="J2276" s="17">
        <f t="shared" ca="1" si="250"/>
        <v>0</v>
      </c>
      <c r="K2276" s="24">
        <f t="shared" ca="1" si="251"/>
        <v>0</v>
      </c>
      <c r="L2276" s="17">
        <f t="shared" ca="1" si="252"/>
        <v>0</v>
      </c>
      <c r="N2276" s="24" t="str">
        <f ca="1">IF(AND(L2276=1,L2275&lt;&gt;1),MAX($N$8:N2275)+1,"")</f>
        <v/>
      </c>
      <c r="O2276" s="24" t="str">
        <f ca="1">IF(AND(L2276&lt;&gt;1,L2275=1),MAX($O$8:O2275)+1,"")</f>
        <v/>
      </c>
      <c r="P2276" s="17" t="str">
        <f ca="1">IF(AND(L2276=-1,L2275&lt;&gt;-1),MAX($P$8:P2275)+1,"")</f>
        <v/>
      </c>
      <c r="Q2276" s="24" t="str">
        <f ca="1">IF(AND(L2276&lt;&gt;-1,L2275=-1),MAX($Q$8:Q2275)+1,"")</f>
        <v/>
      </c>
    </row>
    <row r="2277" spans="1:17" x14ac:dyDescent="0.3">
      <c r="A2277" s="3">
        <v>43543</v>
      </c>
      <c r="B2277" s="9">
        <v>34.647350000000003</v>
      </c>
      <c r="C2277" s="9">
        <v>34.832026999999997</v>
      </c>
      <c r="E2277" s="14">
        <f t="shared" si="249"/>
        <v>0.99469806910749137</v>
      </c>
      <c r="F2277" s="18">
        <f t="shared" ca="1" si="248"/>
        <v>-1.0588199626093653</v>
      </c>
      <c r="G2277" s="15">
        <f t="shared" ca="1" si="253"/>
        <v>1.0087567601841538</v>
      </c>
      <c r="H2277" s="15">
        <f t="shared" ca="1" si="254"/>
        <v>1.327769741138626E-2</v>
      </c>
      <c r="J2277" s="17">
        <f t="shared" ca="1" si="250"/>
        <v>0</v>
      </c>
      <c r="K2277" s="24">
        <f t="shared" ca="1" si="251"/>
        <v>-1</v>
      </c>
      <c r="L2277" s="17">
        <f t="shared" ca="1" si="252"/>
        <v>-1</v>
      </c>
      <c r="N2277" s="24" t="str">
        <f ca="1">IF(AND(L2277=1,L2276&lt;&gt;1),MAX($N$8:N2276)+1,"")</f>
        <v/>
      </c>
      <c r="O2277" s="24" t="str">
        <f ca="1">IF(AND(L2277&lt;&gt;1,L2276=1),MAX($O$8:O2276)+1,"")</f>
        <v/>
      </c>
      <c r="P2277" s="17">
        <f ca="1">IF(AND(L2277=-1,L2276&lt;&gt;-1),MAX($P$8:P2276)+1,"")</f>
        <v>84</v>
      </c>
      <c r="Q2277" s="24" t="str">
        <f ca="1">IF(AND(L2277&lt;&gt;-1,L2276=-1),MAX($Q$8:Q2276)+1,"")</f>
        <v/>
      </c>
    </row>
    <row r="2278" spans="1:17" x14ac:dyDescent="0.3">
      <c r="A2278" s="3">
        <v>43544</v>
      </c>
      <c r="B2278" s="9">
        <v>33.867786000000002</v>
      </c>
      <c r="C2278" s="9">
        <v>33.886699999999998</v>
      </c>
      <c r="E2278" s="14">
        <f t="shared" si="249"/>
        <v>0.99944184591594942</v>
      </c>
      <c r="F2278" s="18">
        <f t="shared" ca="1" si="248"/>
        <v>-0.70193535152976361</v>
      </c>
      <c r="G2278" s="15">
        <f t="shared" ca="1" si="253"/>
        <v>1.008760219953313</v>
      </c>
      <c r="H2278" s="15">
        <f t="shared" ca="1" si="254"/>
        <v>1.3275259633320314E-2</v>
      </c>
      <c r="J2278" s="17">
        <f t="shared" ca="1" si="250"/>
        <v>0</v>
      </c>
      <c r="K2278" s="24">
        <f t="shared" ca="1" si="251"/>
        <v>-1</v>
      </c>
      <c r="L2278" s="17">
        <f t="shared" ca="1" si="252"/>
        <v>-1</v>
      </c>
      <c r="N2278" s="24" t="str">
        <f ca="1">IF(AND(L2278=1,L2277&lt;&gt;1),MAX($N$8:N2277)+1,"")</f>
        <v/>
      </c>
      <c r="O2278" s="24" t="str">
        <f ca="1">IF(AND(L2278&lt;&gt;1,L2277=1),MAX($O$8:O2277)+1,"")</f>
        <v/>
      </c>
      <c r="P2278" s="17" t="str">
        <f ca="1">IF(AND(L2278=-1,L2277&lt;&gt;-1),MAX($P$8:P2277)+1,"")</f>
        <v/>
      </c>
      <c r="Q2278" s="24" t="str">
        <f ca="1">IF(AND(L2278&lt;&gt;-1,L2277=-1),MAX($Q$8:Q2277)+1,"")</f>
        <v/>
      </c>
    </row>
    <row r="2279" spans="1:17" x14ac:dyDescent="0.3">
      <c r="A2279" s="3">
        <v>43545</v>
      </c>
      <c r="B2279" s="9">
        <v>33.271084000000002</v>
      </c>
      <c r="C2279" s="9">
        <v>33.142792</v>
      </c>
      <c r="E2279" s="14">
        <f t="shared" si="249"/>
        <v>1.0038708869186399</v>
      </c>
      <c r="F2279" s="18">
        <f t="shared" ca="1" si="248"/>
        <v>-0.44599872870959711</v>
      </c>
      <c r="G2279" s="15">
        <f t="shared" ca="1" si="253"/>
        <v>1.0094710050012545</v>
      </c>
      <c r="H2279" s="15">
        <f t="shared" ca="1" si="254"/>
        <v>1.2556354361855203E-2</v>
      </c>
      <c r="J2279" s="17">
        <f t="shared" ca="1" si="250"/>
        <v>0</v>
      </c>
      <c r="K2279" s="24">
        <f t="shared" ca="1" si="251"/>
        <v>-1</v>
      </c>
      <c r="L2279" s="17">
        <f t="shared" ca="1" si="252"/>
        <v>-1</v>
      </c>
      <c r="N2279" s="24" t="str">
        <f ca="1">IF(AND(L2279=1,L2278&lt;&gt;1),MAX($N$8:N2278)+1,"")</f>
        <v/>
      </c>
      <c r="O2279" s="24" t="str">
        <f ca="1">IF(AND(L2279&lt;&gt;1,L2278=1),MAX($O$8:O2278)+1,"")</f>
        <v/>
      </c>
      <c r="P2279" s="17" t="str">
        <f ca="1">IF(AND(L2279=-1,L2278&lt;&gt;-1),MAX($P$8:P2278)+1,"")</f>
        <v/>
      </c>
      <c r="Q2279" s="24" t="str">
        <f ca="1">IF(AND(L2279&lt;&gt;-1,L2278=-1),MAX($Q$8:Q2278)+1,"")</f>
        <v/>
      </c>
    </row>
    <row r="2280" spans="1:17" x14ac:dyDescent="0.3">
      <c r="A2280" s="3">
        <v>43546</v>
      </c>
      <c r="B2280" s="9">
        <v>32.289409999999997</v>
      </c>
      <c r="C2280" s="9">
        <v>31.972614</v>
      </c>
      <c r="E2280" s="14">
        <f t="shared" si="249"/>
        <v>1.0099083546938012</v>
      </c>
      <c r="F2280" s="18">
        <f t="shared" ca="1" si="248"/>
        <v>-6.3700782836884629E-2</v>
      </c>
      <c r="G2280" s="15">
        <f t="shared" ca="1" si="253"/>
        <v>1.010628631014024</v>
      </c>
      <c r="H2280" s="15">
        <f t="shared" ca="1" si="254"/>
        <v>1.1307181609794844E-2</v>
      </c>
      <c r="J2280" s="17">
        <f t="shared" ca="1" si="250"/>
        <v>0</v>
      </c>
      <c r="K2280" s="24">
        <f t="shared" ca="1" si="251"/>
        <v>-1</v>
      </c>
      <c r="L2280" s="17">
        <f t="shared" ca="1" si="252"/>
        <v>-1</v>
      </c>
      <c r="N2280" s="24" t="str">
        <f ca="1">IF(AND(L2280=1,L2279&lt;&gt;1),MAX($N$8:N2279)+1,"")</f>
        <v/>
      </c>
      <c r="O2280" s="24" t="str">
        <f ca="1">IF(AND(L2280&lt;&gt;1,L2279=1),MAX($O$8:O2279)+1,"")</f>
        <v/>
      </c>
      <c r="P2280" s="17" t="str">
        <f ca="1">IF(AND(L2280=-1,L2279&lt;&gt;-1),MAX($P$8:P2279)+1,"")</f>
        <v/>
      </c>
      <c r="Q2280" s="24" t="str">
        <f ca="1">IF(AND(L2280&lt;&gt;-1,L2279=-1),MAX($Q$8:Q2279)+1,"")</f>
        <v/>
      </c>
    </row>
    <row r="2281" spans="1:17" x14ac:dyDescent="0.3">
      <c r="A2281" s="3">
        <v>43549</v>
      </c>
      <c r="B2281" s="9">
        <v>32.337524000000002</v>
      </c>
      <c r="C2281" s="9">
        <v>32.042355000000001</v>
      </c>
      <c r="E2281" s="14">
        <f t="shared" si="249"/>
        <v>1.0092118385181115</v>
      </c>
      <c r="F2281" s="18">
        <f t="shared" ca="1" si="248"/>
        <v>-0.21232121057517411</v>
      </c>
      <c r="G2281" s="15">
        <f t="shared" ca="1" si="253"/>
        <v>1.0114420250574148</v>
      </c>
      <c r="H2281" s="15">
        <f t="shared" ca="1" si="254"/>
        <v>1.0503833005010468E-2</v>
      </c>
      <c r="J2281" s="17">
        <f t="shared" ca="1" si="250"/>
        <v>0</v>
      </c>
      <c r="K2281" s="24">
        <f t="shared" ca="1" si="251"/>
        <v>-1</v>
      </c>
      <c r="L2281" s="17">
        <f t="shared" ca="1" si="252"/>
        <v>-1</v>
      </c>
      <c r="N2281" s="24" t="str">
        <f ca="1">IF(AND(L2281=1,L2280&lt;&gt;1),MAX($N$8:N2280)+1,"")</f>
        <v/>
      </c>
      <c r="O2281" s="24" t="str">
        <f ca="1">IF(AND(L2281&lt;&gt;1,L2280=1),MAX($O$8:O2280)+1,"")</f>
        <v/>
      </c>
      <c r="P2281" s="17" t="str">
        <f ca="1">IF(AND(L2281=-1,L2280&lt;&gt;-1),MAX($P$8:P2280)+1,"")</f>
        <v/>
      </c>
      <c r="Q2281" s="24" t="str">
        <f ca="1">IF(AND(L2281&lt;&gt;-1,L2280=-1),MAX($Q$8:Q2280)+1,"")</f>
        <v/>
      </c>
    </row>
    <row r="2282" spans="1:17" x14ac:dyDescent="0.3">
      <c r="A2282" s="3">
        <v>43550</v>
      </c>
      <c r="B2282" s="9">
        <v>32.674380999999997</v>
      </c>
      <c r="C2282" s="9">
        <v>32.251582999999997</v>
      </c>
      <c r="E2282" s="14">
        <f t="shared" si="249"/>
        <v>1.0131093720267932</v>
      </c>
      <c r="F2282" s="18">
        <f t="shared" ca="1" si="248"/>
        <v>0.12733473626282352</v>
      </c>
      <c r="G2282" s="15">
        <f t="shared" ca="1" si="253"/>
        <v>1.011781073632867</v>
      </c>
      <c r="H2282" s="15">
        <f t="shared" ca="1" si="254"/>
        <v>1.0431547847121419E-2</v>
      </c>
      <c r="J2282" s="17">
        <f t="shared" ca="1" si="250"/>
        <v>0</v>
      </c>
      <c r="K2282" s="24">
        <f t="shared" ca="1" si="251"/>
        <v>0</v>
      </c>
      <c r="L2282" s="17">
        <f t="shared" ca="1" si="252"/>
        <v>0</v>
      </c>
      <c r="N2282" s="24" t="str">
        <f ca="1">IF(AND(L2282=1,L2281&lt;&gt;1),MAX($N$8:N2281)+1,"")</f>
        <v/>
      </c>
      <c r="O2282" s="24" t="str">
        <f ca="1">IF(AND(L2282&lt;&gt;1,L2281=1),MAX($O$8:O2281)+1,"")</f>
        <v/>
      </c>
      <c r="P2282" s="17" t="str">
        <f ca="1">IF(AND(L2282=-1,L2281&lt;&gt;-1),MAX($P$8:P2281)+1,"")</f>
        <v/>
      </c>
      <c r="Q2282" s="24">
        <f ca="1">IF(AND(L2282&lt;&gt;-1,L2281=-1),MAX($Q$8:Q2281)+1,"")</f>
        <v>84</v>
      </c>
    </row>
    <row r="2283" spans="1:17" x14ac:dyDescent="0.3">
      <c r="A2283" s="3">
        <v>43551</v>
      </c>
      <c r="B2283" s="9">
        <v>31.567578999999999</v>
      </c>
      <c r="C2283" s="9">
        <v>31.135719000000002</v>
      </c>
      <c r="E2283" s="14">
        <f t="shared" si="249"/>
        <v>1.0138702433690385</v>
      </c>
      <c r="F2283" s="18">
        <f t="shared" ca="1" si="248"/>
        <v>0.18157498262040017</v>
      </c>
      <c r="G2283" s="15">
        <f t="shared" ca="1" si="253"/>
        <v>1.0119766811776629</v>
      </c>
      <c r="H2283" s="15">
        <f t="shared" ca="1" si="254"/>
        <v>1.0428541223293243E-2</v>
      </c>
      <c r="J2283" s="17">
        <f t="shared" ca="1" si="250"/>
        <v>0</v>
      </c>
      <c r="K2283" s="24">
        <f t="shared" ca="1" si="251"/>
        <v>0</v>
      </c>
      <c r="L2283" s="17">
        <f t="shared" ca="1" si="252"/>
        <v>0</v>
      </c>
      <c r="N2283" s="24" t="str">
        <f ca="1">IF(AND(L2283=1,L2282&lt;&gt;1),MAX($N$8:N2282)+1,"")</f>
        <v/>
      </c>
      <c r="O2283" s="24" t="str">
        <f ca="1">IF(AND(L2283&lt;&gt;1,L2282=1),MAX($O$8:O2282)+1,"")</f>
        <v/>
      </c>
      <c r="P2283" s="17" t="str">
        <f ca="1">IF(AND(L2283=-1,L2282&lt;&gt;-1),MAX($P$8:P2282)+1,"")</f>
        <v/>
      </c>
      <c r="Q2283" s="24" t="str">
        <f ca="1">IF(AND(L2283&lt;&gt;-1,L2282=-1),MAX($Q$8:Q2282)+1,"")</f>
        <v/>
      </c>
    </row>
    <row r="2284" spans="1:17" x14ac:dyDescent="0.3">
      <c r="A2284" s="3">
        <v>43552</v>
      </c>
      <c r="B2284" s="9">
        <v>32.818741000000003</v>
      </c>
      <c r="C2284" s="9">
        <v>32.716529999999999</v>
      </c>
      <c r="E2284" s="14">
        <f t="shared" si="249"/>
        <v>1.0031241393876431</v>
      </c>
      <c r="F2284" s="18">
        <f t="shared" ca="1" si="248"/>
        <v>-0.77669817501773875</v>
      </c>
      <c r="G2284" s="15">
        <f t="shared" ca="1" si="253"/>
        <v>1.011251800588103</v>
      </c>
      <c r="H2284" s="15">
        <f t="shared" ca="1" si="254"/>
        <v>1.046437530289589E-2</v>
      </c>
      <c r="J2284" s="17">
        <f t="shared" ca="1" si="250"/>
        <v>0</v>
      </c>
      <c r="K2284" s="24">
        <f t="shared" ca="1" si="251"/>
        <v>0</v>
      </c>
      <c r="L2284" s="17">
        <f t="shared" ca="1" si="252"/>
        <v>0</v>
      </c>
      <c r="N2284" s="24" t="str">
        <f ca="1">IF(AND(L2284=1,L2283&lt;&gt;1),MAX($N$8:N2283)+1,"")</f>
        <v/>
      </c>
      <c r="O2284" s="24" t="str">
        <f ca="1">IF(AND(L2284&lt;&gt;1,L2283=1),MAX($O$8:O2283)+1,"")</f>
        <v/>
      </c>
      <c r="P2284" s="17" t="str">
        <f ca="1">IF(AND(L2284=-1,L2283&lt;&gt;-1),MAX($P$8:P2283)+1,"")</f>
        <v/>
      </c>
      <c r="Q2284" s="24" t="str">
        <f ca="1">IF(AND(L2284&lt;&gt;-1,L2283=-1),MAX($Q$8:Q2283)+1,"")</f>
        <v/>
      </c>
    </row>
    <row r="2285" spans="1:17" x14ac:dyDescent="0.3">
      <c r="A2285" s="3">
        <v>43553</v>
      </c>
      <c r="B2285" s="9">
        <v>33.136341000000002</v>
      </c>
      <c r="C2285" s="9">
        <v>33.274467000000001</v>
      </c>
      <c r="E2285" s="14">
        <f t="shared" si="249"/>
        <v>0.99584888917980263</v>
      </c>
      <c r="F2285" s="18">
        <f t="shared" ca="1" si="248"/>
        <v>-1.3314833652518316</v>
      </c>
      <c r="G2285" s="15">
        <f t="shared" ca="1" si="253"/>
        <v>1.0101148982528763</v>
      </c>
      <c r="H2285" s="15">
        <f t="shared" ca="1" si="254"/>
        <v>1.0714372740492637E-2</v>
      </c>
      <c r="J2285" s="17">
        <f t="shared" ca="1" si="250"/>
        <v>0</v>
      </c>
      <c r="K2285" s="24">
        <f t="shared" ca="1" si="251"/>
        <v>-1</v>
      </c>
      <c r="L2285" s="17">
        <f t="shared" ca="1" si="252"/>
        <v>-1</v>
      </c>
      <c r="N2285" s="24" t="str">
        <f ca="1">IF(AND(L2285=1,L2284&lt;&gt;1),MAX($N$8:N2284)+1,"")</f>
        <v/>
      </c>
      <c r="O2285" s="24" t="str">
        <f ca="1">IF(AND(L2285&lt;&gt;1,L2284=1),MAX($O$8:O2284)+1,"")</f>
        <v/>
      </c>
      <c r="P2285" s="17">
        <f ca="1">IF(AND(L2285=-1,L2284&lt;&gt;-1),MAX($P$8:P2284)+1,"")</f>
        <v>85</v>
      </c>
      <c r="Q2285" s="24" t="str">
        <f ca="1">IF(AND(L2285&lt;&gt;-1,L2284=-1),MAX($Q$8:Q2284)+1,"")</f>
        <v/>
      </c>
    </row>
    <row r="2286" spans="1:17" x14ac:dyDescent="0.3">
      <c r="A2286" s="3">
        <v>43556</v>
      </c>
      <c r="B2286" s="9">
        <v>32.890816000000001</v>
      </c>
      <c r="C2286" s="9">
        <v>33.541049999999998</v>
      </c>
      <c r="E2286" s="14">
        <f t="shared" si="249"/>
        <v>0.98061378519754161</v>
      </c>
      <c r="F2286" s="18">
        <f t="shared" ca="1" si="248"/>
        <v>-2.2753177226137038</v>
      </c>
      <c r="G2286" s="15">
        <f t="shared" ca="1" si="253"/>
        <v>1.0085285703627938</v>
      </c>
      <c r="H2286" s="15">
        <f t="shared" ca="1" si="254"/>
        <v>1.226852183667161E-2</v>
      </c>
      <c r="J2286" s="17">
        <f t="shared" ca="1" si="250"/>
        <v>0</v>
      </c>
      <c r="K2286" s="24">
        <f t="shared" ca="1" si="251"/>
        <v>-1</v>
      </c>
      <c r="L2286" s="17">
        <f t="shared" ca="1" si="252"/>
        <v>-1</v>
      </c>
      <c r="N2286" s="24" t="str">
        <f ca="1">IF(AND(L2286=1,L2285&lt;&gt;1),MAX($N$8:N2285)+1,"")</f>
        <v/>
      </c>
      <c r="O2286" s="24" t="str">
        <f ca="1">IF(AND(L2286&lt;&gt;1,L2285=1),MAX($O$8:O2285)+1,"")</f>
        <v/>
      </c>
      <c r="P2286" s="17" t="str">
        <f ca="1">IF(AND(L2286=-1,L2285&lt;&gt;-1),MAX($P$8:P2285)+1,"")</f>
        <v/>
      </c>
      <c r="Q2286" s="24" t="str">
        <f ca="1">IF(AND(L2286&lt;&gt;-1,L2285=-1),MAX($Q$8:Q2285)+1,"")</f>
        <v/>
      </c>
    </row>
    <row r="2287" spans="1:17" x14ac:dyDescent="0.3">
      <c r="A2287" s="3">
        <v>43557</v>
      </c>
      <c r="B2287" s="9">
        <v>32.37088</v>
      </c>
      <c r="C2287" s="9">
        <v>33.110550000000003</v>
      </c>
      <c r="E2287" s="14">
        <f t="shared" si="249"/>
        <v>0.97766059458390142</v>
      </c>
      <c r="F2287" s="18">
        <f t="shared" ca="1" si="248"/>
        <v>-2.1600463473318072</v>
      </c>
      <c r="G2287" s="15">
        <f t="shared" ca="1" si="253"/>
        <v>1.0074560984041303</v>
      </c>
      <c r="H2287" s="15">
        <f t="shared" ca="1" si="254"/>
        <v>1.3793918754120123E-2</v>
      </c>
      <c r="J2287" s="17">
        <f t="shared" ca="1" si="250"/>
        <v>0</v>
      </c>
      <c r="K2287" s="24">
        <f t="shared" ca="1" si="251"/>
        <v>-1</v>
      </c>
      <c r="L2287" s="17">
        <f t="shared" ca="1" si="252"/>
        <v>-1</v>
      </c>
      <c r="N2287" s="24" t="str">
        <f ca="1">IF(AND(L2287=1,L2286&lt;&gt;1),MAX($N$8:N2286)+1,"")</f>
        <v/>
      </c>
      <c r="O2287" s="24" t="str">
        <f ca="1">IF(AND(L2287&lt;&gt;1,L2286=1),MAX($O$8:O2286)+1,"")</f>
        <v/>
      </c>
      <c r="P2287" s="17" t="str">
        <f ca="1">IF(AND(L2287=-1,L2286&lt;&gt;-1),MAX($P$8:P2286)+1,"")</f>
        <v/>
      </c>
      <c r="Q2287" s="24" t="str">
        <f ca="1">IF(AND(L2287&lt;&gt;-1,L2286=-1),MAX($Q$8:Q2286)+1,"")</f>
        <v/>
      </c>
    </row>
    <row r="2288" spans="1:17" x14ac:dyDescent="0.3">
      <c r="A2288" s="3">
        <v>43558</v>
      </c>
      <c r="B2288" s="9">
        <v>32.082023999999997</v>
      </c>
      <c r="C2288" s="9">
        <v>32.738419</v>
      </c>
      <c r="E2288" s="14">
        <f t="shared" si="249"/>
        <v>0.97995031464408822</v>
      </c>
      <c r="F2288" s="18">
        <f t="shared" ca="1" si="248"/>
        <v>-1.7706998328289039</v>
      </c>
      <c r="G2288" s="15">
        <f t="shared" ca="1" si="253"/>
        <v>1.0063821034158684</v>
      </c>
      <c r="H2288" s="15">
        <f t="shared" ca="1" si="254"/>
        <v>1.4927311948492296E-2</v>
      </c>
      <c r="J2288" s="17">
        <f t="shared" ca="1" si="250"/>
        <v>0</v>
      </c>
      <c r="K2288" s="24">
        <f t="shared" ca="1" si="251"/>
        <v>-1</v>
      </c>
      <c r="L2288" s="17">
        <f t="shared" ca="1" si="252"/>
        <v>-1</v>
      </c>
      <c r="N2288" s="24" t="str">
        <f ca="1">IF(AND(L2288=1,L2287&lt;&gt;1),MAX($N$8:N2287)+1,"")</f>
        <v/>
      </c>
      <c r="O2288" s="24" t="str">
        <f ca="1">IF(AND(L2288&lt;&gt;1,L2287=1),MAX($O$8:O2287)+1,"")</f>
        <v/>
      </c>
      <c r="P2288" s="17" t="str">
        <f ca="1">IF(AND(L2288=-1,L2287&lt;&gt;-1),MAX($P$8:P2287)+1,"")</f>
        <v/>
      </c>
      <c r="Q2288" s="24" t="str">
        <f ca="1">IF(AND(L2288&lt;&gt;-1,L2287=-1),MAX($Q$8:Q2287)+1,"")</f>
        <v/>
      </c>
    </row>
    <row r="2289" spans="1:17" x14ac:dyDescent="0.3">
      <c r="A2289" s="3">
        <v>43559</v>
      </c>
      <c r="B2289" s="9">
        <v>32.563450000000003</v>
      </c>
      <c r="C2289" s="9">
        <v>33.585014000000001</v>
      </c>
      <c r="E2289" s="14">
        <f t="shared" si="249"/>
        <v>0.96958274306510639</v>
      </c>
      <c r="F2289" s="18">
        <f t="shared" ca="1" si="248"/>
        <v>-2.0870833644582243</v>
      </c>
      <c r="G2289" s="15">
        <f t="shared" ca="1" si="253"/>
        <v>1.0044905804764463</v>
      </c>
      <c r="H2289" s="15">
        <f t="shared" ca="1" si="254"/>
        <v>1.672565552761306E-2</v>
      </c>
      <c r="J2289" s="17">
        <f t="shared" ca="1" si="250"/>
        <v>0</v>
      </c>
      <c r="K2289" s="24">
        <f t="shared" ca="1" si="251"/>
        <v>-1</v>
      </c>
      <c r="L2289" s="17">
        <f t="shared" ca="1" si="252"/>
        <v>-1</v>
      </c>
      <c r="N2289" s="24" t="str">
        <f ca="1">IF(AND(L2289=1,L2288&lt;&gt;1),MAX($N$8:N2288)+1,"")</f>
        <v/>
      </c>
      <c r="O2289" s="24" t="str">
        <f ca="1">IF(AND(L2289&lt;&gt;1,L2288=1),MAX($O$8:O2288)+1,"")</f>
        <v/>
      </c>
      <c r="P2289" s="17" t="str">
        <f ca="1">IF(AND(L2289=-1,L2288&lt;&gt;-1),MAX($P$8:P2288)+1,"")</f>
        <v/>
      </c>
      <c r="Q2289" s="24" t="str">
        <f ca="1">IF(AND(L2289&lt;&gt;-1,L2288=-1),MAX($Q$8:Q2288)+1,"")</f>
        <v/>
      </c>
    </row>
    <row r="2290" spans="1:17" x14ac:dyDescent="0.3">
      <c r="A2290" s="3">
        <v>43560</v>
      </c>
      <c r="B2290" s="9">
        <v>33.266323</v>
      </c>
      <c r="C2290" s="9">
        <v>33.86412</v>
      </c>
      <c r="E2290" s="14">
        <f t="shared" si="249"/>
        <v>0.98234718634354001</v>
      </c>
      <c r="F2290" s="18">
        <f t="shared" ca="1" si="248"/>
        <v>-1.2027621794386592</v>
      </c>
      <c r="G2290" s="15">
        <f t="shared" ca="1" si="253"/>
        <v>1.0028992521155009</v>
      </c>
      <c r="H2290" s="15">
        <f t="shared" ca="1" si="254"/>
        <v>1.7087389446808796E-2</v>
      </c>
      <c r="J2290" s="17">
        <f t="shared" ca="1" si="250"/>
        <v>0</v>
      </c>
      <c r="K2290" s="24">
        <f t="shared" ca="1" si="251"/>
        <v>-1</v>
      </c>
      <c r="L2290" s="17">
        <f t="shared" ca="1" si="252"/>
        <v>-1</v>
      </c>
      <c r="N2290" s="24" t="str">
        <f ca="1">IF(AND(L2290=1,L2289&lt;&gt;1),MAX($N$8:N2289)+1,"")</f>
        <v/>
      </c>
      <c r="O2290" s="24" t="str">
        <f ca="1">IF(AND(L2290&lt;&gt;1,L2289=1),MAX($O$8:O2289)+1,"")</f>
        <v/>
      </c>
      <c r="P2290" s="17" t="str">
        <f ca="1">IF(AND(L2290=-1,L2289&lt;&gt;-1),MAX($P$8:P2289)+1,"")</f>
        <v/>
      </c>
      <c r="Q2290" s="24" t="str">
        <f ca="1">IF(AND(L2290&lt;&gt;-1,L2289=-1),MAX($Q$8:Q2289)+1,"")</f>
        <v/>
      </c>
    </row>
    <row r="2291" spans="1:17" x14ac:dyDescent="0.3">
      <c r="A2291" s="3">
        <v>43563</v>
      </c>
      <c r="B2291" s="9">
        <v>33.064124999999997</v>
      </c>
      <c r="C2291" s="9">
        <v>33.910637000000001</v>
      </c>
      <c r="E2291" s="14">
        <f t="shared" si="249"/>
        <v>0.97503697733545958</v>
      </c>
      <c r="F2291" s="18">
        <f t="shared" ca="1" si="248"/>
        <v>-1.5058916359409509</v>
      </c>
      <c r="G2291" s="15">
        <f t="shared" ca="1" si="253"/>
        <v>1.0003001882518161</v>
      </c>
      <c r="H2291" s="15">
        <f t="shared" ca="1" si="254"/>
        <v>1.6776247582098364E-2</v>
      </c>
      <c r="J2291" s="17">
        <f t="shared" ca="1" si="250"/>
        <v>0</v>
      </c>
      <c r="K2291" s="24">
        <f t="shared" ca="1" si="251"/>
        <v>-1</v>
      </c>
      <c r="L2291" s="17">
        <f t="shared" ca="1" si="252"/>
        <v>-1</v>
      </c>
      <c r="N2291" s="24" t="str">
        <f ca="1">IF(AND(L2291=1,L2290&lt;&gt;1),MAX($N$8:N2290)+1,"")</f>
        <v/>
      </c>
      <c r="O2291" s="24" t="str">
        <f ca="1">IF(AND(L2291&lt;&gt;1,L2290=1),MAX($O$8:O2290)+1,"")</f>
        <v/>
      </c>
      <c r="P2291" s="17" t="str">
        <f ca="1">IF(AND(L2291=-1,L2290&lt;&gt;-1),MAX($P$8:P2290)+1,"")</f>
        <v/>
      </c>
      <c r="Q2291" s="24" t="str">
        <f ca="1">IF(AND(L2291&lt;&gt;-1,L2290=-1),MAX($Q$8:Q2290)+1,"")</f>
        <v/>
      </c>
    </row>
    <row r="2292" spans="1:17" x14ac:dyDescent="0.3">
      <c r="A2292" s="3">
        <v>43564</v>
      </c>
      <c r="B2292" s="9">
        <v>32.881186999999997</v>
      </c>
      <c r="C2292" s="9">
        <v>33.780380000000001</v>
      </c>
      <c r="E2292" s="14">
        <f t="shared" si="249"/>
        <v>0.97338120530319661</v>
      </c>
      <c r="F2292" s="18">
        <f t="shared" ca="1" si="248"/>
        <v>-1.4890865460801797</v>
      </c>
      <c r="G2292" s="15">
        <f t="shared" ca="1" si="253"/>
        <v>0.99771806407700481</v>
      </c>
      <c r="H2292" s="15">
        <f t="shared" ca="1" si="254"/>
        <v>1.6343481739104899E-2</v>
      </c>
      <c r="J2292" s="17">
        <f t="shared" ca="1" si="250"/>
        <v>0</v>
      </c>
      <c r="K2292" s="24">
        <f t="shared" ca="1" si="251"/>
        <v>-1</v>
      </c>
      <c r="L2292" s="17">
        <f t="shared" ca="1" si="252"/>
        <v>-1</v>
      </c>
      <c r="N2292" s="24" t="str">
        <f ca="1">IF(AND(L2292=1,L2291&lt;&gt;1),MAX($N$8:N2291)+1,"")</f>
        <v/>
      </c>
      <c r="O2292" s="24" t="str">
        <f ca="1">IF(AND(L2292&lt;&gt;1,L2291=1),MAX($O$8:O2291)+1,"")</f>
        <v/>
      </c>
      <c r="P2292" s="17" t="str">
        <f ca="1">IF(AND(L2292=-1,L2291&lt;&gt;-1),MAX($P$8:P2291)+1,"")</f>
        <v/>
      </c>
      <c r="Q2292" s="24" t="str">
        <f ca="1">IF(AND(L2292&lt;&gt;-1,L2291=-1),MAX($Q$8:Q2291)+1,"")</f>
        <v/>
      </c>
    </row>
    <row r="2293" spans="1:17" x14ac:dyDescent="0.3">
      <c r="A2293" s="3">
        <v>43565</v>
      </c>
      <c r="B2293" s="9">
        <v>32.823417999999997</v>
      </c>
      <c r="C2293" s="9">
        <v>33.296616</v>
      </c>
      <c r="E2293" s="14">
        <f t="shared" si="249"/>
        <v>0.98578840564458547</v>
      </c>
      <c r="F2293" s="18">
        <f t="shared" ca="1" si="248"/>
        <v>-0.65836919536426153</v>
      </c>
      <c r="G2293" s="15">
        <f t="shared" ca="1" si="253"/>
        <v>0.99605427238000754</v>
      </c>
      <c r="H2293" s="15">
        <f t="shared" ca="1" si="254"/>
        <v>1.5592872217756461E-2</v>
      </c>
      <c r="J2293" s="17">
        <f t="shared" ca="1" si="250"/>
        <v>0</v>
      </c>
      <c r="K2293" s="24">
        <f t="shared" ca="1" si="251"/>
        <v>-1</v>
      </c>
      <c r="L2293" s="17">
        <f t="shared" ca="1" si="252"/>
        <v>-1</v>
      </c>
      <c r="N2293" s="24" t="str">
        <f ca="1">IF(AND(L2293=1,L2292&lt;&gt;1),MAX($N$8:N2292)+1,"")</f>
        <v/>
      </c>
      <c r="O2293" s="24" t="str">
        <f ca="1">IF(AND(L2293&lt;&gt;1,L2292=1),MAX($O$8:O2292)+1,"")</f>
        <v/>
      </c>
      <c r="P2293" s="17" t="str">
        <f ca="1">IF(AND(L2293=-1,L2292&lt;&gt;-1),MAX($P$8:P2292)+1,"")</f>
        <v/>
      </c>
      <c r="Q2293" s="24" t="str">
        <f ca="1">IF(AND(L2293&lt;&gt;-1,L2292=-1),MAX($Q$8:Q2292)+1,"")</f>
        <v/>
      </c>
    </row>
    <row r="2294" spans="1:17" x14ac:dyDescent="0.3">
      <c r="A2294" s="3">
        <v>43566</v>
      </c>
      <c r="B2294" s="9">
        <v>32.062775000000002</v>
      </c>
      <c r="C2294" s="9">
        <v>32.766323</v>
      </c>
      <c r="E2294" s="14">
        <f t="shared" si="249"/>
        <v>0.97852832006813828</v>
      </c>
      <c r="F2294" s="18">
        <f t="shared" ca="1" si="248"/>
        <v>-1.0412429195664741</v>
      </c>
      <c r="G2294" s="15">
        <f t="shared" ca="1" si="253"/>
        <v>0.9940943417763165</v>
      </c>
      <c r="H2294" s="15">
        <f t="shared" ca="1" si="254"/>
        <v>1.4949462239473575E-2</v>
      </c>
      <c r="J2294" s="17">
        <f t="shared" ca="1" si="250"/>
        <v>0</v>
      </c>
      <c r="K2294" s="24">
        <f t="shared" ca="1" si="251"/>
        <v>-1</v>
      </c>
      <c r="L2294" s="17">
        <f t="shared" ca="1" si="252"/>
        <v>-1</v>
      </c>
      <c r="N2294" s="24" t="str">
        <f ca="1">IF(AND(L2294=1,L2293&lt;&gt;1),MAX($N$8:N2293)+1,"")</f>
        <v/>
      </c>
      <c r="O2294" s="24" t="str">
        <f ca="1">IF(AND(L2294&lt;&gt;1,L2293=1),MAX($O$8:O2293)+1,"")</f>
        <v/>
      </c>
      <c r="P2294" s="17" t="str">
        <f ca="1">IF(AND(L2294=-1,L2293&lt;&gt;-1),MAX($P$8:P2293)+1,"")</f>
        <v/>
      </c>
      <c r="Q2294" s="24" t="str">
        <f ca="1">IF(AND(L2294&lt;&gt;-1,L2293=-1),MAX($Q$8:Q2293)+1,"")</f>
        <v/>
      </c>
    </row>
    <row r="2295" spans="1:17" x14ac:dyDescent="0.3">
      <c r="A2295" s="3">
        <v>43567</v>
      </c>
      <c r="B2295" s="9">
        <v>31.725771000000002</v>
      </c>
      <c r="C2295" s="9">
        <v>32.468615999999997</v>
      </c>
      <c r="E2295" s="14">
        <f t="shared" si="249"/>
        <v>0.97712113753170149</v>
      </c>
      <c r="F2295" s="18">
        <f t="shared" ca="1" si="248"/>
        <v>-1.067786571761429</v>
      </c>
      <c r="G2295" s="15">
        <f t="shared" ca="1" si="253"/>
        <v>0.99201298278252181</v>
      </c>
      <c r="H2295" s="15">
        <f t="shared" ca="1" si="254"/>
        <v>1.3946462378014944E-2</v>
      </c>
      <c r="J2295" s="17">
        <f t="shared" ca="1" si="250"/>
        <v>0</v>
      </c>
      <c r="K2295" s="24">
        <f t="shared" ca="1" si="251"/>
        <v>-1</v>
      </c>
      <c r="L2295" s="17">
        <f t="shared" ca="1" si="252"/>
        <v>-1</v>
      </c>
      <c r="N2295" s="24" t="str">
        <f ca="1">IF(AND(L2295=1,L2294&lt;&gt;1),MAX($N$8:N2294)+1,"")</f>
        <v/>
      </c>
      <c r="O2295" s="24" t="str">
        <f ca="1">IF(AND(L2295&lt;&gt;1,L2294=1),MAX($O$8:O2294)+1,"")</f>
        <v/>
      </c>
      <c r="P2295" s="17" t="str">
        <f ca="1">IF(AND(L2295=-1,L2294&lt;&gt;-1),MAX($P$8:P2294)+1,"")</f>
        <v/>
      </c>
      <c r="Q2295" s="24" t="str">
        <f ca="1">IF(AND(L2295&lt;&gt;-1,L2294=-1),MAX($Q$8:Q2294)+1,"")</f>
        <v/>
      </c>
    </row>
    <row r="2296" spans="1:17" x14ac:dyDescent="0.3">
      <c r="A2296" s="3">
        <v>43570</v>
      </c>
      <c r="B2296" s="9">
        <v>31.706513999999999</v>
      </c>
      <c r="C2296" s="9">
        <v>32.394188</v>
      </c>
      <c r="E2296" s="14">
        <f t="shared" si="249"/>
        <v>0.97877168583450835</v>
      </c>
      <c r="F2296" s="18">
        <f t="shared" ca="1" si="248"/>
        <v>-0.86663548940324553</v>
      </c>
      <c r="G2296" s="15">
        <f t="shared" ca="1" si="253"/>
        <v>0.99084065000265764</v>
      </c>
      <c r="H2296" s="15">
        <f t="shared" ca="1" si="254"/>
        <v>1.3926228865217402E-2</v>
      </c>
      <c r="J2296" s="17">
        <f t="shared" ca="1" si="250"/>
        <v>0</v>
      </c>
      <c r="K2296" s="24">
        <f t="shared" ca="1" si="251"/>
        <v>-1</v>
      </c>
      <c r="L2296" s="17">
        <f t="shared" ca="1" si="252"/>
        <v>-1</v>
      </c>
      <c r="N2296" s="24" t="str">
        <f ca="1">IF(AND(L2296=1,L2295&lt;&gt;1),MAX($N$8:N2295)+1,"")</f>
        <v/>
      </c>
      <c r="O2296" s="24" t="str">
        <f ca="1">IF(AND(L2296&lt;&gt;1,L2295=1),MAX($O$8:O2295)+1,"")</f>
        <v/>
      </c>
      <c r="P2296" s="17" t="str">
        <f ca="1">IF(AND(L2296=-1,L2295&lt;&gt;-1),MAX($P$8:P2295)+1,"")</f>
        <v/>
      </c>
      <c r="Q2296" s="24" t="str">
        <f ca="1">IF(AND(L2296&lt;&gt;-1,L2295=-1),MAX($Q$8:Q2295)+1,"")</f>
        <v/>
      </c>
    </row>
    <row r="2297" spans="1:17" x14ac:dyDescent="0.3">
      <c r="A2297" s="3">
        <v>43571</v>
      </c>
      <c r="B2297" s="9">
        <v>31.677633</v>
      </c>
      <c r="C2297" s="9">
        <v>32.338366999999998</v>
      </c>
      <c r="E2297" s="14">
        <f t="shared" si="249"/>
        <v>0.97956810868031774</v>
      </c>
      <c r="F2297" s="18">
        <f t="shared" ca="1" si="248"/>
        <v>-0.74048706864272285</v>
      </c>
      <c r="G2297" s="15">
        <f t="shared" ca="1" si="253"/>
        <v>0.98990668309360708</v>
      </c>
      <c r="H2297" s="15">
        <f t="shared" ca="1" si="254"/>
        <v>1.3961856798173999E-2</v>
      </c>
      <c r="J2297" s="17">
        <f t="shared" ca="1" si="250"/>
        <v>0</v>
      </c>
      <c r="K2297" s="24">
        <f t="shared" ca="1" si="251"/>
        <v>-1</v>
      </c>
      <c r="L2297" s="17">
        <f t="shared" ca="1" si="252"/>
        <v>-1</v>
      </c>
      <c r="N2297" s="24" t="str">
        <f ca="1">IF(AND(L2297=1,L2296&lt;&gt;1),MAX($N$8:N2296)+1,"")</f>
        <v/>
      </c>
      <c r="O2297" s="24" t="str">
        <f ca="1">IF(AND(L2297&lt;&gt;1,L2296=1),MAX($O$8:O2296)+1,"")</f>
        <v/>
      </c>
      <c r="P2297" s="17" t="str">
        <f ca="1">IF(AND(L2297=-1,L2296&lt;&gt;-1),MAX($P$8:P2296)+1,"")</f>
        <v/>
      </c>
      <c r="Q2297" s="24" t="str">
        <f ca="1">IF(AND(L2297&lt;&gt;-1,L2296=-1),MAX($Q$8:Q2296)+1,"")</f>
        <v/>
      </c>
    </row>
    <row r="2298" spans="1:17" x14ac:dyDescent="0.3">
      <c r="A2298" s="3">
        <v>43572</v>
      </c>
      <c r="B2298" s="9">
        <v>31.186582999999999</v>
      </c>
      <c r="C2298" s="9">
        <v>31.891815000000001</v>
      </c>
      <c r="E2298" s="14">
        <f t="shared" si="249"/>
        <v>0.97788673990489405</v>
      </c>
      <c r="F2298" s="18">
        <f t="shared" ca="1" si="248"/>
        <v>-0.79245220340236133</v>
      </c>
      <c r="G2298" s="15">
        <f t="shared" ca="1" si="253"/>
        <v>0.98906003832973866</v>
      </c>
      <c r="H2298" s="15">
        <f t="shared" ca="1" si="254"/>
        <v>1.4099649640536678E-2</v>
      </c>
      <c r="J2298" s="17">
        <f t="shared" ca="1" si="250"/>
        <v>0</v>
      </c>
      <c r="K2298" s="24">
        <f t="shared" ca="1" si="251"/>
        <v>-1</v>
      </c>
      <c r="L2298" s="17">
        <f t="shared" ca="1" si="252"/>
        <v>-1</v>
      </c>
      <c r="N2298" s="24" t="str">
        <f ca="1">IF(AND(L2298=1,L2297&lt;&gt;1),MAX($N$8:N2297)+1,"")</f>
        <v/>
      </c>
      <c r="O2298" s="24" t="str">
        <f ca="1">IF(AND(L2298&lt;&gt;1,L2297=1),MAX($O$8:O2297)+1,"")</f>
        <v/>
      </c>
      <c r="P2298" s="17" t="str">
        <f ca="1">IF(AND(L2298=-1,L2297&lt;&gt;-1),MAX($P$8:P2297)+1,"")</f>
        <v/>
      </c>
      <c r="Q2298" s="24" t="str">
        <f ca="1">IF(AND(L2298&lt;&gt;-1,L2297=-1),MAX($Q$8:Q2297)+1,"")</f>
        <v/>
      </c>
    </row>
    <row r="2299" spans="1:17" x14ac:dyDescent="0.3">
      <c r="A2299" s="3">
        <v>43573</v>
      </c>
      <c r="B2299" s="9">
        <v>31.610237000000001</v>
      </c>
      <c r="C2299" s="9">
        <v>32.329075000000003</v>
      </c>
      <c r="E2299" s="14">
        <f t="shared" si="249"/>
        <v>0.9777649685306492</v>
      </c>
      <c r="F2299" s="18">
        <f t="shared" ca="1" si="248"/>
        <v>-0.73953562342452683</v>
      </c>
      <c r="G2299" s="15">
        <f t="shared" ca="1" si="253"/>
        <v>0.98829035193988235</v>
      </c>
      <c r="H2299" s="15">
        <f t="shared" ca="1" si="254"/>
        <v>1.4232422449771702E-2</v>
      </c>
      <c r="J2299" s="17">
        <f t="shared" ca="1" si="250"/>
        <v>0</v>
      </c>
      <c r="K2299" s="24">
        <f t="shared" ca="1" si="251"/>
        <v>-1</v>
      </c>
      <c r="L2299" s="17">
        <f t="shared" ca="1" si="252"/>
        <v>-1</v>
      </c>
      <c r="N2299" s="24" t="str">
        <f ca="1">IF(AND(L2299=1,L2298&lt;&gt;1),MAX($N$8:N2298)+1,"")</f>
        <v/>
      </c>
      <c r="O2299" s="24" t="str">
        <f ca="1">IF(AND(L2299&lt;&gt;1,L2298=1),MAX($O$8:O2298)+1,"")</f>
        <v/>
      </c>
      <c r="P2299" s="17" t="str">
        <f ca="1">IF(AND(L2299=-1,L2298&lt;&gt;-1),MAX($P$8:P2298)+1,"")</f>
        <v/>
      </c>
      <c r="Q2299" s="24" t="str">
        <f ca="1">IF(AND(L2299&lt;&gt;-1,L2298=-1),MAX($Q$8:Q2298)+1,"")</f>
        <v/>
      </c>
    </row>
    <row r="2300" spans="1:17" x14ac:dyDescent="0.3">
      <c r="A2300" s="3">
        <v>43577</v>
      </c>
      <c r="B2300" s="9">
        <v>31.523579000000002</v>
      </c>
      <c r="C2300" s="9">
        <v>32.598858</v>
      </c>
      <c r="E2300" s="14">
        <f t="shared" si="249"/>
        <v>0.96701482610219047</v>
      </c>
      <c r="F2300" s="18">
        <f t="shared" ca="1" si="248"/>
        <v>-1.3494781067180521</v>
      </c>
      <c r="G2300" s="15">
        <f t="shared" ca="1" si="253"/>
        <v>0.98681639649380237</v>
      </c>
      <c r="H2300" s="15">
        <f t="shared" ca="1" si="254"/>
        <v>1.4673502514071585E-2</v>
      </c>
      <c r="J2300" s="17">
        <f t="shared" ca="1" si="250"/>
        <v>0</v>
      </c>
      <c r="K2300" s="24">
        <f t="shared" ca="1" si="251"/>
        <v>-1</v>
      </c>
      <c r="L2300" s="17">
        <f t="shared" ca="1" si="252"/>
        <v>-1</v>
      </c>
      <c r="N2300" s="24" t="str">
        <f ca="1">IF(AND(L2300=1,L2299&lt;&gt;1),MAX($N$8:N2299)+1,"")</f>
        <v/>
      </c>
      <c r="O2300" s="24" t="str">
        <f ca="1">IF(AND(L2300&lt;&gt;1,L2299=1),MAX($O$8:O2299)+1,"")</f>
        <v/>
      </c>
      <c r="P2300" s="17" t="str">
        <f ca="1">IF(AND(L2300=-1,L2299&lt;&gt;-1),MAX($P$8:P2299)+1,"")</f>
        <v/>
      </c>
      <c r="Q2300" s="24" t="str">
        <f ca="1">IF(AND(L2300&lt;&gt;-1,L2299=-1),MAX($Q$8:Q2299)+1,"")</f>
        <v/>
      </c>
    </row>
    <row r="2301" spans="1:17" x14ac:dyDescent="0.3">
      <c r="A2301" s="3">
        <v>43578</v>
      </c>
      <c r="B2301" s="9">
        <v>31.927965</v>
      </c>
      <c r="C2301" s="9">
        <v>33.389648000000001</v>
      </c>
      <c r="E2301" s="14">
        <f t="shared" si="249"/>
        <v>0.9562234678245185</v>
      </c>
      <c r="F2301" s="18">
        <f t="shared" ca="1" si="248"/>
        <v>-1.8351838010259529</v>
      </c>
      <c r="G2301" s="15">
        <f t="shared" ca="1" si="253"/>
        <v>0.98465060471679677</v>
      </c>
      <c r="H2301" s="15">
        <f t="shared" ca="1" si="254"/>
        <v>1.5490076185494979E-2</v>
      </c>
      <c r="J2301" s="17">
        <f t="shared" ca="1" si="250"/>
        <v>0</v>
      </c>
      <c r="K2301" s="24">
        <f t="shared" ca="1" si="251"/>
        <v>-1</v>
      </c>
      <c r="L2301" s="17">
        <f t="shared" ca="1" si="252"/>
        <v>-1</v>
      </c>
      <c r="N2301" s="24" t="str">
        <f ca="1">IF(AND(L2301=1,L2300&lt;&gt;1),MAX($N$8:N2300)+1,"")</f>
        <v/>
      </c>
      <c r="O2301" s="24" t="str">
        <f ca="1">IF(AND(L2301&lt;&gt;1,L2300=1),MAX($O$8:O2300)+1,"")</f>
        <v/>
      </c>
      <c r="P2301" s="17" t="str">
        <f ca="1">IF(AND(L2301=-1,L2300&lt;&gt;-1),MAX($P$8:P2300)+1,"")</f>
        <v/>
      </c>
      <c r="Q2301" s="24" t="str">
        <f ca="1">IF(AND(L2301&lt;&gt;-1,L2300=-1),MAX($Q$8:Q2300)+1,"")</f>
        <v/>
      </c>
    </row>
    <row r="2302" spans="1:17" x14ac:dyDescent="0.3">
      <c r="A2302" s="3">
        <v>43579</v>
      </c>
      <c r="B2302" s="9">
        <v>31.976109999999998</v>
      </c>
      <c r="C2302" s="9">
        <v>33.166362999999997</v>
      </c>
      <c r="E2302" s="14">
        <f t="shared" si="249"/>
        <v>0.96411264629769633</v>
      </c>
      <c r="F2302" s="18">
        <f t="shared" ca="1" si="248"/>
        <v>-1.2282829697855777</v>
      </c>
      <c r="G2302" s="15">
        <f t="shared" ca="1" si="253"/>
        <v>0.98256898160788286</v>
      </c>
      <c r="H2302" s="15">
        <f t="shared" ca="1" si="254"/>
        <v>1.5026126523115817E-2</v>
      </c>
      <c r="J2302" s="17">
        <f t="shared" ca="1" si="250"/>
        <v>0</v>
      </c>
      <c r="K2302" s="24">
        <f t="shared" ca="1" si="251"/>
        <v>-1</v>
      </c>
      <c r="L2302" s="17">
        <f t="shared" ca="1" si="252"/>
        <v>-1</v>
      </c>
      <c r="N2302" s="24" t="str">
        <f ca="1">IF(AND(L2302=1,L2301&lt;&gt;1),MAX($N$8:N2301)+1,"")</f>
        <v/>
      </c>
      <c r="O2302" s="24" t="str">
        <f ca="1">IF(AND(L2302&lt;&gt;1,L2301=1),MAX($O$8:O2301)+1,"")</f>
        <v/>
      </c>
      <c r="P2302" s="17" t="str">
        <f ca="1">IF(AND(L2302=-1,L2301&lt;&gt;-1),MAX($P$8:P2301)+1,"")</f>
        <v/>
      </c>
      <c r="Q2302" s="24" t="str">
        <f ca="1">IF(AND(L2302&lt;&gt;-1,L2301=-1),MAX($Q$8:Q2301)+1,"")</f>
        <v/>
      </c>
    </row>
    <row r="2303" spans="1:17" x14ac:dyDescent="0.3">
      <c r="A2303" s="3">
        <v>43580</v>
      </c>
      <c r="B2303" s="9">
        <v>32.467171</v>
      </c>
      <c r="C2303" s="9">
        <v>33.557105999999997</v>
      </c>
      <c r="E2303" s="14">
        <f t="shared" si="249"/>
        <v>0.96751999412583445</v>
      </c>
      <c r="F2303" s="18">
        <f t="shared" ca="1" si="248"/>
        <v>-0.92960616708104327</v>
      </c>
      <c r="G2303" s="15">
        <f t="shared" ca="1" si="253"/>
        <v>0.9806738977718702</v>
      </c>
      <c r="H2303" s="15">
        <f t="shared" ca="1" si="254"/>
        <v>1.4149974593368836E-2</v>
      </c>
      <c r="J2303" s="17">
        <f t="shared" ca="1" si="250"/>
        <v>0</v>
      </c>
      <c r="K2303" s="24">
        <f t="shared" ca="1" si="251"/>
        <v>-1</v>
      </c>
      <c r="L2303" s="17">
        <f t="shared" ca="1" si="252"/>
        <v>-1</v>
      </c>
      <c r="N2303" s="24" t="str">
        <f ca="1">IF(AND(L2303=1,L2302&lt;&gt;1),MAX($N$8:N2302)+1,"")</f>
        <v/>
      </c>
      <c r="O2303" s="24" t="str">
        <f ca="1">IF(AND(L2303&lt;&gt;1,L2302=1),MAX($O$8:O2302)+1,"")</f>
        <v/>
      </c>
      <c r="P2303" s="17" t="str">
        <f ca="1">IF(AND(L2303=-1,L2302&lt;&gt;-1),MAX($P$8:P2302)+1,"")</f>
        <v/>
      </c>
      <c r="Q2303" s="24" t="str">
        <f ca="1">IF(AND(L2303&lt;&gt;-1,L2302=-1),MAX($Q$8:Q2302)+1,"")</f>
        <v/>
      </c>
    </row>
    <row r="2304" spans="1:17" x14ac:dyDescent="0.3">
      <c r="A2304" s="3">
        <v>43581</v>
      </c>
      <c r="B2304" s="9">
        <v>32.544186000000003</v>
      </c>
      <c r="C2304" s="9">
        <v>33.454762000000002</v>
      </c>
      <c r="E2304" s="14">
        <f t="shared" si="249"/>
        <v>0.972781871830384</v>
      </c>
      <c r="F2304" s="18">
        <f t="shared" ca="1" si="248"/>
        <v>-0.49165370305999206</v>
      </c>
      <c r="G2304" s="15">
        <f t="shared" ca="1" si="253"/>
        <v>0.97884082958112439</v>
      </c>
      <c r="H2304" s="15">
        <f t="shared" ca="1" si="254"/>
        <v>1.2323628832713318E-2</v>
      </c>
      <c r="J2304" s="17">
        <f t="shared" ca="1" si="250"/>
        <v>0</v>
      </c>
      <c r="K2304" s="24">
        <f t="shared" ca="1" si="251"/>
        <v>-1</v>
      </c>
      <c r="L2304" s="17">
        <f t="shared" ca="1" si="252"/>
        <v>-1</v>
      </c>
      <c r="N2304" s="24" t="str">
        <f ca="1">IF(AND(L2304=1,L2303&lt;&gt;1),MAX($N$8:N2303)+1,"")</f>
        <v/>
      </c>
      <c r="O2304" s="24" t="str">
        <f ca="1">IF(AND(L2304&lt;&gt;1,L2303=1),MAX($O$8:O2303)+1,"")</f>
        <v/>
      </c>
      <c r="P2304" s="17" t="str">
        <f ca="1">IF(AND(L2304=-1,L2303&lt;&gt;-1),MAX($P$8:P2303)+1,"")</f>
        <v/>
      </c>
      <c r="Q2304" s="24" t="str">
        <f ca="1">IF(AND(L2304&lt;&gt;-1,L2303=-1),MAX($Q$8:Q2303)+1,"")</f>
        <v/>
      </c>
    </row>
    <row r="2305" spans="1:17" x14ac:dyDescent="0.3">
      <c r="A2305" s="3">
        <v>43584</v>
      </c>
      <c r="B2305" s="9">
        <v>32.284229000000003</v>
      </c>
      <c r="C2305" s="9">
        <v>33.017521000000002</v>
      </c>
      <c r="E2305" s="14">
        <f t="shared" si="249"/>
        <v>0.97779082203052137</v>
      </c>
      <c r="F2305" s="18">
        <f t="shared" ca="1" si="248"/>
        <v>6.1026886989104065E-2</v>
      </c>
      <c r="G2305" s="15">
        <f t="shared" ca="1" si="253"/>
        <v>0.97720085588391925</v>
      </c>
      <c r="H2305" s="15">
        <f t="shared" ca="1" si="254"/>
        <v>9.6673151082972836E-3</v>
      </c>
      <c r="J2305" s="17">
        <f t="shared" ca="1" si="250"/>
        <v>0</v>
      </c>
      <c r="K2305" s="24">
        <f t="shared" ca="1" si="251"/>
        <v>0</v>
      </c>
      <c r="L2305" s="17">
        <f t="shared" ca="1" si="252"/>
        <v>0</v>
      </c>
      <c r="N2305" s="24" t="str">
        <f ca="1">IF(AND(L2305=1,L2304&lt;&gt;1),MAX($N$8:N2304)+1,"")</f>
        <v/>
      </c>
      <c r="O2305" s="24" t="str">
        <f ca="1">IF(AND(L2305&lt;&gt;1,L2304=1),MAX($O$8:O2304)+1,"")</f>
        <v/>
      </c>
      <c r="P2305" s="17" t="str">
        <f ca="1">IF(AND(L2305=-1,L2304&lt;&gt;-1),MAX($P$8:P2304)+1,"")</f>
        <v/>
      </c>
      <c r="Q2305" s="24">
        <f ca="1">IF(AND(L2305&lt;&gt;-1,L2304=-1),MAX($Q$8:Q2304)+1,"")</f>
        <v>85</v>
      </c>
    </row>
    <row r="2306" spans="1:17" x14ac:dyDescent="0.3">
      <c r="A2306" s="3">
        <v>43585</v>
      </c>
      <c r="B2306" s="9">
        <v>32.573073999999998</v>
      </c>
      <c r="C2306" s="9">
        <v>33.101241999999999</v>
      </c>
      <c r="E2306" s="14">
        <f t="shared" si="249"/>
        <v>0.98404386155661472</v>
      </c>
      <c r="F2306" s="18">
        <f t="shared" ref="F2306:F2369" ca="1" si="255">IF(ISNUMBER(G2306),(E2306-G2306)/H2306,"")</f>
        <v>0.96163207075627832</v>
      </c>
      <c r="G2306" s="15">
        <f t="shared" ca="1" si="253"/>
        <v>0.97633357052796332</v>
      </c>
      <c r="H2306" s="15">
        <f t="shared" ca="1" si="254"/>
        <v>8.0179220963248598E-3</v>
      </c>
      <c r="J2306" s="17">
        <f t="shared" ca="1" si="250"/>
        <v>0</v>
      </c>
      <c r="K2306" s="24">
        <f t="shared" ca="1" si="251"/>
        <v>0</v>
      </c>
      <c r="L2306" s="17">
        <f t="shared" ca="1" si="252"/>
        <v>0</v>
      </c>
      <c r="N2306" s="24" t="str">
        <f ca="1">IF(AND(L2306=1,L2305&lt;&gt;1),MAX($N$8:N2305)+1,"")</f>
        <v/>
      </c>
      <c r="O2306" s="24" t="str">
        <f ca="1">IF(AND(L2306&lt;&gt;1,L2305=1),MAX($O$8:O2305)+1,"")</f>
        <v/>
      </c>
      <c r="P2306" s="17" t="str">
        <f ca="1">IF(AND(L2306=-1,L2305&lt;&gt;-1),MAX($P$8:P2305)+1,"")</f>
        <v/>
      </c>
      <c r="Q2306" s="24" t="str">
        <f ca="1">IF(AND(L2306&lt;&gt;-1,L2305=-1),MAX($Q$8:Q2305)+1,"")</f>
        <v/>
      </c>
    </row>
    <row r="2307" spans="1:17" x14ac:dyDescent="0.3">
      <c r="A2307" s="3">
        <v>43587</v>
      </c>
      <c r="B2307" s="9">
        <v>32.789825</v>
      </c>
      <c r="C2307" s="9">
        <v>33.119843000000003</v>
      </c>
      <c r="E2307" s="14">
        <f t="shared" ref="E2307:E2370" si="256">IF(ISNUMBER(B2307),B2307/C2307,"")</f>
        <v>0.99003564117136655</v>
      </c>
      <c r="F2307" s="18">
        <f t="shared" ca="1" si="255"/>
        <v>1.8757298252162473</v>
      </c>
      <c r="G2307" s="15">
        <f t="shared" ca="1" si="253"/>
        <v>0.97606933198212542</v>
      </c>
      <c r="H2307" s="15">
        <f t="shared" ca="1" si="254"/>
        <v>7.4458000301994443E-3</v>
      </c>
      <c r="J2307" s="17">
        <f t="shared" ca="1" si="250"/>
        <v>1</v>
      </c>
      <c r="K2307" s="24">
        <f t="shared" ca="1" si="251"/>
        <v>0</v>
      </c>
      <c r="L2307" s="17">
        <f t="shared" ca="1" si="252"/>
        <v>1</v>
      </c>
      <c r="N2307" s="24">
        <f ca="1">IF(AND(L2307=1,L2306&lt;&gt;1),MAX($N$8:N2306)+1,"")</f>
        <v>74</v>
      </c>
      <c r="O2307" s="24" t="str">
        <f ca="1">IF(AND(L2307&lt;&gt;1,L2306=1),MAX($O$8:O2306)+1,"")</f>
        <v/>
      </c>
      <c r="P2307" s="17" t="str">
        <f ca="1">IF(AND(L2307=-1,L2306&lt;&gt;-1),MAX($P$8:P2306)+1,"")</f>
        <v/>
      </c>
      <c r="Q2307" s="24" t="str">
        <f ca="1">IF(AND(L2307&lt;&gt;-1,L2306=-1),MAX($Q$8:Q2306)+1,"")</f>
        <v/>
      </c>
    </row>
    <row r="2308" spans="1:17" x14ac:dyDescent="0.3">
      <c r="A2308" s="3">
        <v>43588</v>
      </c>
      <c r="B2308" s="9">
        <v>32.471935000000002</v>
      </c>
      <c r="C2308" s="9">
        <v>33.470978000000002</v>
      </c>
      <c r="E2308" s="14">
        <f t="shared" si="256"/>
        <v>0.97015196269436765</v>
      </c>
      <c r="F2308" s="18">
        <f t="shared" ca="1" si="255"/>
        <v>-0.72806257823225329</v>
      </c>
      <c r="G2308" s="15">
        <f t="shared" ca="1" si="253"/>
        <v>0.97559379459561735</v>
      </c>
      <c r="H2308" s="15">
        <f t="shared" ca="1" si="254"/>
        <v>7.4744013275102571E-3</v>
      </c>
      <c r="J2308" s="17">
        <f t="shared" ca="1" si="250"/>
        <v>0</v>
      </c>
      <c r="K2308" s="24">
        <f t="shared" ca="1" si="251"/>
        <v>0</v>
      </c>
      <c r="L2308" s="17">
        <f t="shared" ca="1" si="252"/>
        <v>0</v>
      </c>
      <c r="N2308" s="24" t="str">
        <f ca="1">IF(AND(L2308=1,L2307&lt;&gt;1),MAX($N$8:N2307)+1,"")</f>
        <v/>
      </c>
      <c r="O2308" s="24">
        <f ca="1">IF(AND(L2308&lt;&gt;1,L2307=1),MAX($O$8:O2307)+1,"")</f>
        <v>74</v>
      </c>
      <c r="P2308" s="17" t="str">
        <f ca="1">IF(AND(L2308=-1,L2307&lt;&gt;-1),MAX($P$8:P2307)+1,"")</f>
        <v/>
      </c>
      <c r="Q2308" s="24" t="str">
        <f ca="1">IF(AND(L2308&lt;&gt;-1,L2307=-1),MAX($Q$8:Q2307)+1,"")</f>
        <v/>
      </c>
    </row>
    <row r="2309" spans="1:17" x14ac:dyDescent="0.3">
      <c r="A2309" s="3">
        <v>43591</v>
      </c>
      <c r="B2309" s="9">
        <v>31.759117</v>
      </c>
      <c r="C2309" s="9">
        <v>32.568134000000001</v>
      </c>
      <c r="E2309" s="14">
        <f t="shared" si="256"/>
        <v>0.97515924615146821</v>
      </c>
      <c r="F2309" s="18">
        <f t="shared" ca="1" si="255"/>
        <v>-4.3003089499399717E-2</v>
      </c>
      <c r="G2309" s="15">
        <f t="shared" ca="1" si="253"/>
        <v>0.97548009693959759</v>
      </c>
      <c r="H2309" s="15">
        <f t="shared" ca="1" si="254"/>
        <v>7.4611101635815606E-3</v>
      </c>
      <c r="J2309" s="17">
        <f t="shared" ca="1" si="250"/>
        <v>0</v>
      </c>
      <c r="K2309" s="24">
        <f t="shared" ca="1" si="251"/>
        <v>0</v>
      </c>
      <c r="L2309" s="17">
        <f t="shared" ca="1" si="252"/>
        <v>0</v>
      </c>
      <c r="N2309" s="24" t="str">
        <f ca="1">IF(AND(L2309=1,L2308&lt;&gt;1),MAX($N$8:N2308)+1,"")</f>
        <v/>
      </c>
      <c r="O2309" s="24" t="str">
        <f ca="1">IF(AND(L2309&lt;&gt;1,L2308=1),MAX($O$8:O2308)+1,"")</f>
        <v/>
      </c>
      <c r="P2309" s="17" t="str">
        <f ca="1">IF(AND(L2309=-1,L2308&lt;&gt;-1),MAX($P$8:P2308)+1,"")</f>
        <v/>
      </c>
      <c r="Q2309" s="24" t="str">
        <f ca="1">IF(AND(L2309&lt;&gt;-1,L2308=-1),MAX($Q$8:Q2308)+1,"")</f>
        <v/>
      </c>
    </row>
    <row r="2310" spans="1:17" x14ac:dyDescent="0.3">
      <c r="A2310" s="3">
        <v>43592</v>
      </c>
      <c r="B2310" s="9">
        <v>31.402699999999999</v>
      </c>
      <c r="C2310" s="9">
        <v>29.421237999999999</v>
      </c>
      <c r="E2310" s="14">
        <f t="shared" si="256"/>
        <v>1.0673480157429134</v>
      </c>
      <c r="F2310" s="18">
        <f t="shared" ca="1" si="255"/>
        <v>4.27562996072992</v>
      </c>
      <c r="G2310" s="15">
        <f t="shared" ca="1" si="253"/>
        <v>0.9794527197168168</v>
      </c>
      <c r="H2310" s="15">
        <f t="shared" ca="1" si="254"/>
        <v>2.055727385984811E-2</v>
      </c>
      <c r="J2310" s="17">
        <f t="shared" ca="1" si="250"/>
        <v>1</v>
      </c>
      <c r="K2310" s="24">
        <f t="shared" ca="1" si="251"/>
        <v>0</v>
      </c>
      <c r="L2310" s="17">
        <f t="shared" ca="1" si="252"/>
        <v>1</v>
      </c>
      <c r="N2310" s="24">
        <f ca="1">IF(AND(L2310=1,L2309&lt;&gt;1),MAX($N$8:N2309)+1,"")</f>
        <v>75</v>
      </c>
      <c r="O2310" s="24" t="str">
        <f ca="1">IF(AND(L2310&lt;&gt;1,L2309=1),MAX($O$8:O2309)+1,"")</f>
        <v/>
      </c>
      <c r="P2310" s="17" t="str">
        <f ca="1">IF(AND(L2310=-1,L2309&lt;&gt;-1),MAX($P$8:P2309)+1,"")</f>
        <v/>
      </c>
      <c r="Q2310" s="24" t="str">
        <f ca="1">IF(AND(L2310&lt;&gt;-1,L2309=-1),MAX($Q$8:Q2309)+1,"")</f>
        <v/>
      </c>
    </row>
    <row r="2311" spans="1:17" x14ac:dyDescent="0.3">
      <c r="A2311" s="3">
        <v>43593</v>
      </c>
      <c r="B2311" s="9">
        <v>31.759117</v>
      </c>
      <c r="C2311" s="9">
        <v>33.033526999999999</v>
      </c>
      <c r="E2311" s="14">
        <f t="shared" si="256"/>
        <v>0.96142071054053657</v>
      </c>
      <c r="F2311" s="18">
        <f t="shared" ca="1" si="255"/>
        <v>-0.8489147016993015</v>
      </c>
      <c r="G2311" s="15">
        <f t="shared" ca="1" si="253"/>
        <v>0.97908171823842727</v>
      </c>
      <c r="H2311" s="15">
        <f t="shared" ca="1" si="254"/>
        <v>2.0804219390402893E-2</v>
      </c>
      <c r="J2311" s="17">
        <f t="shared" ca="1" si="250"/>
        <v>0</v>
      </c>
      <c r="K2311" s="24">
        <f t="shared" ca="1" si="251"/>
        <v>0</v>
      </c>
      <c r="L2311" s="17">
        <f t="shared" ca="1" si="252"/>
        <v>0</v>
      </c>
      <c r="N2311" s="24" t="str">
        <f ca="1">IF(AND(L2311=1,L2310&lt;&gt;1),MAX($N$8:N2310)+1,"")</f>
        <v/>
      </c>
      <c r="O2311" s="24">
        <f ca="1">IF(AND(L2311&lt;&gt;1,L2310=1),MAX($O$8:O2310)+1,"")</f>
        <v>75</v>
      </c>
      <c r="P2311" s="17" t="str">
        <f ca="1">IF(AND(L2311=-1,L2310&lt;&gt;-1),MAX($P$8:P2310)+1,"")</f>
        <v/>
      </c>
      <c r="Q2311" s="24" t="str">
        <f ca="1">IF(AND(L2311&lt;&gt;-1,L2310=-1),MAX($Q$8:Q2310)+1,"")</f>
        <v/>
      </c>
    </row>
    <row r="2312" spans="1:17" x14ac:dyDescent="0.3">
      <c r="A2312" s="3">
        <v>43594</v>
      </c>
      <c r="B2312" s="9">
        <v>31.364173999999998</v>
      </c>
      <c r="C2312" s="9">
        <v>32.456429</v>
      </c>
      <c r="E2312" s="14">
        <f t="shared" si="256"/>
        <v>0.96634703713091785</v>
      </c>
      <c r="F2312" s="18">
        <f t="shared" ca="1" si="255"/>
        <v>-0.57296888121469625</v>
      </c>
      <c r="G2312" s="15">
        <f t="shared" ca="1" si="253"/>
        <v>0.97835443872876271</v>
      </c>
      <c r="H2312" s="15">
        <f t="shared" ca="1" si="254"/>
        <v>2.0956463765342929E-2</v>
      </c>
      <c r="J2312" s="17">
        <f t="shared" ref="J2312:J2375" ca="1" si="257">IF(ISNUMBER(F2312),IF(AND(J2311&lt;&gt;1,F2312&gt;$L$1),1,IF(AND(J2311=1,F2312&gt;$N$1),1,0)),"")</f>
        <v>0</v>
      </c>
      <c r="K2312" s="24">
        <f t="shared" ca="1" si="251"/>
        <v>0</v>
      </c>
      <c r="L2312" s="17">
        <f t="shared" ca="1" si="252"/>
        <v>0</v>
      </c>
      <c r="N2312" s="24" t="str">
        <f ca="1">IF(AND(L2312=1,L2311&lt;&gt;1),MAX($N$8:N2311)+1,"")</f>
        <v/>
      </c>
      <c r="O2312" s="24" t="str">
        <f ca="1">IF(AND(L2312&lt;&gt;1,L2311=1),MAX($O$8:O2311)+1,"")</f>
        <v/>
      </c>
      <c r="P2312" s="17" t="str">
        <f ca="1">IF(AND(L2312=-1,L2311&lt;&gt;-1),MAX($P$8:P2311)+1,"")</f>
        <v/>
      </c>
      <c r="Q2312" s="24" t="str">
        <f ca="1">IF(AND(L2312&lt;&gt;-1,L2311=-1),MAX($Q$8:Q2311)+1,"")</f>
        <v/>
      </c>
    </row>
    <row r="2313" spans="1:17" x14ac:dyDescent="0.3">
      <c r="A2313" s="3">
        <v>43595</v>
      </c>
      <c r="B2313" s="9">
        <v>31.219674999999999</v>
      </c>
      <c r="C2313" s="9">
        <v>32.167892000000002</v>
      </c>
      <c r="E2313" s="14">
        <f t="shared" si="256"/>
        <v>0.97052287417528005</v>
      </c>
      <c r="F2313" s="18">
        <f t="shared" ca="1" si="255"/>
        <v>-0.36298850058784282</v>
      </c>
      <c r="G2313" s="15">
        <f t="shared" ca="1" si="253"/>
        <v>0.97814925222148186</v>
      </c>
      <c r="H2313" s="15">
        <f t="shared" ca="1" si="254"/>
        <v>2.1009971483535287E-2</v>
      </c>
      <c r="J2313" s="17">
        <f t="shared" ca="1" si="257"/>
        <v>0</v>
      </c>
      <c r="K2313" s="24">
        <f t="shared" ref="K2313:K2376" ca="1" si="258">IF(ISNUMBER(F2313),IF(AND(K2312&lt;&gt;-1,F2313&lt;$P$1),-1,IF(AND(K2312=-1,F2313&lt;R2306),-1,0)),"")</f>
        <v>0</v>
      </c>
      <c r="L2313" s="17">
        <f t="shared" ref="L2313:L2376" ca="1" si="259">IF(ISNUMBER(F2313),IF(J2313=1,1,IF(K2313=-1,-1,0)),"")</f>
        <v>0</v>
      </c>
      <c r="N2313" s="24" t="str">
        <f ca="1">IF(AND(L2313=1,L2312&lt;&gt;1),MAX($N$8:N2312)+1,"")</f>
        <v/>
      </c>
      <c r="O2313" s="24" t="str">
        <f ca="1">IF(AND(L2313&lt;&gt;1,L2312=1),MAX($O$8:O2312)+1,"")</f>
        <v/>
      </c>
      <c r="P2313" s="17" t="str">
        <f ca="1">IF(AND(L2313=-1,L2312&lt;&gt;-1),MAX($P$8:P2312)+1,"")</f>
        <v/>
      </c>
      <c r="Q2313" s="24" t="str">
        <f ca="1">IF(AND(L2313&lt;&gt;-1,L2312=-1),MAX($Q$8:Q2312)+1,"")</f>
        <v/>
      </c>
    </row>
    <row r="2314" spans="1:17" x14ac:dyDescent="0.3">
      <c r="A2314" s="3">
        <v>43598</v>
      </c>
      <c r="B2314" s="9">
        <v>30.728408999999999</v>
      </c>
      <c r="C2314" s="9">
        <v>31.367414</v>
      </c>
      <c r="E2314" s="14">
        <f t="shared" si="256"/>
        <v>0.97962838122390328</v>
      </c>
      <c r="F2314" s="18">
        <f t="shared" ca="1" si="255"/>
        <v>5.6951163807604836E-2</v>
      </c>
      <c r="G2314" s="15">
        <f t="shared" ca="1" si="253"/>
        <v>0.97843321476333223</v>
      </c>
      <c r="H2314" s="15">
        <f t="shared" ca="1" si="254"/>
        <v>2.0985812767735878E-2</v>
      </c>
      <c r="J2314" s="17">
        <f t="shared" ca="1" si="257"/>
        <v>0</v>
      </c>
      <c r="K2314" s="24">
        <f t="shared" ca="1" si="258"/>
        <v>0</v>
      </c>
      <c r="L2314" s="17">
        <f t="shared" ca="1" si="259"/>
        <v>0</v>
      </c>
      <c r="N2314" s="24" t="str">
        <f ca="1">IF(AND(L2314=1,L2313&lt;&gt;1),MAX($N$8:N2313)+1,"")</f>
        <v/>
      </c>
      <c r="O2314" s="24" t="str">
        <f ca="1">IF(AND(L2314&lt;&gt;1,L2313=1),MAX($O$8:O2313)+1,"")</f>
        <v/>
      </c>
      <c r="P2314" s="17" t="str">
        <f ca="1">IF(AND(L2314=-1,L2313&lt;&gt;-1),MAX($P$8:P2313)+1,"")</f>
        <v/>
      </c>
      <c r="Q2314" s="24" t="str">
        <f ca="1">IF(AND(L2314&lt;&gt;-1,L2313=-1),MAX($Q$8:Q2313)+1,"")</f>
        <v/>
      </c>
    </row>
    <row r="2315" spans="1:17" x14ac:dyDescent="0.3">
      <c r="A2315" s="3">
        <v>43599</v>
      </c>
      <c r="B2315" s="9">
        <v>30.583919999999999</v>
      </c>
      <c r="C2315" s="9">
        <v>31.274342999999998</v>
      </c>
      <c r="E2315" s="14">
        <f t="shared" si="256"/>
        <v>0.97792366093829697</v>
      </c>
      <c r="F2315" s="18">
        <f t="shared" ca="1" si="255"/>
        <v>-7.2673835187282631E-3</v>
      </c>
      <c r="G2315" s="15">
        <f t="shared" ca="1" si="253"/>
        <v>0.97807572636759199</v>
      </c>
      <c r="H2315" s="15">
        <f t="shared" ca="1" si="254"/>
        <v>2.0924371048142133E-2</v>
      </c>
      <c r="J2315" s="17">
        <f t="shared" ca="1" si="257"/>
        <v>0</v>
      </c>
      <c r="K2315" s="24">
        <f t="shared" ca="1" si="258"/>
        <v>0</v>
      </c>
      <c r="L2315" s="17">
        <f t="shared" ca="1" si="259"/>
        <v>0</v>
      </c>
      <c r="N2315" s="24" t="str">
        <f ca="1">IF(AND(L2315=1,L2314&lt;&gt;1),MAX($N$8:N2314)+1,"")</f>
        <v/>
      </c>
      <c r="O2315" s="24" t="str">
        <f ca="1">IF(AND(L2315&lt;&gt;1,L2314=1),MAX($O$8:O2314)+1,"")</f>
        <v/>
      </c>
      <c r="P2315" s="17" t="str">
        <f ca="1">IF(AND(L2315=-1,L2314&lt;&gt;-1),MAX($P$8:P2314)+1,"")</f>
        <v/>
      </c>
      <c r="Q2315" s="24" t="str">
        <f ca="1">IF(AND(L2315&lt;&gt;-1,L2314=-1),MAX($Q$8:Q2314)+1,"")</f>
        <v/>
      </c>
    </row>
    <row r="2316" spans="1:17" x14ac:dyDescent="0.3">
      <c r="A2316" s="3">
        <v>43600</v>
      </c>
      <c r="B2316" s="9">
        <v>30.680243999999998</v>
      </c>
      <c r="C2316" s="9">
        <v>30.939254999999999</v>
      </c>
      <c r="E2316" s="14">
        <f t="shared" si="256"/>
        <v>0.99162840217064052</v>
      </c>
      <c r="F2316" s="18">
        <f t="shared" ca="1" si="255"/>
        <v>0.61366981057519587</v>
      </c>
      <c r="G2316" s="15">
        <f t="shared" ca="1" si="253"/>
        <v>0.97867118464497838</v>
      </c>
      <c r="H2316" s="15">
        <f t="shared" ca="1" si="254"/>
        <v>2.1114314737948864E-2</v>
      </c>
      <c r="J2316" s="17">
        <f t="shared" ca="1" si="257"/>
        <v>0</v>
      </c>
      <c r="K2316" s="24">
        <f t="shared" ca="1" si="258"/>
        <v>0</v>
      </c>
      <c r="L2316" s="17">
        <f t="shared" ca="1" si="259"/>
        <v>0</v>
      </c>
      <c r="N2316" s="24" t="str">
        <f ca="1">IF(AND(L2316=1,L2315&lt;&gt;1),MAX($N$8:N2315)+1,"")</f>
        <v/>
      </c>
      <c r="O2316" s="24" t="str">
        <f ca="1">IF(AND(L2316&lt;&gt;1,L2315=1),MAX($O$8:O2315)+1,"")</f>
        <v/>
      </c>
      <c r="P2316" s="17" t="str">
        <f ca="1">IF(AND(L2316=-1,L2315&lt;&gt;-1),MAX($P$8:P2315)+1,"")</f>
        <v/>
      </c>
      <c r="Q2316" s="24" t="str">
        <f ca="1">IF(AND(L2316&lt;&gt;-1,L2315=-1),MAX($Q$8:Q2315)+1,"")</f>
        <v/>
      </c>
    </row>
    <row r="2317" spans="1:17" x14ac:dyDescent="0.3">
      <c r="A2317" s="3">
        <v>43601</v>
      </c>
      <c r="B2317" s="9">
        <v>30.285302999999999</v>
      </c>
      <c r="C2317" s="9">
        <v>30.576256000000001</v>
      </c>
      <c r="E2317" s="14">
        <f t="shared" si="256"/>
        <v>0.99048434837803545</v>
      </c>
      <c r="F2317" s="18">
        <f t="shared" ca="1" si="255"/>
        <v>0.52726097139039085</v>
      </c>
      <c r="G2317" s="15">
        <f t="shared" ca="1" si="253"/>
        <v>0.97927860331981187</v>
      </c>
      <c r="H2317" s="15">
        <f t="shared" ca="1" si="254"/>
        <v>2.1252748954040643E-2</v>
      </c>
      <c r="J2317" s="17">
        <f t="shared" ca="1" si="257"/>
        <v>0</v>
      </c>
      <c r="K2317" s="24">
        <f t="shared" ca="1" si="258"/>
        <v>0</v>
      </c>
      <c r="L2317" s="17">
        <f t="shared" ca="1" si="259"/>
        <v>0</v>
      </c>
      <c r="N2317" s="24" t="str">
        <f ca="1">IF(AND(L2317=1,L2316&lt;&gt;1),MAX($N$8:N2316)+1,"")</f>
        <v/>
      </c>
      <c r="O2317" s="24" t="str">
        <f ca="1">IF(AND(L2317&lt;&gt;1,L2316=1),MAX($O$8:O2316)+1,"")</f>
        <v/>
      </c>
      <c r="P2317" s="17" t="str">
        <f ca="1">IF(AND(L2317=-1,L2316&lt;&gt;-1),MAX($P$8:P2316)+1,"")</f>
        <v/>
      </c>
      <c r="Q2317" s="24" t="str">
        <f ca="1">IF(AND(L2317&lt;&gt;-1,L2316=-1),MAX($Q$8:Q2316)+1,"")</f>
        <v/>
      </c>
    </row>
    <row r="2318" spans="1:17" x14ac:dyDescent="0.3">
      <c r="A2318" s="3">
        <v>43602</v>
      </c>
      <c r="B2318" s="9">
        <v>30.3431</v>
      </c>
      <c r="C2318" s="9">
        <v>30.808948999999998</v>
      </c>
      <c r="E2318" s="14">
        <f t="shared" si="256"/>
        <v>0.9848794257798279</v>
      </c>
      <c r="F2318" s="18">
        <f t="shared" ca="1" si="255"/>
        <v>0.25010111309364319</v>
      </c>
      <c r="G2318" s="15">
        <f t="shared" ca="1" si="253"/>
        <v>0.97955622786278085</v>
      </c>
      <c r="H2318" s="15">
        <f t="shared" ca="1" si="254"/>
        <v>2.1284183229740093E-2</v>
      </c>
      <c r="J2318" s="17">
        <f t="shared" ca="1" si="257"/>
        <v>0</v>
      </c>
      <c r="K2318" s="24">
        <f t="shared" ca="1" si="258"/>
        <v>0</v>
      </c>
      <c r="L2318" s="17">
        <f t="shared" ca="1" si="259"/>
        <v>0</v>
      </c>
      <c r="N2318" s="24" t="str">
        <f ca="1">IF(AND(L2318=1,L2317&lt;&gt;1),MAX($N$8:N2317)+1,"")</f>
        <v/>
      </c>
      <c r="O2318" s="24" t="str">
        <f ca="1">IF(AND(L2318&lt;&gt;1,L2317=1),MAX($O$8:O2317)+1,"")</f>
        <v/>
      </c>
      <c r="P2318" s="17" t="str">
        <f ca="1">IF(AND(L2318=-1,L2317&lt;&gt;-1),MAX($P$8:P2317)+1,"")</f>
        <v/>
      </c>
      <c r="Q2318" s="24" t="str">
        <f ca="1">IF(AND(L2318&lt;&gt;-1,L2317=-1),MAX($Q$8:Q2317)+1,"")</f>
        <v/>
      </c>
    </row>
    <row r="2319" spans="1:17" x14ac:dyDescent="0.3">
      <c r="A2319" s="3">
        <v>43605</v>
      </c>
      <c r="B2319" s="9">
        <v>31.132981999999998</v>
      </c>
      <c r="C2319" s="9">
        <v>31.646654000000002</v>
      </c>
      <c r="E2319" s="14">
        <f t="shared" si="256"/>
        <v>0.98376852099435208</v>
      </c>
      <c r="F2319" s="18">
        <f t="shared" ca="1" si="255"/>
        <v>0.18877641452636082</v>
      </c>
      <c r="G2319" s="15">
        <f t="shared" ca="1" si="253"/>
        <v>0.97974715569523696</v>
      </c>
      <c r="H2319" s="15">
        <f t="shared" ca="1" si="254"/>
        <v>2.1302265482712489E-2</v>
      </c>
      <c r="J2319" s="17">
        <f t="shared" ca="1" si="257"/>
        <v>0</v>
      </c>
      <c r="K2319" s="24">
        <f t="shared" ca="1" si="258"/>
        <v>0</v>
      </c>
      <c r="L2319" s="17">
        <f t="shared" ca="1" si="259"/>
        <v>0</v>
      </c>
      <c r="N2319" s="24" t="str">
        <f ca="1">IF(AND(L2319=1,L2318&lt;&gt;1),MAX($N$8:N2318)+1,"")</f>
        <v/>
      </c>
      <c r="O2319" s="24" t="str">
        <f ca="1">IF(AND(L2319&lt;&gt;1,L2318=1),MAX($O$8:O2318)+1,"")</f>
        <v/>
      </c>
      <c r="P2319" s="17" t="str">
        <f ca="1">IF(AND(L2319=-1,L2318&lt;&gt;-1),MAX($P$8:P2318)+1,"")</f>
        <v/>
      </c>
      <c r="Q2319" s="24" t="str">
        <f ca="1">IF(AND(L2319&lt;&gt;-1,L2318=-1),MAX($Q$8:Q2318)+1,"")</f>
        <v/>
      </c>
    </row>
    <row r="2320" spans="1:17" x14ac:dyDescent="0.3">
      <c r="A2320" s="3">
        <v>43606</v>
      </c>
      <c r="B2320" s="9">
        <v>32.337077999999998</v>
      </c>
      <c r="C2320" s="9">
        <v>32.949753000000001</v>
      </c>
      <c r="E2320" s="14">
        <f t="shared" si="256"/>
        <v>0.98140577867154266</v>
      </c>
      <c r="F2320" s="18">
        <f t="shared" ca="1" si="255"/>
        <v>7.0356940647689756E-2</v>
      </c>
      <c r="G2320" s="15">
        <f t="shared" ca="1" si="253"/>
        <v>0.979907112002812</v>
      </c>
      <c r="H2320" s="15">
        <f t="shared" ca="1" si="254"/>
        <v>2.1300907272747853E-2</v>
      </c>
      <c r="J2320" s="17">
        <f t="shared" ca="1" si="257"/>
        <v>0</v>
      </c>
      <c r="K2320" s="24">
        <f t="shared" ca="1" si="258"/>
        <v>0</v>
      </c>
      <c r="L2320" s="17">
        <f t="shared" ca="1" si="259"/>
        <v>0</v>
      </c>
      <c r="N2320" s="24" t="str">
        <f ca="1">IF(AND(L2320=1,L2319&lt;&gt;1),MAX($N$8:N2319)+1,"")</f>
        <v/>
      </c>
      <c r="O2320" s="24" t="str">
        <f ca="1">IF(AND(L2320&lt;&gt;1,L2319=1),MAX($O$8:O2319)+1,"")</f>
        <v/>
      </c>
      <c r="P2320" s="17" t="str">
        <f ca="1">IF(AND(L2320=-1,L2319&lt;&gt;-1),MAX($P$8:P2319)+1,"")</f>
        <v/>
      </c>
      <c r="Q2320" s="24" t="str">
        <f ca="1">IF(AND(L2320&lt;&gt;-1,L2319=-1),MAX($Q$8:Q2319)+1,"")</f>
        <v/>
      </c>
    </row>
    <row r="2321" spans="1:17" x14ac:dyDescent="0.3">
      <c r="A2321" s="3">
        <v>43607</v>
      </c>
      <c r="B2321" s="9">
        <v>32.365971000000002</v>
      </c>
      <c r="C2321" s="9">
        <v>32.363354000000001</v>
      </c>
      <c r="E2321" s="14">
        <f t="shared" si="256"/>
        <v>1.0000808630650582</v>
      </c>
      <c r="F2321" s="18">
        <f t="shared" ca="1" si="255"/>
        <v>0.88282733325966367</v>
      </c>
      <c r="G2321" s="15">
        <f t="shared" ca="1" si="253"/>
        <v>0.98092147084528503</v>
      </c>
      <c r="H2321" s="15">
        <f t="shared" ca="1" si="254"/>
        <v>2.1702309724633141E-2</v>
      </c>
      <c r="J2321" s="17">
        <f t="shared" ca="1" si="257"/>
        <v>0</v>
      </c>
      <c r="K2321" s="24">
        <f t="shared" ca="1" si="258"/>
        <v>0</v>
      </c>
      <c r="L2321" s="17">
        <f t="shared" ca="1" si="259"/>
        <v>0</v>
      </c>
      <c r="N2321" s="24" t="str">
        <f ca="1">IF(AND(L2321=1,L2320&lt;&gt;1),MAX($N$8:N2320)+1,"")</f>
        <v/>
      </c>
      <c r="O2321" s="24" t="str">
        <f ca="1">IF(AND(L2321&lt;&gt;1,L2320=1),MAX($O$8:O2320)+1,"")</f>
        <v/>
      </c>
      <c r="P2321" s="17" t="str">
        <f ca="1">IF(AND(L2321=-1,L2320&lt;&gt;-1),MAX($P$8:P2320)+1,"")</f>
        <v/>
      </c>
      <c r="Q2321" s="24" t="str">
        <f ca="1">IF(AND(L2321&lt;&gt;-1,L2320=-1),MAX($Q$8:Q2320)+1,"")</f>
        <v/>
      </c>
    </row>
    <row r="2322" spans="1:17" x14ac:dyDescent="0.3">
      <c r="A2322" s="3">
        <v>43608</v>
      </c>
      <c r="B2322" s="9">
        <v>32.298541999999998</v>
      </c>
      <c r="C2322" s="9">
        <v>32.205115999999997</v>
      </c>
      <c r="E2322" s="14">
        <f t="shared" si="256"/>
        <v>1.002900967659921</v>
      </c>
      <c r="F2322" s="18">
        <f t="shared" ca="1" si="255"/>
        <v>0.92732326339043758</v>
      </c>
      <c r="G2322" s="15">
        <f t="shared" ca="1" si="253"/>
        <v>0.98255265909790912</v>
      </c>
      <c r="H2322" s="15">
        <f t="shared" ca="1" si="254"/>
        <v>2.1943058440716017E-2</v>
      </c>
      <c r="J2322" s="17">
        <f t="shared" ca="1" si="257"/>
        <v>0</v>
      </c>
      <c r="K2322" s="24">
        <f t="shared" ca="1" si="258"/>
        <v>0</v>
      </c>
      <c r="L2322" s="17">
        <f t="shared" ca="1" si="259"/>
        <v>0</v>
      </c>
      <c r="N2322" s="24" t="str">
        <f ca="1">IF(AND(L2322=1,L2321&lt;&gt;1),MAX($N$8:N2321)+1,"")</f>
        <v/>
      </c>
      <c r="O2322" s="24" t="str">
        <f ca="1">IF(AND(L2322&lt;&gt;1,L2321=1),MAX($O$8:O2321)+1,"")</f>
        <v/>
      </c>
      <c r="P2322" s="17" t="str">
        <f ca="1">IF(AND(L2322=-1,L2321&lt;&gt;-1),MAX($P$8:P2321)+1,"")</f>
        <v/>
      </c>
      <c r="Q2322" s="24" t="str">
        <f ca="1">IF(AND(L2322&lt;&gt;-1,L2321=-1),MAX($Q$8:Q2321)+1,"")</f>
        <v/>
      </c>
    </row>
    <row r="2323" spans="1:17" x14ac:dyDescent="0.3">
      <c r="A2323" s="3">
        <v>43609</v>
      </c>
      <c r="B2323" s="9">
        <v>31.816901999999999</v>
      </c>
      <c r="C2323" s="9">
        <v>31.888649000000001</v>
      </c>
      <c r="E2323" s="14">
        <f t="shared" si="256"/>
        <v>0.99775007715127717</v>
      </c>
      <c r="F2323" s="18">
        <f t="shared" ca="1" si="255"/>
        <v>0.62266084770383079</v>
      </c>
      <c r="G2323" s="15">
        <f t="shared" ca="1" si="253"/>
        <v>0.98444023224912558</v>
      </c>
      <c r="H2323" s="15">
        <f t="shared" ca="1" si="254"/>
        <v>2.1375753672699893E-2</v>
      </c>
      <c r="J2323" s="17">
        <f t="shared" ca="1" si="257"/>
        <v>0</v>
      </c>
      <c r="K2323" s="24">
        <f t="shared" ca="1" si="258"/>
        <v>0</v>
      </c>
      <c r="L2323" s="17">
        <f t="shared" ca="1" si="259"/>
        <v>0</v>
      </c>
      <c r="N2323" s="24" t="str">
        <f ca="1">IF(AND(L2323=1,L2322&lt;&gt;1),MAX($N$8:N2322)+1,"")</f>
        <v/>
      </c>
      <c r="O2323" s="24" t="str">
        <f ca="1">IF(AND(L2323&lt;&gt;1,L2322=1),MAX($O$8:O2322)+1,"")</f>
        <v/>
      </c>
      <c r="P2323" s="17" t="str">
        <f ca="1">IF(AND(L2323=-1,L2322&lt;&gt;-1),MAX($P$8:P2322)+1,"")</f>
        <v/>
      </c>
      <c r="Q2323" s="24" t="str">
        <f ca="1">IF(AND(L2323&lt;&gt;-1,L2322=-1),MAX($Q$8:Q2322)+1,"")</f>
        <v/>
      </c>
    </row>
    <row r="2324" spans="1:17" x14ac:dyDescent="0.3">
      <c r="A2324" s="3">
        <v>43612</v>
      </c>
      <c r="B2324" s="9">
        <v>31.932499</v>
      </c>
      <c r="C2324" s="9">
        <v>32.344746000000001</v>
      </c>
      <c r="E2324" s="14">
        <f t="shared" si="256"/>
        <v>0.98725459151851125</v>
      </c>
      <c r="F2324" s="18">
        <f t="shared" ca="1" si="255"/>
        <v>8.4271557925969839E-2</v>
      </c>
      <c r="G2324" s="15">
        <f t="shared" ca="1" si="253"/>
        <v>0.9854921388500717</v>
      </c>
      <c r="H2324" s="15">
        <f t="shared" ca="1" si="254"/>
        <v>2.0913968031631928E-2</v>
      </c>
      <c r="J2324" s="17">
        <f t="shared" ca="1" si="257"/>
        <v>0</v>
      </c>
      <c r="K2324" s="24">
        <f t="shared" ca="1" si="258"/>
        <v>0</v>
      </c>
      <c r="L2324" s="17">
        <f t="shared" ca="1" si="259"/>
        <v>0</v>
      </c>
      <c r="N2324" s="24" t="str">
        <f ca="1">IF(AND(L2324=1,L2323&lt;&gt;1),MAX($N$8:N2323)+1,"")</f>
        <v/>
      </c>
      <c r="O2324" s="24" t="str">
        <f ca="1">IF(AND(L2324&lt;&gt;1,L2323=1),MAX($O$8:O2323)+1,"")</f>
        <v/>
      </c>
      <c r="P2324" s="17" t="str">
        <f ca="1">IF(AND(L2324=-1,L2323&lt;&gt;-1),MAX($P$8:P2323)+1,"")</f>
        <v/>
      </c>
      <c r="Q2324" s="24" t="str">
        <f ca="1">IF(AND(L2324&lt;&gt;-1,L2323=-1),MAX($Q$8:Q2323)+1,"")</f>
        <v/>
      </c>
    </row>
    <row r="2325" spans="1:17" x14ac:dyDescent="0.3">
      <c r="A2325" s="3">
        <v>43613</v>
      </c>
      <c r="B2325" s="9">
        <v>32.828346000000003</v>
      </c>
      <c r="C2325" s="9">
        <v>33.238284999999998</v>
      </c>
      <c r="E2325" s="14">
        <f t="shared" si="256"/>
        <v>0.98766666210365561</v>
      </c>
      <c r="F2325" s="18">
        <f t="shared" ca="1" si="255"/>
        <v>6.1269316127806853E-2</v>
      </c>
      <c r="G2325" s="15">
        <f t="shared" ca="1" si="253"/>
        <v>0.98640789648542715</v>
      </c>
      <c r="H2325" s="15">
        <f t="shared" ca="1" si="254"/>
        <v>2.0544796282737966E-2</v>
      </c>
      <c r="J2325" s="17">
        <f t="shared" ca="1" si="257"/>
        <v>0</v>
      </c>
      <c r="K2325" s="24">
        <f t="shared" ca="1" si="258"/>
        <v>0</v>
      </c>
      <c r="L2325" s="17">
        <f t="shared" ca="1" si="259"/>
        <v>0</v>
      </c>
      <c r="N2325" s="24" t="str">
        <f ca="1">IF(AND(L2325=1,L2324&lt;&gt;1),MAX($N$8:N2324)+1,"")</f>
        <v/>
      </c>
      <c r="O2325" s="24" t="str">
        <f ca="1">IF(AND(L2325&lt;&gt;1,L2324=1),MAX($O$8:O2324)+1,"")</f>
        <v/>
      </c>
      <c r="P2325" s="17" t="str">
        <f ca="1">IF(AND(L2325=-1,L2324&lt;&gt;-1),MAX($P$8:P2324)+1,"")</f>
        <v/>
      </c>
      <c r="Q2325" s="24" t="str">
        <f ca="1">IF(AND(L2325&lt;&gt;-1,L2324=-1),MAX($Q$8:Q2324)+1,"")</f>
        <v/>
      </c>
    </row>
    <row r="2326" spans="1:17" x14ac:dyDescent="0.3">
      <c r="A2326" s="3">
        <v>43614</v>
      </c>
      <c r="B2326" s="9">
        <v>33.444836000000002</v>
      </c>
      <c r="C2326" s="9">
        <v>33.899146999999999</v>
      </c>
      <c r="E2326" s="14">
        <f t="shared" si="256"/>
        <v>0.9865981583548401</v>
      </c>
      <c r="F2326" s="18">
        <f t="shared" ca="1" si="255"/>
        <v>-2.1533642345913304E-2</v>
      </c>
      <c r="G2326" s="15">
        <f t="shared" ca="1" si="253"/>
        <v>0.98703590950926601</v>
      </c>
      <c r="H2326" s="15">
        <f t="shared" ca="1" si="254"/>
        <v>2.0328709253823934E-2</v>
      </c>
      <c r="J2326" s="17">
        <f t="shared" ca="1" si="257"/>
        <v>0</v>
      </c>
      <c r="K2326" s="24">
        <f t="shared" ca="1" si="258"/>
        <v>0</v>
      </c>
      <c r="L2326" s="17">
        <f t="shared" ca="1" si="259"/>
        <v>0</v>
      </c>
      <c r="N2326" s="24" t="str">
        <f ca="1">IF(AND(L2326=1,L2325&lt;&gt;1),MAX($N$8:N2325)+1,"")</f>
        <v/>
      </c>
      <c r="O2326" s="24" t="str">
        <f ca="1">IF(AND(L2326&lt;&gt;1,L2325=1),MAX($O$8:O2325)+1,"")</f>
        <v/>
      </c>
      <c r="P2326" s="17" t="str">
        <f ca="1">IF(AND(L2326=-1,L2325&lt;&gt;-1),MAX($P$8:P2325)+1,"")</f>
        <v/>
      </c>
      <c r="Q2326" s="24" t="str">
        <f ca="1">IF(AND(L2326&lt;&gt;-1,L2325=-1),MAX($Q$8:Q2325)+1,"")</f>
        <v/>
      </c>
    </row>
    <row r="2327" spans="1:17" x14ac:dyDescent="0.3">
      <c r="A2327" s="3">
        <v>43615</v>
      </c>
      <c r="B2327" s="9">
        <v>33.791626000000001</v>
      </c>
      <c r="C2327" s="9">
        <v>34.522770000000001</v>
      </c>
      <c r="E2327" s="14">
        <f t="shared" si="256"/>
        <v>0.97882139816706482</v>
      </c>
      <c r="F2327" s="18">
        <f t="shared" ca="1" si="255"/>
        <v>-0.40679242683417677</v>
      </c>
      <c r="G2327" s="15">
        <f t="shared" ca="1" si="253"/>
        <v>0.98708275387910871</v>
      </c>
      <c r="H2327" s="15">
        <f t="shared" ca="1" si="254"/>
        <v>2.0308528790314771E-2</v>
      </c>
      <c r="J2327" s="17">
        <f t="shared" ca="1" si="257"/>
        <v>0</v>
      </c>
      <c r="K2327" s="24">
        <f t="shared" ca="1" si="258"/>
        <v>0</v>
      </c>
      <c r="L2327" s="17">
        <f t="shared" ca="1" si="259"/>
        <v>0</v>
      </c>
      <c r="N2327" s="24" t="str">
        <f ca="1">IF(AND(L2327=1,L2326&lt;&gt;1),MAX($N$8:N2326)+1,"")</f>
        <v/>
      </c>
      <c r="O2327" s="24" t="str">
        <f ca="1">IF(AND(L2327&lt;&gt;1,L2326=1),MAX($O$8:O2326)+1,"")</f>
        <v/>
      </c>
      <c r="P2327" s="17" t="str">
        <f ca="1">IF(AND(L2327=-1,L2326&lt;&gt;-1),MAX($P$8:P2326)+1,"")</f>
        <v/>
      </c>
      <c r="Q2327" s="24" t="str">
        <f ca="1">IF(AND(L2327&lt;&gt;-1,L2326=-1),MAX($Q$8:Q2326)+1,"")</f>
        <v/>
      </c>
    </row>
    <row r="2328" spans="1:17" x14ac:dyDescent="0.3">
      <c r="A2328" s="3">
        <v>43616</v>
      </c>
      <c r="B2328" s="9">
        <v>33.714554</v>
      </c>
      <c r="C2328" s="9">
        <v>34.439006999999997</v>
      </c>
      <c r="E2328" s="14">
        <f t="shared" si="256"/>
        <v>0.97896417280556325</v>
      </c>
      <c r="F2328" s="18">
        <f t="shared" ca="1" si="255"/>
        <v>-0.38721030277932772</v>
      </c>
      <c r="G2328" s="15">
        <f t="shared" ca="1" si="253"/>
        <v>0.98685185893587923</v>
      </c>
      <c r="H2328" s="15">
        <f t="shared" ca="1" si="254"/>
        <v>2.0370548184538366E-2</v>
      </c>
      <c r="J2328" s="17">
        <f t="shared" ca="1" si="257"/>
        <v>0</v>
      </c>
      <c r="K2328" s="24">
        <f t="shared" ca="1" si="258"/>
        <v>0</v>
      </c>
      <c r="L2328" s="17">
        <f t="shared" ca="1" si="259"/>
        <v>0</v>
      </c>
      <c r="N2328" s="24" t="str">
        <f ca="1">IF(AND(L2328=1,L2327&lt;&gt;1),MAX($N$8:N2327)+1,"")</f>
        <v/>
      </c>
      <c r="O2328" s="24" t="str">
        <f ca="1">IF(AND(L2328&lt;&gt;1,L2327=1),MAX($O$8:O2327)+1,"")</f>
        <v/>
      </c>
      <c r="P2328" s="17" t="str">
        <f ca="1">IF(AND(L2328=-1,L2327&lt;&gt;-1),MAX($P$8:P2327)+1,"")</f>
        <v/>
      </c>
      <c r="Q2328" s="24" t="str">
        <f ca="1">IF(AND(L2328&lt;&gt;-1,L2327=-1),MAX($Q$8:Q2327)+1,"")</f>
        <v/>
      </c>
    </row>
    <row r="2329" spans="1:17" x14ac:dyDescent="0.3">
      <c r="A2329" s="3">
        <v>43619</v>
      </c>
      <c r="B2329" s="9">
        <v>33.806106999999997</v>
      </c>
      <c r="C2329" s="9">
        <v>34.327309</v>
      </c>
      <c r="E2329" s="14">
        <f t="shared" si="256"/>
        <v>0.98481669506922309</v>
      </c>
      <c r="F2329" s="18">
        <f t="shared" ca="1" si="255"/>
        <v>-8.8296675688302656E-2</v>
      </c>
      <c r="G2329" s="15">
        <f t="shared" ca="1" si="253"/>
        <v>0.9866146341130545</v>
      </c>
      <c r="H2329" s="15">
        <f t="shared" ca="1" si="254"/>
        <v>2.0362477180662374E-2</v>
      </c>
      <c r="J2329" s="17">
        <f t="shared" ca="1" si="257"/>
        <v>0</v>
      </c>
      <c r="K2329" s="24">
        <f t="shared" ca="1" si="258"/>
        <v>0</v>
      </c>
      <c r="L2329" s="17">
        <f t="shared" ca="1" si="259"/>
        <v>0</v>
      </c>
      <c r="N2329" s="24" t="str">
        <f ca="1">IF(AND(L2329=1,L2328&lt;&gt;1),MAX($N$8:N2328)+1,"")</f>
        <v/>
      </c>
      <c r="O2329" s="24" t="str">
        <f ca="1">IF(AND(L2329&lt;&gt;1,L2328=1),MAX($O$8:O2328)+1,"")</f>
        <v/>
      </c>
      <c r="P2329" s="17" t="str">
        <f ca="1">IF(AND(L2329=-1,L2328&lt;&gt;-1),MAX($P$8:P2328)+1,"")</f>
        <v/>
      </c>
      <c r="Q2329" s="24" t="str">
        <f ca="1">IF(AND(L2329&lt;&gt;-1,L2328=-1),MAX($Q$8:Q2328)+1,"")</f>
        <v/>
      </c>
    </row>
    <row r="2330" spans="1:17" x14ac:dyDescent="0.3">
      <c r="A2330" s="3">
        <v>43620</v>
      </c>
      <c r="B2330" s="9">
        <v>33.748280000000001</v>
      </c>
      <c r="C2330" s="9">
        <v>34.501677999999998</v>
      </c>
      <c r="E2330" s="14">
        <f t="shared" si="256"/>
        <v>0.97816343889129109</v>
      </c>
      <c r="F2330" s="18">
        <f t="shared" ca="1" si="255"/>
        <v>-0.43780861736498755</v>
      </c>
      <c r="G2330" s="15">
        <f t="shared" ca="1" si="253"/>
        <v>0.98697879212200545</v>
      </c>
      <c r="H2330" s="15">
        <f t="shared" ca="1" si="254"/>
        <v>2.0135175236546964E-2</v>
      </c>
      <c r="J2330" s="17">
        <f t="shared" ca="1" si="257"/>
        <v>0</v>
      </c>
      <c r="K2330" s="24">
        <f t="shared" ca="1" si="258"/>
        <v>0</v>
      </c>
      <c r="L2330" s="17">
        <f t="shared" ca="1" si="259"/>
        <v>0</v>
      </c>
      <c r="N2330" s="24" t="str">
        <f ca="1">IF(AND(L2330=1,L2329&lt;&gt;1),MAX($N$8:N2329)+1,"")</f>
        <v/>
      </c>
      <c r="O2330" s="24" t="str">
        <f ca="1">IF(AND(L2330&lt;&gt;1,L2329=1),MAX($O$8:O2329)+1,"")</f>
        <v/>
      </c>
      <c r="P2330" s="17" t="str">
        <f ca="1">IF(AND(L2330=-1,L2329&lt;&gt;-1),MAX($P$8:P2329)+1,"")</f>
        <v/>
      </c>
      <c r="Q2330" s="24" t="str">
        <f ca="1">IF(AND(L2330&lt;&gt;-1,L2329=-1),MAX($Q$8:Q2329)+1,"")</f>
        <v/>
      </c>
    </row>
    <row r="2331" spans="1:17" x14ac:dyDescent="0.3">
      <c r="A2331" s="3">
        <v>43621</v>
      </c>
      <c r="B2331" s="9">
        <v>33.092979</v>
      </c>
      <c r="C2331" s="9">
        <v>33.970882000000003</v>
      </c>
      <c r="E2331" s="14">
        <f t="shared" si="256"/>
        <v>0.97415719144413138</v>
      </c>
      <c r="F2331" s="18">
        <f t="shared" ca="1" si="255"/>
        <v>-0.63363926896386269</v>
      </c>
      <c r="G2331" s="15">
        <f t="shared" ca="1" si="253"/>
        <v>0.98693324418076289</v>
      </c>
      <c r="H2331" s="15">
        <f t="shared" ca="1" si="254"/>
        <v>2.016297499604645E-2</v>
      </c>
      <c r="J2331" s="17">
        <f t="shared" ca="1" si="257"/>
        <v>0</v>
      </c>
      <c r="K2331" s="24">
        <f t="shared" ca="1" si="258"/>
        <v>0</v>
      </c>
      <c r="L2331" s="17">
        <f t="shared" ca="1" si="259"/>
        <v>0</v>
      </c>
      <c r="N2331" s="24" t="str">
        <f ca="1">IF(AND(L2331=1,L2330&lt;&gt;1),MAX($N$8:N2330)+1,"")</f>
        <v/>
      </c>
      <c r="O2331" s="24" t="str">
        <f ca="1">IF(AND(L2331&lt;&gt;1,L2330=1),MAX($O$8:O2330)+1,"")</f>
        <v/>
      </c>
      <c r="P2331" s="17" t="str">
        <f ca="1">IF(AND(L2331=-1,L2330&lt;&gt;-1),MAX($P$8:P2330)+1,"")</f>
        <v/>
      </c>
      <c r="Q2331" s="24" t="str">
        <f ca="1">IF(AND(L2331&lt;&gt;-1,L2330=-1),MAX($Q$8:Q2330)+1,"")</f>
        <v/>
      </c>
    </row>
    <row r="2332" spans="1:17" x14ac:dyDescent="0.3">
      <c r="A2332" s="3">
        <v>43622</v>
      </c>
      <c r="B2332" s="9">
        <v>33.439906999999998</v>
      </c>
      <c r="C2332" s="9">
        <v>34.715857999999997</v>
      </c>
      <c r="E2332" s="14">
        <f t="shared" si="256"/>
        <v>0.96324587455104815</v>
      </c>
      <c r="F2332" s="18">
        <f t="shared" ca="1" si="255"/>
        <v>-1.7620576144497175</v>
      </c>
      <c r="G2332" s="15">
        <f t="shared" ca="1" si="253"/>
        <v>0.98220132867204168</v>
      </c>
      <c r="H2332" s="15">
        <f t="shared" ca="1" si="254"/>
        <v>1.0757567723977761E-2</v>
      </c>
      <c r="J2332" s="17">
        <f t="shared" ca="1" si="257"/>
        <v>0</v>
      </c>
      <c r="K2332" s="24">
        <f t="shared" ca="1" si="258"/>
        <v>-1</v>
      </c>
      <c r="L2332" s="17">
        <f t="shared" ca="1" si="259"/>
        <v>-1</v>
      </c>
      <c r="N2332" s="24" t="str">
        <f ca="1">IF(AND(L2332=1,L2331&lt;&gt;1),MAX($N$8:N2331)+1,"")</f>
        <v/>
      </c>
      <c r="O2332" s="24" t="str">
        <f ca="1">IF(AND(L2332&lt;&gt;1,L2331=1),MAX($O$8:O2331)+1,"")</f>
        <v/>
      </c>
      <c r="P2332" s="17">
        <f ca="1">IF(AND(L2332=-1,L2331&lt;&gt;-1),MAX($P$8:P2331)+1,"")</f>
        <v>86</v>
      </c>
      <c r="Q2332" s="24" t="str">
        <f ca="1">IF(AND(L2332&lt;&gt;-1,L2331=-1),MAX($Q$8:Q2331)+1,"")</f>
        <v/>
      </c>
    </row>
    <row r="2333" spans="1:17" x14ac:dyDescent="0.3">
      <c r="A2333" s="3">
        <v>43623</v>
      </c>
      <c r="B2333" s="9">
        <v>33.796474000000003</v>
      </c>
      <c r="C2333" s="9">
        <v>34.725174000000003</v>
      </c>
      <c r="E2333" s="14">
        <f t="shared" si="256"/>
        <v>0.97325571356388307</v>
      </c>
      <c r="F2333" s="18">
        <f t="shared" ca="1" si="255"/>
        <v>-0.95100205759953105</v>
      </c>
      <c r="G2333" s="15">
        <f t="shared" ca="1" si="253"/>
        <v>0.98273928335492122</v>
      </c>
      <c r="H2333" s="15">
        <f t="shared" ca="1" si="254"/>
        <v>9.9721864061746331E-3</v>
      </c>
      <c r="J2333" s="17">
        <f t="shared" ca="1" si="257"/>
        <v>0</v>
      </c>
      <c r="K2333" s="24">
        <f t="shared" ca="1" si="258"/>
        <v>-1</v>
      </c>
      <c r="L2333" s="17">
        <f t="shared" ca="1" si="259"/>
        <v>-1</v>
      </c>
      <c r="N2333" s="24" t="str">
        <f ca="1">IF(AND(L2333=1,L2332&lt;&gt;1),MAX($N$8:N2332)+1,"")</f>
        <v/>
      </c>
      <c r="O2333" s="24" t="str">
        <f ca="1">IF(AND(L2333&lt;&gt;1,L2332=1),MAX($O$8:O2332)+1,"")</f>
        <v/>
      </c>
      <c r="P2333" s="17" t="str">
        <f ca="1">IF(AND(L2333=-1,L2332&lt;&gt;-1),MAX($P$8:P2332)+1,"")</f>
        <v/>
      </c>
      <c r="Q2333" s="24" t="str">
        <f ca="1">IF(AND(L2333&lt;&gt;-1,L2332=-1),MAX($Q$8:Q2332)+1,"")</f>
        <v/>
      </c>
    </row>
    <row r="2334" spans="1:17" x14ac:dyDescent="0.3">
      <c r="A2334" s="3">
        <v>43626</v>
      </c>
      <c r="B2334" s="9">
        <v>33.372447999999999</v>
      </c>
      <c r="C2334" s="9">
        <v>34.315434000000003</v>
      </c>
      <c r="E2334" s="14">
        <f t="shared" si="256"/>
        <v>0.97252006196395457</v>
      </c>
      <c r="F2334" s="18">
        <f t="shared" ca="1" si="255"/>
        <v>-1.0952837710149175</v>
      </c>
      <c r="G2334" s="15">
        <f t="shared" ca="1" si="253"/>
        <v>0.98301987539278646</v>
      </c>
      <c r="H2334" s="15">
        <f t="shared" ca="1" si="254"/>
        <v>9.5863863837793318E-3</v>
      </c>
      <c r="J2334" s="17">
        <f t="shared" ca="1" si="257"/>
        <v>0</v>
      </c>
      <c r="K2334" s="24">
        <f t="shared" ca="1" si="258"/>
        <v>-1</v>
      </c>
      <c r="L2334" s="17">
        <f t="shared" ca="1" si="259"/>
        <v>-1</v>
      </c>
      <c r="N2334" s="24" t="str">
        <f ca="1">IF(AND(L2334=1,L2333&lt;&gt;1),MAX($N$8:N2333)+1,"")</f>
        <v/>
      </c>
      <c r="O2334" s="24" t="str">
        <f ca="1">IF(AND(L2334&lt;&gt;1,L2333=1),MAX($O$8:O2333)+1,"")</f>
        <v/>
      </c>
      <c r="P2334" s="17" t="str">
        <f ca="1">IF(AND(L2334=-1,L2333&lt;&gt;-1),MAX($P$8:P2333)+1,"")</f>
        <v/>
      </c>
      <c r="Q2334" s="24" t="str">
        <f ca="1">IF(AND(L2334&lt;&gt;-1,L2333=-1),MAX($Q$8:Q2333)+1,"")</f>
        <v/>
      </c>
    </row>
    <row r="2335" spans="1:17" x14ac:dyDescent="0.3">
      <c r="A2335" s="3">
        <v>43627</v>
      </c>
      <c r="B2335" s="9">
        <v>33.536273999999999</v>
      </c>
      <c r="C2335" s="9">
        <v>34.473742999999999</v>
      </c>
      <c r="E2335" s="14">
        <f t="shared" si="256"/>
        <v>0.97280628912270994</v>
      </c>
      <c r="F2335" s="18">
        <f t="shared" ca="1" si="255"/>
        <v>-1.090392737490143</v>
      </c>
      <c r="G2335" s="15">
        <f t="shared" ref="G2335:G2398" ca="1" si="260">IF(ISNUMBER(E2335),IF(ROW(E2335)&gt;$J$1,AVERAGE(OFFSET(E2335,0,0,-$J$1)),""),"")</f>
        <v>0.98312366698130593</v>
      </c>
      <c r="H2335" s="15">
        <f t="shared" ref="H2335:H2398" ca="1" si="261">IF(ISNUMBER(E2335),IF(ROW(E2335)&gt;$J$1,_xlfn.STDEV.P(OFFSET(E2335,0,0,-$J$1)),""),"")</f>
        <v>9.4620749972568995E-3</v>
      </c>
      <c r="J2335" s="17">
        <f t="shared" ca="1" si="257"/>
        <v>0</v>
      </c>
      <c r="K2335" s="24">
        <f t="shared" ca="1" si="258"/>
        <v>-1</v>
      </c>
      <c r="L2335" s="17">
        <f t="shared" ca="1" si="259"/>
        <v>-1</v>
      </c>
      <c r="N2335" s="24" t="str">
        <f ca="1">IF(AND(L2335=1,L2334&lt;&gt;1),MAX($N$8:N2334)+1,"")</f>
        <v/>
      </c>
      <c r="O2335" s="24" t="str">
        <f ca="1">IF(AND(L2335&lt;&gt;1,L2334=1),MAX($O$8:O2334)+1,"")</f>
        <v/>
      </c>
      <c r="P2335" s="17" t="str">
        <f ca="1">IF(AND(L2335=-1,L2334&lt;&gt;-1),MAX($P$8:P2334)+1,"")</f>
        <v/>
      </c>
      <c r="Q2335" s="24" t="str">
        <f ca="1">IF(AND(L2335&lt;&gt;-1,L2334=-1),MAX($Q$8:Q2334)+1,"")</f>
        <v/>
      </c>
    </row>
    <row r="2336" spans="1:17" x14ac:dyDescent="0.3">
      <c r="A2336" s="3">
        <v>43628</v>
      </c>
      <c r="B2336" s="9">
        <v>33.343533000000001</v>
      </c>
      <c r="C2336" s="9">
        <v>34.073318</v>
      </c>
      <c r="E2336" s="14">
        <f t="shared" si="256"/>
        <v>0.97858192149059275</v>
      </c>
      <c r="F2336" s="18">
        <f t="shared" ca="1" si="255"/>
        <v>-0.47396276466077919</v>
      </c>
      <c r="G2336" s="15">
        <f t="shared" ca="1" si="260"/>
        <v>0.983076100629792</v>
      </c>
      <c r="H2336" s="15">
        <f t="shared" ca="1" si="261"/>
        <v>9.4821354635649235E-3</v>
      </c>
      <c r="J2336" s="17">
        <f t="shared" ca="1" si="257"/>
        <v>0</v>
      </c>
      <c r="K2336" s="24">
        <f t="shared" ca="1" si="258"/>
        <v>-1</v>
      </c>
      <c r="L2336" s="17">
        <f t="shared" ca="1" si="259"/>
        <v>-1</v>
      </c>
      <c r="N2336" s="24" t="str">
        <f ca="1">IF(AND(L2336=1,L2335&lt;&gt;1),MAX($N$8:N2335)+1,"")</f>
        <v/>
      </c>
      <c r="O2336" s="24" t="str">
        <f ca="1">IF(AND(L2336&lt;&gt;1,L2335=1),MAX($O$8:O2335)+1,"")</f>
        <v/>
      </c>
      <c r="P2336" s="17" t="str">
        <f ca="1">IF(AND(L2336=-1,L2335&lt;&gt;-1),MAX($P$8:P2335)+1,"")</f>
        <v/>
      </c>
      <c r="Q2336" s="24" t="str">
        <f ca="1">IF(AND(L2336&lt;&gt;-1,L2335=-1),MAX($Q$8:Q2335)+1,"")</f>
        <v/>
      </c>
    </row>
    <row r="2337" spans="1:17" x14ac:dyDescent="0.3">
      <c r="A2337" s="3">
        <v>43629</v>
      </c>
      <c r="B2337" s="9">
        <v>32.746048000000002</v>
      </c>
      <c r="C2337" s="9">
        <v>33.700836000000002</v>
      </c>
      <c r="E2337" s="14">
        <f t="shared" si="256"/>
        <v>0.97166871468707783</v>
      </c>
      <c r="F2337" s="18">
        <f t="shared" ca="1" si="255"/>
        <v>-1.1439863378290849</v>
      </c>
      <c r="G2337" s="15">
        <f t="shared" ca="1" si="260"/>
        <v>0.9827917848911002</v>
      </c>
      <c r="H2337" s="15">
        <f t="shared" ca="1" si="261"/>
        <v>9.7230795825152486E-3</v>
      </c>
      <c r="J2337" s="17">
        <f t="shared" ca="1" si="257"/>
        <v>0</v>
      </c>
      <c r="K2337" s="24">
        <f t="shared" ca="1" si="258"/>
        <v>-1</v>
      </c>
      <c r="L2337" s="17">
        <f t="shared" ca="1" si="259"/>
        <v>-1</v>
      </c>
      <c r="N2337" s="24" t="str">
        <f ca="1">IF(AND(L2337=1,L2336&lt;&gt;1),MAX($N$8:N2336)+1,"")</f>
        <v/>
      </c>
      <c r="O2337" s="24" t="str">
        <f ca="1">IF(AND(L2337&lt;&gt;1,L2336=1),MAX($O$8:O2336)+1,"")</f>
        <v/>
      </c>
      <c r="P2337" s="17" t="str">
        <f ca="1">IF(AND(L2337=-1,L2336&lt;&gt;-1),MAX($P$8:P2336)+1,"")</f>
        <v/>
      </c>
      <c r="Q2337" s="24" t="str">
        <f ca="1">IF(AND(L2337&lt;&gt;-1,L2336=-1),MAX($Q$8:Q2336)+1,"")</f>
        <v/>
      </c>
    </row>
    <row r="2338" spans="1:17" x14ac:dyDescent="0.3">
      <c r="A2338" s="3">
        <v>43630</v>
      </c>
      <c r="B2338" s="9">
        <v>32.755695000000003</v>
      </c>
      <c r="C2338" s="9">
        <v>33.644958000000003</v>
      </c>
      <c r="E2338" s="14">
        <f t="shared" si="256"/>
        <v>0.9735692046338712</v>
      </c>
      <c r="F2338" s="18">
        <f t="shared" ca="1" si="255"/>
        <v>-0.86573562926153103</v>
      </c>
      <c r="G2338" s="15">
        <f t="shared" ca="1" si="260"/>
        <v>0.98197091227579247</v>
      </c>
      <c r="H2338" s="15">
        <f t="shared" ca="1" si="261"/>
        <v>9.7047035583921817E-3</v>
      </c>
      <c r="J2338" s="17">
        <f t="shared" ca="1" si="257"/>
        <v>0</v>
      </c>
      <c r="K2338" s="24">
        <f t="shared" ca="1" si="258"/>
        <v>-1</v>
      </c>
      <c r="L2338" s="17">
        <f t="shared" ca="1" si="259"/>
        <v>-1</v>
      </c>
      <c r="N2338" s="24" t="str">
        <f ca="1">IF(AND(L2338=1,L2337&lt;&gt;1),MAX($N$8:N2337)+1,"")</f>
        <v/>
      </c>
      <c r="O2338" s="24" t="str">
        <f ca="1">IF(AND(L2338&lt;&gt;1,L2337=1),MAX($O$8:O2337)+1,"")</f>
        <v/>
      </c>
      <c r="P2338" s="17" t="str">
        <f ca="1">IF(AND(L2338=-1,L2337&lt;&gt;-1),MAX($P$8:P2337)+1,"")</f>
        <v/>
      </c>
      <c r="Q2338" s="24" t="str">
        <f ca="1">IF(AND(L2338&lt;&gt;-1,L2337=-1),MAX($Q$8:Q2337)+1,"")</f>
        <v/>
      </c>
    </row>
    <row r="2339" spans="1:17" x14ac:dyDescent="0.3">
      <c r="A2339" s="3">
        <v>43633</v>
      </c>
      <c r="B2339" s="9">
        <v>32.717143999999998</v>
      </c>
      <c r="C2339" s="9">
        <v>33.561152999999997</v>
      </c>
      <c r="E2339" s="14">
        <f t="shared" si="256"/>
        <v>0.97485160894204081</v>
      </c>
      <c r="F2339" s="18">
        <f t="shared" ca="1" si="255"/>
        <v>-0.66567953131342061</v>
      </c>
      <c r="G2339" s="15">
        <f t="shared" ca="1" si="260"/>
        <v>0.98126033321051986</v>
      </c>
      <c r="H2339" s="15">
        <f t="shared" ca="1" si="261"/>
        <v>9.6273416366495449E-3</v>
      </c>
      <c r="J2339" s="17">
        <f t="shared" ca="1" si="257"/>
        <v>0</v>
      </c>
      <c r="K2339" s="24">
        <f t="shared" ca="1" si="258"/>
        <v>-1</v>
      </c>
      <c r="L2339" s="17">
        <f t="shared" ca="1" si="259"/>
        <v>-1</v>
      </c>
      <c r="N2339" s="24" t="str">
        <f ca="1">IF(AND(L2339=1,L2338&lt;&gt;1),MAX($N$8:N2338)+1,"")</f>
        <v/>
      </c>
      <c r="O2339" s="24" t="str">
        <f ca="1">IF(AND(L2339&lt;&gt;1,L2338=1),MAX($O$8:O2338)+1,"")</f>
        <v/>
      </c>
      <c r="P2339" s="17" t="str">
        <f ca="1">IF(AND(L2339=-1,L2338&lt;&gt;-1),MAX($P$8:P2338)+1,"")</f>
        <v/>
      </c>
      <c r="Q2339" s="24" t="str">
        <f ca="1">IF(AND(L2339&lt;&gt;-1,L2338=-1),MAX($Q$8:Q2338)+1,"")</f>
        <v/>
      </c>
    </row>
    <row r="2340" spans="1:17" x14ac:dyDescent="0.3">
      <c r="A2340" s="3">
        <v>43634</v>
      </c>
      <c r="B2340" s="9">
        <v>33.565196999999998</v>
      </c>
      <c r="C2340" s="9">
        <v>33.849823000000001</v>
      </c>
      <c r="E2340" s="14">
        <f t="shared" si="256"/>
        <v>0.99159150699251797</v>
      </c>
      <c r="F2340" s="18">
        <f t="shared" ca="1" si="255"/>
        <v>1.0187885696552748</v>
      </c>
      <c r="G2340" s="15">
        <f t="shared" ca="1" si="260"/>
        <v>0.98156542781109668</v>
      </c>
      <c r="H2340" s="15">
        <f t="shared" ca="1" si="261"/>
        <v>9.8411775318737529E-3</v>
      </c>
      <c r="J2340" s="17">
        <f t="shared" ca="1" si="257"/>
        <v>1</v>
      </c>
      <c r="K2340" s="24">
        <f t="shared" ca="1" si="258"/>
        <v>0</v>
      </c>
      <c r="L2340" s="17">
        <f t="shared" ca="1" si="259"/>
        <v>1</v>
      </c>
      <c r="N2340" s="24">
        <f ca="1">IF(AND(L2340=1,L2339&lt;&gt;1),MAX($N$8:N2339)+1,"")</f>
        <v>76</v>
      </c>
      <c r="O2340" s="24" t="str">
        <f ca="1">IF(AND(L2340&lt;&gt;1,L2339=1),MAX($O$8:O2339)+1,"")</f>
        <v/>
      </c>
      <c r="P2340" s="17" t="str">
        <f ca="1">IF(AND(L2340=-1,L2339&lt;&gt;-1),MAX($P$8:P2339)+1,"")</f>
        <v/>
      </c>
      <c r="Q2340" s="24">
        <f ca="1">IF(AND(L2340&lt;&gt;-1,L2339=-1),MAX($Q$8:Q2339)+1,"")</f>
        <v>86</v>
      </c>
    </row>
    <row r="2341" spans="1:17" x14ac:dyDescent="0.3">
      <c r="A2341" s="3">
        <v>43635</v>
      </c>
      <c r="B2341" s="9">
        <v>34.095210999999999</v>
      </c>
      <c r="C2341" s="9">
        <v>34.268878999999998</v>
      </c>
      <c r="E2341" s="14">
        <f t="shared" si="256"/>
        <v>0.99493219489321494</v>
      </c>
      <c r="F2341" s="18">
        <f t="shared" ca="1" si="255"/>
        <v>1.2579883998038468</v>
      </c>
      <c r="G2341" s="15">
        <f t="shared" ca="1" si="260"/>
        <v>0.98207286753377232</v>
      </c>
      <c r="H2341" s="15">
        <f t="shared" ca="1" si="261"/>
        <v>1.0222135086021241E-2</v>
      </c>
      <c r="J2341" s="17">
        <f t="shared" ca="1" si="257"/>
        <v>1</v>
      </c>
      <c r="K2341" s="24">
        <f t="shared" ca="1" si="258"/>
        <v>0</v>
      </c>
      <c r="L2341" s="17">
        <f t="shared" ca="1" si="259"/>
        <v>1</v>
      </c>
      <c r="N2341" s="24" t="str">
        <f ca="1">IF(AND(L2341=1,L2340&lt;&gt;1),MAX($N$8:N2340)+1,"")</f>
        <v/>
      </c>
      <c r="O2341" s="24" t="str">
        <f ca="1">IF(AND(L2341&lt;&gt;1,L2340=1),MAX($O$8:O2340)+1,"")</f>
        <v/>
      </c>
      <c r="P2341" s="17" t="str">
        <f ca="1">IF(AND(L2341=-1,L2340&lt;&gt;-1),MAX($P$8:P2340)+1,"")</f>
        <v/>
      </c>
      <c r="Q2341" s="24" t="str">
        <f ca="1">IF(AND(L2341&lt;&gt;-1,L2340=-1),MAX($Q$8:Q2340)+1,"")</f>
        <v/>
      </c>
    </row>
    <row r="2342" spans="1:17" x14ac:dyDescent="0.3">
      <c r="A2342" s="3">
        <v>43637</v>
      </c>
      <c r="B2342" s="9">
        <v>34.866165000000002</v>
      </c>
      <c r="C2342" s="9">
        <v>35.041789999999999</v>
      </c>
      <c r="E2342" s="14">
        <f t="shared" si="256"/>
        <v>0.99498812703346495</v>
      </c>
      <c r="F2342" s="18">
        <f t="shared" ca="1" si="255"/>
        <v>1.1637423162738549</v>
      </c>
      <c r="G2342" s="15">
        <f t="shared" ca="1" si="260"/>
        <v>0.98269024700476881</v>
      </c>
      <c r="H2342" s="15">
        <f t="shared" ca="1" si="261"/>
        <v>1.056752844398774E-2</v>
      </c>
      <c r="J2342" s="17">
        <f t="shared" ca="1" si="257"/>
        <v>1</v>
      </c>
      <c r="K2342" s="24">
        <f t="shared" ca="1" si="258"/>
        <v>0</v>
      </c>
      <c r="L2342" s="17">
        <f t="shared" ca="1" si="259"/>
        <v>1</v>
      </c>
      <c r="N2342" s="24" t="str">
        <f ca="1">IF(AND(L2342=1,L2341&lt;&gt;1),MAX($N$8:N2341)+1,"")</f>
        <v/>
      </c>
      <c r="O2342" s="24" t="str">
        <f ca="1">IF(AND(L2342&lt;&gt;1,L2341=1),MAX($O$8:O2341)+1,"")</f>
        <v/>
      </c>
      <c r="P2342" s="17" t="str">
        <f ca="1">IF(AND(L2342=-1,L2341&lt;&gt;-1),MAX($P$8:P2341)+1,"")</f>
        <v/>
      </c>
      <c r="Q2342" s="24" t="str">
        <f ca="1">IF(AND(L2342&lt;&gt;-1,L2341=-1),MAX($Q$8:Q2341)+1,"")</f>
        <v/>
      </c>
    </row>
    <row r="2343" spans="1:17" x14ac:dyDescent="0.3">
      <c r="A2343" s="3">
        <v>43640</v>
      </c>
      <c r="B2343" s="9">
        <v>34.789065999999998</v>
      </c>
      <c r="C2343" s="9">
        <v>35.321159000000002</v>
      </c>
      <c r="E2343" s="14">
        <f t="shared" si="256"/>
        <v>0.98493557360334627</v>
      </c>
      <c r="F2343" s="18">
        <f t="shared" ca="1" si="255"/>
        <v>0.29683703031076453</v>
      </c>
      <c r="G2343" s="15">
        <f t="shared" ca="1" si="260"/>
        <v>0.9820018247565091</v>
      </c>
      <c r="H2343" s="15">
        <f t="shared" ca="1" si="261"/>
        <v>9.8833654405104717E-3</v>
      </c>
      <c r="J2343" s="17">
        <f t="shared" ca="1" si="257"/>
        <v>1</v>
      </c>
      <c r="K2343" s="24">
        <f t="shared" ca="1" si="258"/>
        <v>0</v>
      </c>
      <c r="L2343" s="17">
        <f t="shared" ca="1" si="259"/>
        <v>1</v>
      </c>
      <c r="N2343" s="24" t="str">
        <f ca="1">IF(AND(L2343=1,L2342&lt;&gt;1),MAX($N$8:N2342)+1,"")</f>
        <v/>
      </c>
      <c r="O2343" s="24" t="str">
        <f ca="1">IF(AND(L2343&lt;&gt;1,L2342=1),MAX($O$8:O2342)+1,"")</f>
        <v/>
      </c>
      <c r="P2343" s="17" t="str">
        <f ca="1">IF(AND(L2343=-1,L2342&lt;&gt;-1),MAX($P$8:P2342)+1,"")</f>
        <v/>
      </c>
      <c r="Q2343" s="24" t="str">
        <f ca="1">IF(AND(L2343&lt;&gt;-1,L2342=-1),MAX($Q$8:Q2342)+1,"")</f>
        <v/>
      </c>
    </row>
    <row r="2344" spans="1:17" x14ac:dyDescent="0.3">
      <c r="A2344" s="3">
        <v>43641</v>
      </c>
      <c r="B2344" s="9">
        <v>34.355412000000001</v>
      </c>
      <c r="C2344" s="9">
        <v>35.023167000000001</v>
      </c>
      <c r="E2344" s="14">
        <f t="shared" si="256"/>
        <v>0.98093390583438667</v>
      </c>
      <c r="F2344" s="18">
        <f t="shared" ca="1" si="255"/>
        <v>-7.9167494085096192E-3</v>
      </c>
      <c r="G2344" s="15">
        <f t="shared" ca="1" si="260"/>
        <v>0.98100332194625761</v>
      </c>
      <c r="H2344" s="15">
        <f t="shared" ca="1" si="261"/>
        <v>8.7682593308222208E-3</v>
      </c>
      <c r="J2344" s="17">
        <f t="shared" ca="1" si="257"/>
        <v>0</v>
      </c>
      <c r="K2344" s="24">
        <f t="shared" ca="1" si="258"/>
        <v>0</v>
      </c>
      <c r="L2344" s="17">
        <f t="shared" ca="1" si="259"/>
        <v>0</v>
      </c>
      <c r="N2344" s="24" t="str">
        <f ca="1">IF(AND(L2344=1,L2343&lt;&gt;1),MAX($N$8:N2343)+1,"")</f>
        <v/>
      </c>
      <c r="O2344" s="24">
        <f ca="1">IF(AND(L2344&lt;&gt;1,L2343=1),MAX($O$8:O2343)+1,"")</f>
        <v>76</v>
      </c>
      <c r="P2344" s="17" t="str">
        <f ca="1">IF(AND(L2344=-1,L2343&lt;&gt;-1),MAX($P$8:P2343)+1,"")</f>
        <v/>
      </c>
      <c r="Q2344" s="24" t="str">
        <f ca="1">IF(AND(L2344&lt;&gt;-1,L2343=-1),MAX($Q$8:Q2343)+1,"")</f>
        <v/>
      </c>
    </row>
    <row r="2345" spans="1:17" x14ac:dyDescent="0.3">
      <c r="A2345" s="3">
        <v>43642</v>
      </c>
      <c r="B2345" s="9">
        <v>35.174540999999998</v>
      </c>
      <c r="C2345" s="9">
        <v>35.460830999999999</v>
      </c>
      <c r="E2345" s="14">
        <f t="shared" si="256"/>
        <v>0.99192658513840237</v>
      </c>
      <c r="F2345" s="18">
        <f t="shared" ca="1" si="255"/>
        <v>1.3421358967017913</v>
      </c>
      <c r="G2345" s="15">
        <f t="shared" ca="1" si="260"/>
        <v>0.9807386177638544</v>
      </c>
      <c r="H2345" s="15">
        <f t="shared" ca="1" si="261"/>
        <v>8.3359422857563429E-3</v>
      </c>
      <c r="J2345" s="17">
        <f t="shared" ca="1" si="257"/>
        <v>1</v>
      </c>
      <c r="K2345" s="24">
        <f t="shared" ca="1" si="258"/>
        <v>0</v>
      </c>
      <c r="L2345" s="17">
        <f t="shared" ca="1" si="259"/>
        <v>1</v>
      </c>
      <c r="N2345" s="24">
        <f ca="1">IF(AND(L2345=1,L2344&lt;&gt;1),MAX($N$8:N2344)+1,"")</f>
        <v>77</v>
      </c>
      <c r="O2345" s="24" t="str">
        <f ca="1">IF(AND(L2345&lt;&gt;1,L2344=1),MAX($O$8:O2344)+1,"")</f>
        <v/>
      </c>
      <c r="P2345" s="17" t="str">
        <f ca="1">IF(AND(L2345=-1,L2344&lt;&gt;-1),MAX($P$8:P2344)+1,"")</f>
        <v/>
      </c>
      <c r="Q2345" s="24" t="str">
        <f ca="1">IF(AND(L2345&lt;&gt;-1,L2344=-1),MAX($Q$8:Q2344)+1,"")</f>
        <v/>
      </c>
    </row>
    <row r="2346" spans="1:17" x14ac:dyDescent="0.3">
      <c r="A2346" s="3">
        <v>43643</v>
      </c>
      <c r="B2346" s="9">
        <v>34.933624000000002</v>
      </c>
      <c r="C2346" s="9">
        <v>35.293208999999997</v>
      </c>
      <c r="E2346" s="14">
        <f t="shared" si="256"/>
        <v>0.98981149603029872</v>
      </c>
      <c r="F2346" s="18">
        <f t="shared" ca="1" si="255"/>
        <v>1.0608234345726577</v>
      </c>
      <c r="G2346" s="15">
        <f t="shared" ca="1" si="260"/>
        <v>0.98085484069620821</v>
      </c>
      <c r="H2346" s="15">
        <f t="shared" ca="1" si="261"/>
        <v>8.4431160193011896E-3</v>
      </c>
      <c r="J2346" s="17">
        <f t="shared" ca="1" si="257"/>
        <v>1</v>
      </c>
      <c r="K2346" s="24">
        <f t="shared" ca="1" si="258"/>
        <v>0</v>
      </c>
      <c r="L2346" s="17">
        <f t="shared" ca="1" si="259"/>
        <v>1</v>
      </c>
      <c r="N2346" s="24" t="str">
        <f ca="1">IF(AND(L2346=1,L2345&lt;&gt;1),MAX($N$8:N2345)+1,"")</f>
        <v/>
      </c>
      <c r="O2346" s="24" t="str">
        <f ca="1">IF(AND(L2346&lt;&gt;1,L2345=1),MAX($O$8:O2345)+1,"")</f>
        <v/>
      </c>
      <c r="P2346" s="17" t="str">
        <f ca="1">IF(AND(L2346=-1,L2345&lt;&gt;-1),MAX($P$8:P2345)+1,"")</f>
        <v/>
      </c>
      <c r="Q2346" s="24" t="str">
        <f ca="1">IF(AND(L2346&lt;&gt;-1,L2345=-1),MAX($Q$8:Q2345)+1,"")</f>
        <v/>
      </c>
    </row>
    <row r="2347" spans="1:17" x14ac:dyDescent="0.3">
      <c r="A2347" s="3">
        <v>43644</v>
      </c>
      <c r="B2347" s="9">
        <v>34.943255999999998</v>
      </c>
      <c r="C2347" s="9">
        <v>35.144215000000003</v>
      </c>
      <c r="E2347" s="14">
        <f t="shared" si="256"/>
        <v>0.99428187540965118</v>
      </c>
      <c r="F2347" s="18">
        <f t="shared" ca="1" si="255"/>
        <v>1.4931592811545289</v>
      </c>
      <c r="G2347" s="15">
        <f t="shared" ca="1" si="260"/>
        <v>0.98115553221011709</v>
      </c>
      <c r="H2347" s="15">
        <f t="shared" ca="1" si="261"/>
        <v>8.790986578059273E-3</v>
      </c>
      <c r="J2347" s="17">
        <f t="shared" ca="1" si="257"/>
        <v>1</v>
      </c>
      <c r="K2347" s="24">
        <f t="shared" ca="1" si="258"/>
        <v>0</v>
      </c>
      <c r="L2347" s="17">
        <f t="shared" ca="1" si="259"/>
        <v>1</v>
      </c>
      <c r="N2347" s="24" t="str">
        <f ca="1">IF(AND(L2347=1,L2346&lt;&gt;1),MAX($N$8:N2346)+1,"")</f>
        <v/>
      </c>
      <c r="O2347" s="24" t="str">
        <f ca="1">IF(AND(L2347&lt;&gt;1,L2346=1),MAX($O$8:O2346)+1,"")</f>
        <v/>
      </c>
      <c r="P2347" s="17" t="str">
        <f ca="1">IF(AND(L2347=-1,L2346&lt;&gt;-1),MAX($P$8:P2346)+1,"")</f>
        <v/>
      </c>
      <c r="Q2347" s="24" t="str">
        <f ca="1">IF(AND(L2347&lt;&gt;-1,L2346=-1),MAX($Q$8:Q2346)+1,"")</f>
        <v/>
      </c>
    </row>
    <row r="2348" spans="1:17" x14ac:dyDescent="0.3">
      <c r="A2348" s="3">
        <v>43647</v>
      </c>
      <c r="B2348" s="9">
        <v>34.784191</v>
      </c>
      <c r="C2348" s="9">
        <v>35.202724000000003</v>
      </c>
      <c r="E2348" s="14">
        <f t="shared" si="256"/>
        <v>0.98811077801820102</v>
      </c>
      <c r="F2348" s="18">
        <f t="shared" ca="1" si="255"/>
        <v>0.77909680926449276</v>
      </c>
      <c r="G2348" s="15">
        <f t="shared" ca="1" si="260"/>
        <v>0.98122428764936087</v>
      </c>
      <c r="H2348" s="15">
        <f t="shared" ca="1" si="261"/>
        <v>8.8390688897074902E-3</v>
      </c>
      <c r="J2348" s="17">
        <f t="shared" ca="1" si="257"/>
        <v>1</v>
      </c>
      <c r="K2348" s="24">
        <f t="shared" ca="1" si="258"/>
        <v>0</v>
      </c>
      <c r="L2348" s="17">
        <f t="shared" ca="1" si="259"/>
        <v>1</v>
      </c>
      <c r="N2348" s="24" t="str">
        <f ca="1">IF(AND(L2348=1,L2347&lt;&gt;1),MAX($N$8:N2347)+1,"")</f>
        <v/>
      </c>
      <c r="O2348" s="24" t="str">
        <f ca="1">IF(AND(L2348&lt;&gt;1,L2347=1),MAX($O$8:O2347)+1,"")</f>
        <v/>
      </c>
      <c r="P2348" s="17" t="str">
        <f ca="1">IF(AND(L2348=-1,L2347&lt;&gt;-1),MAX($P$8:P2347)+1,"")</f>
        <v/>
      </c>
      <c r="Q2348" s="24" t="str">
        <f ca="1">IF(AND(L2348&lt;&gt;-1,L2347=-1),MAX($Q$8:Q2347)+1,"")</f>
        <v/>
      </c>
    </row>
    <row r="2349" spans="1:17" x14ac:dyDescent="0.3">
      <c r="A2349" s="3">
        <v>43648</v>
      </c>
      <c r="B2349" s="9">
        <v>34.658855000000003</v>
      </c>
      <c r="C2349" s="9">
        <v>35.312449999999998</v>
      </c>
      <c r="E2349" s="14">
        <f t="shared" si="256"/>
        <v>0.98149108883694003</v>
      </c>
      <c r="F2349" s="18">
        <f t="shared" ca="1" si="255"/>
        <v>1.6484460046961781E-2</v>
      </c>
      <c r="G2349" s="15">
        <f t="shared" ca="1" si="260"/>
        <v>0.98134563722526413</v>
      </c>
      <c r="H2349" s="15">
        <f t="shared" ca="1" si="261"/>
        <v>8.8235593559949921E-3</v>
      </c>
      <c r="J2349" s="17">
        <f t="shared" ca="1" si="257"/>
        <v>1</v>
      </c>
      <c r="K2349" s="24">
        <f t="shared" ca="1" si="258"/>
        <v>0</v>
      </c>
      <c r="L2349" s="17">
        <f t="shared" ca="1" si="259"/>
        <v>1</v>
      </c>
      <c r="N2349" s="24" t="str">
        <f ca="1">IF(AND(L2349=1,L2348&lt;&gt;1),MAX($N$8:N2348)+1,"")</f>
        <v/>
      </c>
      <c r="O2349" s="24" t="str">
        <f ca="1">IF(AND(L2349&lt;&gt;1,L2348=1),MAX($O$8:O2348)+1,"")</f>
        <v/>
      </c>
      <c r="P2349" s="17" t="str">
        <f ca="1">IF(AND(L2349=-1,L2348&lt;&gt;-1),MAX($P$8:P2348)+1,"")</f>
        <v/>
      </c>
      <c r="Q2349" s="24" t="str">
        <f ca="1">IF(AND(L2349&lt;&gt;-1,L2348=-1),MAX($Q$8:Q2348)+1,"")</f>
        <v/>
      </c>
    </row>
    <row r="2350" spans="1:17" x14ac:dyDescent="0.3">
      <c r="A2350" s="3">
        <v>43649</v>
      </c>
      <c r="B2350" s="9">
        <v>35.256583999999997</v>
      </c>
      <c r="C2350" s="9">
        <v>35.939529</v>
      </c>
      <c r="E2350" s="14">
        <f t="shared" si="256"/>
        <v>0.98099738591454544</v>
      </c>
      <c r="F2350" s="18">
        <f t="shared" ca="1" si="255"/>
        <v>-5.0026305950650572E-2</v>
      </c>
      <c r="G2350" s="15">
        <f t="shared" ca="1" si="260"/>
        <v>0.9814380560029452</v>
      </c>
      <c r="H2350" s="15">
        <f t="shared" ca="1" si="261"/>
        <v>8.8087673080333266E-3</v>
      </c>
      <c r="J2350" s="17">
        <f t="shared" ca="1" si="257"/>
        <v>0</v>
      </c>
      <c r="K2350" s="24">
        <f t="shared" ca="1" si="258"/>
        <v>0</v>
      </c>
      <c r="L2350" s="17">
        <f t="shared" ca="1" si="259"/>
        <v>0</v>
      </c>
      <c r="N2350" s="24" t="str">
        <f ca="1">IF(AND(L2350=1,L2349&lt;&gt;1),MAX($N$8:N2349)+1,"")</f>
        <v/>
      </c>
      <c r="O2350" s="24">
        <f ca="1">IF(AND(L2350&lt;&gt;1,L2349=1),MAX($O$8:O2349)+1,"")</f>
        <v>77</v>
      </c>
      <c r="P2350" s="17" t="str">
        <f ca="1">IF(AND(L2350=-1,L2349&lt;&gt;-1),MAX($P$8:P2349)+1,"")</f>
        <v/>
      </c>
      <c r="Q2350" s="24" t="str">
        <f ca="1">IF(AND(L2350&lt;&gt;-1,L2349=-1),MAX($Q$8:Q2349)+1,"")</f>
        <v/>
      </c>
    </row>
    <row r="2351" spans="1:17" x14ac:dyDescent="0.3">
      <c r="A2351" s="3">
        <v>43650</v>
      </c>
      <c r="B2351" s="9">
        <v>35.661498999999999</v>
      </c>
      <c r="C2351" s="9">
        <v>36.566597000000002</v>
      </c>
      <c r="E2351" s="14">
        <f t="shared" si="256"/>
        <v>0.97524795648881402</v>
      </c>
      <c r="F2351" s="18">
        <f t="shared" ca="1" si="255"/>
        <v>-0.64903552082900551</v>
      </c>
      <c r="G2351" s="15">
        <f t="shared" ca="1" si="260"/>
        <v>0.9810031133401993</v>
      </c>
      <c r="H2351" s="15">
        <f t="shared" ca="1" si="261"/>
        <v>8.8672448066236566E-3</v>
      </c>
      <c r="J2351" s="17">
        <f t="shared" ca="1" si="257"/>
        <v>0</v>
      </c>
      <c r="K2351" s="24">
        <f t="shared" ca="1" si="258"/>
        <v>0</v>
      </c>
      <c r="L2351" s="17">
        <f t="shared" ca="1" si="259"/>
        <v>0</v>
      </c>
      <c r="N2351" s="24" t="str">
        <f ca="1">IF(AND(L2351=1,L2350&lt;&gt;1),MAX($N$8:N2350)+1,"")</f>
        <v/>
      </c>
      <c r="O2351" s="24" t="str">
        <f ca="1">IF(AND(L2351&lt;&gt;1,L2350=1),MAX($O$8:O2350)+1,"")</f>
        <v/>
      </c>
      <c r="P2351" s="17" t="str">
        <f ca="1">IF(AND(L2351=-1,L2350&lt;&gt;-1),MAX($P$8:P2350)+1,"")</f>
        <v/>
      </c>
      <c r="Q2351" s="24" t="str">
        <f ca="1">IF(AND(L2351&lt;&gt;-1,L2350=-1),MAX($Q$8:Q2350)+1,"")</f>
        <v/>
      </c>
    </row>
    <row r="2352" spans="1:17" x14ac:dyDescent="0.3">
      <c r="A2352" s="3">
        <v>43651</v>
      </c>
      <c r="B2352" s="9">
        <v>36.056773999999997</v>
      </c>
      <c r="C2352" s="9">
        <v>36.884804000000003</v>
      </c>
      <c r="E2352" s="14">
        <f t="shared" si="256"/>
        <v>0.97755091771668345</v>
      </c>
      <c r="F2352" s="18">
        <f t="shared" ca="1" si="255"/>
        <v>-0.38575255436483941</v>
      </c>
      <c r="G2352" s="15">
        <f t="shared" ca="1" si="260"/>
        <v>0.98097527146862618</v>
      </c>
      <c r="H2352" s="15">
        <f t="shared" ca="1" si="261"/>
        <v>8.8770734326855949E-3</v>
      </c>
      <c r="J2352" s="17">
        <f t="shared" ca="1" si="257"/>
        <v>0</v>
      </c>
      <c r="K2352" s="24">
        <f t="shared" ca="1" si="258"/>
        <v>0</v>
      </c>
      <c r="L2352" s="17">
        <f t="shared" ca="1" si="259"/>
        <v>0</v>
      </c>
      <c r="N2352" s="24" t="str">
        <f ca="1">IF(AND(L2352=1,L2351&lt;&gt;1),MAX($N$8:N2351)+1,"")</f>
        <v/>
      </c>
      <c r="O2352" s="24" t="str">
        <f ca="1">IF(AND(L2352&lt;&gt;1,L2351=1),MAX($O$8:O2351)+1,"")</f>
        <v/>
      </c>
      <c r="P2352" s="17" t="str">
        <f ca="1">IF(AND(L2352=-1,L2351&lt;&gt;-1),MAX($P$8:P2351)+1,"")</f>
        <v/>
      </c>
      <c r="Q2352" s="24" t="str">
        <f ca="1">IF(AND(L2352&lt;&gt;-1,L2351=-1),MAX($Q$8:Q2351)+1,"")</f>
        <v/>
      </c>
    </row>
    <row r="2353" spans="1:17" x14ac:dyDescent="0.3">
      <c r="A2353" s="3">
        <v>43654</v>
      </c>
      <c r="B2353" s="9">
        <v>35.960360999999999</v>
      </c>
      <c r="C2353" s="9">
        <v>36.716338999999998</v>
      </c>
      <c r="E2353" s="14">
        <f t="shared" si="256"/>
        <v>0.97941031103346121</v>
      </c>
      <c r="F2353" s="18">
        <f t="shared" ca="1" si="255"/>
        <v>-0.20589800805344435</v>
      </c>
      <c r="G2353" s="15">
        <f t="shared" ca="1" si="260"/>
        <v>0.98121404963177772</v>
      </c>
      <c r="H2353" s="15">
        <f t="shared" ca="1" si="261"/>
        <v>8.7603499196957525E-3</v>
      </c>
      <c r="J2353" s="17">
        <f t="shared" ca="1" si="257"/>
        <v>0</v>
      </c>
      <c r="K2353" s="24">
        <f t="shared" ca="1" si="258"/>
        <v>0</v>
      </c>
      <c r="L2353" s="17">
        <f t="shared" ca="1" si="259"/>
        <v>0</v>
      </c>
      <c r="N2353" s="24" t="str">
        <f ca="1">IF(AND(L2353=1,L2352&lt;&gt;1),MAX($N$8:N2352)+1,"")</f>
        <v/>
      </c>
      <c r="O2353" s="24" t="str">
        <f ca="1">IF(AND(L2353&lt;&gt;1,L2352=1),MAX($O$8:O2352)+1,"")</f>
        <v/>
      </c>
      <c r="P2353" s="17" t="str">
        <f ca="1">IF(AND(L2353=-1,L2352&lt;&gt;-1),MAX($P$8:P2352)+1,"")</f>
        <v/>
      </c>
      <c r="Q2353" s="24" t="str">
        <f ca="1">IF(AND(L2353&lt;&gt;-1,L2352=-1),MAX($Q$8:Q2352)+1,"")</f>
        <v/>
      </c>
    </row>
    <row r="2354" spans="1:17" x14ac:dyDescent="0.3">
      <c r="A2354" s="3">
        <v>43656</v>
      </c>
      <c r="B2354" s="9">
        <v>35.863959999999999</v>
      </c>
      <c r="C2354" s="9">
        <v>36.547877999999997</v>
      </c>
      <c r="E2354" s="14">
        <f t="shared" si="256"/>
        <v>0.98128706678948641</v>
      </c>
      <c r="F2354" s="18">
        <f t="shared" ca="1" si="255"/>
        <v>-9.5339141355417212E-2</v>
      </c>
      <c r="G2354" s="15">
        <f t="shared" ca="1" si="260"/>
        <v>0.98203410382443412</v>
      </c>
      <c r="H2354" s="15">
        <f t="shared" ca="1" si="261"/>
        <v>7.835575444956222E-3</v>
      </c>
      <c r="J2354" s="17">
        <f t="shared" ca="1" si="257"/>
        <v>0</v>
      </c>
      <c r="K2354" s="24">
        <f t="shared" ca="1" si="258"/>
        <v>0</v>
      </c>
      <c r="L2354" s="17">
        <f t="shared" ca="1" si="259"/>
        <v>0</v>
      </c>
      <c r="N2354" s="24" t="str">
        <f ca="1">IF(AND(L2354=1,L2353&lt;&gt;1),MAX($N$8:N2353)+1,"")</f>
        <v/>
      </c>
      <c r="O2354" s="24" t="str">
        <f ca="1">IF(AND(L2354&lt;&gt;1,L2353=1),MAX($O$8:O2353)+1,"")</f>
        <v/>
      </c>
      <c r="P2354" s="17" t="str">
        <f ca="1">IF(AND(L2354=-1,L2353&lt;&gt;-1),MAX($P$8:P2353)+1,"")</f>
        <v/>
      </c>
      <c r="Q2354" s="24" t="str">
        <f ca="1">IF(AND(L2354&lt;&gt;-1,L2353=-1),MAX($Q$8:Q2353)+1,"")</f>
        <v/>
      </c>
    </row>
    <row r="2355" spans="1:17" x14ac:dyDescent="0.3">
      <c r="A2355" s="3">
        <v>43657</v>
      </c>
      <c r="B2355" s="9">
        <v>35.815753999999998</v>
      </c>
      <c r="C2355" s="9">
        <v>36.239024999999998</v>
      </c>
      <c r="E2355" s="14">
        <f t="shared" si="256"/>
        <v>0.98832002240678385</v>
      </c>
      <c r="F2355" s="18">
        <f t="shared" ca="1" si="255"/>
        <v>0.72785127399566818</v>
      </c>
      <c r="G2355" s="15">
        <f t="shared" ca="1" si="260"/>
        <v>0.98271884513547514</v>
      </c>
      <c r="H2355" s="15">
        <f t="shared" ca="1" si="261"/>
        <v>7.6954969667911112E-3</v>
      </c>
      <c r="J2355" s="17">
        <f t="shared" ca="1" si="257"/>
        <v>0</v>
      </c>
      <c r="K2355" s="24">
        <f t="shared" ca="1" si="258"/>
        <v>0</v>
      </c>
      <c r="L2355" s="17">
        <f t="shared" ca="1" si="259"/>
        <v>0</v>
      </c>
      <c r="N2355" s="24" t="str">
        <f ca="1">IF(AND(L2355=1,L2354&lt;&gt;1),MAX($N$8:N2354)+1,"")</f>
        <v/>
      </c>
      <c r="O2355" s="24" t="str">
        <f ca="1">IF(AND(L2355&lt;&gt;1,L2354=1),MAX($O$8:O2354)+1,"")</f>
        <v/>
      </c>
      <c r="P2355" s="17" t="str">
        <f ca="1">IF(AND(L2355=-1,L2354&lt;&gt;-1),MAX($P$8:P2354)+1,"")</f>
        <v/>
      </c>
      <c r="Q2355" s="24" t="str">
        <f ca="1">IF(AND(L2355&lt;&gt;-1,L2354=-1),MAX($Q$8:Q2354)+1,"")</f>
        <v/>
      </c>
    </row>
    <row r="2356" spans="1:17" x14ac:dyDescent="0.3">
      <c r="A2356" s="3">
        <v>43658</v>
      </c>
      <c r="B2356" s="9">
        <v>35.150531999999998</v>
      </c>
      <c r="C2356" s="9">
        <v>35.565159000000001</v>
      </c>
      <c r="E2356" s="14">
        <f t="shared" si="256"/>
        <v>0.98834176447798239</v>
      </c>
      <c r="F2356" s="18">
        <f t="shared" ca="1" si="255"/>
        <v>0.65875501865783348</v>
      </c>
      <c r="G2356" s="15">
        <f t="shared" ca="1" si="260"/>
        <v>0.983438013431567</v>
      </c>
      <c r="H2356" s="15">
        <f t="shared" ca="1" si="261"/>
        <v>7.4439676473454846E-3</v>
      </c>
      <c r="J2356" s="17">
        <f t="shared" ca="1" si="257"/>
        <v>0</v>
      </c>
      <c r="K2356" s="24">
        <f t="shared" ca="1" si="258"/>
        <v>0</v>
      </c>
      <c r="L2356" s="17">
        <f t="shared" ca="1" si="259"/>
        <v>0</v>
      </c>
      <c r="N2356" s="24" t="str">
        <f ca="1">IF(AND(L2356=1,L2355&lt;&gt;1),MAX($N$8:N2355)+1,"")</f>
        <v/>
      </c>
      <c r="O2356" s="24" t="str">
        <f ca="1">IF(AND(L2356&lt;&gt;1,L2355=1),MAX($O$8:O2355)+1,"")</f>
        <v/>
      </c>
      <c r="P2356" s="17" t="str">
        <f ca="1">IF(AND(L2356=-1,L2355&lt;&gt;-1),MAX($P$8:P2355)+1,"")</f>
        <v/>
      </c>
      <c r="Q2356" s="24" t="str">
        <f ca="1">IF(AND(L2356&lt;&gt;-1,L2355=-1),MAX($Q$8:Q2355)+1,"")</f>
        <v/>
      </c>
    </row>
    <row r="2357" spans="1:17" x14ac:dyDescent="0.3">
      <c r="A2357" s="3">
        <v>43661</v>
      </c>
      <c r="B2357" s="9">
        <v>35.054122999999997</v>
      </c>
      <c r="C2357" s="9">
        <v>35.415408999999997</v>
      </c>
      <c r="E2357" s="14">
        <f t="shared" si="256"/>
        <v>0.98979862127245233</v>
      </c>
      <c r="F2357" s="18">
        <f t="shared" ca="1" si="255"/>
        <v>0.77857099683655961</v>
      </c>
      <c r="G2357" s="15">
        <f t="shared" ca="1" si="260"/>
        <v>0.98421039216564632</v>
      </c>
      <c r="H2357" s="15">
        <f t="shared" ca="1" si="261"/>
        <v>7.1775459521504752E-3</v>
      </c>
      <c r="J2357" s="17">
        <f t="shared" ca="1" si="257"/>
        <v>0</v>
      </c>
      <c r="K2357" s="24">
        <f t="shared" ca="1" si="258"/>
        <v>0</v>
      </c>
      <c r="L2357" s="17">
        <f t="shared" ca="1" si="259"/>
        <v>0</v>
      </c>
      <c r="N2357" s="24" t="str">
        <f ca="1">IF(AND(L2357=1,L2356&lt;&gt;1),MAX($N$8:N2356)+1,"")</f>
        <v/>
      </c>
      <c r="O2357" s="24" t="str">
        <f ca="1">IF(AND(L2357&lt;&gt;1,L2356=1),MAX($O$8:O2356)+1,"")</f>
        <v/>
      </c>
      <c r="P2357" s="17" t="str">
        <f ca="1">IF(AND(L2357=-1,L2356&lt;&gt;-1),MAX($P$8:P2356)+1,"")</f>
        <v/>
      </c>
      <c r="Q2357" s="24" t="str">
        <f ca="1">IF(AND(L2357&lt;&gt;-1,L2356=-1),MAX($Q$8:Q2356)+1,"")</f>
        <v/>
      </c>
    </row>
    <row r="2358" spans="1:17" x14ac:dyDescent="0.3">
      <c r="A2358" s="3">
        <v>43662</v>
      </c>
      <c r="B2358" s="9">
        <v>35.189095000000002</v>
      </c>
      <c r="C2358" s="9">
        <v>35.424762999999999</v>
      </c>
      <c r="E2358" s="14">
        <f t="shared" si="256"/>
        <v>0.99334736551377922</v>
      </c>
      <c r="F2358" s="18">
        <f t="shared" ca="1" si="255"/>
        <v>1.15827305060624</v>
      </c>
      <c r="G2358" s="15">
        <f t="shared" ca="1" si="260"/>
        <v>0.98488154871215461</v>
      </c>
      <c r="H2358" s="15">
        <f t="shared" ca="1" si="261"/>
        <v>7.3089992011759293E-3</v>
      </c>
      <c r="J2358" s="17">
        <f t="shared" ca="1" si="257"/>
        <v>1</v>
      </c>
      <c r="K2358" s="24">
        <f t="shared" ca="1" si="258"/>
        <v>0</v>
      </c>
      <c r="L2358" s="17">
        <f t="shared" ca="1" si="259"/>
        <v>1</v>
      </c>
      <c r="N2358" s="24">
        <f ca="1">IF(AND(L2358=1,L2357&lt;&gt;1),MAX($N$8:N2357)+1,"")</f>
        <v>78</v>
      </c>
      <c r="O2358" s="24" t="str">
        <f ca="1">IF(AND(L2358&lt;&gt;1,L2357=1),MAX($O$8:O2357)+1,"")</f>
        <v/>
      </c>
      <c r="P2358" s="17" t="str">
        <f ca="1">IF(AND(L2358=-1,L2357&lt;&gt;-1),MAX($P$8:P2357)+1,"")</f>
        <v/>
      </c>
      <c r="Q2358" s="24" t="str">
        <f ca="1">IF(AND(L2358&lt;&gt;-1,L2357=-1),MAX($Q$8:Q2357)+1,"")</f>
        <v/>
      </c>
    </row>
    <row r="2359" spans="1:17" x14ac:dyDescent="0.3">
      <c r="A2359" s="3">
        <v>43663</v>
      </c>
      <c r="B2359" s="9">
        <v>35.092692999999997</v>
      </c>
      <c r="C2359" s="9">
        <v>35.237586999999998</v>
      </c>
      <c r="E2359" s="14">
        <f t="shared" si="256"/>
        <v>0.99588808393718897</v>
      </c>
      <c r="F2359" s="18">
        <f t="shared" ca="1" si="255"/>
        <v>1.4039539474705458</v>
      </c>
      <c r="G2359" s="15">
        <f t="shared" ca="1" si="260"/>
        <v>0.98598242913261425</v>
      </c>
      <c r="H2359" s="15">
        <f t="shared" ca="1" si="261"/>
        <v>7.0555411182976436E-3</v>
      </c>
      <c r="J2359" s="17">
        <f t="shared" ca="1" si="257"/>
        <v>1</v>
      </c>
      <c r="K2359" s="24">
        <f t="shared" ca="1" si="258"/>
        <v>0</v>
      </c>
      <c r="L2359" s="17">
        <f t="shared" ca="1" si="259"/>
        <v>1</v>
      </c>
      <c r="N2359" s="24" t="str">
        <f ca="1">IF(AND(L2359=1,L2358&lt;&gt;1),MAX($N$8:N2358)+1,"")</f>
        <v/>
      </c>
      <c r="O2359" s="24" t="str">
        <f ca="1">IF(AND(L2359&lt;&gt;1,L2358=1),MAX($O$8:O2358)+1,"")</f>
        <v/>
      </c>
      <c r="P2359" s="17" t="str">
        <f ca="1">IF(AND(L2359=-1,L2358&lt;&gt;-1),MAX($P$8:P2358)+1,"")</f>
        <v/>
      </c>
      <c r="Q2359" s="24" t="str">
        <f ca="1">IF(AND(L2359&lt;&gt;-1,L2358=-1),MAX($Q$8:Q2358)+1,"")</f>
        <v/>
      </c>
    </row>
    <row r="2360" spans="1:17" x14ac:dyDescent="0.3">
      <c r="A2360" s="3">
        <v>43664</v>
      </c>
      <c r="B2360" s="9">
        <v>36.027847000000001</v>
      </c>
      <c r="C2360" s="9">
        <v>36.005038999999996</v>
      </c>
      <c r="E2360" s="14">
        <f t="shared" si="256"/>
        <v>1.0006334668877876</v>
      </c>
      <c r="F2360" s="18">
        <f t="shared" ca="1" si="255"/>
        <v>1.8789214853575986</v>
      </c>
      <c r="G2360" s="15">
        <f t="shared" ca="1" si="260"/>
        <v>0.98721262287142875</v>
      </c>
      <c r="H2360" s="15">
        <f t="shared" ca="1" si="261"/>
        <v>7.1428445099740983E-3</v>
      </c>
      <c r="J2360" s="17">
        <f t="shared" ca="1" si="257"/>
        <v>1</v>
      </c>
      <c r="K2360" s="24">
        <f t="shared" ca="1" si="258"/>
        <v>0</v>
      </c>
      <c r="L2360" s="17">
        <f t="shared" ca="1" si="259"/>
        <v>1</v>
      </c>
      <c r="N2360" s="24" t="str">
        <f ca="1">IF(AND(L2360=1,L2359&lt;&gt;1),MAX($N$8:N2359)+1,"")</f>
        <v/>
      </c>
      <c r="O2360" s="24" t="str">
        <f ca="1">IF(AND(L2360&lt;&gt;1,L2359=1),MAX($O$8:O2359)+1,"")</f>
        <v/>
      </c>
      <c r="P2360" s="17" t="str">
        <f ca="1">IF(AND(L2360=-1,L2359&lt;&gt;-1),MAX($P$8:P2359)+1,"")</f>
        <v/>
      </c>
      <c r="Q2360" s="24" t="str">
        <f ca="1">IF(AND(L2360&lt;&gt;-1,L2359=-1),MAX($Q$8:Q2359)+1,"")</f>
        <v/>
      </c>
    </row>
    <row r="2361" spans="1:17" x14ac:dyDescent="0.3">
      <c r="A2361" s="3">
        <v>43665</v>
      </c>
      <c r="B2361" s="9">
        <v>35.092692999999997</v>
      </c>
      <c r="C2361" s="9">
        <v>35.190781000000001</v>
      </c>
      <c r="E2361" s="14">
        <f t="shared" si="256"/>
        <v>0.99721267908205835</v>
      </c>
      <c r="F2361" s="18">
        <f t="shared" ca="1" si="255"/>
        <v>1.3022861350617783</v>
      </c>
      <c r="G2361" s="15">
        <f t="shared" ca="1" si="260"/>
        <v>0.98822903515052019</v>
      </c>
      <c r="H2361" s="15">
        <f t="shared" ca="1" si="261"/>
        <v>6.898364107295051E-3</v>
      </c>
      <c r="J2361" s="17">
        <f t="shared" ca="1" si="257"/>
        <v>1</v>
      </c>
      <c r="K2361" s="24">
        <f t="shared" ca="1" si="258"/>
        <v>0</v>
      </c>
      <c r="L2361" s="17">
        <f t="shared" ca="1" si="259"/>
        <v>1</v>
      </c>
      <c r="N2361" s="24" t="str">
        <f ca="1">IF(AND(L2361=1,L2360&lt;&gt;1),MAX($N$8:N2360)+1,"")</f>
        <v/>
      </c>
      <c r="O2361" s="24" t="str">
        <f ca="1">IF(AND(L2361&lt;&gt;1,L2360=1),MAX($O$8:O2360)+1,"")</f>
        <v/>
      </c>
      <c r="P2361" s="17" t="str">
        <f ca="1">IF(AND(L2361=-1,L2360&lt;&gt;-1),MAX($P$8:P2360)+1,"")</f>
        <v/>
      </c>
      <c r="Q2361" s="24" t="str">
        <f ca="1">IF(AND(L2361&lt;&gt;-1,L2360=-1),MAX($Q$8:Q2360)+1,"")</f>
        <v/>
      </c>
    </row>
    <row r="2362" spans="1:17" x14ac:dyDescent="0.3">
      <c r="A2362" s="3">
        <v>43668</v>
      </c>
      <c r="B2362" s="9">
        <v>35.690421999999998</v>
      </c>
      <c r="C2362" s="9">
        <v>35.677467</v>
      </c>
      <c r="E2362" s="14">
        <f t="shared" si="256"/>
        <v>1.0003631143432912</v>
      </c>
      <c r="F2362" s="18">
        <f t="shared" ca="1" si="255"/>
        <v>1.6028235176527414</v>
      </c>
      <c r="G2362" s="15">
        <f t="shared" ca="1" si="260"/>
        <v>0.98862774457555558</v>
      </c>
      <c r="H2362" s="15">
        <f t="shared" ca="1" si="261"/>
        <v>7.3216855371085908E-3</v>
      </c>
      <c r="J2362" s="17">
        <f t="shared" ca="1" si="257"/>
        <v>1</v>
      </c>
      <c r="K2362" s="24">
        <f t="shared" ca="1" si="258"/>
        <v>0</v>
      </c>
      <c r="L2362" s="17">
        <f t="shared" ca="1" si="259"/>
        <v>1</v>
      </c>
      <c r="N2362" s="24" t="str">
        <f ca="1">IF(AND(L2362=1,L2361&lt;&gt;1),MAX($N$8:N2361)+1,"")</f>
        <v/>
      </c>
      <c r="O2362" s="24" t="str">
        <f ca="1">IF(AND(L2362&lt;&gt;1,L2361=1),MAX($O$8:O2361)+1,"")</f>
        <v/>
      </c>
      <c r="P2362" s="17" t="str">
        <f ca="1">IF(AND(L2362=-1,L2361&lt;&gt;-1),MAX($P$8:P2361)+1,"")</f>
        <v/>
      </c>
      <c r="Q2362" s="24" t="str">
        <f ca="1">IF(AND(L2362&lt;&gt;-1,L2361=-1),MAX($Q$8:Q2361)+1,"")</f>
        <v/>
      </c>
    </row>
    <row r="2363" spans="1:17" x14ac:dyDescent="0.3">
      <c r="A2363" s="3">
        <v>43669</v>
      </c>
      <c r="B2363" s="9">
        <v>36.037486999999999</v>
      </c>
      <c r="C2363" s="9">
        <v>35.799137000000002</v>
      </c>
      <c r="E2363" s="14">
        <f t="shared" si="256"/>
        <v>1.0066579817273249</v>
      </c>
      <c r="F2363" s="18">
        <f t="shared" ca="1" si="255"/>
        <v>2.1489948802203567</v>
      </c>
      <c r="G2363" s="15">
        <f t="shared" ca="1" si="260"/>
        <v>0.98916073488619682</v>
      </c>
      <c r="H2363" s="15">
        <f t="shared" ca="1" si="261"/>
        <v>8.1420607383363899E-3</v>
      </c>
      <c r="J2363" s="17">
        <f t="shared" ca="1" si="257"/>
        <v>1</v>
      </c>
      <c r="K2363" s="24">
        <f t="shared" ca="1" si="258"/>
        <v>0</v>
      </c>
      <c r="L2363" s="17">
        <f t="shared" ca="1" si="259"/>
        <v>1</v>
      </c>
      <c r="N2363" s="24" t="str">
        <f ca="1">IF(AND(L2363=1,L2362&lt;&gt;1),MAX($N$8:N2362)+1,"")</f>
        <v/>
      </c>
      <c r="O2363" s="24" t="str">
        <f ca="1">IF(AND(L2363&lt;&gt;1,L2362=1),MAX($O$8:O2362)+1,"")</f>
        <v/>
      </c>
      <c r="P2363" s="17" t="str">
        <f ca="1">IF(AND(L2363=-1,L2362&lt;&gt;-1),MAX($P$8:P2362)+1,"")</f>
        <v/>
      </c>
      <c r="Q2363" s="24" t="str">
        <f ca="1">IF(AND(L2363&lt;&gt;-1,L2362=-1),MAX($Q$8:Q2362)+1,"")</f>
        <v/>
      </c>
    </row>
    <row r="2364" spans="1:17" x14ac:dyDescent="0.3">
      <c r="A2364" s="3">
        <v>43670</v>
      </c>
      <c r="B2364" s="9">
        <v>36.008564</v>
      </c>
      <c r="C2364" s="9">
        <v>36.473007000000003</v>
      </c>
      <c r="E2364" s="14">
        <f t="shared" si="256"/>
        <v>0.98726611710408185</v>
      </c>
      <c r="F2364" s="18">
        <f t="shared" ca="1" si="255"/>
        <v>-0.19177287405877161</v>
      </c>
      <c r="G2364" s="15">
        <f t="shared" ca="1" si="260"/>
        <v>0.9888097344348612</v>
      </c>
      <c r="H2364" s="15">
        <f t="shared" ca="1" si="261"/>
        <v>8.0491953742440198E-3</v>
      </c>
      <c r="J2364" s="17">
        <f t="shared" ca="1" si="257"/>
        <v>0</v>
      </c>
      <c r="K2364" s="24">
        <f t="shared" ca="1" si="258"/>
        <v>0</v>
      </c>
      <c r="L2364" s="17">
        <f t="shared" ca="1" si="259"/>
        <v>0</v>
      </c>
      <c r="N2364" s="24" t="str">
        <f ca="1">IF(AND(L2364=1,L2363&lt;&gt;1),MAX($N$8:N2363)+1,"")</f>
        <v/>
      </c>
      <c r="O2364" s="24">
        <f ca="1">IF(AND(L2364&lt;&gt;1,L2363=1),MAX($O$8:O2363)+1,"")</f>
        <v>78</v>
      </c>
      <c r="P2364" s="17" t="str">
        <f ca="1">IF(AND(L2364=-1,L2363&lt;&gt;-1),MAX($P$8:P2363)+1,"")</f>
        <v/>
      </c>
      <c r="Q2364" s="24" t="str">
        <f ca="1">IF(AND(L2364&lt;&gt;-1,L2363=-1),MAX($Q$8:Q2363)+1,"")</f>
        <v/>
      </c>
    </row>
    <row r="2365" spans="1:17" x14ac:dyDescent="0.3">
      <c r="A2365" s="3">
        <v>43671</v>
      </c>
      <c r="B2365" s="9">
        <v>34.899872000000002</v>
      </c>
      <c r="C2365" s="9">
        <v>34.34845</v>
      </c>
      <c r="E2365" s="14">
        <f t="shared" si="256"/>
        <v>1.0160537666182901</v>
      </c>
      <c r="F2365" s="18">
        <f t="shared" ca="1" si="255"/>
        <v>2.6383547157176799</v>
      </c>
      <c r="G2365" s="15">
        <f t="shared" ca="1" si="260"/>
        <v>0.99022419775372228</v>
      </c>
      <c r="H2365" s="15">
        <f t="shared" ca="1" si="261"/>
        <v>9.7900288807608905E-3</v>
      </c>
      <c r="J2365" s="17">
        <f t="shared" ca="1" si="257"/>
        <v>1</v>
      </c>
      <c r="K2365" s="24">
        <f t="shared" ca="1" si="258"/>
        <v>0</v>
      </c>
      <c r="L2365" s="17">
        <f t="shared" ca="1" si="259"/>
        <v>1</v>
      </c>
      <c r="N2365" s="24">
        <f ca="1">IF(AND(L2365=1,L2364&lt;&gt;1),MAX($N$8:N2364)+1,"")</f>
        <v>79</v>
      </c>
      <c r="O2365" s="24" t="str">
        <f ca="1">IF(AND(L2365&lt;&gt;1,L2364=1),MAX($O$8:O2364)+1,"")</f>
        <v/>
      </c>
      <c r="P2365" s="17" t="str">
        <f ca="1">IF(AND(L2365=-1,L2364&lt;&gt;-1),MAX($P$8:P2364)+1,"")</f>
        <v/>
      </c>
      <c r="Q2365" s="24" t="str">
        <f ca="1">IF(AND(L2365&lt;&gt;-1,L2364=-1),MAX($Q$8:Q2364)+1,"")</f>
        <v/>
      </c>
    </row>
    <row r="2366" spans="1:17" x14ac:dyDescent="0.3">
      <c r="A2366" s="3">
        <v>43672</v>
      </c>
      <c r="B2366" s="9">
        <v>35.526527000000002</v>
      </c>
      <c r="C2366" s="9">
        <v>33.908566</v>
      </c>
      <c r="E2366" s="14">
        <f t="shared" si="256"/>
        <v>1.0477154061896927</v>
      </c>
      <c r="F2366" s="18">
        <f t="shared" ca="1" si="255"/>
        <v>3.5679298380884599</v>
      </c>
      <c r="G2366" s="15">
        <f t="shared" ca="1" si="260"/>
        <v>0.99325972049714539</v>
      </c>
      <c r="H2366" s="15">
        <f t="shared" ca="1" si="261"/>
        <v>1.5262543873823005E-2</v>
      </c>
      <c r="J2366" s="17">
        <f t="shared" ca="1" si="257"/>
        <v>1</v>
      </c>
      <c r="K2366" s="24">
        <f t="shared" ca="1" si="258"/>
        <v>0</v>
      </c>
      <c r="L2366" s="17">
        <f t="shared" ca="1" si="259"/>
        <v>1</v>
      </c>
      <c r="N2366" s="24" t="str">
        <f ca="1">IF(AND(L2366=1,L2365&lt;&gt;1),MAX($N$8:N2365)+1,"")</f>
        <v/>
      </c>
      <c r="O2366" s="24" t="str">
        <f ca="1">IF(AND(L2366&lt;&gt;1,L2365=1),MAX($O$8:O2365)+1,"")</f>
        <v/>
      </c>
      <c r="P2366" s="17" t="str">
        <f ca="1">IF(AND(L2366=-1,L2365&lt;&gt;-1),MAX($P$8:P2365)+1,"")</f>
        <v/>
      </c>
      <c r="Q2366" s="24" t="str">
        <f ca="1">IF(AND(L2366&lt;&gt;-1,L2365=-1),MAX($Q$8:Q2365)+1,"")</f>
        <v/>
      </c>
    </row>
    <row r="2367" spans="1:17" x14ac:dyDescent="0.3">
      <c r="A2367" s="3">
        <v>43675</v>
      </c>
      <c r="B2367" s="9">
        <v>35.671138999999997</v>
      </c>
      <c r="C2367" s="9">
        <v>33.833694000000001</v>
      </c>
      <c r="E2367" s="14">
        <f t="shared" si="256"/>
        <v>1.0543081402816965</v>
      </c>
      <c r="F2367" s="18">
        <f t="shared" ca="1" si="255"/>
        <v>2.9318704695414803</v>
      </c>
      <c r="G2367" s="15">
        <f t="shared" ca="1" si="260"/>
        <v>0.99609524573093156</v>
      </c>
      <c r="H2367" s="15">
        <f t="shared" ca="1" si="261"/>
        <v>1.9855206822922484E-2</v>
      </c>
      <c r="J2367" s="17">
        <f t="shared" ca="1" si="257"/>
        <v>1</v>
      </c>
      <c r="K2367" s="24">
        <f t="shared" ca="1" si="258"/>
        <v>0</v>
      </c>
      <c r="L2367" s="17">
        <f t="shared" ca="1" si="259"/>
        <v>1</v>
      </c>
      <c r="N2367" s="24" t="str">
        <f ca="1">IF(AND(L2367=1,L2366&lt;&gt;1),MAX($N$8:N2366)+1,"")</f>
        <v/>
      </c>
      <c r="O2367" s="24" t="str">
        <f ca="1">IF(AND(L2367&lt;&gt;1,L2366=1),MAX($O$8:O2366)+1,"")</f>
        <v/>
      </c>
      <c r="P2367" s="17" t="str">
        <f ca="1">IF(AND(L2367=-1,L2366&lt;&gt;-1),MAX($P$8:P2366)+1,"")</f>
        <v/>
      </c>
      <c r="Q2367" s="24" t="str">
        <f ca="1">IF(AND(L2367&lt;&gt;-1,L2366=-1),MAX($Q$8:Q2366)+1,"")</f>
        <v/>
      </c>
    </row>
    <row r="2368" spans="1:17" x14ac:dyDescent="0.3">
      <c r="A2368" s="3">
        <v>43676</v>
      </c>
      <c r="B2368" s="9">
        <v>34.485320999999999</v>
      </c>
      <c r="C2368" s="9">
        <v>33.131756000000003</v>
      </c>
      <c r="E2368" s="14">
        <f t="shared" si="256"/>
        <v>1.0408540072551542</v>
      </c>
      <c r="F2368" s="18">
        <f t="shared" ca="1" si="255"/>
        <v>1.9408697039890794</v>
      </c>
      <c r="G2368" s="15">
        <f t="shared" ca="1" si="260"/>
        <v>0.99841535987751584</v>
      </c>
      <c r="H2368" s="15">
        <f t="shared" ca="1" si="261"/>
        <v>2.1865788976155376E-2</v>
      </c>
      <c r="J2368" s="17">
        <f t="shared" ca="1" si="257"/>
        <v>1</v>
      </c>
      <c r="K2368" s="24">
        <f t="shared" ca="1" si="258"/>
        <v>0</v>
      </c>
      <c r="L2368" s="17">
        <f t="shared" ca="1" si="259"/>
        <v>1</v>
      </c>
      <c r="N2368" s="24" t="str">
        <f ca="1">IF(AND(L2368=1,L2367&lt;&gt;1),MAX($N$8:N2367)+1,"")</f>
        <v/>
      </c>
      <c r="O2368" s="24" t="str">
        <f ca="1">IF(AND(L2368&lt;&gt;1,L2367=1),MAX($O$8:O2367)+1,"")</f>
        <v/>
      </c>
      <c r="P2368" s="17" t="str">
        <f ca="1">IF(AND(L2368=-1,L2367&lt;&gt;-1),MAX($P$8:P2367)+1,"")</f>
        <v/>
      </c>
      <c r="Q2368" s="24" t="str">
        <f ca="1">IF(AND(L2368&lt;&gt;-1,L2367=-1),MAX($Q$8:Q2367)+1,"")</f>
        <v/>
      </c>
    </row>
    <row r="2369" spans="1:17" x14ac:dyDescent="0.3">
      <c r="A2369" s="3">
        <v>43677</v>
      </c>
      <c r="B2369" s="9">
        <v>33.569431000000002</v>
      </c>
      <c r="C2369" s="9">
        <v>29.353981000000001</v>
      </c>
      <c r="E2369" s="14">
        <f t="shared" si="256"/>
        <v>1.1436074377782013</v>
      </c>
      <c r="F2369" s="18">
        <f t="shared" ca="1" si="255"/>
        <v>3.7129924278785373</v>
      </c>
      <c r="G2369" s="15">
        <f t="shared" ca="1" si="260"/>
        <v>1.0052028854397224</v>
      </c>
      <c r="H2369" s="15">
        <f t="shared" ca="1" si="261"/>
        <v>3.7275743225137152E-2</v>
      </c>
      <c r="J2369" s="17">
        <f t="shared" ca="1" si="257"/>
        <v>1</v>
      </c>
      <c r="K2369" s="24">
        <f t="shared" ca="1" si="258"/>
        <v>0</v>
      </c>
      <c r="L2369" s="17">
        <f t="shared" ca="1" si="259"/>
        <v>1</v>
      </c>
      <c r="N2369" s="24" t="str">
        <f ca="1">IF(AND(L2369=1,L2368&lt;&gt;1),MAX($N$8:N2368)+1,"")</f>
        <v/>
      </c>
      <c r="O2369" s="24" t="str">
        <f ca="1">IF(AND(L2369&lt;&gt;1,L2368=1),MAX($O$8:O2368)+1,"")</f>
        <v/>
      </c>
      <c r="P2369" s="17" t="str">
        <f ca="1">IF(AND(L2369=-1,L2368&lt;&gt;-1),MAX($P$8:P2368)+1,"")</f>
        <v/>
      </c>
      <c r="Q2369" s="24" t="str">
        <f ca="1">IF(AND(L2369&lt;&gt;-1,L2368=-1),MAX($Q$8:Q2368)+1,"")</f>
        <v/>
      </c>
    </row>
    <row r="2370" spans="1:17" x14ac:dyDescent="0.3">
      <c r="A2370" s="3">
        <v>43678</v>
      </c>
      <c r="B2370" s="9">
        <v>33.641768999999996</v>
      </c>
      <c r="C2370" s="9">
        <v>32.008643999999997</v>
      </c>
      <c r="E2370" s="14">
        <f t="shared" si="256"/>
        <v>1.0510213741013208</v>
      </c>
      <c r="F2370" s="18">
        <f t="shared" ref="F2370:F2433" ca="1" si="262">IF(ISNUMBER(G2370),(E2370-G2370)/H2370,"")</f>
        <v>1.1229605816266062</v>
      </c>
      <c r="G2370" s="15">
        <f t="shared" ca="1" si="260"/>
        <v>1.008062457988955</v>
      </c>
      <c r="H2370" s="15">
        <f t="shared" ca="1" si="261"/>
        <v>3.825505259511415E-2</v>
      </c>
      <c r="J2370" s="17">
        <f t="shared" ca="1" si="257"/>
        <v>1</v>
      </c>
      <c r="K2370" s="24">
        <f t="shared" ca="1" si="258"/>
        <v>0</v>
      </c>
      <c r="L2370" s="17">
        <f t="shared" ca="1" si="259"/>
        <v>1</v>
      </c>
      <c r="N2370" s="24" t="str">
        <f ca="1">IF(AND(L2370=1,L2369&lt;&gt;1),MAX($N$8:N2369)+1,"")</f>
        <v/>
      </c>
      <c r="O2370" s="24" t="str">
        <f ca="1">IF(AND(L2370&lt;&gt;1,L2369=1),MAX($O$8:O2369)+1,"")</f>
        <v/>
      </c>
      <c r="P2370" s="17" t="str">
        <f ca="1">IF(AND(L2370=-1,L2369&lt;&gt;-1),MAX($P$8:P2369)+1,"")</f>
        <v/>
      </c>
      <c r="Q2370" s="24" t="str">
        <f ca="1">IF(AND(L2370&lt;&gt;-1,L2369=-1),MAX($Q$8:Q2369)+1,"")</f>
        <v/>
      </c>
    </row>
    <row r="2371" spans="1:17" x14ac:dyDescent="0.3">
      <c r="A2371" s="3">
        <v>43679</v>
      </c>
      <c r="B2371" s="9">
        <v>33.689999</v>
      </c>
      <c r="C2371" s="9">
        <v>32.099705</v>
      </c>
      <c r="E2371" s="14">
        <f t="shared" ref="E2371:E2434" si="263">IF(ISNUMBER(B2371),B2371/C2371,"")</f>
        <v>1.0495423244543836</v>
      </c>
      <c r="F2371" s="18">
        <f t="shared" ca="1" si="262"/>
        <v>0.99113965574910423</v>
      </c>
      <c r="G2371" s="15">
        <f t="shared" ca="1" si="260"/>
        <v>1.0111556959715664</v>
      </c>
      <c r="H2371" s="15">
        <f t="shared" ca="1" si="261"/>
        <v>3.8729787734912598E-2</v>
      </c>
      <c r="J2371" s="17">
        <f t="shared" ca="1" si="257"/>
        <v>1</v>
      </c>
      <c r="K2371" s="24">
        <f t="shared" ca="1" si="258"/>
        <v>0</v>
      </c>
      <c r="L2371" s="17">
        <f t="shared" ca="1" si="259"/>
        <v>1</v>
      </c>
      <c r="N2371" s="24" t="str">
        <f ca="1">IF(AND(L2371=1,L2370&lt;&gt;1),MAX($N$8:N2370)+1,"")</f>
        <v/>
      </c>
      <c r="O2371" s="24" t="str">
        <f ca="1">IF(AND(L2371&lt;&gt;1,L2370=1),MAX($O$8:O2370)+1,"")</f>
        <v/>
      </c>
      <c r="P2371" s="17" t="str">
        <f ca="1">IF(AND(L2371=-1,L2370&lt;&gt;-1),MAX($P$8:P2370)+1,"")</f>
        <v/>
      </c>
      <c r="Q2371" s="24" t="str">
        <f ca="1">IF(AND(L2371&lt;&gt;-1,L2370=-1),MAX($Q$8:Q2370)+1,"")</f>
        <v/>
      </c>
    </row>
    <row r="2372" spans="1:17" x14ac:dyDescent="0.3">
      <c r="A2372" s="3">
        <v>43682</v>
      </c>
      <c r="B2372" s="9">
        <v>33.227035999999998</v>
      </c>
      <c r="C2372" s="9">
        <v>31.51914</v>
      </c>
      <c r="E2372" s="14">
        <f t="shared" si="263"/>
        <v>1.0541859961915203</v>
      </c>
      <c r="F2372" s="18">
        <f t="shared" ca="1" si="262"/>
        <v>1.0144606006069905</v>
      </c>
      <c r="G2372" s="15">
        <f t="shared" ca="1" si="260"/>
        <v>1.0144824509841561</v>
      </c>
      <c r="H2372" s="15">
        <f t="shared" ca="1" si="261"/>
        <v>3.9137592119011855E-2</v>
      </c>
      <c r="J2372" s="17">
        <f t="shared" ca="1" si="257"/>
        <v>1</v>
      </c>
      <c r="K2372" s="24">
        <f t="shared" ca="1" si="258"/>
        <v>0</v>
      </c>
      <c r="L2372" s="17">
        <f t="shared" ca="1" si="259"/>
        <v>1</v>
      </c>
      <c r="N2372" s="24" t="str">
        <f ca="1">IF(AND(L2372=1,L2371&lt;&gt;1),MAX($N$8:N2371)+1,"")</f>
        <v/>
      </c>
      <c r="O2372" s="24" t="str">
        <f ca="1">IF(AND(L2372&lt;&gt;1,L2371=1),MAX($O$8:O2371)+1,"")</f>
        <v/>
      </c>
      <c r="P2372" s="17" t="str">
        <f ca="1">IF(AND(L2372=-1,L2371&lt;&gt;-1),MAX($P$8:P2371)+1,"")</f>
        <v/>
      </c>
      <c r="Q2372" s="24" t="str">
        <f ca="1">IF(AND(L2372&lt;&gt;-1,L2371=-1),MAX($Q$8:Q2371)+1,"")</f>
        <v/>
      </c>
    </row>
    <row r="2373" spans="1:17" x14ac:dyDescent="0.3">
      <c r="A2373" s="3">
        <v>43683</v>
      </c>
      <c r="B2373" s="9">
        <v>34.230117999999997</v>
      </c>
      <c r="C2373" s="9">
        <v>31.996694999999999</v>
      </c>
      <c r="E2373" s="14">
        <f t="shared" si="263"/>
        <v>1.0698016779545512</v>
      </c>
      <c r="F2373" s="18">
        <f t="shared" ca="1" si="262"/>
        <v>1.2826031712808723</v>
      </c>
      <c r="G2373" s="15">
        <f t="shared" ca="1" si="260"/>
        <v>1.0187803474144168</v>
      </c>
      <c r="H2373" s="15">
        <f t="shared" ca="1" si="261"/>
        <v>3.9779513790833589E-2</v>
      </c>
      <c r="J2373" s="17">
        <f t="shared" ca="1" si="257"/>
        <v>1</v>
      </c>
      <c r="K2373" s="24">
        <f t="shared" ca="1" si="258"/>
        <v>0</v>
      </c>
      <c r="L2373" s="17">
        <f t="shared" ca="1" si="259"/>
        <v>1</v>
      </c>
      <c r="N2373" s="24" t="str">
        <f ca="1">IF(AND(L2373=1,L2372&lt;&gt;1),MAX($N$8:N2372)+1,"")</f>
        <v/>
      </c>
      <c r="O2373" s="24" t="str">
        <f ca="1">IF(AND(L2373&lt;&gt;1,L2372=1),MAX($O$8:O2372)+1,"")</f>
        <v/>
      </c>
      <c r="P2373" s="17" t="str">
        <f ca="1">IF(AND(L2373=-1,L2372&lt;&gt;-1),MAX($P$8:P2372)+1,"")</f>
        <v/>
      </c>
      <c r="Q2373" s="24" t="str">
        <f ca="1">IF(AND(L2373&lt;&gt;-1,L2372=-1),MAX($Q$8:Q2372)+1,"")</f>
        <v/>
      </c>
    </row>
    <row r="2374" spans="1:17" x14ac:dyDescent="0.3">
      <c r="A2374" s="3">
        <v>43684</v>
      </c>
      <c r="B2374" s="9">
        <v>35.493609999999997</v>
      </c>
      <c r="C2374" s="9">
        <v>32.670901999999998</v>
      </c>
      <c r="E2374" s="14">
        <f t="shared" si="263"/>
        <v>1.0863982267768426</v>
      </c>
      <c r="F2374" s="18">
        <f t="shared" ca="1" si="262"/>
        <v>1.5251490181809755</v>
      </c>
      <c r="G2374" s="15">
        <f t="shared" ca="1" si="260"/>
        <v>1.0237279523716969</v>
      </c>
      <c r="H2374" s="15">
        <f t="shared" ca="1" si="261"/>
        <v>4.1091246598245007E-2</v>
      </c>
      <c r="J2374" s="17">
        <f t="shared" ca="1" si="257"/>
        <v>1</v>
      </c>
      <c r="K2374" s="24">
        <f t="shared" ca="1" si="258"/>
        <v>0</v>
      </c>
      <c r="L2374" s="17">
        <f t="shared" ca="1" si="259"/>
        <v>1</v>
      </c>
      <c r="N2374" s="24" t="str">
        <f ca="1">IF(AND(L2374=1,L2373&lt;&gt;1),MAX($N$8:N2373)+1,"")</f>
        <v/>
      </c>
      <c r="O2374" s="24" t="str">
        <f ca="1">IF(AND(L2374&lt;&gt;1,L2373=1),MAX($O$8:O2373)+1,"")</f>
        <v/>
      </c>
      <c r="P2374" s="17" t="str">
        <f ca="1">IF(AND(L2374=-1,L2373&lt;&gt;-1),MAX($P$8:P2373)+1,"")</f>
        <v/>
      </c>
      <c r="Q2374" s="24" t="str">
        <f ca="1">IF(AND(L2374&lt;&gt;-1,L2373=-1),MAX($Q$8:Q2373)+1,"")</f>
        <v/>
      </c>
    </row>
    <row r="2375" spans="1:17" x14ac:dyDescent="0.3">
      <c r="A2375" s="3">
        <v>43685</v>
      </c>
      <c r="B2375" s="9">
        <v>35.686503999999999</v>
      </c>
      <c r="C2375" s="9">
        <v>32.830097000000002</v>
      </c>
      <c r="E2375" s="14">
        <f t="shared" si="263"/>
        <v>1.0870057435407516</v>
      </c>
      <c r="F2375" s="18">
        <f t="shared" ca="1" si="262"/>
        <v>1.3928163989698177</v>
      </c>
      <c r="G2375" s="15">
        <f t="shared" ca="1" si="260"/>
        <v>1.0286186538493007</v>
      </c>
      <c r="H2375" s="15">
        <f t="shared" ca="1" si="261"/>
        <v>4.1920162438234009E-2</v>
      </c>
      <c r="J2375" s="17">
        <f t="shared" ca="1" si="257"/>
        <v>1</v>
      </c>
      <c r="K2375" s="24">
        <f t="shared" ca="1" si="258"/>
        <v>0</v>
      </c>
      <c r="L2375" s="17">
        <f t="shared" ca="1" si="259"/>
        <v>1</v>
      </c>
      <c r="N2375" s="24" t="str">
        <f ca="1">IF(AND(L2375=1,L2374&lt;&gt;1),MAX($N$8:N2374)+1,"")</f>
        <v/>
      </c>
      <c r="O2375" s="24" t="str">
        <f ca="1">IF(AND(L2375&lt;&gt;1,L2374=1),MAX($O$8:O2374)+1,"")</f>
        <v/>
      </c>
      <c r="P2375" s="17" t="str">
        <f ca="1">IF(AND(L2375=-1,L2374&lt;&gt;-1),MAX($P$8:P2374)+1,"")</f>
        <v/>
      </c>
      <c r="Q2375" s="24" t="str">
        <f ca="1">IF(AND(L2375&lt;&gt;-1,L2374=-1),MAX($Q$8:Q2374)+1,"")</f>
        <v/>
      </c>
    </row>
    <row r="2376" spans="1:17" x14ac:dyDescent="0.3">
      <c r="A2376" s="3">
        <v>43686</v>
      </c>
      <c r="B2376" s="9">
        <v>35.416457999999999</v>
      </c>
      <c r="C2376" s="9">
        <v>32.286987000000003</v>
      </c>
      <c r="E2376" s="14">
        <f t="shared" si="263"/>
        <v>1.0969266968144162</v>
      </c>
      <c r="F2376" s="18">
        <f t="shared" ca="1" si="262"/>
        <v>1.4699280609514866</v>
      </c>
      <c r="G2376" s="15">
        <f t="shared" ca="1" si="260"/>
        <v>1.0338750006686159</v>
      </c>
      <c r="H2376" s="15">
        <f t="shared" ca="1" si="261"/>
        <v>4.2894409475377218E-2</v>
      </c>
      <c r="J2376" s="17">
        <f t="shared" ref="J2376:J2439" ca="1" si="264">IF(ISNUMBER(F2376),IF(AND(J2375&lt;&gt;1,F2376&gt;$L$1),1,IF(AND(J2375=1,F2376&gt;$N$1),1,0)),"")</f>
        <v>1</v>
      </c>
      <c r="K2376" s="24">
        <f t="shared" ca="1" si="258"/>
        <v>0</v>
      </c>
      <c r="L2376" s="17">
        <f t="shared" ca="1" si="259"/>
        <v>1</v>
      </c>
      <c r="N2376" s="24" t="str">
        <f ca="1">IF(AND(L2376=1,L2375&lt;&gt;1),MAX($N$8:N2375)+1,"")</f>
        <v/>
      </c>
      <c r="O2376" s="24" t="str">
        <f ca="1">IF(AND(L2376&lt;&gt;1,L2375=1),MAX($O$8:O2375)+1,"")</f>
        <v/>
      </c>
      <c r="P2376" s="17" t="str">
        <f ca="1">IF(AND(L2376=-1,L2375&lt;&gt;-1),MAX($P$8:P2375)+1,"")</f>
        <v/>
      </c>
      <c r="Q2376" s="24" t="str">
        <f ca="1">IF(AND(L2376&lt;&gt;-1,L2375=-1),MAX($Q$8:Q2375)+1,"")</f>
        <v/>
      </c>
    </row>
    <row r="2377" spans="1:17" x14ac:dyDescent="0.3">
      <c r="A2377" s="3">
        <v>43689</v>
      </c>
      <c r="B2377" s="9">
        <v>33.950412999999998</v>
      </c>
      <c r="C2377" s="9">
        <v>31.612780000000001</v>
      </c>
      <c r="E2377" s="14">
        <f t="shared" si="263"/>
        <v>1.073945821911265</v>
      </c>
      <c r="F2377" s="18">
        <f t="shared" ca="1" si="262"/>
        <v>0.85192803464483258</v>
      </c>
      <c r="G2377" s="15">
        <f t="shared" ca="1" si="260"/>
        <v>1.0377670824642744</v>
      </c>
      <c r="H2377" s="15">
        <f t="shared" ca="1" si="261"/>
        <v>4.2466896235048103E-2</v>
      </c>
      <c r="J2377" s="17">
        <f t="shared" ca="1" si="264"/>
        <v>1</v>
      </c>
      <c r="K2377" s="24">
        <f t="shared" ref="K2377:K2440" ca="1" si="265">IF(ISNUMBER(F2377),IF(AND(K2376&lt;&gt;-1,F2377&lt;$P$1),-1,IF(AND(K2376=-1,F2377&lt;R2370),-1,0)),"")</f>
        <v>0</v>
      </c>
      <c r="L2377" s="17">
        <f t="shared" ref="L2377:L2440" ca="1" si="266">IF(ISNUMBER(F2377),IF(J2377=1,1,IF(K2377=-1,-1,0)),"")</f>
        <v>1</v>
      </c>
      <c r="N2377" s="24" t="str">
        <f ca="1">IF(AND(L2377=1,L2376&lt;&gt;1),MAX($N$8:N2376)+1,"")</f>
        <v/>
      </c>
      <c r="O2377" s="24" t="str">
        <f ca="1">IF(AND(L2377&lt;&gt;1,L2376=1),MAX($O$8:O2376)+1,"")</f>
        <v/>
      </c>
      <c r="P2377" s="17" t="str">
        <f ca="1">IF(AND(L2377=-1,L2376&lt;&gt;-1),MAX($P$8:P2376)+1,"")</f>
        <v/>
      </c>
      <c r="Q2377" s="24" t="str">
        <f ca="1">IF(AND(L2377&lt;&gt;-1,L2376=-1),MAX($Q$8:Q2376)+1,"")</f>
        <v/>
      </c>
    </row>
    <row r="2378" spans="1:17" x14ac:dyDescent="0.3">
      <c r="A2378" s="3">
        <v>43690</v>
      </c>
      <c r="B2378" s="9">
        <v>34.615912999999999</v>
      </c>
      <c r="C2378" s="9">
        <v>31.931152000000001</v>
      </c>
      <c r="E2378" s="14">
        <f t="shared" si="263"/>
        <v>1.0840796786786771</v>
      </c>
      <c r="F2378" s="18">
        <f t="shared" ca="1" si="262"/>
        <v>0.99710493087695473</v>
      </c>
      <c r="G2378" s="15">
        <f t="shared" ca="1" si="260"/>
        <v>1.0421188058370332</v>
      </c>
      <c r="H2378" s="15">
        <f t="shared" ca="1" si="261"/>
        <v>4.2082705182030562E-2</v>
      </c>
      <c r="J2378" s="17">
        <f t="shared" ca="1" si="264"/>
        <v>1</v>
      </c>
      <c r="K2378" s="24">
        <f t="shared" ca="1" si="265"/>
        <v>0</v>
      </c>
      <c r="L2378" s="17">
        <f t="shared" ca="1" si="266"/>
        <v>1</v>
      </c>
      <c r="N2378" s="24" t="str">
        <f ca="1">IF(AND(L2378=1,L2377&lt;&gt;1),MAX($N$8:N2377)+1,"")</f>
        <v/>
      </c>
      <c r="O2378" s="24" t="str">
        <f ca="1">IF(AND(L2378&lt;&gt;1,L2377=1),MAX($O$8:O2377)+1,"")</f>
        <v/>
      </c>
      <c r="P2378" s="17" t="str">
        <f ca="1">IF(AND(L2378=-1,L2377&lt;&gt;-1),MAX($P$8:P2377)+1,"")</f>
        <v/>
      </c>
      <c r="Q2378" s="24" t="str">
        <f ca="1">IF(AND(L2378&lt;&gt;-1,L2377=-1),MAX($Q$8:Q2377)+1,"")</f>
        <v/>
      </c>
    </row>
    <row r="2379" spans="1:17" x14ac:dyDescent="0.3">
      <c r="A2379" s="3">
        <v>43691</v>
      </c>
      <c r="B2379" s="9">
        <v>33.853957999999999</v>
      </c>
      <c r="C2379" s="9">
        <v>31.303771999999999</v>
      </c>
      <c r="E2379" s="14">
        <f t="shared" si="263"/>
        <v>1.0814657735176452</v>
      </c>
      <c r="F2379" s="18">
        <f t="shared" ca="1" si="262"/>
        <v>0.85336320376301888</v>
      </c>
      <c r="G2379" s="15">
        <f t="shared" ca="1" si="260"/>
        <v>1.0462854945754509</v>
      </c>
      <c r="H2379" s="15">
        <f t="shared" ca="1" si="261"/>
        <v>4.1225446312967429E-2</v>
      </c>
      <c r="J2379" s="17">
        <f t="shared" ca="1" si="264"/>
        <v>1</v>
      </c>
      <c r="K2379" s="24">
        <f t="shared" ca="1" si="265"/>
        <v>0</v>
      </c>
      <c r="L2379" s="17">
        <f t="shared" ca="1" si="266"/>
        <v>1</v>
      </c>
      <c r="N2379" s="24" t="str">
        <f ca="1">IF(AND(L2379=1,L2378&lt;&gt;1),MAX($N$8:N2378)+1,"")</f>
        <v/>
      </c>
      <c r="O2379" s="24" t="str">
        <f ca="1">IF(AND(L2379&lt;&gt;1,L2378=1),MAX($O$8:O2378)+1,"")</f>
        <v/>
      </c>
      <c r="P2379" s="17" t="str">
        <f ca="1">IF(AND(L2379=-1,L2378&lt;&gt;-1),MAX($P$8:P2378)+1,"")</f>
        <v/>
      </c>
      <c r="Q2379" s="24" t="str">
        <f ca="1">IF(AND(L2379&lt;&gt;-1,L2378=-1),MAX($Q$8:Q2378)+1,"")</f>
        <v/>
      </c>
    </row>
    <row r="2380" spans="1:17" x14ac:dyDescent="0.3">
      <c r="A2380" s="3">
        <v>43692</v>
      </c>
      <c r="B2380" s="9">
        <v>33.757503999999997</v>
      </c>
      <c r="C2380" s="9">
        <v>31.088398000000002</v>
      </c>
      <c r="E2380" s="14">
        <f t="shared" si="263"/>
        <v>1.0858553727985596</v>
      </c>
      <c r="F2380" s="18">
        <f t="shared" ca="1" si="262"/>
        <v>0.87712314900146948</v>
      </c>
      <c r="G2380" s="15">
        <f t="shared" ca="1" si="260"/>
        <v>1.0504904039974863</v>
      </c>
      <c r="H2380" s="15">
        <f t="shared" ca="1" si="261"/>
        <v>4.0319274256224273E-2</v>
      </c>
      <c r="J2380" s="17">
        <f t="shared" ca="1" si="264"/>
        <v>1</v>
      </c>
      <c r="K2380" s="24">
        <f t="shared" ca="1" si="265"/>
        <v>0</v>
      </c>
      <c r="L2380" s="17">
        <f t="shared" ca="1" si="266"/>
        <v>1</v>
      </c>
      <c r="N2380" s="24" t="str">
        <f ca="1">IF(AND(L2380=1,L2379&lt;&gt;1),MAX($N$8:N2379)+1,"")</f>
        <v/>
      </c>
      <c r="O2380" s="24" t="str">
        <f ca="1">IF(AND(L2380&lt;&gt;1,L2379=1),MAX($O$8:O2379)+1,"")</f>
        <v/>
      </c>
      <c r="P2380" s="17" t="str">
        <f ca="1">IF(AND(L2380=-1,L2379&lt;&gt;-1),MAX($P$8:P2379)+1,"")</f>
        <v/>
      </c>
      <c r="Q2380" s="24" t="str">
        <f ca="1">IF(AND(L2380&lt;&gt;-1,L2379=-1),MAX($Q$8:Q2379)+1,"")</f>
        <v/>
      </c>
    </row>
    <row r="2381" spans="1:17" x14ac:dyDescent="0.3">
      <c r="A2381" s="3">
        <v>43693</v>
      </c>
      <c r="B2381" s="9">
        <v>33.657176999999997</v>
      </c>
      <c r="C2381" s="9">
        <v>31.153938</v>
      </c>
      <c r="E2381" s="14">
        <f t="shared" si="263"/>
        <v>1.0803506445958773</v>
      </c>
      <c r="F2381" s="18">
        <f t="shared" ca="1" si="262"/>
        <v>0.6683242202898988</v>
      </c>
      <c r="G2381" s="15">
        <f t="shared" ca="1" si="260"/>
        <v>1.0543296113001543</v>
      </c>
      <c r="H2381" s="15">
        <f t="shared" ca="1" si="261"/>
        <v>3.893474530136852E-2</v>
      </c>
      <c r="J2381" s="17">
        <f t="shared" ca="1" si="264"/>
        <v>1</v>
      </c>
      <c r="K2381" s="24">
        <f t="shared" ca="1" si="265"/>
        <v>0</v>
      </c>
      <c r="L2381" s="17">
        <f t="shared" ca="1" si="266"/>
        <v>1</v>
      </c>
      <c r="N2381" s="24" t="str">
        <f ca="1">IF(AND(L2381=1,L2380&lt;&gt;1),MAX($N$8:N2380)+1,"")</f>
        <v/>
      </c>
      <c r="O2381" s="24" t="str">
        <f ca="1">IF(AND(L2381&lt;&gt;1,L2380=1),MAX($O$8:O2380)+1,"")</f>
        <v/>
      </c>
      <c r="P2381" s="17" t="str">
        <f ca="1">IF(AND(L2381=-1,L2380&lt;&gt;-1),MAX($P$8:P2380)+1,"")</f>
        <v/>
      </c>
      <c r="Q2381" s="24" t="str">
        <f ca="1">IF(AND(L2381&lt;&gt;-1,L2380=-1),MAX($Q$8:Q2380)+1,"")</f>
        <v/>
      </c>
    </row>
    <row r="2382" spans="1:17" x14ac:dyDescent="0.3">
      <c r="A2382" s="3">
        <v>43696</v>
      </c>
      <c r="B2382" s="9">
        <v>33.510207999999999</v>
      </c>
      <c r="C2382" s="9">
        <v>30.704477000000001</v>
      </c>
      <c r="E2382" s="14">
        <f t="shared" si="263"/>
        <v>1.0913785634583517</v>
      </c>
      <c r="F2382" s="18">
        <f t="shared" ca="1" si="262"/>
        <v>0.87058514936558606</v>
      </c>
      <c r="G2382" s="15">
        <f t="shared" ca="1" si="260"/>
        <v>1.0584543884169979</v>
      </c>
      <c r="H2382" s="15">
        <f t="shared" ca="1" si="261"/>
        <v>3.7818443222178047E-2</v>
      </c>
      <c r="J2382" s="17">
        <f t="shared" ca="1" si="264"/>
        <v>1</v>
      </c>
      <c r="K2382" s="24">
        <f t="shared" ca="1" si="265"/>
        <v>0</v>
      </c>
      <c r="L2382" s="17">
        <f t="shared" ca="1" si="266"/>
        <v>1</v>
      </c>
      <c r="N2382" s="24" t="str">
        <f ca="1">IF(AND(L2382=1,L2381&lt;&gt;1),MAX($N$8:N2381)+1,"")</f>
        <v/>
      </c>
      <c r="O2382" s="24" t="str">
        <f ca="1">IF(AND(L2382&lt;&gt;1,L2381=1),MAX($O$8:O2381)+1,"")</f>
        <v/>
      </c>
      <c r="P2382" s="17" t="str">
        <f ca="1">IF(AND(L2382=-1,L2381&lt;&gt;-1),MAX($P$8:P2381)+1,"")</f>
        <v/>
      </c>
      <c r="Q2382" s="24" t="str">
        <f ca="1">IF(AND(L2382&lt;&gt;-1,L2381=-1),MAX($Q$8:Q2381)+1,"")</f>
        <v/>
      </c>
    </row>
    <row r="2383" spans="1:17" x14ac:dyDescent="0.3">
      <c r="A2383" s="3">
        <v>43697</v>
      </c>
      <c r="B2383" s="9">
        <v>33.137870999999997</v>
      </c>
      <c r="C2383" s="9">
        <v>30.404827000000001</v>
      </c>
      <c r="E2383" s="14">
        <f t="shared" si="263"/>
        <v>1.0898884904031849</v>
      </c>
      <c r="F2383" s="18">
        <f t="shared" ca="1" si="262"/>
        <v>0.75881641945956146</v>
      </c>
      <c r="G2383" s="15">
        <f t="shared" ca="1" si="260"/>
        <v>1.062666925295231</v>
      </c>
      <c r="H2383" s="15">
        <f t="shared" ca="1" si="261"/>
        <v>3.5873716500944279E-2</v>
      </c>
      <c r="J2383" s="17">
        <f t="shared" ca="1" si="264"/>
        <v>1</v>
      </c>
      <c r="K2383" s="24">
        <f t="shared" ca="1" si="265"/>
        <v>0</v>
      </c>
      <c r="L2383" s="17">
        <f t="shared" ca="1" si="266"/>
        <v>1</v>
      </c>
      <c r="N2383" s="24" t="str">
        <f ca="1">IF(AND(L2383=1,L2382&lt;&gt;1),MAX($N$8:N2382)+1,"")</f>
        <v/>
      </c>
      <c r="O2383" s="24" t="str">
        <f ca="1">IF(AND(L2383&lt;&gt;1,L2382=1),MAX($O$8:O2382)+1,"")</f>
        <v/>
      </c>
      <c r="P2383" s="17" t="str">
        <f ca="1">IF(AND(L2383=-1,L2382&lt;&gt;-1),MAX($P$8:P2382)+1,"")</f>
        <v/>
      </c>
      <c r="Q2383" s="24" t="str">
        <f ca="1">IF(AND(L2383&lt;&gt;-1,L2382=-1),MAX($Q$8:Q2382)+1,"")</f>
        <v/>
      </c>
    </row>
    <row r="2384" spans="1:17" x14ac:dyDescent="0.3">
      <c r="A2384" s="3">
        <v>43698</v>
      </c>
      <c r="B2384" s="9">
        <v>33.392628000000002</v>
      </c>
      <c r="C2384" s="9">
        <v>31.004125999999999</v>
      </c>
      <c r="E2384" s="14">
        <f t="shared" si="263"/>
        <v>1.0770381980772497</v>
      </c>
      <c r="F2384" s="18">
        <f t="shared" ca="1" si="262"/>
        <v>0.32708065023789529</v>
      </c>
      <c r="G2384" s="15">
        <f t="shared" ca="1" si="260"/>
        <v>1.0661521563740475</v>
      </c>
      <c r="H2384" s="15">
        <f t="shared" ca="1" si="261"/>
        <v>3.3282438735781038E-2</v>
      </c>
      <c r="J2384" s="17">
        <f t="shared" ca="1" si="264"/>
        <v>1</v>
      </c>
      <c r="K2384" s="24">
        <f t="shared" ca="1" si="265"/>
        <v>0</v>
      </c>
      <c r="L2384" s="17">
        <f t="shared" ca="1" si="266"/>
        <v>1</v>
      </c>
      <c r="N2384" s="24" t="str">
        <f ca="1">IF(AND(L2384=1,L2383&lt;&gt;1),MAX($N$8:N2383)+1,"")</f>
        <v/>
      </c>
      <c r="O2384" s="24" t="str">
        <f ca="1">IF(AND(L2384&lt;&gt;1,L2383=1),MAX($O$8:O2383)+1,"")</f>
        <v/>
      </c>
      <c r="P2384" s="17" t="str">
        <f ca="1">IF(AND(L2384=-1,L2383&lt;&gt;-1),MAX($P$8:P2383)+1,"")</f>
        <v/>
      </c>
      <c r="Q2384" s="24" t="str">
        <f ca="1">IF(AND(L2384&lt;&gt;-1,L2383=-1),MAX($Q$8:Q2383)+1,"")</f>
        <v/>
      </c>
    </row>
    <row r="2385" spans="1:17" x14ac:dyDescent="0.3">
      <c r="A2385" s="3">
        <v>43699</v>
      </c>
      <c r="B2385" s="9">
        <v>32.863514000000002</v>
      </c>
      <c r="C2385" s="9">
        <v>30.601472999999999</v>
      </c>
      <c r="E2385" s="14">
        <f t="shared" si="263"/>
        <v>1.0739193502221283</v>
      </c>
      <c r="F2385" s="18">
        <f t="shared" ca="1" si="262"/>
        <v>0.15360013667012465</v>
      </c>
      <c r="G2385" s="15">
        <f t="shared" ca="1" si="260"/>
        <v>1.0692094913056291</v>
      </c>
      <c r="H2385" s="15">
        <f t="shared" ca="1" si="261"/>
        <v>3.066311670421307E-2</v>
      </c>
      <c r="J2385" s="17">
        <f t="shared" ca="1" si="264"/>
        <v>1</v>
      </c>
      <c r="K2385" s="24">
        <f t="shared" ca="1" si="265"/>
        <v>0</v>
      </c>
      <c r="L2385" s="17">
        <f t="shared" ca="1" si="266"/>
        <v>1</v>
      </c>
      <c r="N2385" s="24" t="str">
        <f ca="1">IF(AND(L2385=1,L2384&lt;&gt;1),MAX($N$8:N2384)+1,"")</f>
        <v/>
      </c>
      <c r="O2385" s="24" t="str">
        <f ca="1">IF(AND(L2385&lt;&gt;1,L2384=1),MAX($O$8:O2384)+1,"")</f>
        <v/>
      </c>
      <c r="P2385" s="17" t="str">
        <f ca="1">IF(AND(L2385=-1,L2384&lt;&gt;-1),MAX($P$8:P2384)+1,"")</f>
        <v/>
      </c>
      <c r="Q2385" s="24" t="str">
        <f ca="1">IF(AND(L2385&lt;&gt;-1,L2384=-1),MAX($Q$8:Q2384)+1,"")</f>
        <v/>
      </c>
    </row>
    <row r="2386" spans="1:17" x14ac:dyDescent="0.3">
      <c r="A2386" s="3">
        <v>43700</v>
      </c>
      <c r="B2386" s="9">
        <v>32.481380000000001</v>
      </c>
      <c r="C2386" s="9">
        <v>29.936627999999999</v>
      </c>
      <c r="E2386" s="14">
        <f t="shared" si="263"/>
        <v>1.0850046304480252</v>
      </c>
      <c r="F2386" s="18">
        <f t="shared" ca="1" si="262"/>
        <v>0.45351347044404777</v>
      </c>
      <c r="G2386" s="15">
        <f t="shared" ca="1" si="260"/>
        <v>1.073652151003081</v>
      </c>
      <c r="H2386" s="15">
        <f t="shared" ca="1" si="261"/>
        <v>2.5032287208202851E-2</v>
      </c>
      <c r="J2386" s="17">
        <f t="shared" ca="1" si="264"/>
        <v>1</v>
      </c>
      <c r="K2386" s="24">
        <f t="shared" ca="1" si="265"/>
        <v>0</v>
      </c>
      <c r="L2386" s="17">
        <f t="shared" ca="1" si="266"/>
        <v>1</v>
      </c>
      <c r="N2386" s="24" t="str">
        <f ca="1">IF(AND(L2386=1,L2385&lt;&gt;1),MAX($N$8:N2385)+1,"")</f>
        <v/>
      </c>
      <c r="O2386" s="24" t="str">
        <f ca="1">IF(AND(L2386&lt;&gt;1,L2385=1),MAX($O$8:O2385)+1,"")</f>
        <v/>
      </c>
      <c r="P2386" s="17" t="str">
        <f ca="1">IF(AND(L2386=-1,L2385&lt;&gt;-1),MAX($P$8:P2385)+1,"")</f>
        <v/>
      </c>
      <c r="Q2386" s="24" t="str">
        <f ca="1">IF(AND(L2386&lt;&gt;-1,L2385=-1),MAX($Q$8:Q2385)+1,"")</f>
        <v/>
      </c>
    </row>
    <row r="2387" spans="1:17" x14ac:dyDescent="0.3">
      <c r="A2387" s="3">
        <v>43703</v>
      </c>
      <c r="B2387" s="9">
        <v>32.471584</v>
      </c>
      <c r="C2387" s="9">
        <v>29.627618999999999</v>
      </c>
      <c r="E2387" s="14">
        <f t="shared" si="263"/>
        <v>1.0959903325339779</v>
      </c>
      <c r="F2387" s="18">
        <f t="shared" ca="1" si="262"/>
        <v>0.84907769593452131</v>
      </c>
      <c r="G2387" s="15">
        <f t="shared" ca="1" si="260"/>
        <v>1.0772856312719763</v>
      </c>
      <c r="H2387" s="15">
        <f t="shared" ca="1" si="261"/>
        <v>2.2029434233830223E-2</v>
      </c>
      <c r="J2387" s="17">
        <f t="shared" ca="1" si="264"/>
        <v>1</v>
      </c>
      <c r="K2387" s="24">
        <f t="shared" ca="1" si="265"/>
        <v>0</v>
      </c>
      <c r="L2387" s="17">
        <f t="shared" ca="1" si="266"/>
        <v>1</v>
      </c>
      <c r="N2387" s="24" t="str">
        <f ca="1">IF(AND(L2387=1,L2386&lt;&gt;1),MAX($N$8:N2386)+1,"")</f>
        <v/>
      </c>
      <c r="O2387" s="24" t="str">
        <f ca="1">IF(AND(L2387&lt;&gt;1,L2386=1),MAX($O$8:O2386)+1,"")</f>
        <v/>
      </c>
      <c r="P2387" s="17" t="str">
        <f ca="1">IF(AND(L2387=-1,L2386&lt;&gt;-1),MAX($P$8:P2386)+1,"")</f>
        <v/>
      </c>
      <c r="Q2387" s="24" t="str">
        <f ca="1">IF(AND(L2387&lt;&gt;-1,L2386=-1),MAX($Q$8:Q2386)+1,"")</f>
        <v/>
      </c>
    </row>
    <row r="2388" spans="1:17" x14ac:dyDescent="0.3">
      <c r="A2388" s="3">
        <v>43704</v>
      </c>
      <c r="B2388" s="9">
        <v>32.853713999999997</v>
      </c>
      <c r="C2388" s="9">
        <v>30.002178000000001</v>
      </c>
      <c r="E2388" s="14">
        <f t="shared" si="263"/>
        <v>1.0950442997838357</v>
      </c>
      <c r="F2388" s="18">
        <f t="shared" ca="1" si="262"/>
        <v>0.73147716985569167</v>
      </c>
      <c r="G2388" s="15">
        <f t="shared" ca="1" si="260"/>
        <v>1.0794369446171646</v>
      </c>
      <c r="H2388" s="15">
        <f t="shared" ca="1" si="261"/>
        <v>2.1336763209916974E-2</v>
      </c>
      <c r="J2388" s="17">
        <f t="shared" ca="1" si="264"/>
        <v>1</v>
      </c>
      <c r="K2388" s="24">
        <f t="shared" ca="1" si="265"/>
        <v>0</v>
      </c>
      <c r="L2388" s="17">
        <f t="shared" ca="1" si="266"/>
        <v>1</v>
      </c>
      <c r="N2388" s="24" t="str">
        <f ca="1">IF(AND(L2388=1,L2387&lt;&gt;1),MAX($N$8:N2387)+1,"")</f>
        <v/>
      </c>
      <c r="O2388" s="24" t="str">
        <f ca="1">IF(AND(L2388&lt;&gt;1,L2387=1),MAX($O$8:O2387)+1,"")</f>
        <v/>
      </c>
      <c r="P2388" s="17" t="str">
        <f ca="1">IF(AND(L2388=-1,L2387&lt;&gt;-1),MAX($P$8:P2387)+1,"")</f>
        <v/>
      </c>
      <c r="Q2388" s="24" t="str">
        <f ca="1">IF(AND(L2388&lt;&gt;-1,L2387=-1),MAX($Q$8:Q2387)+1,"")</f>
        <v/>
      </c>
    </row>
    <row r="2389" spans="1:17" x14ac:dyDescent="0.3">
      <c r="A2389" s="3">
        <v>43705</v>
      </c>
      <c r="B2389" s="9">
        <v>33.226055000000002</v>
      </c>
      <c r="C2389" s="9">
        <v>29.824259000000001</v>
      </c>
      <c r="E2389" s="14">
        <f t="shared" si="263"/>
        <v>1.1140613753387805</v>
      </c>
      <c r="F2389" s="18">
        <f t="shared" ca="1" si="262"/>
        <v>1.4661088363734436</v>
      </c>
      <c r="G2389" s="15">
        <f t="shared" ca="1" si="260"/>
        <v>1.0821530007561229</v>
      </c>
      <c r="H2389" s="15">
        <f t="shared" ca="1" si="261"/>
        <v>2.1763987632450219E-2</v>
      </c>
      <c r="J2389" s="17">
        <f t="shared" ca="1" si="264"/>
        <v>1</v>
      </c>
      <c r="K2389" s="24">
        <f t="shared" ca="1" si="265"/>
        <v>0</v>
      </c>
      <c r="L2389" s="17">
        <f t="shared" ca="1" si="266"/>
        <v>1</v>
      </c>
      <c r="N2389" s="24" t="str">
        <f ca="1">IF(AND(L2389=1,L2388&lt;&gt;1),MAX($N$8:N2388)+1,"")</f>
        <v/>
      </c>
      <c r="O2389" s="24" t="str">
        <f ca="1">IF(AND(L2389&lt;&gt;1,L2388=1),MAX($O$8:O2388)+1,"")</f>
        <v/>
      </c>
      <c r="P2389" s="17" t="str">
        <f ca="1">IF(AND(L2389=-1,L2388&lt;&gt;-1),MAX($P$8:P2388)+1,"")</f>
        <v/>
      </c>
      <c r="Q2389" s="24" t="str">
        <f ca="1">IF(AND(L2389&lt;&gt;-1,L2388=-1),MAX($Q$8:Q2388)+1,"")</f>
        <v/>
      </c>
    </row>
    <row r="2390" spans="1:17" x14ac:dyDescent="0.3">
      <c r="A2390" s="3">
        <v>43706</v>
      </c>
      <c r="B2390" s="9">
        <v>33.402419999999999</v>
      </c>
      <c r="C2390" s="9">
        <v>30.386099000000002</v>
      </c>
      <c r="E2390" s="14">
        <f t="shared" si="263"/>
        <v>1.0992664770821683</v>
      </c>
      <c r="F2390" s="18">
        <f t="shared" ca="1" si="262"/>
        <v>0.72075354120626334</v>
      </c>
      <c r="G2390" s="15">
        <f t="shared" ca="1" si="260"/>
        <v>1.084808113020987</v>
      </c>
      <c r="H2390" s="15">
        <f t="shared" ca="1" si="261"/>
        <v>2.0060066631075527E-2</v>
      </c>
      <c r="J2390" s="17">
        <f t="shared" ca="1" si="264"/>
        <v>1</v>
      </c>
      <c r="K2390" s="24">
        <f t="shared" ca="1" si="265"/>
        <v>0</v>
      </c>
      <c r="L2390" s="17">
        <f t="shared" ca="1" si="266"/>
        <v>1</v>
      </c>
      <c r="N2390" s="24" t="str">
        <f ca="1">IF(AND(L2390=1,L2389&lt;&gt;1),MAX($N$8:N2389)+1,"")</f>
        <v/>
      </c>
      <c r="O2390" s="24" t="str">
        <f ca="1">IF(AND(L2390&lt;&gt;1,L2389=1),MAX($O$8:O2389)+1,"")</f>
        <v/>
      </c>
      <c r="P2390" s="17" t="str">
        <f ca="1">IF(AND(L2390=-1,L2389&lt;&gt;-1),MAX($P$8:P2389)+1,"")</f>
        <v/>
      </c>
      <c r="Q2390" s="24" t="str">
        <f ca="1">IF(AND(L2390&lt;&gt;-1,L2389=-1),MAX($Q$8:Q2389)+1,"")</f>
        <v/>
      </c>
    </row>
    <row r="2391" spans="1:17" x14ac:dyDescent="0.3">
      <c r="A2391" s="3">
        <v>43707</v>
      </c>
      <c r="B2391" s="9">
        <v>33.255443999999997</v>
      </c>
      <c r="C2391" s="9">
        <v>30.854293999999999</v>
      </c>
      <c r="E2391" s="14">
        <f t="shared" si="263"/>
        <v>1.0778222311617307</v>
      </c>
      <c r="F2391" s="18">
        <f t="shared" ca="1" si="262"/>
        <v>-0.25871114523070249</v>
      </c>
      <c r="G2391" s="15">
        <f t="shared" ca="1" si="260"/>
        <v>1.081817876356602</v>
      </c>
      <c r="H2391" s="15">
        <f t="shared" ca="1" si="261"/>
        <v>1.5444426220247335E-2</v>
      </c>
      <c r="J2391" s="17">
        <f t="shared" ca="1" si="264"/>
        <v>0</v>
      </c>
      <c r="K2391" s="24">
        <f t="shared" ca="1" si="265"/>
        <v>0</v>
      </c>
      <c r="L2391" s="17">
        <f t="shared" ca="1" si="266"/>
        <v>0</v>
      </c>
      <c r="N2391" s="24" t="str">
        <f ca="1">IF(AND(L2391=1,L2390&lt;&gt;1),MAX($N$8:N2390)+1,"")</f>
        <v/>
      </c>
      <c r="O2391" s="24">
        <f ca="1">IF(AND(L2391&lt;&gt;1,L2390=1),MAX($O$8:O2390)+1,"")</f>
        <v>79</v>
      </c>
      <c r="P2391" s="17" t="str">
        <f ca="1">IF(AND(L2391=-1,L2390&lt;&gt;-1),MAX($P$8:P2390)+1,"")</f>
        <v/>
      </c>
      <c r="Q2391" s="24" t="str">
        <f ca="1">IF(AND(L2391&lt;&gt;-1,L2390=-1),MAX($Q$8:Q2390)+1,"")</f>
        <v/>
      </c>
    </row>
    <row r="2392" spans="1:17" x14ac:dyDescent="0.3">
      <c r="A2392" s="3">
        <v>43710</v>
      </c>
      <c r="B2392" s="9">
        <v>32.838833000000001</v>
      </c>
      <c r="C2392" s="9">
        <v>30.535923</v>
      </c>
      <c r="E2392" s="14">
        <f t="shared" si="263"/>
        <v>1.0754164201946672</v>
      </c>
      <c r="F2392" s="18">
        <f t="shared" ca="1" si="262"/>
        <v>-0.53637880638002777</v>
      </c>
      <c r="G2392" s="15">
        <f t="shared" ca="1" si="260"/>
        <v>1.0829267420881177</v>
      </c>
      <c r="H2392" s="15">
        <f t="shared" ca="1" si="261"/>
        <v>1.4001899038735241E-2</v>
      </c>
      <c r="J2392" s="17">
        <f t="shared" ca="1" si="264"/>
        <v>0</v>
      </c>
      <c r="K2392" s="24">
        <f t="shared" ca="1" si="265"/>
        <v>0</v>
      </c>
      <c r="L2392" s="17">
        <f t="shared" ca="1" si="266"/>
        <v>0</v>
      </c>
      <c r="N2392" s="24" t="str">
        <f ca="1">IF(AND(L2392=1,L2391&lt;&gt;1),MAX($N$8:N2391)+1,"")</f>
        <v/>
      </c>
      <c r="O2392" s="24" t="str">
        <f ca="1">IF(AND(L2392&lt;&gt;1,L2391=1),MAX($O$8:O2391)+1,"")</f>
        <v/>
      </c>
      <c r="P2392" s="17" t="str">
        <f ca="1">IF(AND(L2392=-1,L2391&lt;&gt;-1),MAX($P$8:P2391)+1,"")</f>
        <v/>
      </c>
      <c r="Q2392" s="24" t="str">
        <f ca="1">IF(AND(L2392&lt;&gt;-1,L2391=-1),MAX($Q$8:Q2391)+1,"")</f>
        <v/>
      </c>
    </row>
    <row r="2393" spans="1:17" x14ac:dyDescent="0.3">
      <c r="A2393" s="3">
        <v>43711</v>
      </c>
      <c r="B2393" s="9">
        <v>32.211468000000004</v>
      </c>
      <c r="C2393" s="9">
        <v>30.036791000000001</v>
      </c>
      <c r="E2393" s="14">
        <f t="shared" si="263"/>
        <v>1.0724004438423533</v>
      </c>
      <c r="F2393" s="18">
        <f t="shared" ca="1" si="262"/>
        <v>-0.94635520823392982</v>
      </c>
      <c r="G2393" s="15">
        <f t="shared" ca="1" si="260"/>
        <v>1.0839657475148436</v>
      </c>
      <c r="H2393" s="15">
        <f t="shared" ca="1" si="261"/>
        <v>1.2220890815482765E-2</v>
      </c>
      <c r="J2393" s="17">
        <f t="shared" ca="1" si="264"/>
        <v>0</v>
      </c>
      <c r="K2393" s="24">
        <f t="shared" ca="1" si="265"/>
        <v>0</v>
      </c>
      <c r="L2393" s="17">
        <f t="shared" ca="1" si="266"/>
        <v>0</v>
      </c>
      <c r="N2393" s="24" t="str">
        <f ca="1">IF(AND(L2393=1,L2392&lt;&gt;1),MAX($N$8:N2392)+1,"")</f>
        <v/>
      </c>
      <c r="O2393" s="24" t="str">
        <f ca="1">IF(AND(L2393&lt;&gt;1,L2392=1),MAX($O$8:O2392)+1,"")</f>
        <v/>
      </c>
      <c r="P2393" s="17" t="str">
        <f ca="1">IF(AND(L2393=-1,L2392&lt;&gt;-1),MAX($P$8:P2392)+1,"")</f>
        <v/>
      </c>
      <c r="Q2393" s="24" t="str">
        <f ca="1">IF(AND(L2393&lt;&gt;-1,L2392=-1),MAX($Q$8:Q2392)+1,"")</f>
        <v/>
      </c>
    </row>
    <row r="2394" spans="1:17" x14ac:dyDescent="0.3">
      <c r="A2394" s="3">
        <v>43712</v>
      </c>
      <c r="B2394" s="9">
        <v>32.436920000000001</v>
      </c>
      <c r="C2394" s="9">
        <v>30.411543000000002</v>
      </c>
      <c r="E2394" s="14">
        <f t="shared" si="263"/>
        <v>1.0665989555347455</v>
      </c>
      <c r="F2394" s="18">
        <f t="shared" ca="1" si="262"/>
        <v>-1.6205410746535358</v>
      </c>
      <c r="G2394" s="15">
        <f t="shared" ca="1" si="260"/>
        <v>1.0845299729395357</v>
      </c>
      <c r="H2394" s="15">
        <f t="shared" ca="1" si="261"/>
        <v>1.1064833644296097E-2</v>
      </c>
      <c r="J2394" s="17">
        <f t="shared" ca="1" si="264"/>
        <v>0</v>
      </c>
      <c r="K2394" s="24">
        <f t="shared" ca="1" si="265"/>
        <v>-1</v>
      </c>
      <c r="L2394" s="17">
        <f t="shared" ca="1" si="266"/>
        <v>-1</v>
      </c>
      <c r="N2394" s="24" t="str">
        <f ca="1">IF(AND(L2394=1,L2393&lt;&gt;1),MAX($N$8:N2393)+1,"")</f>
        <v/>
      </c>
      <c r="O2394" s="24" t="str">
        <f ca="1">IF(AND(L2394&lt;&gt;1,L2393=1),MAX($O$8:O2393)+1,"")</f>
        <v/>
      </c>
      <c r="P2394" s="17">
        <f ca="1">IF(AND(L2394=-1,L2393&lt;&gt;-1),MAX($P$8:P2393)+1,"")</f>
        <v>87</v>
      </c>
      <c r="Q2394" s="24" t="str">
        <f ca="1">IF(AND(L2394&lt;&gt;-1,L2393=-1),MAX($Q$8:Q2393)+1,"")</f>
        <v/>
      </c>
    </row>
    <row r="2395" spans="1:17" x14ac:dyDescent="0.3">
      <c r="A2395" s="3">
        <v>43713</v>
      </c>
      <c r="B2395" s="9">
        <v>33.358376</v>
      </c>
      <c r="C2395" s="9">
        <v>31.114214</v>
      </c>
      <c r="E2395" s="14">
        <f t="shared" si="263"/>
        <v>1.0721265849749571</v>
      </c>
      <c r="F2395" s="18">
        <f t="shared" ca="1" si="262"/>
        <v>-1.144053004733357</v>
      </c>
      <c r="G2395" s="15">
        <f t="shared" ca="1" si="260"/>
        <v>1.0846356505313723</v>
      </c>
      <c r="H2395" s="15">
        <f t="shared" ca="1" si="261"/>
        <v>1.093399126147198E-2</v>
      </c>
      <c r="J2395" s="17">
        <f t="shared" ca="1" si="264"/>
        <v>0</v>
      </c>
      <c r="K2395" s="24">
        <f t="shared" ca="1" si="265"/>
        <v>-1</v>
      </c>
      <c r="L2395" s="17">
        <f t="shared" ca="1" si="266"/>
        <v>-1</v>
      </c>
      <c r="N2395" s="24" t="str">
        <f ca="1">IF(AND(L2395=1,L2394&lt;&gt;1),MAX($N$8:N2394)+1,"")</f>
        <v/>
      </c>
      <c r="O2395" s="24" t="str">
        <f ca="1">IF(AND(L2395&lt;&gt;1,L2394=1),MAX($O$8:O2394)+1,"")</f>
        <v/>
      </c>
      <c r="P2395" s="17" t="str">
        <f ca="1">IF(AND(L2395=-1,L2394&lt;&gt;-1),MAX($P$8:P2394)+1,"")</f>
        <v/>
      </c>
      <c r="Q2395" s="24" t="str">
        <f ca="1">IF(AND(L2395&lt;&gt;-1,L2394=-1),MAX($Q$8:Q2394)+1,"")</f>
        <v/>
      </c>
    </row>
    <row r="2396" spans="1:17" x14ac:dyDescent="0.3">
      <c r="A2396" s="3">
        <v>43714</v>
      </c>
      <c r="B2396" s="9">
        <v>34.475867999999998</v>
      </c>
      <c r="C2396" s="9">
        <v>32.416499999999999</v>
      </c>
      <c r="E2396" s="14">
        <f t="shared" si="263"/>
        <v>1.0635283883207625</v>
      </c>
      <c r="F2396" s="18">
        <f t="shared" ca="1" si="262"/>
        <v>-1.7046929936377133</v>
      </c>
      <c r="G2396" s="15">
        <f t="shared" ca="1" si="260"/>
        <v>1.0835961124197322</v>
      </c>
      <c r="H2396" s="15">
        <f t="shared" ca="1" si="261"/>
        <v>1.1772045860378885E-2</v>
      </c>
      <c r="J2396" s="17">
        <f t="shared" ca="1" si="264"/>
        <v>0</v>
      </c>
      <c r="K2396" s="24">
        <f t="shared" ca="1" si="265"/>
        <v>-1</v>
      </c>
      <c r="L2396" s="17">
        <f t="shared" ca="1" si="266"/>
        <v>-1</v>
      </c>
      <c r="N2396" s="24" t="str">
        <f ca="1">IF(AND(L2396=1,L2395&lt;&gt;1),MAX($N$8:N2395)+1,"")</f>
        <v/>
      </c>
      <c r="O2396" s="24" t="str">
        <f ca="1">IF(AND(L2396&lt;&gt;1,L2395=1),MAX($O$8:O2395)+1,"")</f>
        <v/>
      </c>
      <c r="P2396" s="17" t="str">
        <f ca="1">IF(AND(L2396=-1,L2395&lt;&gt;-1),MAX($P$8:P2395)+1,"")</f>
        <v/>
      </c>
      <c r="Q2396" s="24" t="str">
        <f ca="1">IF(AND(L2396&lt;&gt;-1,L2395=-1),MAX($Q$8:Q2395)+1,"")</f>
        <v/>
      </c>
    </row>
    <row r="2397" spans="1:17" x14ac:dyDescent="0.3">
      <c r="A2397" s="3">
        <v>43717</v>
      </c>
      <c r="B2397" s="9">
        <v>35.318900999999997</v>
      </c>
      <c r="C2397" s="9">
        <v>32.828732000000002</v>
      </c>
      <c r="E2397" s="14">
        <f t="shared" si="263"/>
        <v>1.0758533409088111</v>
      </c>
      <c r="F2397" s="18">
        <f t="shared" ca="1" si="262"/>
        <v>-0.61040641233361259</v>
      </c>
      <c r="G2397" s="15">
        <f t="shared" ca="1" si="260"/>
        <v>1.0830891850273714</v>
      </c>
      <c r="H2397" s="15">
        <f t="shared" ca="1" si="261"/>
        <v>1.1854141719935886E-2</v>
      </c>
      <c r="J2397" s="17">
        <f t="shared" ca="1" si="264"/>
        <v>0</v>
      </c>
      <c r="K2397" s="24">
        <f t="shared" ca="1" si="265"/>
        <v>-1</v>
      </c>
      <c r="L2397" s="17">
        <f t="shared" ca="1" si="266"/>
        <v>-1</v>
      </c>
      <c r="N2397" s="24" t="str">
        <f ca="1">IF(AND(L2397=1,L2396&lt;&gt;1),MAX($N$8:N2396)+1,"")</f>
        <v/>
      </c>
      <c r="O2397" s="24" t="str">
        <f ca="1">IF(AND(L2397&lt;&gt;1,L2396=1),MAX($O$8:O2396)+1,"")</f>
        <v/>
      </c>
      <c r="P2397" s="17" t="str">
        <f ca="1">IF(AND(L2397=-1,L2396&lt;&gt;-1),MAX($P$8:P2396)+1,"")</f>
        <v/>
      </c>
      <c r="Q2397" s="24" t="str">
        <f ca="1">IF(AND(L2397&lt;&gt;-1,L2396=-1),MAX($Q$8:Q2396)+1,"")</f>
        <v/>
      </c>
    </row>
    <row r="2398" spans="1:17" x14ac:dyDescent="0.3">
      <c r="A2398" s="3">
        <v>43718</v>
      </c>
      <c r="B2398" s="9">
        <v>34.632717</v>
      </c>
      <c r="C2398" s="9">
        <v>32.247852000000002</v>
      </c>
      <c r="E2398" s="14">
        <f t="shared" si="263"/>
        <v>1.0739542280211407</v>
      </c>
      <c r="F2398" s="18">
        <f t="shared" ca="1" si="262"/>
        <v>-0.69758275044141949</v>
      </c>
      <c r="G2398" s="15">
        <f t="shared" ca="1" si="260"/>
        <v>1.0820449819004043</v>
      </c>
      <c r="H2398" s="15">
        <f t="shared" ca="1" si="261"/>
        <v>1.1598271135781253E-2</v>
      </c>
      <c r="J2398" s="17">
        <f t="shared" ca="1" si="264"/>
        <v>0</v>
      </c>
      <c r="K2398" s="24">
        <f t="shared" ca="1" si="265"/>
        <v>-1</v>
      </c>
      <c r="L2398" s="17">
        <f t="shared" ca="1" si="266"/>
        <v>-1</v>
      </c>
      <c r="N2398" s="24" t="str">
        <f ca="1">IF(AND(L2398=1,L2397&lt;&gt;1),MAX($N$8:N2397)+1,"")</f>
        <v/>
      </c>
      <c r="O2398" s="24" t="str">
        <f ca="1">IF(AND(L2398&lt;&gt;1,L2397=1),MAX($O$8:O2397)+1,"")</f>
        <v/>
      </c>
      <c r="P2398" s="17" t="str">
        <f ca="1">IF(AND(L2398=-1,L2397&lt;&gt;-1),MAX($P$8:P2397)+1,"")</f>
        <v/>
      </c>
      <c r="Q2398" s="24" t="str">
        <f ca="1">IF(AND(L2398&lt;&gt;-1,L2397=-1),MAX($Q$8:Q2397)+1,"")</f>
        <v/>
      </c>
    </row>
    <row r="2399" spans="1:17" x14ac:dyDescent="0.3">
      <c r="A2399" s="3">
        <v>43719</v>
      </c>
      <c r="B2399" s="9">
        <v>34.475867999999998</v>
      </c>
      <c r="C2399" s="9">
        <v>32.107323000000001</v>
      </c>
      <c r="E2399" s="14">
        <f t="shared" si="263"/>
        <v>1.0737696194727913</v>
      </c>
      <c r="F2399" s="18">
        <f t="shared" ca="1" si="262"/>
        <v>-0.71246205711806632</v>
      </c>
      <c r="G2399" s="15">
        <f t="shared" ref="G2399:G2462" ca="1" si="267">IF(ISNUMBER(E2399),IF(ROW(E2399)&gt;$J$1,AVERAGE(OFFSET(E2399,0,0,-$J$1)),""),"")</f>
        <v>1.0820369726986554</v>
      </c>
      <c r="H2399" s="15">
        <f t="shared" ref="H2399:H2462" ca="1" si="268">IF(ISNUMBER(E2399),IF(ROW(E2399)&gt;$J$1,_xlfn.STDEV.P(OFFSET(E2399,0,0,-$J$1)),""),"")</f>
        <v>1.1603920718677803E-2</v>
      </c>
      <c r="J2399" s="17">
        <f t="shared" ca="1" si="264"/>
        <v>0</v>
      </c>
      <c r="K2399" s="24">
        <f t="shared" ca="1" si="265"/>
        <v>-1</v>
      </c>
      <c r="L2399" s="17">
        <f t="shared" ca="1" si="266"/>
        <v>-1</v>
      </c>
      <c r="N2399" s="24" t="str">
        <f ca="1">IF(AND(L2399=1,L2398&lt;&gt;1),MAX($N$8:N2398)+1,"")</f>
        <v/>
      </c>
      <c r="O2399" s="24" t="str">
        <f ca="1">IF(AND(L2399&lt;&gt;1,L2398=1),MAX($O$8:O2398)+1,"")</f>
        <v/>
      </c>
      <c r="P2399" s="17" t="str">
        <f ca="1">IF(AND(L2399=-1,L2398&lt;&gt;-1),MAX($P$8:P2398)+1,"")</f>
        <v/>
      </c>
      <c r="Q2399" s="24" t="str">
        <f ca="1">IF(AND(L2399&lt;&gt;-1,L2398=-1),MAX($Q$8:Q2398)+1,"")</f>
        <v/>
      </c>
    </row>
    <row r="2400" spans="1:17" x14ac:dyDescent="0.3">
      <c r="A2400" s="3">
        <v>43720</v>
      </c>
      <c r="B2400" s="9">
        <v>34.691532000000002</v>
      </c>
      <c r="C2400" s="9">
        <v>31.760677000000001</v>
      </c>
      <c r="E2400" s="14">
        <f t="shared" si="263"/>
        <v>1.0922793616773345</v>
      </c>
      <c r="F2400" s="18">
        <f t="shared" ca="1" si="262"/>
        <v>0.83686148908956104</v>
      </c>
      <c r="G2400" s="15">
        <f t="shared" ca="1" si="267"/>
        <v>1.0824096855622309</v>
      </c>
      <c r="H2400" s="15">
        <f t="shared" ca="1" si="268"/>
        <v>1.1793679412636149E-2</v>
      </c>
      <c r="J2400" s="17">
        <f t="shared" ca="1" si="264"/>
        <v>0</v>
      </c>
      <c r="K2400" s="24">
        <f t="shared" ca="1" si="265"/>
        <v>0</v>
      </c>
      <c r="L2400" s="17">
        <f t="shared" ca="1" si="266"/>
        <v>0</v>
      </c>
      <c r="N2400" s="24" t="str">
        <f ca="1">IF(AND(L2400=1,L2399&lt;&gt;1),MAX($N$8:N2399)+1,"")</f>
        <v/>
      </c>
      <c r="O2400" s="24" t="str">
        <f ca="1">IF(AND(L2400&lt;&gt;1,L2399=1),MAX($O$8:O2399)+1,"")</f>
        <v/>
      </c>
      <c r="P2400" s="17" t="str">
        <f ca="1">IF(AND(L2400=-1,L2399&lt;&gt;-1),MAX($P$8:P2399)+1,"")</f>
        <v/>
      </c>
      <c r="Q2400" s="24">
        <f ca="1">IF(AND(L2400&lt;&gt;-1,L2399=-1),MAX($Q$8:Q2399)+1,"")</f>
        <v>87</v>
      </c>
    </row>
    <row r="2401" spans="1:17" x14ac:dyDescent="0.3">
      <c r="A2401" s="3">
        <v>43721</v>
      </c>
      <c r="B2401" s="9">
        <v>35.162056</v>
      </c>
      <c r="C2401" s="9">
        <v>31.348441999999999</v>
      </c>
      <c r="E2401" s="14">
        <f t="shared" si="263"/>
        <v>1.1216524253422229</v>
      </c>
      <c r="F2401" s="18">
        <f t="shared" ca="1" si="262"/>
        <v>2.6087171570457079</v>
      </c>
      <c r="G2401" s="15">
        <f t="shared" ca="1" si="267"/>
        <v>1.084236351554257</v>
      </c>
      <c r="H2401" s="15">
        <f t="shared" ca="1" si="268"/>
        <v>1.4342710050766257E-2</v>
      </c>
      <c r="J2401" s="17">
        <f t="shared" ca="1" si="264"/>
        <v>1</v>
      </c>
      <c r="K2401" s="24">
        <f t="shared" ca="1" si="265"/>
        <v>0</v>
      </c>
      <c r="L2401" s="17">
        <f t="shared" ca="1" si="266"/>
        <v>1</v>
      </c>
      <c r="N2401" s="24">
        <f ca="1">IF(AND(L2401=1,L2400&lt;&gt;1),MAX($N$8:N2400)+1,"")</f>
        <v>80</v>
      </c>
      <c r="O2401" s="24" t="str">
        <f ca="1">IF(AND(L2401&lt;&gt;1,L2400=1),MAX($O$8:O2400)+1,"")</f>
        <v/>
      </c>
      <c r="P2401" s="17" t="str">
        <f ca="1">IF(AND(L2401=-1,L2400&lt;&gt;-1),MAX($P$8:P2400)+1,"")</f>
        <v/>
      </c>
      <c r="Q2401" s="24" t="str">
        <f ca="1">IF(AND(L2401&lt;&gt;-1,L2400=-1),MAX($Q$8:Q2400)+1,"")</f>
        <v/>
      </c>
    </row>
    <row r="2402" spans="1:17" x14ac:dyDescent="0.3">
      <c r="A2402" s="3">
        <v>43724</v>
      </c>
      <c r="B2402" s="9">
        <v>34.534686999999998</v>
      </c>
      <c r="C2402" s="9">
        <v>30.936211</v>
      </c>
      <c r="E2402" s="14">
        <f t="shared" si="263"/>
        <v>1.1163192221568439</v>
      </c>
      <c r="F2402" s="18">
        <f t="shared" ca="1" si="262"/>
        <v>1.939723892857542</v>
      </c>
      <c r="G2402" s="15">
        <f t="shared" ca="1" si="267"/>
        <v>1.0856210719796335</v>
      </c>
      <c r="H2402" s="15">
        <f t="shared" ca="1" si="268"/>
        <v>1.5826041165058168E-2</v>
      </c>
      <c r="J2402" s="17">
        <f t="shared" ca="1" si="264"/>
        <v>1</v>
      </c>
      <c r="K2402" s="24">
        <f t="shared" ca="1" si="265"/>
        <v>0</v>
      </c>
      <c r="L2402" s="17">
        <f t="shared" ca="1" si="266"/>
        <v>1</v>
      </c>
      <c r="N2402" s="24" t="str">
        <f ca="1">IF(AND(L2402=1,L2401&lt;&gt;1),MAX($N$8:N2401)+1,"")</f>
        <v/>
      </c>
      <c r="O2402" s="24" t="str">
        <f ca="1">IF(AND(L2402&lt;&gt;1,L2401=1),MAX($O$8:O2401)+1,"")</f>
        <v/>
      </c>
      <c r="P2402" s="17" t="str">
        <f ca="1">IF(AND(L2402=-1,L2401&lt;&gt;-1),MAX($P$8:P2401)+1,"")</f>
        <v/>
      </c>
      <c r="Q2402" s="24" t="str">
        <f ca="1">IF(AND(L2402&lt;&gt;-1,L2401=-1),MAX($Q$8:Q2401)+1,"")</f>
        <v/>
      </c>
    </row>
    <row r="2403" spans="1:17" x14ac:dyDescent="0.3">
      <c r="A2403" s="3">
        <v>43725</v>
      </c>
      <c r="B2403" s="9">
        <v>34.662120999999999</v>
      </c>
      <c r="C2403" s="9">
        <v>31.760677000000001</v>
      </c>
      <c r="E2403" s="14">
        <f t="shared" si="263"/>
        <v>1.0913533423736528</v>
      </c>
      <c r="F2403" s="18">
        <f t="shared" ca="1" si="262"/>
        <v>0.33061633592275025</v>
      </c>
      <c r="G2403" s="15">
        <f t="shared" ca="1" si="267"/>
        <v>1.086121194605896</v>
      </c>
      <c r="H2403" s="15">
        <f t="shared" ca="1" si="268"/>
        <v>1.582543631171127E-2</v>
      </c>
      <c r="J2403" s="17">
        <f t="shared" ca="1" si="264"/>
        <v>1</v>
      </c>
      <c r="K2403" s="24">
        <f t="shared" ca="1" si="265"/>
        <v>0</v>
      </c>
      <c r="L2403" s="17">
        <f t="shared" ca="1" si="266"/>
        <v>1</v>
      </c>
      <c r="N2403" s="24" t="str">
        <f ca="1">IF(AND(L2403=1,L2402&lt;&gt;1),MAX($N$8:N2402)+1,"")</f>
        <v/>
      </c>
      <c r="O2403" s="24" t="str">
        <f ca="1">IF(AND(L2403&lt;&gt;1,L2402=1),MAX($O$8:O2402)+1,"")</f>
        <v/>
      </c>
      <c r="P2403" s="17" t="str">
        <f ca="1">IF(AND(L2403=-1,L2402&lt;&gt;-1),MAX($P$8:P2402)+1,"")</f>
        <v/>
      </c>
      <c r="Q2403" s="24" t="str">
        <f ca="1">IF(AND(L2403&lt;&gt;-1,L2402=-1),MAX($Q$8:Q2402)+1,"")</f>
        <v/>
      </c>
    </row>
    <row r="2404" spans="1:17" x14ac:dyDescent="0.3">
      <c r="A2404" s="3">
        <v>43726</v>
      </c>
      <c r="B2404" s="9">
        <v>34.554302</v>
      </c>
      <c r="C2404" s="9">
        <v>31.854365999999999</v>
      </c>
      <c r="E2404" s="14">
        <f t="shared" si="263"/>
        <v>1.0847587423337826</v>
      </c>
      <c r="F2404" s="18">
        <f t="shared" ca="1" si="262"/>
        <v>-6.7248520967122707E-2</v>
      </c>
      <c r="G2404" s="15">
        <f t="shared" ca="1" si="267"/>
        <v>1.0858202936456884</v>
      </c>
      <c r="H2404" s="15">
        <f t="shared" ca="1" si="268"/>
        <v>1.5785496790700695E-2</v>
      </c>
      <c r="J2404" s="17">
        <f t="shared" ca="1" si="264"/>
        <v>0</v>
      </c>
      <c r="K2404" s="24">
        <f t="shared" ca="1" si="265"/>
        <v>0</v>
      </c>
      <c r="L2404" s="17">
        <f t="shared" ca="1" si="266"/>
        <v>0</v>
      </c>
      <c r="N2404" s="24" t="str">
        <f ca="1">IF(AND(L2404=1,L2403&lt;&gt;1),MAX($N$8:N2403)+1,"")</f>
        <v/>
      </c>
      <c r="O2404" s="24">
        <f ca="1">IF(AND(L2404&lt;&gt;1,L2403=1),MAX($O$8:O2403)+1,"")</f>
        <v>80</v>
      </c>
      <c r="P2404" s="17" t="str">
        <f ca="1">IF(AND(L2404=-1,L2403&lt;&gt;-1),MAX($P$8:P2403)+1,"")</f>
        <v/>
      </c>
      <c r="Q2404" s="24" t="str">
        <f ca="1">IF(AND(L2404&lt;&gt;-1,L2403=-1),MAX($Q$8:Q2403)+1,"")</f>
        <v/>
      </c>
    </row>
    <row r="2405" spans="1:17" x14ac:dyDescent="0.3">
      <c r="A2405" s="3">
        <v>43727</v>
      </c>
      <c r="B2405" s="9">
        <v>33.975945000000003</v>
      </c>
      <c r="C2405" s="9">
        <v>31.470236</v>
      </c>
      <c r="E2405" s="14">
        <f t="shared" si="263"/>
        <v>1.0796215509791538</v>
      </c>
      <c r="F2405" s="18">
        <f t="shared" ca="1" si="262"/>
        <v>-0.36255769900333146</v>
      </c>
      <c r="G2405" s="15">
        <f t="shared" ca="1" si="267"/>
        <v>1.0853536145809599</v>
      </c>
      <c r="H2405" s="15">
        <f t="shared" ca="1" si="268"/>
        <v>1.5810072762386558E-2</v>
      </c>
      <c r="J2405" s="17">
        <f t="shared" ca="1" si="264"/>
        <v>0</v>
      </c>
      <c r="K2405" s="24">
        <f t="shared" ca="1" si="265"/>
        <v>0</v>
      </c>
      <c r="L2405" s="17">
        <f t="shared" ca="1" si="266"/>
        <v>0</v>
      </c>
      <c r="N2405" s="24" t="str">
        <f ca="1">IF(AND(L2405=1,L2404&lt;&gt;1),MAX($N$8:N2404)+1,"")</f>
        <v/>
      </c>
      <c r="O2405" s="24" t="str">
        <f ca="1">IF(AND(L2405&lt;&gt;1,L2404=1),MAX($O$8:O2404)+1,"")</f>
        <v/>
      </c>
      <c r="P2405" s="17" t="str">
        <f ca="1">IF(AND(L2405=-1,L2404&lt;&gt;-1),MAX($P$8:P2404)+1,"")</f>
        <v/>
      </c>
      <c r="Q2405" s="24" t="str">
        <f ca="1">IF(AND(L2405&lt;&gt;-1,L2404=-1),MAX($Q$8:Q2404)+1,"")</f>
        <v/>
      </c>
    </row>
    <row r="2406" spans="1:17" x14ac:dyDescent="0.3">
      <c r="A2406" s="3">
        <v>43728</v>
      </c>
      <c r="B2406" s="9">
        <v>34.064158999999997</v>
      </c>
      <c r="C2406" s="9">
        <v>32.023009999999999</v>
      </c>
      <c r="E2406" s="14">
        <f t="shared" si="263"/>
        <v>1.0637400731536479</v>
      </c>
      <c r="F2406" s="18">
        <f t="shared" ca="1" si="262"/>
        <v>-1.2840914068008096</v>
      </c>
      <c r="G2406" s="15">
        <f t="shared" ca="1" si="267"/>
        <v>1.0847491543571597</v>
      </c>
      <c r="H2406" s="15">
        <f t="shared" ca="1" si="268"/>
        <v>1.6361048047080898E-2</v>
      </c>
      <c r="J2406" s="17">
        <f t="shared" ca="1" si="264"/>
        <v>0</v>
      </c>
      <c r="K2406" s="24">
        <f t="shared" ca="1" si="265"/>
        <v>-1</v>
      </c>
      <c r="L2406" s="17">
        <f t="shared" ca="1" si="266"/>
        <v>-1</v>
      </c>
      <c r="N2406" s="24" t="str">
        <f ca="1">IF(AND(L2406=1,L2405&lt;&gt;1),MAX($N$8:N2405)+1,"")</f>
        <v/>
      </c>
      <c r="O2406" s="24" t="str">
        <f ca="1">IF(AND(L2406&lt;&gt;1,L2405=1),MAX($O$8:O2405)+1,"")</f>
        <v/>
      </c>
      <c r="P2406" s="17">
        <f ca="1">IF(AND(L2406=-1,L2405&lt;&gt;-1),MAX($P$8:P2405)+1,"")</f>
        <v>88</v>
      </c>
      <c r="Q2406" s="24" t="str">
        <f ca="1">IF(AND(L2406&lt;&gt;-1,L2405=-1),MAX($Q$8:Q2405)+1,"")</f>
        <v/>
      </c>
    </row>
    <row r="2407" spans="1:17" x14ac:dyDescent="0.3">
      <c r="A2407" s="3">
        <v>43731</v>
      </c>
      <c r="B2407" s="9">
        <v>33.956341000000002</v>
      </c>
      <c r="C2407" s="9">
        <v>32.088588999999999</v>
      </c>
      <c r="E2407" s="14">
        <f t="shared" si="263"/>
        <v>1.0582061118362045</v>
      </c>
      <c r="F2407" s="18">
        <f t="shared" ca="1" si="262"/>
        <v>-1.5067076424283017</v>
      </c>
      <c r="G2407" s="15">
        <f t="shared" ca="1" si="267"/>
        <v>1.0840349162487086</v>
      </c>
      <c r="H2407" s="15">
        <f t="shared" ca="1" si="268"/>
        <v>1.7142545564364998E-2</v>
      </c>
      <c r="J2407" s="17">
        <f t="shared" ca="1" si="264"/>
        <v>0</v>
      </c>
      <c r="K2407" s="24">
        <f t="shared" ca="1" si="265"/>
        <v>-1</v>
      </c>
      <c r="L2407" s="17">
        <f t="shared" ca="1" si="266"/>
        <v>-1</v>
      </c>
      <c r="N2407" s="24" t="str">
        <f ca="1">IF(AND(L2407=1,L2406&lt;&gt;1),MAX($N$8:N2406)+1,"")</f>
        <v/>
      </c>
      <c r="O2407" s="24" t="str">
        <f ca="1">IF(AND(L2407&lt;&gt;1,L2406=1),MAX($O$8:O2406)+1,"")</f>
        <v/>
      </c>
      <c r="P2407" s="17" t="str">
        <f ca="1">IF(AND(L2407=-1,L2406&lt;&gt;-1),MAX($P$8:P2406)+1,"")</f>
        <v/>
      </c>
      <c r="Q2407" s="24" t="str">
        <f ca="1">IF(AND(L2407&lt;&gt;-1,L2406=-1),MAX($Q$8:Q2406)+1,"")</f>
        <v/>
      </c>
    </row>
    <row r="2408" spans="1:17" x14ac:dyDescent="0.3">
      <c r="A2408" s="3">
        <v>43732</v>
      </c>
      <c r="B2408" s="9">
        <v>33.603431999999998</v>
      </c>
      <c r="C2408" s="9">
        <v>31.676359000000001</v>
      </c>
      <c r="E2408" s="14">
        <f t="shared" si="263"/>
        <v>1.0608363164465966</v>
      </c>
      <c r="F2408" s="18">
        <f t="shared" ca="1" si="262"/>
        <v>-1.2411057219997439</v>
      </c>
      <c r="G2408" s="15">
        <f t="shared" ca="1" si="267"/>
        <v>1.082936356521371</v>
      </c>
      <c r="H2408" s="15">
        <f t="shared" ca="1" si="268"/>
        <v>1.7806734497336364E-2</v>
      </c>
      <c r="J2408" s="17">
        <f t="shared" ca="1" si="264"/>
        <v>0</v>
      </c>
      <c r="K2408" s="24">
        <f t="shared" ca="1" si="265"/>
        <v>-1</v>
      </c>
      <c r="L2408" s="17">
        <f t="shared" ca="1" si="266"/>
        <v>-1</v>
      </c>
      <c r="N2408" s="24" t="str">
        <f ca="1">IF(AND(L2408=1,L2407&lt;&gt;1),MAX($N$8:N2407)+1,"")</f>
        <v/>
      </c>
      <c r="O2408" s="24" t="str">
        <f ca="1">IF(AND(L2408&lt;&gt;1,L2407=1),MAX($O$8:O2407)+1,"")</f>
        <v/>
      </c>
      <c r="P2408" s="17" t="str">
        <f ca="1">IF(AND(L2408=-1,L2407&lt;&gt;-1),MAX($P$8:P2407)+1,"")</f>
        <v/>
      </c>
      <c r="Q2408" s="24" t="str">
        <f ca="1">IF(AND(L2408&lt;&gt;-1,L2407=-1),MAX($Q$8:Q2407)+1,"")</f>
        <v/>
      </c>
    </row>
    <row r="2409" spans="1:17" x14ac:dyDescent="0.3">
      <c r="A2409" s="3">
        <v>43733</v>
      </c>
      <c r="B2409" s="9">
        <v>33.995544000000002</v>
      </c>
      <c r="C2409" s="9">
        <v>31.882474999999999</v>
      </c>
      <c r="E2409" s="14">
        <f t="shared" si="263"/>
        <v>1.0662768182206683</v>
      </c>
      <c r="F2409" s="18">
        <f t="shared" ca="1" si="262"/>
        <v>-0.85562729142027572</v>
      </c>
      <c r="G2409" s="15">
        <f t="shared" ca="1" si="267"/>
        <v>1.0815857422344022</v>
      </c>
      <c r="H2409" s="15">
        <f t="shared" ca="1" si="268"/>
        <v>1.789204735197519E-2</v>
      </c>
      <c r="J2409" s="17">
        <f t="shared" ca="1" si="264"/>
        <v>0</v>
      </c>
      <c r="K2409" s="24">
        <f t="shared" ca="1" si="265"/>
        <v>-1</v>
      </c>
      <c r="L2409" s="17">
        <f t="shared" ca="1" si="266"/>
        <v>-1</v>
      </c>
      <c r="N2409" s="24" t="str">
        <f ca="1">IF(AND(L2409=1,L2408&lt;&gt;1),MAX($N$8:N2408)+1,"")</f>
        <v/>
      </c>
      <c r="O2409" s="24" t="str">
        <f ca="1">IF(AND(L2409&lt;&gt;1,L2408=1),MAX($O$8:O2408)+1,"")</f>
        <v/>
      </c>
      <c r="P2409" s="17" t="str">
        <f ca="1">IF(AND(L2409=-1,L2408&lt;&gt;-1),MAX($P$8:P2408)+1,"")</f>
        <v/>
      </c>
      <c r="Q2409" s="24" t="str">
        <f ca="1">IF(AND(L2409&lt;&gt;-1,L2408=-1),MAX($Q$8:Q2408)+1,"")</f>
        <v/>
      </c>
    </row>
    <row r="2410" spans="1:17" x14ac:dyDescent="0.3">
      <c r="A2410" s="3">
        <v>43734</v>
      </c>
      <c r="B2410" s="9">
        <v>34.975807000000003</v>
      </c>
      <c r="C2410" s="9">
        <v>32.341549000000001</v>
      </c>
      <c r="E2410" s="14">
        <f t="shared" si="263"/>
        <v>1.0814512007448995</v>
      </c>
      <c r="F2410" s="18">
        <f t="shared" ca="1" si="262"/>
        <v>2.738444661661486E-2</v>
      </c>
      <c r="G2410" s="15">
        <f t="shared" ca="1" si="267"/>
        <v>1.0809678740962692</v>
      </c>
      <c r="H2410" s="15">
        <f t="shared" ca="1" si="268"/>
        <v>1.7649677402541735E-2</v>
      </c>
      <c r="J2410" s="17">
        <f t="shared" ca="1" si="264"/>
        <v>0</v>
      </c>
      <c r="K2410" s="24">
        <f t="shared" ca="1" si="265"/>
        <v>0</v>
      </c>
      <c r="L2410" s="17">
        <f t="shared" ca="1" si="266"/>
        <v>0</v>
      </c>
      <c r="N2410" s="24" t="str">
        <f ca="1">IF(AND(L2410=1,L2409&lt;&gt;1),MAX($N$8:N2409)+1,"")</f>
        <v/>
      </c>
      <c r="O2410" s="24" t="str">
        <f ca="1">IF(AND(L2410&lt;&gt;1,L2409=1),MAX($O$8:O2409)+1,"")</f>
        <v/>
      </c>
      <c r="P2410" s="17" t="str">
        <f ca="1">IF(AND(L2410=-1,L2409&lt;&gt;-1),MAX($P$8:P2409)+1,"")</f>
        <v/>
      </c>
      <c r="Q2410" s="24">
        <f ca="1">IF(AND(L2410&lt;&gt;-1,L2409=-1),MAX($Q$8:Q2409)+1,"")</f>
        <v>88</v>
      </c>
    </row>
    <row r="2411" spans="1:17" x14ac:dyDescent="0.3">
      <c r="A2411" s="3">
        <v>43735</v>
      </c>
      <c r="B2411" s="9">
        <v>34.828766000000002</v>
      </c>
      <c r="C2411" s="9">
        <v>32.322806999999997</v>
      </c>
      <c r="E2411" s="14">
        <f t="shared" si="263"/>
        <v>1.0775291267246685</v>
      </c>
      <c r="F2411" s="18">
        <f t="shared" ca="1" si="262"/>
        <v>-0.11038270847768558</v>
      </c>
      <c r="G2411" s="15">
        <f t="shared" ca="1" si="267"/>
        <v>1.0793073173410821</v>
      </c>
      <c r="H2411" s="15">
        <f t="shared" ca="1" si="268"/>
        <v>1.6109322202155149E-2</v>
      </c>
      <c r="J2411" s="17">
        <f t="shared" ca="1" si="264"/>
        <v>0</v>
      </c>
      <c r="K2411" s="24">
        <f t="shared" ca="1" si="265"/>
        <v>0</v>
      </c>
      <c r="L2411" s="17">
        <f t="shared" ca="1" si="266"/>
        <v>0</v>
      </c>
      <c r="N2411" s="24" t="str">
        <f ca="1">IF(AND(L2411=1,L2410&lt;&gt;1),MAX($N$8:N2410)+1,"")</f>
        <v/>
      </c>
      <c r="O2411" s="24" t="str">
        <f ca="1">IF(AND(L2411&lt;&gt;1,L2410=1),MAX($O$8:O2410)+1,"")</f>
        <v/>
      </c>
      <c r="P2411" s="17" t="str">
        <f ca="1">IF(AND(L2411=-1,L2410&lt;&gt;-1),MAX($P$8:P2410)+1,"")</f>
        <v/>
      </c>
      <c r="Q2411" s="24" t="str">
        <f ca="1">IF(AND(L2411&lt;&gt;-1,L2410=-1),MAX($Q$8:Q2410)+1,"")</f>
        <v/>
      </c>
    </row>
    <row r="2412" spans="1:17" x14ac:dyDescent="0.3">
      <c r="A2412" s="3">
        <v>43738</v>
      </c>
      <c r="B2412" s="9">
        <v>34.338638000000003</v>
      </c>
      <c r="C2412" s="9">
        <v>31.779411</v>
      </c>
      <c r="E2412" s="14">
        <f t="shared" si="263"/>
        <v>1.0805309764866318</v>
      </c>
      <c r="F2412" s="18">
        <f t="shared" ca="1" si="262"/>
        <v>0.13375073051659278</v>
      </c>
      <c r="G2412" s="15">
        <f t="shared" ca="1" si="267"/>
        <v>1.0784557036776485</v>
      </c>
      <c r="H2412" s="15">
        <f t="shared" ca="1" si="268"/>
        <v>1.5515973639678757E-2</v>
      </c>
      <c r="J2412" s="17">
        <f t="shared" ca="1" si="264"/>
        <v>0</v>
      </c>
      <c r="K2412" s="24">
        <f t="shared" ca="1" si="265"/>
        <v>0</v>
      </c>
      <c r="L2412" s="17">
        <f t="shared" ca="1" si="266"/>
        <v>0</v>
      </c>
      <c r="N2412" s="24" t="str">
        <f ca="1">IF(AND(L2412=1,L2411&lt;&gt;1),MAX($N$8:N2411)+1,"")</f>
        <v/>
      </c>
      <c r="O2412" s="24" t="str">
        <f ca="1">IF(AND(L2412&lt;&gt;1,L2411=1),MAX($O$8:O2411)+1,"")</f>
        <v/>
      </c>
      <c r="P2412" s="17" t="str">
        <f ca="1">IF(AND(L2412=-1,L2411&lt;&gt;-1),MAX($P$8:P2411)+1,"")</f>
        <v/>
      </c>
      <c r="Q2412" s="24" t="str">
        <f ca="1">IF(AND(L2412&lt;&gt;-1,L2411=-1),MAX($Q$8:Q2411)+1,"")</f>
        <v/>
      </c>
    </row>
    <row r="2413" spans="1:17" x14ac:dyDescent="0.3">
      <c r="A2413" s="3">
        <v>43739</v>
      </c>
      <c r="B2413" s="9">
        <v>33.558990000000001</v>
      </c>
      <c r="C2413" s="9">
        <v>31.348441999999999</v>
      </c>
      <c r="E2413" s="14">
        <f t="shared" si="263"/>
        <v>1.0705154023284476</v>
      </c>
      <c r="F2413" s="18">
        <f t="shared" ca="1" si="262"/>
        <v>-0.48758045700432978</v>
      </c>
      <c r="G2413" s="15">
        <f t="shared" ca="1" si="267"/>
        <v>1.0781235750943177</v>
      </c>
      <c r="H2413" s="15">
        <f t="shared" ca="1" si="268"/>
        <v>1.5603932964447243E-2</v>
      </c>
      <c r="J2413" s="17">
        <f t="shared" ca="1" si="264"/>
        <v>0</v>
      </c>
      <c r="K2413" s="24">
        <f t="shared" ca="1" si="265"/>
        <v>0</v>
      </c>
      <c r="L2413" s="17">
        <f t="shared" ca="1" si="266"/>
        <v>0</v>
      </c>
      <c r="N2413" s="24" t="str">
        <f ca="1">IF(AND(L2413=1,L2412&lt;&gt;1),MAX($N$8:N2412)+1,"")</f>
        <v/>
      </c>
      <c r="O2413" s="24" t="str">
        <f ca="1">IF(AND(L2413&lt;&gt;1,L2412=1),MAX($O$8:O2412)+1,"")</f>
        <v/>
      </c>
      <c r="P2413" s="17" t="str">
        <f ca="1">IF(AND(L2413=-1,L2412&lt;&gt;-1),MAX($P$8:P2412)+1,"")</f>
        <v/>
      </c>
      <c r="Q2413" s="24" t="str">
        <f ca="1">IF(AND(L2413&lt;&gt;-1,L2412=-1),MAX($Q$8:Q2412)+1,"")</f>
        <v/>
      </c>
    </row>
    <row r="2414" spans="1:17" x14ac:dyDescent="0.3">
      <c r="A2414" s="3">
        <v>43740</v>
      </c>
      <c r="B2414" s="9">
        <v>32.637149999999998</v>
      </c>
      <c r="C2414" s="9">
        <v>30.136648000000001</v>
      </c>
      <c r="E2414" s="14">
        <f t="shared" si="263"/>
        <v>1.0829721341271927</v>
      </c>
      <c r="F2414" s="18">
        <f t="shared" ca="1" si="262"/>
        <v>0.28835138188194082</v>
      </c>
      <c r="G2414" s="15">
        <f t="shared" ca="1" si="267"/>
        <v>1.0784670166367052</v>
      </c>
      <c r="H2414" s="15">
        <f t="shared" ca="1" si="268"/>
        <v>1.5623706954635178E-2</v>
      </c>
      <c r="J2414" s="17">
        <f t="shared" ca="1" si="264"/>
        <v>0</v>
      </c>
      <c r="K2414" s="24">
        <f t="shared" ca="1" si="265"/>
        <v>0</v>
      </c>
      <c r="L2414" s="17">
        <f t="shared" ca="1" si="266"/>
        <v>0</v>
      </c>
      <c r="N2414" s="24" t="str">
        <f ca="1">IF(AND(L2414=1,L2413&lt;&gt;1),MAX($N$8:N2413)+1,"")</f>
        <v/>
      </c>
      <c r="O2414" s="24" t="str">
        <f ca="1">IF(AND(L2414&lt;&gt;1,L2413=1),MAX($O$8:O2413)+1,"")</f>
        <v/>
      </c>
      <c r="P2414" s="17" t="str">
        <f ca="1">IF(AND(L2414=-1,L2413&lt;&gt;-1),MAX($P$8:P2413)+1,"")</f>
        <v/>
      </c>
      <c r="Q2414" s="24" t="str">
        <f ca="1">IF(AND(L2414&lt;&gt;-1,L2413=-1),MAX($Q$8:Q2413)+1,"")</f>
        <v/>
      </c>
    </row>
    <row r="2415" spans="1:17" x14ac:dyDescent="0.3">
      <c r="A2415" s="3">
        <v>43741</v>
      </c>
      <c r="B2415" s="9">
        <v>32.646960999999997</v>
      </c>
      <c r="C2415" s="9">
        <v>30.221008000000001</v>
      </c>
      <c r="E2415" s="14">
        <f t="shared" si="263"/>
        <v>1.0802737287915742</v>
      </c>
      <c r="F2415" s="18">
        <f t="shared" ca="1" si="262"/>
        <v>9.3048659097414041E-2</v>
      </c>
      <c r="G2415" s="15">
        <f t="shared" ca="1" si="267"/>
        <v>1.0788248932253059</v>
      </c>
      <c r="H2415" s="15">
        <f t="shared" ca="1" si="268"/>
        <v>1.557073019989986E-2</v>
      </c>
      <c r="J2415" s="17">
        <f t="shared" ca="1" si="264"/>
        <v>0</v>
      </c>
      <c r="K2415" s="24">
        <f t="shared" ca="1" si="265"/>
        <v>0</v>
      </c>
      <c r="L2415" s="17">
        <f t="shared" ca="1" si="266"/>
        <v>0</v>
      </c>
      <c r="N2415" s="24" t="str">
        <f ca="1">IF(AND(L2415=1,L2414&lt;&gt;1),MAX($N$8:N2414)+1,"")</f>
        <v/>
      </c>
      <c r="O2415" s="24" t="str">
        <f ca="1">IF(AND(L2415&lt;&gt;1,L2414=1),MAX($O$8:O2414)+1,"")</f>
        <v/>
      </c>
      <c r="P2415" s="17" t="str">
        <f ca="1">IF(AND(L2415=-1,L2414&lt;&gt;-1),MAX($P$8:P2414)+1,"")</f>
        <v/>
      </c>
      <c r="Q2415" s="24" t="str">
        <f ca="1">IF(AND(L2415&lt;&gt;-1,L2414=-1),MAX($Q$8:Q2414)+1,"")</f>
        <v/>
      </c>
    </row>
    <row r="2416" spans="1:17" x14ac:dyDescent="0.3">
      <c r="A2416" s="3">
        <v>43742</v>
      </c>
      <c r="B2416" s="9">
        <v>32.803871000000001</v>
      </c>
      <c r="C2416" s="9">
        <v>30.530342000000001</v>
      </c>
      <c r="E2416" s="14">
        <f t="shared" si="263"/>
        <v>1.0744678523417786</v>
      </c>
      <c r="F2416" s="18">
        <f t="shared" ca="1" si="262"/>
        <v>-0.30664979899246686</v>
      </c>
      <c r="G2416" s="15">
        <f t="shared" ca="1" si="267"/>
        <v>1.0791825703528986</v>
      </c>
      <c r="H2416" s="15">
        <f t="shared" ca="1" si="268"/>
        <v>1.5374926142494624E-2</v>
      </c>
      <c r="J2416" s="17">
        <f t="shared" ca="1" si="264"/>
        <v>0</v>
      </c>
      <c r="K2416" s="24">
        <f t="shared" ca="1" si="265"/>
        <v>0</v>
      </c>
      <c r="L2416" s="17">
        <f t="shared" ca="1" si="266"/>
        <v>0</v>
      </c>
      <c r="N2416" s="24" t="str">
        <f ca="1">IF(AND(L2416=1,L2415&lt;&gt;1),MAX($N$8:N2415)+1,"")</f>
        <v/>
      </c>
      <c r="O2416" s="24" t="str">
        <f ca="1">IF(AND(L2416&lt;&gt;1,L2415=1),MAX($O$8:O2415)+1,"")</f>
        <v/>
      </c>
      <c r="P2416" s="17" t="str">
        <f ca="1">IF(AND(L2416=-1,L2415&lt;&gt;-1),MAX($P$8:P2415)+1,"")</f>
        <v/>
      </c>
      <c r="Q2416" s="24" t="str">
        <f ca="1">IF(AND(L2416&lt;&gt;-1,L2415=-1),MAX($Q$8:Q2415)+1,"")</f>
        <v/>
      </c>
    </row>
    <row r="2417" spans="1:17" x14ac:dyDescent="0.3">
      <c r="A2417" s="3">
        <v>43745</v>
      </c>
      <c r="B2417" s="9">
        <v>32.195847000000001</v>
      </c>
      <c r="C2417" s="9">
        <v>30.333501999999999</v>
      </c>
      <c r="E2417" s="14">
        <f t="shared" si="263"/>
        <v>1.0613956476242012</v>
      </c>
      <c r="F2417" s="18">
        <f t="shared" ca="1" si="262"/>
        <v>-1.0979041167112826</v>
      </c>
      <c r="G2417" s="15">
        <f t="shared" ca="1" si="267"/>
        <v>1.0786948004733186</v>
      </c>
      <c r="H2417" s="15">
        <f t="shared" ca="1" si="268"/>
        <v>1.5756524259091104E-2</v>
      </c>
      <c r="J2417" s="17">
        <f t="shared" ca="1" si="264"/>
        <v>0</v>
      </c>
      <c r="K2417" s="24">
        <f t="shared" ca="1" si="265"/>
        <v>-1</v>
      </c>
      <c r="L2417" s="17">
        <f t="shared" ca="1" si="266"/>
        <v>-1</v>
      </c>
      <c r="N2417" s="24" t="str">
        <f ca="1">IF(AND(L2417=1,L2416&lt;&gt;1),MAX($N$8:N2416)+1,"")</f>
        <v/>
      </c>
      <c r="O2417" s="24" t="str">
        <f ca="1">IF(AND(L2417&lt;&gt;1,L2416=1),MAX($O$8:O2416)+1,"")</f>
        <v/>
      </c>
      <c r="P2417" s="17">
        <f ca="1">IF(AND(L2417=-1,L2416&lt;&gt;-1),MAX($P$8:P2416)+1,"")</f>
        <v>89</v>
      </c>
      <c r="Q2417" s="24" t="str">
        <f ca="1">IF(AND(L2417&lt;&gt;-1,L2416=-1),MAX($Q$8:Q2416)+1,"")</f>
        <v/>
      </c>
    </row>
    <row r="2418" spans="1:17" x14ac:dyDescent="0.3">
      <c r="A2418" s="3">
        <v>43746</v>
      </c>
      <c r="B2418" s="9">
        <v>32.058543999999998</v>
      </c>
      <c r="C2418" s="9">
        <v>30.305374</v>
      </c>
      <c r="E2418" s="14">
        <f t="shared" si="263"/>
        <v>1.0578501357548005</v>
      </c>
      <c r="F2418" s="18">
        <f t="shared" ca="1" si="262"/>
        <v>-1.2829171203330294</v>
      </c>
      <c r="G2418" s="15">
        <f t="shared" ca="1" si="267"/>
        <v>1.0784366980839566</v>
      </c>
      <c r="H2418" s="15">
        <f t="shared" ca="1" si="268"/>
        <v>1.604668142850265E-2</v>
      </c>
      <c r="J2418" s="17">
        <f t="shared" ca="1" si="264"/>
        <v>0</v>
      </c>
      <c r="K2418" s="24">
        <f t="shared" ca="1" si="265"/>
        <v>-1</v>
      </c>
      <c r="L2418" s="17">
        <f t="shared" ca="1" si="266"/>
        <v>-1</v>
      </c>
      <c r="N2418" s="24" t="str">
        <f ca="1">IF(AND(L2418=1,L2417&lt;&gt;1),MAX($N$8:N2417)+1,"")</f>
        <v/>
      </c>
      <c r="O2418" s="24" t="str">
        <f ca="1">IF(AND(L2418&lt;&gt;1,L2417=1),MAX($O$8:O2417)+1,"")</f>
        <v/>
      </c>
      <c r="P2418" s="17" t="str">
        <f ca="1">IF(AND(L2418=-1,L2417&lt;&gt;-1),MAX($P$8:P2417)+1,"")</f>
        <v/>
      </c>
      <c r="Q2418" s="24" t="str">
        <f ca="1">IF(AND(L2418&lt;&gt;-1,L2417=-1),MAX($Q$8:Q2417)+1,"")</f>
        <v/>
      </c>
    </row>
    <row r="2419" spans="1:17" x14ac:dyDescent="0.3">
      <c r="A2419" s="3">
        <v>43747</v>
      </c>
      <c r="B2419" s="9">
        <v>32.568497000000001</v>
      </c>
      <c r="C2419" s="9">
        <v>31.167760999999999</v>
      </c>
      <c r="E2419" s="14">
        <f t="shared" si="263"/>
        <v>1.044941823058769</v>
      </c>
      <c r="F2419" s="18">
        <f t="shared" ca="1" si="262"/>
        <v>-1.8338104749876196</v>
      </c>
      <c r="G2419" s="15">
        <f t="shared" ca="1" si="267"/>
        <v>1.0770316290907731</v>
      </c>
      <c r="H2419" s="15">
        <f t="shared" ca="1" si="268"/>
        <v>1.7498976295367005E-2</v>
      </c>
      <c r="J2419" s="17">
        <f t="shared" ca="1" si="264"/>
        <v>0</v>
      </c>
      <c r="K2419" s="24">
        <f t="shared" ca="1" si="265"/>
        <v>-1</v>
      </c>
      <c r="L2419" s="17">
        <f t="shared" ca="1" si="266"/>
        <v>-1</v>
      </c>
      <c r="N2419" s="24" t="str">
        <f ca="1">IF(AND(L2419=1,L2418&lt;&gt;1),MAX($N$8:N2418)+1,"")</f>
        <v/>
      </c>
      <c r="O2419" s="24" t="str">
        <f ca="1">IF(AND(L2419&lt;&gt;1,L2418=1),MAX($O$8:O2418)+1,"")</f>
        <v/>
      </c>
      <c r="P2419" s="17" t="str">
        <f ca="1">IF(AND(L2419=-1,L2418&lt;&gt;-1),MAX($P$8:P2418)+1,"")</f>
        <v/>
      </c>
      <c r="Q2419" s="24" t="str">
        <f ca="1">IF(AND(L2419&lt;&gt;-1,L2418=-1),MAX($Q$8:Q2418)+1,"")</f>
        <v/>
      </c>
    </row>
    <row r="2420" spans="1:17" x14ac:dyDescent="0.3">
      <c r="A2420" s="3">
        <v>43748</v>
      </c>
      <c r="B2420" s="9">
        <v>32.803871000000001</v>
      </c>
      <c r="C2420" s="9">
        <v>31.523959999999999</v>
      </c>
      <c r="E2420" s="14">
        <f t="shared" si="263"/>
        <v>1.0406012125380188</v>
      </c>
      <c r="F2420" s="18">
        <f t="shared" ca="1" si="262"/>
        <v>-1.8304844038374464</v>
      </c>
      <c r="G2420" s="15">
        <f t="shared" ca="1" si="267"/>
        <v>1.0755155829324492</v>
      </c>
      <c r="H2420" s="15">
        <f t="shared" ca="1" si="268"/>
        <v>1.9073842050353177E-2</v>
      </c>
      <c r="J2420" s="17">
        <f t="shared" ca="1" si="264"/>
        <v>0</v>
      </c>
      <c r="K2420" s="24">
        <f t="shared" ca="1" si="265"/>
        <v>-1</v>
      </c>
      <c r="L2420" s="17">
        <f t="shared" ca="1" si="266"/>
        <v>-1</v>
      </c>
      <c r="N2420" s="24" t="str">
        <f ca="1">IF(AND(L2420=1,L2419&lt;&gt;1),MAX($N$8:N2419)+1,"")</f>
        <v/>
      </c>
      <c r="O2420" s="24" t="str">
        <f ca="1">IF(AND(L2420&lt;&gt;1,L2419=1),MAX($O$8:O2419)+1,"")</f>
        <v/>
      </c>
      <c r="P2420" s="17" t="str">
        <f ca="1">IF(AND(L2420=-1,L2419&lt;&gt;-1),MAX($P$8:P2419)+1,"")</f>
        <v/>
      </c>
      <c r="Q2420" s="24" t="str">
        <f ca="1">IF(AND(L2420&lt;&gt;-1,L2419=-1),MAX($Q$8:Q2419)+1,"")</f>
        <v/>
      </c>
    </row>
    <row r="2421" spans="1:17" x14ac:dyDescent="0.3">
      <c r="A2421" s="3">
        <v>43749</v>
      </c>
      <c r="B2421" s="9">
        <v>33.225563000000001</v>
      </c>
      <c r="C2421" s="9">
        <v>31.880161000000001</v>
      </c>
      <c r="E2421" s="14">
        <f t="shared" si="263"/>
        <v>1.0422018571361669</v>
      </c>
      <c r="F2421" s="18">
        <f t="shared" ca="1" si="262"/>
        <v>-1.5704435080577115</v>
      </c>
      <c r="G2421" s="15">
        <f t="shared" ca="1" si="267"/>
        <v>1.0740806846444209</v>
      </c>
      <c r="H2421" s="15">
        <f t="shared" ca="1" si="268"/>
        <v>2.0299251354594088E-2</v>
      </c>
      <c r="J2421" s="17">
        <f t="shared" ca="1" si="264"/>
        <v>0</v>
      </c>
      <c r="K2421" s="24">
        <f t="shared" ca="1" si="265"/>
        <v>-1</v>
      </c>
      <c r="L2421" s="17">
        <f t="shared" ca="1" si="266"/>
        <v>-1</v>
      </c>
      <c r="N2421" s="24" t="str">
        <f ca="1">IF(AND(L2421=1,L2420&lt;&gt;1),MAX($N$8:N2420)+1,"")</f>
        <v/>
      </c>
      <c r="O2421" s="24" t="str">
        <f ca="1">IF(AND(L2421&lt;&gt;1,L2420=1),MAX($O$8:O2420)+1,"")</f>
        <v/>
      </c>
      <c r="P2421" s="17" t="str">
        <f ca="1">IF(AND(L2421=-1,L2420&lt;&gt;-1),MAX($P$8:P2420)+1,"")</f>
        <v/>
      </c>
      <c r="Q2421" s="24" t="str">
        <f ca="1">IF(AND(L2421&lt;&gt;-1,L2420=-1),MAX($Q$8:Q2420)+1,"")</f>
        <v/>
      </c>
    </row>
    <row r="2422" spans="1:17" x14ac:dyDescent="0.3">
      <c r="A2422" s="3">
        <v>43752</v>
      </c>
      <c r="B2422" s="9">
        <v>33.784550000000003</v>
      </c>
      <c r="C2422" s="9">
        <v>32.330105000000003</v>
      </c>
      <c r="E2422" s="14">
        <f t="shared" si="263"/>
        <v>1.0449873268274259</v>
      </c>
      <c r="F2422" s="18">
        <f t="shared" ca="1" si="262"/>
        <v>-1.2980467438373964</v>
      </c>
      <c r="G2422" s="15">
        <f t="shared" ca="1" si="267"/>
        <v>1.0719310466966976</v>
      </c>
      <c r="H2422" s="15">
        <f t="shared" ca="1" si="268"/>
        <v>2.0757126041253619E-2</v>
      </c>
      <c r="J2422" s="17">
        <f t="shared" ca="1" si="264"/>
        <v>0</v>
      </c>
      <c r="K2422" s="24">
        <f t="shared" ca="1" si="265"/>
        <v>-1</v>
      </c>
      <c r="L2422" s="17">
        <f t="shared" ca="1" si="266"/>
        <v>-1</v>
      </c>
      <c r="N2422" s="24" t="str">
        <f ca="1">IF(AND(L2422=1,L2421&lt;&gt;1),MAX($N$8:N2421)+1,"")</f>
        <v/>
      </c>
      <c r="O2422" s="24" t="str">
        <f ca="1">IF(AND(L2422&lt;&gt;1,L2421=1),MAX($O$8:O2421)+1,"")</f>
        <v/>
      </c>
      <c r="P2422" s="17" t="str">
        <f ca="1">IF(AND(L2422=-1,L2421&lt;&gt;-1),MAX($P$8:P2421)+1,"")</f>
        <v/>
      </c>
      <c r="Q2422" s="24" t="str">
        <f ca="1">IF(AND(L2422&lt;&gt;-1,L2421=-1),MAX($Q$8:Q2421)+1,"")</f>
        <v/>
      </c>
    </row>
    <row r="2423" spans="1:17" x14ac:dyDescent="0.3">
      <c r="A2423" s="3">
        <v>43753</v>
      </c>
      <c r="B2423" s="9">
        <v>33.706097</v>
      </c>
      <c r="C2423" s="9">
        <v>32.592571</v>
      </c>
      <c r="E2423" s="14">
        <f t="shared" si="263"/>
        <v>1.0341650249070562</v>
      </c>
      <c r="F2423" s="18">
        <f t="shared" ca="1" si="262"/>
        <v>-1.7625849278808834</v>
      </c>
      <c r="G2423" s="15">
        <f t="shared" ca="1" si="267"/>
        <v>1.0679543466769175</v>
      </c>
      <c r="H2423" s="15">
        <f t="shared" ca="1" si="268"/>
        <v>1.9170322652472364E-2</v>
      </c>
      <c r="J2423" s="17">
        <f t="shared" ca="1" si="264"/>
        <v>0</v>
      </c>
      <c r="K2423" s="24">
        <f t="shared" ca="1" si="265"/>
        <v>-1</v>
      </c>
      <c r="L2423" s="17">
        <f t="shared" ca="1" si="266"/>
        <v>-1</v>
      </c>
      <c r="N2423" s="24" t="str">
        <f ca="1">IF(AND(L2423=1,L2422&lt;&gt;1),MAX($N$8:N2422)+1,"")</f>
        <v/>
      </c>
      <c r="O2423" s="24" t="str">
        <f ca="1">IF(AND(L2423&lt;&gt;1,L2422=1),MAX($O$8:O2422)+1,"")</f>
        <v/>
      </c>
      <c r="P2423" s="17" t="str">
        <f ca="1">IF(AND(L2423=-1,L2422&lt;&gt;-1),MAX($P$8:P2422)+1,"")</f>
        <v/>
      </c>
      <c r="Q2423" s="24" t="str">
        <f ca="1">IF(AND(L2423&lt;&gt;-1,L2422=-1),MAX($Q$8:Q2422)+1,"")</f>
        <v/>
      </c>
    </row>
    <row r="2424" spans="1:17" x14ac:dyDescent="0.3">
      <c r="A2424" s="3">
        <v>43754</v>
      </c>
      <c r="B2424" s="9">
        <v>34.186630000000001</v>
      </c>
      <c r="C2424" s="9">
        <v>33.370593999999997</v>
      </c>
      <c r="E2424" s="14">
        <f t="shared" si="263"/>
        <v>1.024453745114636</v>
      </c>
      <c r="F2424" s="18">
        <f t="shared" ca="1" si="262"/>
        <v>-2.1655749761527487</v>
      </c>
      <c r="G2424" s="15">
        <f t="shared" ca="1" si="267"/>
        <v>1.0637786431749987</v>
      </c>
      <c r="H2424" s="15">
        <f t="shared" ca="1" si="268"/>
        <v>1.8159102544777872E-2</v>
      </c>
      <c r="J2424" s="17">
        <f t="shared" ca="1" si="264"/>
        <v>0</v>
      </c>
      <c r="K2424" s="24">
        <f t="shared" ca="1" si="265"/>
        <v>-1</v>
      </c>
      <c r="L2424" s="17">
        <f t="shared" ca="1" si="266"/>
        <v>-1</v>
      </c>
      <c r="N2424" s="24" t="str">
        <f ca="1">IF(AND(L2424=1,L2423&lt;&gt;1),MAX($N$8:N2423)+1,"")</f>
        <v/>
      </c>
      <c r="O2424" s="24" t="str">
        <f ca="1">IF(AND(L2424&lt;&gt;1,L2423=1),MAX($O$8:O2423)+1,"")</f>
        <v/>
      </c>
      <c r="P2424" s="17" t="str">
        <f ca="1">IF(AND(L2424=-1,L2423&lt;&gt;-1),MAX($P$8:P2423)+1,"")</f>
        <v/>
      </c>
      <c r="Q2424" s="24" t="str">
        <f ca="1">IF(AND(L2424&lt;&gt;-1,L2423=-1),MAX($Q$8:Q2423)+1,"")</f>
        <v/>
      </c>
    </row>
    <row r="2425" spans="1:17" x14ac:dyDescent="0.3">
      <c r="A2425" s="3">
        <v>43755</v>
      </c>
      <c r="B2425" s="9">
        <v>33.980685999999999</v>
      </c>
      <c r="C2425" s="9">
        <v>32.808169999999997</v>
      </c>
      <c r="E2425" s="14">
        <f t="shared" si="263"/>
        <v>1.0357385370778072</v>
      </c>
      <c r="F2425" s="18">
        <f t="shared" ca="1" si="262"/>
        <v>-1.4161647403678992</v>
      </c>
      <c r="G2425" s="15">
        <f t="shared" ca="1" si="267"/>
        <v>1.0612506974797331</v>
      </c>
      <c r="H2425" s="15">
        <f t="shared" ca="1" si="268"/>
        <v>1.8014966532282291E-2</v>
      </c>
      <c r="J2425" s="17">
        <f t="shared" ca="1" si="264"/>
        <v>0</v>
      </c>
      <c r="K2425" s="24">
        <f t="shared" ca="1" si="265"/>
        <v>-1</v>
      </c>
      <c r="L2425" s="17">
        <f t="shared" ca="1" si="266"/>
        <v>-1</v>
      </c>
      <c r="N2425" s="24" t="str">
        <f ca="1">IF(AND(L2425=1,L2424&lt;&gt;1),MAX($N$8:N2424)+1,"")</f>
        <v/>
      </c>
      <c r="O2425" s="24" t="str">
        <f ca="1">IF(AND(L2425&lt;&gt;1,L2424=1),MAX($O$8:O2424)+1,"")</f>
        <v/>
      </c>
      <c r="P2425" s="17" t="str">
        <f ca="1">IF(AND(L2425=-1,L2424&lt;&gt;-1),MAX($P$8:P2424)+1,"")</f>
        <v/>
      </c>
      <c r="Q2425" s="24" t="str">
        <f ca="1">IF(AND(L2425&lt;&gt;-1,L2424=-1),MAX($Q$8:Q2424)+1,"")</f>
        <v/>
      </c>
    </row>
    <row r="2426" spans="1:17" x14ac:dyDescent="0.3">
      <c r="A2426" s="3">
        <v>43756</v>
      </c>
      <c r="B2426" s="9">
        <v>33.578612999999997</v>
      </c>
      <c r="C2426" s="9">
        <v>32.556362</v>
      </c>
      <c r="E2426" s="14">
        <f t="shared" si="263"/>
        <v>1.0313994235596715</v>
      </c>
      <c r="F2426" s="18">
        <f t="shared" ca="1" si="262"/>
        <v>-1.5005828621388442</v>
      </c>
      <c r="G2426" s="15">
        <f t="shared" ca="1" si="267"/>
        <v>1.0588252738990918</v>
      </c>
      <c r="H2426" s="15">
        <f t="shared" ca="1" si="268"/>
        <v>1.8276798323772016E-2</v>
      </c>
      <c r="J2426" s="17">
        <f t="shared" ca="1" si="264"/>
        <v>0</v>
      </c>
      <c r="K2426" s="24">
        <f t="shared" ca="1" si="265"/>
        <v>-1</v>
      </c>
      <c r="L2426" s="17">
        <f t="shared" ca="1" si="266"/>
        <v>-1</v>
      </c>
      <c r="N2426" s="24" t="str">
        <f ca="1">IF(AND(L2426=1,L2425&lt;&gt;1),MAX($N$8:N2425)+1,"")</f>
        <v/>
      </c>
      <c r="O2426" s="24" t="str">
        <f ca="1">IF(AND(L2426&lt;&gt;1,L2425=1),MAX($O$8:O2425)+1,"")</f>
        <v/>
      </c>
      <c r="P2426" s="17" t="str">
        <f ca="1">IF(AND(L2426=-1,L2425&lt;&gt;-1),MAX($P$8:P2425)+1,"")</f>
        <v/>
      </c>
      <c r="Q2426" s="24" t="str">
        <f ca="1">IF(AND(L2426&lt;&gt;-1,L2425=-1),MAX($Q$8:Q2425)+1,"")</f>
        <v/>
      </c>
    </row>
    <row r="2427" spans="1:17" x14ac:dyDescent="0.3">
      <c r="A2427" s="3">
        <v>43759</v>
      </c>
      <c r="B2427" s="9">
        <v>34.127785000000003</v>
      </c>
      <c r="C2427" s="9">
        <v>32.787604999999999</v>
      </c>
      <c r="E2427" s="14">
        <f t="shared" si="263"/>
        <v>1.0408745927005039</v>
      </c>
      <c r="F2427" s="18">
        <f t="shared" ca="1" si="262"/>
        <v>-0.89675046541130343</v>
      </c>
      <c r="G2427" s="15">
        <f t="shared" ca="1" si="267"/>
        <v>1.0570640485227896</v>
      </c>
      <c r="H2427" s="15">
        <f t="shared" ca="1" si="268"/>
        <v>1.805346798996112E-2</v>
      </c>
      <c r="J2427" s="17">
        <f t="shared" ca="1" si="264"/>
        <v>0</v>
      </c>
      <c r="K2427" s="24">
        <f t="shared" ca="1" si="265"/>
        <v>-1</v>
      </c>
      <c r="L2427" s="17">
        <f t="shared" ca="1" si="266"/>
        <v>-1</v>
      </c>
      <c r="N2427" s="24" t="str">
        <f ca="1">IF(AND(L2427=1,L2426&lt;&gt;1),MAX($N$8:N2426)+1,"")</f>
        <v/>
      </c>
      <c r="O2427" s="24" t="str">
        <f ca="1">IF(AND(L2427&lt;&gt;1,L2426=1),MAX($O$8:O2426)+1,"")</f>
        <v/>
      </c>
      <c r="P2427" s="17" t="str">
        <f ca="1">IF(AND(L2427=-1,L2426&lt;&gt;-1),MAX($P$8:P2426)+1,"")</f>
        <v/>
      </c>
      <c r="Q2427" s="24" t="str">
        <f ca="1">IF(AND(L2427&lt;&gt;-1,L2426=-1),MAX($Q$8:Q2426)+1,"")</f>
        <v/>
      </c>
    </row>
    <row r="2428" spans="1:17" x14ac:dyDescent="0.3">
      <c r="A2428" s="3">
        <v>43760</v>
      </c>
      <c r="B2428" s="9">
        <v>35.186931999999999</v>
      </c>
      <c r="C2428" s="9">
        <v>33.722191000000002</v>
      </c>
      <c r="E2428" s="14">
        <f t="shared" si="263"/>
        <v>1.0434355229172385</v>
      </c>
      <c r="F2428" s="18">
        <f t="shared" ca="1" si="262"/>
        <v>-0.69784339081690827</v>
      </c>
      <c r="G2428" s="15">
        <f t="shared" ca="1" si="267"/>
        <v>1.0561411144211346</v>
      </c>
      <c r="H2428" s="15">
        <f t="shared" ca="1" si="268"/>
        <v>1.8206938220082094E-2</v>
      </c>
      <c r="J2428" s="17">
        <f t="shared" ca="1" si="264"/>
        <v>0</v>
      </c>
      <c r="K2428" s="24">
        <f t="shared" ca="1" si="265"/>
        <v>-1</v>
      </c>
      <c r="L2428" s="17">
        <f t="shared" ca="1" si="266"/>
        <v>-1</v>
      </c>
      <c r="N2428" s="24" t="str">
        <f ca="1">IF(AND(L2428=1,L2427&lt;&gt;1),MAX($N$8:N2427)+1,"")</f>
        <v/>
      </c>
      <c r="O2428" s="24" t="str">
        <f ca="1">IF(AND(L2428&lt;&gt;1,L2427=1),MAX($O$8:O2427)+1,"")</f>
        <v/>
      </c>
      <c r="P2428" s="17" t="str">
        <f ca="1">IF(AND(L2428=-1,L2427&lt;&gt;-1),MAX($P$8:P2427)+1,"")</f>
        <v/>
      </c>
      <c r="Q2428" s="24" t="str">
        <f ca="1">IF(AND(L2428&lt;&gt;-1,L2427=-1),MAX($Q$8:Q2427)+1,"")</f>
        <v/>
      </c>
    </row>
    <row r="2429" spans="1:17" x14ac:dyDescent="0.3">
      <c r="A2429" s="3">
        <v>43761</v>
      </c>
      <c r="B2429" s="9">
        <v>35.687069000000001</v>
      </c>
      <c r="C2429" s="9">
        <v>34.011237999999999</v>
      </c>
      <c r="E2429" s="14">
        <f t="shared" si="263"/>
        <v>1.0492728609290847</v>
      </c>
      <c r="F2429" s="18">
        <f t="shared" ca="1" si="262"/>
        <v>-0.35397840849172146</v>
      </c>
      <c r="G2429" s="15">
        <f t="shared" ca="1" si="267"/>
        <v>1.0557350575617199</v>
      </c>
      <c r="H2429" s="15">
        <f t="shared" ca="1" si="268"/>
        <v>1.8255906229338238E-2</v>
      </c>
      <c r="J2429" s="17">
        <f t="shared" ca="1" si="264"/>
        <v>0</v>
      </c>
      <c r="K2429" s="24">
        <f t="shared" ca="1" si="265"/>
        <v>-1</v>
      </c>
      <c r="L2429" s="17">
        <f t="shared" ca="1" si="266"/>
        <v>-1</v>
      </c>
      <c r="N2429" s="24" t="str">
        <f ca="1">IF(AND(L2429=1,L2428&lt;&gt;1),MAX($N$8:N2428)+1,"")</f>
        <v/>
      </c>
      <c r="O2429" s="24" t="str">
        <f ca="1">IF(AND(L2429&lt;&gt;1,L2428=1),MAX($O$8:O2428)+1,"")</f>
        <v/>
      </c>
      <c r="P2429" s="17" t="str">
        <f ca="1">IF(AND(L2429=-1,L2428&lt;&gt;-1),MAX($P$8:P2428)+1,"")</f>
        <v/>
      </c>
      <c r="Q2429" s="24" t="str">
        <f ca="1">IF(AND(L2429&lt;&gt;-1,L2428=-1),MAX($Q$8:Q2428)+1,"")</f>
        <v/>
      </c>
    </row>
    <row r="2430" spans="1:17" x14ac:dyDescent="0.3">
      <c r="A2430" s="3">
        <v>43762</v>
      </c>
      <c r="B2430" s="9">
        <v>35.853789999999996</v>
      </c>
      <c r="C2430" s="9">
        <v>33.972693999999997</v>
      </c>
      <c r="E2430" s="14">
        <f t="shared" si="263"/>
        <v>1.0553708222256379</v>
      </c>
      <c r="F2430" s="18">
        <f t="shared" ca="1" si="262"/>
        <v>-6.3551794448060712E-3</v>
      </c>
      <c r="G2430" s="15">
        <f t="shared" ca="1" si="267"/>
        <v>1.0554866260062217</v>
      </c>
      <c r="H2430" s="15">
        <f t="shared" ca="1" si="268"/>
        <v>1.8221952910924918E-2</v>
      </c>
      <c r="J2430" s="17">
        <f t="shared" ca="1" si="264"/>
        <v>0</v>
      </c>
      <c r="K2430" s="24">
        <f t="shared" ca="1" si="265"/>
        <v>-1</v>
      </c>
      <c r="L2430" s="17">
        <f t="shared" ca="1" si="266"/>
        <v>-1</v>
      </c>
      <c r="N2430" s="24" t="str">
        <f ca="1">IF(AND(L2430=1,L2429&lt;&gt;1),MAX($N$8:N2429)+1,"")</f>
        <v/>
      </c>
      <c r="O2430" s="24" t="str">
        <f ca="1">IF(AND(L2430&lt;&gt;1,L2429=1),MAX($O$8:O2429)+1,"")</f>
        <v/>
      </c>
      <c r="P2430" s="17" t="str">
        <f ca="1">IF(AND(L2430=-1,L2429&lt;&gt;-1),MAX($P$8:P2429)+1,"")</f>
        <v/>
      </c>
      <c r="Q2430" s="24" t="str">
        <f ca="1">IF(AND(L2430&lt;&gt;-1,L2429=-1),MAX($Q$8:Q2429)+1,"")</f>
        <v/>
      </c>
    </row>
    <row r="2431" spans="1:17" x14ac:dyDescent="0.3">
      <c r="A2431" s="3">
        <v>43763</v>
      </c>
      <c r="B2431" s="9">
        <v>36.089157</v>
      </c>
      <c r="C2431" s="9">
        <v>34.415900999999998</v>
      </c>
      <c r="E2431" s="14">
        <f t="shared" si="263"/>
        <v>1.0486186893668714</v>
      </c>
      <c r="F2431" s="18">
        <f t="shared" ca="1" si="262"/>
        <v>-0.33477374822572825</v>
      </c>
      <c r="G2431" s="15">
        <f t="shared" ca="1" si="267"/>
        <v>1.0546839837855948</v>
      </c>
      <c r="H2431" s="15">
        <f t="shared" ca="1" si="268"/>
        <v>1.811759270512972E-2</v>
      </c>
      <c r="J2431" s="17">
        <f t="shared" ca="1" si="264"/>
        <v>0</v>
      </c>
      <c r="K2431" s="24">
        <f t="shared" ca="1" si="265"/>
        <v>-1</v>
      </c>
      <c r="L2431" s="17">
        <f t="shared" ca="1" si="266"/>
        <v>-1</v>
      </c>
      <c r="N2431" s="24" t="str">
        <f ca="1">IF(AND(L2431=1,L2430&lt;&gt;1),MAX($N$8:N2430)+1,"")</f>
        <v/>
      </c>
      <c r="O2431" s="24" t="str">
        <f ca="1">IF(AND(L2431&lt;&gt;1,L2430=1),MAX($O$8:O2430)+1,"")</f>
        <v/>
      </c>
      <c r="P2431" s="17" t="str">
        <f ca="1">IF(AND(L2431=-1,L2430&lt;&gt;-1),MAX($P$8:P2430)+1,"")</f>
        <v/>
      </c>
      <c r="Q2431" s="24" t="str">
        <f ca="1">IF(AND(L2431&lt;&gt;-1,L2430=-1),MAX($Q$8:Q2430)+1,"")</f>
        <v/>
      </c>
    </row>
    <row r="2432" spans="1:17" x14ac:dyDescent="0.3">
      <c r="A2432" s="3">
        <v>43766</v>
      </c>
      <c r="B2432" s="9">
        <v>36.579501999999998</v>
      </c>
      <c r="C2432" s="9">
        <v>35.658802000000001</v>
      </c>
      <c r="E2432" s="14">
        <f t="shared" si="263"/>
        <v>1.0258197120587504</v>
      </c>
      <c r="F2432" s="18">
        <f t="shared" ca="1" si="262"/>
        <v>-1.4560137308800567</v>
      </c>
      <c r="G2432" s="15">
        <f t="shared" ca="1" si="267"/>
        <v>1.0521552797544063</v>
      </c>
      <c r="H2432" s="15">
        <f t="shared" ca="1" si="268"/>
        <v>1.8087444601046335E-2</v>
      </c>
      <c r="J2432" s="17">
        <f t="shared" ca="1" si="264"/>
        <v>0</v>
      </c>
      <c r="K2432" s="24">
        <f t="shared" ca="1" si="265"/>
        <v>-1</v>
      </c>
      <c r="L2432" s="17">
        <f t="shared" ca="1" si="266"/>
        <v>-1</v>
      </c>
      <c r="N2432" s="24" t="str">
        <f ca="1">IF(AND(L2432=1,L2431&lt;&gt;1),MAX($N$8:N2431)+1,"")</f>
        <v/>
      </c>
      <c r="O2432" s="24" t="str">
        <f ca="1">IF(AND(L2432&lt;&gt;1,L2431=1),MAX($O$8:O2431)+1,"")</f>
        <v/>
      </c>
      <c r="P2432" s="17" t="str">
        <f ca="1">IF(AND(L2432=-1,L2431&lt;&gt;-1),MAX($P$8:P2431)+1,"")</f>
        <v/>
      </c>
      <c r="Q2432" s="24" t="str">
        <f ca="1">IF(AND(L2432&lt;&gt;-1,L2431=-1),MAX($Q$8:Q2431)+1,"")</f>
        <v/>
      </c>
    </row>
    <row r="2433" spans="1:17" x14ac:dyDescent="0.3">
      <c r="A2433" s="3">
        <v>43767</v>
      </c>
      <c r="B2433" s="9">
        <v>35.932246999999997</v>
      </c>
      <c r="C2433" s="9">
        <v>35.167422999999999</v>
      </c>
      <c r="E2433" s="14">
        <f t="shared" si="263"/>
        <v>1.0217480820246623</v>
      </c>
      <c r="F2433" s="18">
        <f t="shared" ca="1" si="262"/>
        <v>-1.5262394178759966</v>
      </c>
      <c r="G2433" s="15">
        <f t="shared" ca="1" si="267"/>
        <v>1.0496197777225875</v>
      </c>
      <c r="H2433" s="15">
        <f t="shared" ca="1" si="268"/>
        <v>1.8261679898631578E-2</v>
      </c>
      <c r="J2433" s="17">
        <f t="shared" ca="1" si="264"/>
        <v>0</v>
      </c>
      <c r="K2433" s="24">
        <f t="shared" ca="1" si="265"/>
        <v>-1</v>
      </c>
      <c r="L2433" s="17">
        <f t="shared" ca="1" si="266"/>
        <v>-1</v>
      </c>
      <c r="N2433" s="24" t="str">
        <f ca="1">IF(AND(L2433=1,L2432&lt;&gt;1),MAX($N$8:N2432)+1,"")</f>
        <v/>
      </c>
      <c r="O2433" s="24" t="str">
        <f ca="1">IF(AND(L2433&lt;&gt;1,L2432=1),MAX($O$8:O2432)+1,"")</f>
        <v/>
      </c>
      <c r="P2433" s="17" t="str">
        <f ca="1">IF(AND(L2433=-1,L2432&lt;&gt;-1),MAX($P$8:P2432)+1,"")</f>
        <v/>
      </c>
      <c r="Q2433" s="24" t="str">
        <f ca="1">IF(AND(L2433&lt;&gt;-1,L2432=-1),MAX($Q$8:Q2432)+1,"")</f>
        <v/>
      </c>
    </row>
    <row r="2434" spans="1:17" x14ac:dyDescent="0.3">
      <c r="A2434" s="3">
        <v>43768</v>
      </c>
      <c r="B2434" s="9">
        <v>36.157806000000001</v>
      </c>
      <c r="C2434" s="9">
        <v>35.331218999999997</v>
      </c>
      <c r="E2434" s="14">
        <f t="shared" si="263"/>
        <v>1.0233953716683255</v>
      </c>
      <c r="F2434" s="18">
        <f t="shared" ref="F2434:F2497" ca="1" si="269">IF(ISNUMBER(G2434),(E2434-G2434)/H2434,"")</f>
        <v>-1.3321542633164889</v>
      </c>
      <c r="G2434" s="15">
        <f t="shared" ca="1" si="267"/>
        <v>1.0470227047763008</v>
      </c>
      <c r="H2434" s="15">
        <f t="shared" ca="1" si="268"/>
        <v>1.7736183983042181E-2</v>
      </c>
      <c r="J2434" s="17">
        <f t="shared" ca="1" si="264"/>
        <v>0</v>
      </c>
      <c r="K2434" s="24">
        <f t="shared" ca="1" si="265"/>
        <v>-1</v>
      </c>
      <c r="L2434" s="17">
        <f t="shared" ca="1" si="266"/>
        <v>-1</v>
      </c>
      <c r="N2434" s="24" t="str">
        <f ca="1">IF(AND(L2434=1,L2433&lt;&gt;1),MAX($N$8:N2433)+1,"")</f>
        <v/>
      </c>
      <c r="O2434" s="24" t="str">
        <f ca="1">IF(AND(L2434&lt;&gt;1,L2433=1),MAX($O$8:O2433)+1,"")</f>
        <v/>
      </c>
      <c r="P2434" s="17" t="str">
        <f ca="1">IF(AND(L2434=-1,L2433&lt;&gt;-1),MAX($P$8:P2433)+1,"")</f>
        <v/>
      </c>
      <c r="Q2434" s="24" t="str">
        <f ca="1">IF(AND(L2434&lt;&gt;-1,L2433=-1),MAX($Q$8:Q2433)+1,"")</f>
        <v/>
      </c>
    </row>
    <row r="2435" spans="1:17" x14ac:dyDescent="0.3">
      <c r="A2435" s="3">
        <v>43769</v>
      </c>
      <c r="B2435" s="9">
        <v>35.530169999999998</v>
      </c>
      <c r="C2435" s="9">
        <v>33.885978999999999</v>
      </c>
      <c r="E2435" s="14">
        <f t="shared" ref="E2435:E2498" si="270">IF(ISNUMBER(B2435),B2435/C2435,"")</f>
        <v>1.0485212777827666</v>
      </c>
      <c r="F2435" s="18">
        <f t="shared" ca="1" si="269"/>
        <v>0.147063997208775</v>
      </c>
      <c r="G2435" s="15">
        <f t="shared" ca="1" si="267"/>
        <v>1.0460229718424066</v>
      </c>
      <c r="H2435" s="15">
        <f t="shared" ca="1" si="268"/>
        <v>1.6987882743411366E-2</v>
      </c>
      <c r="J2435" s="17">
        <f t="shared" ca="1" si="264"/>
        <v>0</v>
      </c>
      <c r="K2435" s="24">
        <f t="shared" ca="1" si="265"/>
        <v>0</v>
      </c>
      <c r="L2435" s="17">
        <f t="shared" ca="1" si="266"/>
        <v>0</v>
      </c>
      <c r="N2435" s="24" t="str">
        <f ca="1">IF(AND(L2435=1,L2434&lt;&gt;1),MAX($N$8:N2434)+1,"")</f>
        <v/>
      </c>
      <c r="O2435" s="24" t="str">
        <f ca="1">IF(AND(L2435&lt;&gt;1,L2434=1),MAX($O$8:O2434)+1,"")</f>
        <v/>
      </c>
      <c r="P2435" s="17" t="str">
        <f ca="1">IF(AND(L2435=-1,L2434&lt;&gt;-1),MAX($P$8:P2434)+1,"")</f>
        <v/>
      </c>
      <c r="Q2435" s="24">
        <f ca="1">IF(AND(L2435&lt;&gt;-1,L2434=-1),MAX($Q$8:Q2434)+1,"")</f>
        <v>89</v>
      </c>
    </row>
    <row r="2436" spans="1:17" x14ac:dyDescent="0.3">
      <c r="A2436" s="3">
        <v>43770</v>
      </c>
      <c r="B2436" s="9">
        <v>35.662621000000001</v>
      </c>
      <c r="C2436" s="9">
        <v>33.596927999999998</v>
      </c>
      <c r="E2436" s="14">
        <f t="shared" si="270"/>
        <v>1.0614845797806276</v>
      </c>
      <c r="F2436" s="18">
        <f t="shared" ca="1" si="269"/>
        <v>1.0690374784267918</v>
      </c>
      <c r="G2436" s="15">
        <f t="shared" ca="1" si="267"/>
        <v>1.0450462648266534</v>
      </c>
      <c r="H2436" s="15">
        <f t="shared" ca="1" si="268"/>
        <v>1.5376743365597439E-2</v>
      </c>
      <c r="J2436" s="17">
        <f t="shared" ca="1" si="264"/>
        <v>1</v>
      </c>
      <c r="K2436" s="24">
        <f t="shared" ca="1" si="265"/>
        <v>0</v>
      </c>
      <c r="L2436" s="17">
        <f t="shared" ca="1" si="266"/>
        <v>1</v>
      </c>
      <c r="N2436" s="24">
        <f ca="1">IF(AND(L2436=1,L2435&lt;&gt;1),MAX($N$8:N2435)+1,"")</f>
        <v>81</v>
      </c>
      <c r="O2436" s="24" t="str">
        <f ca="1">IF(AND(L2436&lt;&gt;1,L2435=1),MAX($O$8:O2435)+1,"")</f>
        <v/>
      </c>
      <c r="P2436" s="17" t="str">
        <f ca="1">IF(AND(L2436=-1,L2435&lt;&gt;-1),MAX($P$8:P2435)+1,"")</f>
        <v/>
      </c>
      <c r="Q2436" s="24" t="str">
        <f ca="1">IF(AND(L2436&lt;&gt;-1,L2435=-1),MAX($Q$8:Q2435)+1,"")</f>
        <v/>
      </c>
    </row>
    <row r="2437" spans="1:17" x14ac:dyDescent="0.3">
      <c r="A2437" s="3">
        <v>43773</v>
      </c>
      <c r="B2437" s="9">
        <v>35.780341999999997</v>
      </c>
      <c r="C2437" s="9">
        <v>33.632835</v>
      </c>
      <c r="E2437" s="14">
        <f t="shared" si="270"/>
        <v>1.0638515010703082</v>
      </c>
      <c r="F2437" s="18">
        <f t="shared" ca="1" si="269"/>
        <v>1.3981434722138677</v>
      </c>
      <c r="G2437" s="15">
        <f t="shared" ca="1" si="267"/>
        <v>1.0442997999302321</v>
      </c>
      <c r="H2437" s="15">
        <f t="shared" ca="1" si="268"/>
        <v>1.3984044934327998E-2</v>
      </c>
      <c r="J2437" s="17">
        <f t="shared" ca="1" si="264"/>
        <v>1</v>
      </c>
      <c r="K2437" s="24">
        <f t="shared" ca="1" si="265"/>
        <v>0</v>
      </c>
      <c r="L2437" s="17">
        <f t="shared" ca="1" si="266"/>
        <v>1</v>
      </c>
      <c r="N2437" s="24" t="str">
        <f ca="1">IF(AND(L2437=1,L2436&lt;&gt;1),MAX($N$8:N2436)+1,"")</f>
        <v/>
      </c>
      <c r="O2437" s="24" t="str">
        <f ca="1">IF(AND(L2437&lt;&gt;1,L2436=1),MAX($O$8:O2436)+1,"")</f>
        <v/>
      </c>
      <c r="P2437" s="17" t="str">
        <f ca="1">IF(AND(L2437=-1,L2436&lt;&gt;-1),MAX($P$8:P2436)+1,"")</f>
        <v/>
      </c>
      <c r="Q2437" s="24" t="str">
        <f ca="1">IF(AND(L2437&lt;&gt;-1,L2436=-1),MAX($Q$8:Q2436)+1,"")</f>
        <v/>
      </c>
    </row>
    <row r="2438" spans="1:17" x14ac:dyDescent="0.3">
      <c r="A2438" s="3">
        <v>43774</v>
      </c>
      <c r="B2438" s="9">
        <v>36.398426000000001</v>
      </c>
      <c r="C2438" s="9">
        <v>34.085903000000002</v>
      </c>
      <c r="E2438" s="14">
        <f t="shared" si="270"/>
        <v>1.067843970570473</v>
      </c>
      <c r="F2438" s="18">
        <f t="shared" ca="1" si="269"/>
        <v>1.7808317289691713</v>
      </c>
      <c r="G2438" s="15">
        <f t="shared" ca="1" si="267"/>
        <v>1.0439987143951728</v>
      </c>
      <c r="H2438" s="15">
        <f t="shared" ca="1" si="268"/>
        <v>1.338995469779896E-2</v>
      </c>
      <c r="J2438" s="17">
        <f t="shared" ca="1" si="264"/>
        <v>1</v>
      </c>
      <c r="K2438" s="24">
        <f t="shared" ca="1" si="265"/>
        <v>0</v>
      </c>
      <c r="L2438" s="17">
        <f t="shared" ca="1" si="266"/>
        <v>1</v>
      </c>
      <c r="N2438" s="24" t="str">
        <f ca="1">IF(AND(L2438=1,L2437&lt;&gt;1),MAX($N$8:N2437)+1,"")</f>
        <v/>
      </c>
      <c r="O2438" s="24" t="str">
        <f ca="1">IF(AND(L2438&lt;&gt;1,L2437=1),MAX($O$8:O2437)+1,"")</f>
        <v/>
      </c>
      <c r="P2438" s="17" t="str">
        <f ca="1">IF(AND(L2438=-1,L2437&lt;&gt;-1),MAX($P$8:P2437)+1,"")</f>
        <v/>
      </c>
      <c r="Q2438" s="24" t="str">
        <f ca="1">IF(AND(L2438&lt;&gt;-1,L2437=-1),MAX($Q$8:Q2437)+1,"")</f>
        <v/>
      </c>
    </row>
    <row r="2439" spans="1:17" x14ac:dyDescent="0.3">
      <c r="A2439" s="3">
        <v>43775</v>
      </c>
      <c r="B2439" s="9">
        <v>35.907890000000002</v>
      </c>
      <c r="C2439" s="9">
        <v>33.902748000000003</v>
      </c>
      <c r="E2439" s="14">
        <f t="shared" si="270"/>
        <v>1.0591439372407216</v>
      </c>
      <c r="F2439" s="18">
        <f t="shared" ca="1" si="269"/>
        <v>1.1494933347436531</v>
      </c>
      <c r="G2439" s="15">
        <f t="shared" ca="1" si="267"/>
        <v>1.0438963639231966</v>
      </c>
      <c r="H2439" s="15">
        <f t="shared" ca="1" si="268"/>
        <v>1.3264603505443867E-2</v>
      </c>
      <c r="J2439" s="17">
        <f t="shared" ca="1" si="264"/>
        <v>1</v>
      </c>
      <c r="K2439" s="24">
        <f t="shared" ca="1" si="265"/>
        <v>0</v>
      </c>
      <c r="L2439" s="17">
        <f t="shared" ca="1" si="266"/>
        <v>1</v>
      </c>
      <c r="N2439" s="24" t="str">
        <f ca="1">IF(AND(L2439=1,L2438&lt;&gt;1),MAX($N$8:N2438)+1,"")</f>
        <v/>
      </c>
      <c r="O2439" s="24" t="str">
        <f ca="1">IF(AND(L2439&lt;&gt;1,L2438=1),MAX($O$8:O2438)+1,"")</f>
        <v/>
      </c>
      <c r="P2439" s="17" t="str">
        <f ca="1">IF(AND(L2439=-1,L2438&lt;&gt;-1),MAX($P$8:P2438)+1,"")</f>
        <v/>
      </c>
      <c r="Q2439" s="24" t="str">
        <f ca="1">IF(AND(L2439&lt;&gt;-1,L2438=-1),MAX($Q$8:Q2438)+1,"")</f>
        <v/>
      </c>
    </row>
    <row r="2440" spans="1:17" x14ac:dyDescent="0.3">
      <c r="A2440" s="3">
        <v>43776</v>
      </c>
      <c r="B2440" s="9">
        <v>36.123730000000002</v>
      </c>
      <c r="C2440" s="9">
        <v>33.989505999999999</v>
      </c>
      <c r="E2440" s="14">
        <f t="shared" si="270"/>
        <v>1.0627906742745836</v>
      </c>
      <c r="F2440" s="18">
        <f t="shared" ca="1" si="269"/>
        <v>1.3790674909599181</v>
      </c>
      <c r="G2440" s="15">
        <f t="shared" ca="1" si="267"/>
        <v>1.0441209338559141</v>
      </c>
      <c r="H2440" s="15">
        <f t="shared" ca="1" si="268"/>
        <v>1.3537945416778852E-2</v>
      </c>
      <c r="J2440" s="17">
        <f t="shared" ref="J2440:J2503" ca="1" si="271">IF(ISNUMBER(F2440),IF(AND(J2439&lt;&gt;1,F2440&gt;$L$1),1,IF(AND(J2439=1,F2440&gt;$N$1),1,0)),"")</f>
        <v>1</v>
      </c>
      <c r="K2440" s="24">
        <f t="shared" ca="1" si="265"/>
        <v>0</v>
      </c>
      <c r="L2440" s="17">
        <f t="shared" ca="1" si="266"/>
        <v>1</v>
      </c>
      <c r="N2440" s="24" t="str">
        <f ca="1">IF(AND(L2440=1,L2439&lt;&gt;1),MAX($N$8:N2439)+1,"")</f>
        <v/>
      </c>
      <c r="O2440" s="24" t="str">
        <f ca="1">IF(AND(L2440&lt;&gt;1,L2439=1),MAX($O$8:O2439)+1,"")</f>
        <v/>
      </c>
      <c r="P2440" s="17" t="str">
        <f ca="1">IF(AND(L2440=-1,L2439&lt;&gt;-1),MAX($P$8:P2439)+1,"")</f>
        <v/>
      </c>
      <c r="Q2440" s="24" t="str">
        <f ca="1">IF(AND(L2440&lt;&gt;-1,L2439=-1),MAX($Q$8:Q2439)+1,"")</f>
        <v/>
      </c>
    </row>
    <row r="2441" spans="1:17" x14ac:dyDescent="0.3">
      <c r="A2441" s="3">
        <v>43777</v>
      </c>
      <c r="B2441" s="9">
        <v>35.584133000000001</v>
      </c>
      <c r="C2441" s="9">
        <v>33.006264000000002</v>
      </c>
      <c r="E2441" s="14">
        <f t="shared" si="270"/>
        <v>1.0781024171654205</v>
      </c>
      <c r="F2441" s="18">
        <f t="shared" ca="1" si="269"/>
        <v>2.1253501679642137</v>
      </c>
      <c r="G2441" s="15">
        <f t="shared" ca="1" si="267"/>
        <v>1.0456282335880347</v>
      </c>
      <c r="H2441" s="15">
        <f t="shared" ca="1" si="268"/>
        <v>1.527945091913562E-2</v>
      </c>
      <c r="J2441" s="17">
        <f t="shared" ca="1" si="271"/>
        <v>1</v>
      </c>
      <c r="K2441" s="24">
        <f t="shared" ref="K2441:K2504" ca="1" si="272">IF(ISNUMBER(F2441),IF(AND(K2440&lt;&gt;-1,F2441&lt;$P$1),-1,IF(AND(K2440=-1,F2441&lt;R2434),-1,0)),"")</f>
        <v>0</v>
      </c>
      <c r="L2441" s="17">
        <f t="shared" ref="L2441:L2504" ca="1" si="273">IF(ISNUMBER(F2441),IF(J2441=1,1,IF(K2441=-1,-1,0)),"")</f>
        <v>1</v>
      </c>
      <c r="N2441" s="24" t="str">
        <f ca="1">IF(AND(L2441=1,L2440&lt;&gt;1),MAX($N$8:N2440)+1,"")</f>
        <v/>
      </c>
      <c r="O2441" s="24" t="str">
        <f ca="1">IF(AND(L2441&lt;&gt;1,L2440=1),MAX($O$8:O2440)+1,"")</f>
        <v/>
      </c>
      <c r="P2441" s="17" t="str">
        <f ca="1">IF(AND(L2441=-1,L2440&lt;&gt;-1),MAX($P$8:P2440)+1,"")</f>
        <v/>
      </c>
      <c r="Q2441" s="24" t="str">
        <f ca="1">IF(AND(L2441&lt;&gt;-1,L2440=-1),MAX($Q$8:Q2440)+1,"")</f>
        <v/>
      </c>
    </row>
    <row r="2442" spans="1:17" x14ac:dyDescent="0.3">
      <c r="A2442" s="3">
        <v>43780</v>
      </c>
      <c r="B2442" s="9">
        <v>35.741100000000003</v>
      </c>
      <c r="C2442" s="9">
        <v>32.929141999999999</v>
      </c>
      <c r="E2442" s="14">
        <f t="shared" si="270"/>
        <v>1.0853942079632686</v>
      </c>
      <c r="F2442" s="18">
        <f t="shared" ca="1" si="269"/>
        <v>2.1781706852162044</v>
      </c>
      <c r="G2442" s="15">
        <f t="shared" ca="1" si="267"/>
        <v>1.0476642788346366</v>
      </c>
      <c r="H2442" s="15">
        <f t="shared" ca="1" si="268"/>
        <v>1.7321842307728458E-2</v>
      </c>
      <c r="J2442" s="17">
        <f t="shared" ca="1" si="271"/>
        <v>1</v>
      </c>
      <c r="K2442" s="24">
        <f t="shared" ca="1" si="272"/>
        <v>0</v>
      </c>
      <c r="L2442" s="17">
        <f t="shared" ca="1" si="273"/>
        <v>1</v>
      </c>
      <c r="N2442" s="24" t="str">
        <f ca="1">IF(AND(L2442=1,L2441&lt;&gt;1),MAX($N$8:N2441)+1,"")</f>
        <v/>
      </c>
      <c r="O2442" s="24" t="str">
        <f ca="1">IF(AND(L2442&lt;&gt;1,L2441=1),MAX($O$8:O2441)+1,"")</f>
        <v/>
      </c>
      <c r="P2442" s="17" t="str">
        <f ca="1">IF(AND(L2442=-1,L2441&lt;&gt;-1),MAX($P$8:P2441)+1,"")</f>
        <v/>
      </c>
      <c r="Q2442" s="24" t="str">
        <f ca="1">IF(AND(L2442&lt;&gt;-1,L2441=-1),MAX($Q$8:Q2441)+1,"")</f>
        <v/>
      </c>
    </row>
    <row r="2443" spans="1:17" x14ac:dyDescent="0.3">
      <c r="A2443" s="3">
        <v>43781</v>
      </c>
      <c r="B2443" s="9">
        <v>35.132828000000003</v>
      </c>
      <c r="C2443" s="9">
        <v>32.620669999999997</v>
      </c>
      <c r="E2443" s="14">
        <f t="shared" si="270"/>
        <v>1.0770112324486287</v>
      </c>
      <c r="F2443" s="18">
        <f t="shared" ca="1" si="269"/>
        <v>1.5161927218094253</v>
      </c>
      <c r="G2443" s="15">
        <f t="shared" ca="1" si="267"/>
        <v>1.0492465231670214</v>
      </c>
      <c r="H2443" s="15">
        <f t="shared" ca="1" si="268"/>
        <v>1.8312124100208663E-2</v>
      </c>
      <c r="J2443" s="17">
        <f t="shared" ca="1" si="271"/>
        <v>1</v>
      </c>
      <c r="K2443" s="24">
        <f t="shared" ca="1" si="272"/>
        <v>0</v>
      </c>
      <c r="L2443" s="17">
        <f t="shared" ca="1" si="273"/>
        <v>1</v>
      </c>
      <c r="N2443" s="24" t="str">
        <f ca="1">IF(AND(L2443=1,L2442&lt;&gt;1),MAX($N$8:N2442)+1,"")</f>
        <v/>
      </c>
      <c r="O2443" s="24" t="str">
        <f ca="1">IF(AND(L2443&lt;&gt;1,L2442=1),MAX($O$8:O2442)+1,"")</f>
        <v/>
      </c>
      <c r="P2443" s="17" t="str">
        <f ca="1">IF(AND(L2443=-1,L2442&lt;&gt;-1),MAX($P$8:P2442)+1,"")</f>
        <v/>
      </c>
      <c r="Q2443" s="24" t="str">
        <f ca="1">IF(AND(L2443&lt;&gt;-1,L2442=-1),MAX($Q$8:Q2442)+1,"")</f>
        <v/>
      </c>
    </row>
    <row r="2444" spans="1:17" x14ac:dyDescent="0.3">
      <c r="A2444" s="3">
        <v>43782</v>
      </c>
      <c r="B2444" s="9">
        <v>34.779632999999997</v>
      </c>
      <c r="C2444" s="9">
        <v>32.283290999999998</v>
      </c>
      <c r="E2444" s="14">
        <f t="shared" si="270"/>
        <v>1.0773261313414422</v>
      </c>
      <c r="F2444" s="18">
        <f t="shared" ca="1" si="269"/>
        <v>1.3867706267344815</v>
      </c>
      <c r="G2444" s="15">
        <f t="shared" ca="1" si="267"/>
        <v>1.0507164688267496</v>
      </c>
      <c r="H2444" s="15">
        <f t="shared" ca="1" si="268"/>
        <v>1.9188221903251614E-2</v>
      </c>
      <c r="J2444" s="17">
        <f t="shared" ca="1" si="271"/>
        <v>1</v>
      </c>
      <c r="K2444" s="24">
        <f t="shared" ca="1" si="272"/>
        <v>0</v>
      </c>
      <c r="L2444" s="17">
        <f t="shared" ca="1" si="273"/>
        <v>1</v>
      </c>
      <c r="N2444" s="24" t="str">
        <f ca="1">IF(AND(L2444=1,L2443&lt;&gt;1),MAX($N$8:N2443)+1,"")</f>
        <v/>
      </c>
      <c r="O2444" s="24" t="str">
        <f ca="1">IF(AND(L2444&lt;&gt;1,L2443=1),MAX($O$8:O2443)+1,"")</f>
        <v/>
      </c>
      <c r="P2444" s="17" t="str">
        <f ca="1">IF(AND(L2444=-1,L2443&lt;&gt;-1),MAX($P$8:P2443)+1,"")</f>
        <v/>
      </c>
      <c r="Q2444" s="24" t="str">
        <f ca="1">IF(AND(L2444&lt;&gt;-1,L2443=-1),MAX($Q$8:Q2443)+1,"")</f>
        <v/>
      </c>
    </row>
    <row r="2445" spans="1:17" x14ac:dyDescent="0.3">
      <c r="A2445" s="3">
        <v>43783</v>
      </c>
      <c r="B2445" s="9">
        <v>35.005279999999999</v>
      </c>
      <c r="C2445" s="9">
        <v>32.148327000000002</v>
      </c>
      <c r="E2445" s="14">
        <f t="shared" si="270"/>
        <v>1.0888678592823819</v>
      </c>
      <c r="F2445" s="18">
        <f t="shared" ca="1" si="269"/>
        <v>1.7492183166679847</v>
      </c>
      <c r="G2445" s="15">
        <f t="shared" ca="1" si="267"/>
        <v>1.0532029612983553</v>
      </c>
      <c r="H2445" s="15">
        <f t="shared" ca="1" si="268"/>
        <v>2.038904900788098E-2</v>
      </c>
      <c r="J2445" s="17">
        <f t="shared" ca="1" si="271"/>
        <v>1</v>
      </c>
      <c r="K2445" s="24">
        <f t="shared" ca="1" si="272"/>
        <v>0</v>
      </c>
      <c r="L2445" s="17">
        <f t="shared" ca="1" si="273"/>
        <v>1</v>
      </c>
      <c r="N2445" s="24" t="str">
        <f ca="1">IF(AND(L2445=1,L2444&lt;&gt;1),MAX($N$8:N2444)+1,"")</f>
        <v/>
      </c>
      <c r="O2445" s="24" t="str">
        <f ca="1">IF(AND(L2445&lt;&gt;1,L2444=1),MAX($O$8:O2444)+1,"")</f>
        <v/>
      </c>
      <c r="P2445" s="17" t="str">
        <f ca="1">IF(AND(L2445=-1,L2444&lt;&gt;-1),MAX($P$8:P2444)+1,"")</f>
        <v/>
      </c>
      <c r="Q2445" s="24" t="str">
        <f ca="1">IF(AND(L2445&lt;&gt;-1,L2444=-1),MAX($Q$8:Q2444)+1,"")</f>
        <v/>
      </c>
    </row>
    <row r="2446" spans="1:17" x14ac:dyDescent="0.3">
      <c r="A2446" s="3">
        <v>43787</v>
      </c>
      <c r="B2446" s="9">
        <v>34.848312</v>
      </c>
      <c r="C2446" s="9">
        <v>31.936256</v>
      </c>
      <c r="E2446" s="14">
        <f t="shared" si="270"/>
        <v>1.0911833873075165</v>
      </c>
      <c r="F2446" s="18">
        <f t="shared" ca="1" si="269"/>
        <v>1.6765315959838278</v>
      </c>
      <c r="G2446" s="15">
        <f t="shared" ca="1" si="267"/>
        <v>1.0562361268525768</v>
      </c>
      <c r="H2446" s="15">
        <f t="shared" ca="1" si="268"/>
        <v>2.0844975745555102E-2</v>
      </c>
      <c r="J2446" s="17">
        <f t="shared" ca="1" si="271"/>
        <v>1</v>
      </c>
      <c r="K2446" s="24">
        <f t="shared" ca="1" si="272"/>
        <v>0</v>
      </c>
      <c r="L2446" s="17">
        <f t="shared" ca="1" si="273"/>
        <v>1</v>
      </c>
      <c r="N2446" s="24" t="str">
        <f ca="1">IF(AND(L2446=1,L2445&lt;&gt;1),MAX($N$8:N2445)+1,"")</f>
        <v/>
      </c>
      <c r="O2446" s="24" t="str">
        <f ca="1">IF(AND(L2446&lt;&gt;1,L2445=1),MAX($O$8:O2445)+1,"")</f>
        <v/>
      </c>
      <c r="P2446" s="17" t="str">
        <f ca="1">IF(AND(L2446=-1,L2445&lt;&gt;-1),MAX($P$8:P2445)+1,"")</f>
        <v/>
      </c>
      <c r="Q2446" s="24" t="str">
        <f ca="1">IF(AND(L2446&lt;&gt;-1,L2445=-1),MAX($Q$8:Q2445)+1,"")</f>
        <v/>
      </c>
    </row>
    <row r="2447" spans="1:17" x14ac:dyDescent="0.3">
      <c r="A2447" s="3">
        <v>43788</v>
      </c>
      <c r="B2447" s="9">
        <v>34.465691</v>
      </c>
      <c r="C2447" s="9">
        <v>31.878419999999998</v>
      </c>
      <c r="E2447" s="14">
        <f t="shared" si="270"/>
        <v>1.0811605782218818</v>
      </c>
      <c r="F2447" s="18">
        <f t="shared" ca="1" si="269"/>
        <v>1.0905548594406065</v>
      </c>
      <c r="G2447" s="15">
        <f t="shared" ca="1" si="267"/>
        <v>1.0583007650863987</v>
      </c>
      <c r="H2447" s="15">
        <f t="shared" ca="1" si="268"/>
        <v>2.0961635205778584E-2</v>
      </c>
      <c r="J2447" s="17">
        <f t="shared" ca="1" si="271"/>
        <v>1</v>
      </c>
      <c r="K2447" s="24">
        <f t="shared" ca="1" si="272"/>
        <v>0</v>
      </c>
      <c r="L2447" s="17">
        <f t="shared" ca="1" si="273"/>
        <v>1</v>
      </c>
      <c r="N2447" s="24" t="str">
        <f ca="1">IF(AND(L2447=1,L2446&lt;&gt;1),MAX($N$8:N2446)+1,"")</f>
        <v/>
      </c>
      <c r="O2447" s="24" t="str">
        <f ca="1">IF(AND(L2447&lt;&gt;1,L2446=1),MAX($O$8:O2446)+1,"")</f>
        <v/>
      </c>
      <c r="P2447" s="17" t="str">
        <f ca="1">IF(AND(L2447=-1,L2446&lt;&gt;-1),MAX($P$8:P2446)+1,"")</f>
        <v/>
      </c>
      <c r="Q2447" s="24" t="str">
        <f ca="1">IF(AND(L2447&lt;&gt;-1,L2446=-1),MAX($Q$8:Q2446)+1,"")</f>
        <v/>
      </c>
    </row>
    <row r="2448" spans="1:17" x14ac:dyDescent="0.3">
      <c r="A2448" s="3">
        <v>43790</v>
      </c>
      <c r="B2448" s="9">
        <v>34.818877999999998</v>
      </c>
      <c r="C2448" s="9">
        <v>32.061573000000003</v>
      </c>
      <c r="E2448" s="14">
        <f t="shared" si="270"/>
        <v>1.0860003032290397</v>
      </c>
      <c r="F2448" s="18">
        <f t="shared" ca="1" si="269"/>
        <v>1.2088013242321005</v>
      </c>
      <c r="G2448" s="15">
        <f t="shared" ca="1" si="267"/>
        <v>1.0607826232531881</v>
      </c>
      <c r="H2448" s="15">
        <f t="shared" ca="1" si="268"/>
        <v>2.0861724313440324E-2</v>
      </c>
      <c r="J2448" s="17">
        <f t="shared" ca="1" si="271"/>
        <v>1</v>
      </c>
      <c r="K2448" s="24">
        <f t="shared" ca="1" si="272"/>
        <v>0</v>
      </c>
      <c r="L2448" s="17">
        <f t="shared" ca="1" si="273"/>
        <v>1</v>
      </c>
      <c r="N2448" s="24" t="str">
        <f ca="1">IF(AND(L2448=1,L2447&lt;&gt;1),MAX($N$8:N2447)+1,"")</f>
        <v/>
      </c>
      <c r="O2448" s="24" t="str">
        <f ca="1">IF(AND(L2448&lt;&gt;1,L2447=1),MAX($O$8:O2447)+1,"")</f>
        <v/>
      </c>
      <c r="P2448" s="17" t="str">
        <f ca="1">IF(AND(L2448=-1,L2447&lt;&gt;-1),MAX($P$8:P2447)+1,"")</f>
        <v/>
      </c>
      <c r="Q2448" s="24" t="str">
        <f ca="1">IF(AND(L2448&lt;&gt;-1,L2447=-1),MAX($Q$8:Q2447)+1,"")</f>
        <v/>
      </c>
    </row>
    <row r="2449" spans="1:17" x14ac:dyDescent="0.3">
      <c r="A2449" s="3">
        <v>43791</v>
      </c>
      <c r="B2449" s="9">
        <v>35.054336999999997</v>
      </c>
      <c r="C2449" s="9">
        <v>32.591759000000003</v>
      </c>
      <c r="E2449" s="14">
        <f t="shared" si="270"/>
        <v>1.0755583029440048</v>
      </c>
      <c r="F2449" s="18">
        <f t="shared" ca="1" si="269"/>
        <v>0.6405279756354223</v>
      </c>
      <c r="G2449" s="15">
        <f t="shared" ca="1" si="267"/>
        <v>1.0623591555369833</v>
      </c>
      <c r="H2449" s="15">
        <f t="shared" ca="1" si="268"/>
        <v>2.0606668106771611E-2</v>
      </c>
      <c r="J2449" s="17">
        <f t="shared" ca="1" si="271"/>
        <v>1</v>
      </c>
      <c r="K2449" s="24">
        <f t="shared" ca="1" si="272"/>
        <v>0</v>
      </c>
      <c r="L2449" s="17">
        <f t="shared" ca="1" si="273"/>
        <v>1</v>
      </c>
      <c r="N2449" s="24" t="str">
        <f ca="1">IF(AND(L2449=1,L2448&lt;&gt;1),MAX($N$8:N2448)+1,"")</f>
        <v/>
      </c>
      <c r="O2449" s="24" t="str">
        <f ca="1">IF(AND(L2449&lt;&gt;1,L2448=1),MAX($O$8:O2448)+1,"")</f>
        <v/>
      </c>
      <c r="P2449" s="17" t="str">
        <f ca="1">IF(AND(L2449=-1,L2448&lt;&gt;-1),MAX($P$8:P2448)+1,"")</f>
        <v/>
      </c>
      <c r="Q2449" s="24" t="str">
        <f ca="1">IF(AND(L2449&lt;&gt;-1,L2448=-1),MAX($Q$8:Q2448)+1,"")</f>
        <v/>
      </c>
    </row>
    <row r="2450" spans="1:17" x14ac:dyDescent="0.3">
      <c r="A2450" s="3">
        <v>43794</v>
      </c>
      <c r="B2450" s="9">
        <v>34.553981999999998</v>
      </c>
      <c r="C2450" s="9">
        <v>32.427883000000001</v>
      </c>
      <c r="E2450" s="14">
        <f t="shared" si="270"/>
        <v>1.0655639160903596</v>
      </c>
      <c r="F2450" s="18">
        <f t="shared" ca="1" si="269"/>
        <v>0.10888801351032019</v>
      </c>
      <c r="G2450" s="15">
        <f t="shared" ca="1" si="267"/>
        <v>1.063364991590307</v>
      </c>
      <c r="H2450" s="15">
        <f t="shared" ca="1" si="268"/>
        <v>2.0194366938691991E-2</v>
      </c>
      <c r="J2450" s="17">
        <f t="shared" ca="1" si="271"/>
        <v>1</v>
      </c>
      <c r="K2450" s="24">
        <f t="shared" ca="1" si="272"/>
        <v>0</v>
      </c>
      <c r="L2450" s="17">
        <f t="shared" ca="1" si="273"/>
        <v>1</v>
      </c>
      <c r="N2450" s="24" t="str">
        <f ca="1">IF(AND(L2450=1,L2449&lt;&gt;1),MAX($N$8:N2449)+1,"")</f>
        <v/>
      </c>
      <c r="O2450" s="24" t="str">
        <f ca="1">IF(AND(L2450&lt;&gt;1,L2449=1),MAX($O$8:O2449)+1,"")</f>
        <v/>
      </c>
      <c r="P2450" s="17" t="str">
        <f ca="1">IF(AND(L2450=-1,L2449&lt;&gt;-1),MAX($P$8:P2449)+1,"")</f>
        <v/>
      </c>
      <c r="Q2450" s="24" t="str">
        <f ca="1">IF(AND(L2450&lt;&gt;-1,L2449=-1),MAX($Q$8:Q2449)+1,"")</f>
        <v/>
      </c>
    </row>
    <row r="2451" spans="1:17" x14ac:dyDescent="0.3">
      <c r="A2451" s="3">
        <v>43795</v>
      </c>
      <c r="B2451" s="9">
        <v>33.847599000000002</v>
      </c>
      <c r="C2451" s="9">
        <v>31.733823999999998</v>
      </c>
      <c r="E2451" s="14">
        <f t="shared" si="270"/>
        <v>1.0666095267938716</v>
      </c>
      <c r="F2451" s="18">
        <f t="shared" ca="1" si="269"/>
        <v>0.12303408516004347</v>
      </c>
      <c r="G2451" s="15">
        <f t="shared" ca="1" si="267"/>
        <v>1.0641530218568882</v>
      </c>
      <c r="H2451" s="15">
        <f t="shared" ca="1" si="268"/>
        <v>1.9966051958592728E-2</v>
      </c>
      <c r="J2451" s="17">
        <f t="shared" ca="1" si="271"/>
        <v>1</v>
      </c>
      <c r="K2451" s="24">
        <f t="shared" ca="1" si="272"/>
        <v>0</v>
      </c>
      <c r="L2451" s="17">
        <f t="shared" ca="1" si="273"/>
        <v>1</v>
      </c>
      <c r="N2451" s="24" t="str">
        <f ca="1">IF(AND(L2451=1,L2450&lt;&gt;1),MAX($N$8:N2450)+1,"")</f>
        <v/>
      </c>
      <c r="O2451" s="24" t="str">
        <f ca="1">IF(AND(L2451&lt;&gt;1,L2450=1),MAX($O$8:O2450)+1,"")</f>
        <v/>
      </c>
      <c r="P2451" s="17" t="str">
        <f ca="1">IF(AND(L2451=-1,L2450&lt;&gt;-1),MAX($P$8:P2450)+1,"")</f>
        <v/>
      </c>
      <c r="Q2451" s="24" t="str">
        <f ca="1">IF(AND(L2451&lt;&gt;-1,L2450=-1),MAX($Q$8:Q2450)+1,"")</f>
        <v/>
      </c>
    </row>
    <row r="2452" spans="1:17" x14ac:dyDescent="0.3">
      <c r="A2452" s="3">
        <v>43796</v>
      </c>
      <c r="B2452" s="9">
        <v>34.043812000000003</v>
      </c>
      <c r="C2452" s="9">
        <v>32.264004</v>
      </c>
      <c r="E2452" s="14">
        <f t="shared" si="270"/>
        <v>1.0551638910037329</v>
      </c>
      <c r="F2452" s="18">
        <f t="shared" ca="1" si="269"/>
        <v>-0.44965543687318871</v>
      </c>
      <c r="G2452" s="15">
        <f t="shared" ca="1" si="267"/>
        <v>1.0641436158922561</v>
      </c>
      <c r="H2452" s="15">
        <f t="shared" ca="1" si="268"/>
        <v>1.9970235322776111E-2</v>
      </c>
      <c r="J2452" s="17">
        <f t="shared" ca="1" si="271"/>
        <v>0</v>
      </c>
      <c r="K2452" s="24">
        <f t="shared" ca="1" si="272"/>
        <v>0</v>
      </c>
      <c r="L2452" s="17">
        <f t="shared" ca="1" si="273"/>
        <v>0</v>
      </c>
      <c r="N2452" s="24" t="str">
        <f ca="1">IF(AND(L2452=1,L2451&lt;&gt;1),MAX($N$8:N2451)+1,"")</f>
        <v/>
      </c>
      <c r="O2452" s="24">
        <f ca="1">IF(AND(L2452&lt;&gt;1,L2451=1),MAX($O$8:O2451)+1,"")</f>
        <v>81</v>
      </c>
      <c r="P2452" s="17" t="str">
        <f ca="1">IF(AND(L2452=-1,L2451&lt;&gt;-1),MAX($P$8:P2451)+1,"")</f>
        <v/>
      </c>
      <c r="Q2452" s="24" t="str">
        <f ca="1">IF(AND(L2452&lt;&gt;-1,L2451=-1),MAX($Q$8:Q2451)+1,"")</f>
        <v/>
      </c>
    </row>
    <row r="2453" spans="1:17" x14ac:dyDescent="0.3">
      <c r="A2453" s="3">
        <v>43797</v>
      </c>
      <c r="B2453" s="9">
        <v>33.945709000000001</v>
      </c>
      <c r="C2453" s="9">
        <v>32.013370999999999</v>
      </c>
      <c r="E2453" s="14">
        <f t="shared" si="270"/>
        <v>1.0603603413086364</v>
      </c>
      <c r="F2453" s="18">
        <f t="shared" ca="1" si="269"/>
        <v>-0.21909952875076077</v>
      </c>
      <c r="G2453" s="15">
        <f t="shared" ca="1" si="267"/>
        <v>1.0646773273441548</v>
      </c>
      <c r="H2453" s="15">
        <f t="shared" ca="1" si="268"/>
        <v>1.9703310454990394E-2</v>
      </c>
      <c r="J2453" s="17">
        <f t="shared" ca="1" si="271"/>
        <v>0</v>
      </c>
      <c r="K2453" s="24">
        <f t="shared" ca="1" si="272"/>
        <v>0</v>
      </c>
      <c r="L2453" s="17">
        <f t="shared" ca="1" si="273"/>
        <v>0</v>
      </c>
      <c r="N2453" s="24" t="str">
        <f ca="1">IF(AND(L2453=1,L2452&lt;&gt;1),MAX($N$8:N2452)+1,"")</f>
        <v/>
      </c>
      <c r="O2453" s="24" t="str">
        <f ca="1">IF(AND(L2453&lt;&gt;1,L2452=1),MAX($O$8:O2452)+1,"")</f>
        <v/>
      </c>
      <c r="P2453" s="17" t="str">
        <f ca="1">IF(AND(L2453=-1,L2452&lt;&gt;-1),MAX($P$8:P2452)+1,"")</f>
        <v/>
      </c>
      <c r="Q2453" s="24" t="str">
        <f ca="1">IF(AND(L2453&lt;&gt;-1,L2452=-1),MAX($Q$8:Q2452)+1,"")</f>
        <v/>
      </c>
    </row>
    <row r="2454" spans="1:17" x14ac:dyDescent="0.3">
      <c r="A2454" s="3">
        <v>43798</v>
      </c>
      <c r="B2454" s="9">
        <v>34.141925999999998</v>
      </c>
      <c r="C2454" s="9">
        <v>32.167603</v>
      </c>
      <c r="E2454" s="14">
        <f t="shared" si="270"/>
        <v>1.061376130512429</v>
      </c>
      <c r="F2454" s="18">
        <f t="shared" ca="1" si="269"/>
        <v>-0.27598351630871337</v>
      </c>
      <c r="G2454" s="15">
        <f t="shared" ca="1" si="267"/>
        <v>1.0662935281829584</v>
      </c>
      <c r="H2454" s="15">
        <f t="shared" ca="1" si="268"/>
        <v>1.781772236363887E-2</v>
      </c>
      <c r="J2454" s="17">
        <f t="shared" ca="1" si="271"/>
        <v>0</v>
      </c>
      <c r="K2454" s="24">
        <f t="shared" ca="1" si="272"/>
        <v>0</v>
      </c>
      <c r="L2454" s="17">
        <f t="shared" ca="1" si="273"/>
        <v>0</v>
      </c>
      <c r="N2454" s="24" t="str">
        <f ca="1">IF(AND(L2454=1,L2453&lt;&gt;1),MAX($N$8:N2453)+1,"")</f>
        <v/>
      </c>
      <c r="O2454" s="24" t="str">
        <f ca="1">IF(AND(L2454&lt;&gt;1,L2453=1),MAX($O$8:O2453)+1,"")</f>
        <v/>
      </c>
      <c r="P2454" s="17" t="str">
        <f ca="1">IF(AND(L2454=-1,L2453&lt;&gt;-1),MAX($P$8:P2453)+1,"")</f>
        <v/>
      </c>
      <c r="Q2454" s="24" t="str">
        <f ca="1">IF(AND(L2454&lt;&gt;-1,L2453=-1),MAX($Q$8:Q2453)+1,"")</f>
        <v/>
      </c>
    </row>
    <row r="2455" spans="1:17" x14ac:dyDescent="0.3">
      <c r="A2455" s="3">
        <v>43801</v>
      </c>
      <c r="B2455" s="9">
        <v>34.627772999999998</v>
      </c>
      <c r="C2455" s="9">
        <v>32.379677000000001</v>
      </c>
      <c r="E2455" s="14">
        <f t="shared" si="270"/>
        <v>1.069429228710342</v>
      </c>
      <c r="F2455" s="18">
        <f t="shared" ca="1" si="269"/>
        <v>6.4843515380531541E-2</v>
      </c>
      <c r="G2455" s="15">
        <f t="shared" ca="1" si="267"/>
        <v>1.0684608530323072</v>
      </c>
      <c r="H2455" s="15">
        <f t="shared" ca="1" si="268"/>
        <v>1.4934040394816463E-2</v>
      </c>
      <c r="J2455" s="17">
        <f t="shared" ca="1" si="271"/>
        <v>0</v>
      </c>
      <c r="K2455" s="24">
        <f t="shared" ca="1" si="272"/>
        <v>0</v>
      </c>
      <c r="L2455" s="17">
        <f t="shared" ca="1" si="273"/>
        <v>0</v>
      </c>
      <c r="N2455" s="24" t="str">
        <f ca="1">IF(AND(L2455=1,L2454&lt;&gt;1),MAX($N$8:N2454)+1,"")</f>
        <v/>
      </c>
      <c r="O2455" s="24" t="str">
        <f ca="1">IF(AND(L2455&lt;&gt;1,L2454=1),MAX($O$8:O2454)+1,"")</f>
        <v/>
      </c>
      <c r="P2455" s="17" t="str">
        <f ca="1">IF(AND(L2455=-1,L2454&lt;&gt;-1),MAX($P$8:P2454)+1,"")</f>
        <v/>
      </c>
      <c r="Q2455" s="24" t="str">
        <f ca="1">IF(AND(L2455&lt;&gt;-1,L2454=-1),MAX($Q$8:Q2454)+1,"")</f>
        <v/>
      </c>
    </row>
    <row r="2456" spans="1:17" x14ac:dyDescent="0.3">
      <c r="A2456" s="3">
        <v>43802</v>
      </c>
      <c r="B2456" s="9">
        <v>34.637591999999998</v>
      </c>
      <c r="C2456" s="9">
        <v>32.492759999999997</v>
      </c>
      <c r="E2456" s="14">
        <f t="shared" si="270"/>
        <v>1.0660095356627137</v>
      </c>
      <c r="F2456" s="18">
        <f t="shared" ca="1" si="269"/>
        <v>-0.38904388237856974</v>
      </c>
      <c r="G2456" s="15">
        <f t="shared" ca="1" si="267"/>
        <v>1.0703978604865978</v>
      </c>
      <c r="H2456" s="15">
        <f t="shared" ca="1" si="268"/>
        <v>1.1279768228340608E-2</v>
      </c>
      <c r="J2456" s="17">
        <f t="shared" ca="1" si="271"/>
        <v>0</v>
      </c>
      <c r="K2456" s="24">
        <f t="shared" ca="1" si="272"/>
        <v>0</v>
      </c>
      <c r="L2456" s="17">
        <f t="shared" ca="1" si="273"/>
        <v>0</v>
      </c>
      <c r="N2456" s="24" t="str">
        <f ca="1">IF(AND(L2456=1,L2455&lt;&gt;1),MAX($N$8:N2455)+1,"")</f>
        <v/>
      </c>
      <c r="O2456" s="24" t="str">
        <f ca="1">IF(AND(L2456&lt;&gt;1,L2455=1),MAX($O$8:O2455)+1,"")</f>
        <v/>
      </c>
      <c r="P2456" s="17" t="str">
        <f ca="1">IF(AND(L2456=-1,L2455&lt;&gt;-1),MAX($P$8:P2455)+1,"")</f>
        <v/>
      </c>
      <c r="Q2456" s="24" t="str">
        <f ca="1">IF(AND(L2456&lt;&gt;-1,L2455=-1),MAX($Q$8:Q2455)+1,"")</f>
        <v/>
      </c>
    </row>
    <row r="2457" spans="1:17" x14ac:dyDescent="0.3">
      <c r="A2457" s="3">
        <v>43803</v>
      </c>
      <c r="B2457" s="9">
        <v>35.884112999999999</v>
      </c>
      <c r="C2457" s="9">
        <v>33.331848000000001</v>
      </c>
      <c r="E2457" s="14">
        <f t="shared" si="270"/>
        <v>1.0765713620198916</v>
      </c>
      <c r="F2457" s="18">
        <f t="shared" ca="1" si="269"/>
        <v>0.47671590475251374</v>
      </c>
      <c r="G2457" s="15">
        <f t="shared" ca="1" si="267"/>
        <v>1.0716728643155582</v>
      </c>
      <c r="H2457" s="15">
        <f t="shared" ca="1" si="268"/>
        <v>1.0275507184675153E-2</v>
      </c>
      <c r="J2457" s="17">
        <f t="shared" ca="1" si="271"/>
        <v>0</v>
      </c>
      <c r="K2457" s="24">
        <f t="shared" ca="1" si="272"/>
        <v>0</v>
      </c>
      <c r="L2457" s="17">
        <f t="shared" ca="1" si="273"/>
        <v>0</v>
      </c>
      <c r="N2457" s="24" t="str">
        <f ca="1">IF(AND(L2457=1,L2456&lt;&gt;1),MAX($N$8:N2456)+1,"")</f>
        <v/>
      </c>
      <c r="O2457" s="24" t="str">
        <f ca="1">IF(AND(L2457&lt;&gt;1,L2456=1),MAX($O$8:O2456)+1,"")</f>
        <v/>
      </c>
      <c r="P2457" s="17" t="str">
        <f ca="1">IF(AND(L2457=-1,L2456&lt;&gt;-1),MAX($P$8:P2456)+1,"")</f>
        <v/>
      </c>
      <c r="Q2457" s="24" t="str">
        <f ca="1">IF(AND(L2457&lt;&gt;-1,L2456=-1),MAX($Q$8:Q2456)+1,"")</f>
        <v/>
      </c>
    </row>
    <row r="2458" spans="1:17" x14ac:dyDescent="0.3">
      <c r="A2458" s="3">
        <v>43804</v>
      </c>
      <c r="B2458" s="9">
        <v>35.835033000000003</v>
      </c>
      <c r="C2458" s="9">
        <v>33.466869000000003</v>
      </c>
      <c r="E2458" s="14">
        <f t="shared" si="270"/>
        <v>1.0707614446992337</v>
      </c>
      <c r="F2458" s="18">
        <f t="shared" ca="1" si="269"/>
        <v>-0.13282707298957605</v>
      </c>
      <c r="G2458" s="15">
        <f t="shared" ca="1" si="267"/>
        <v>1.0720945399936765</v>
      </c>
      <c r="H2458" s="15">
        <f t="shared" ca="1" si="268"/>
        <v>1.0036322147574748E-2</v>
      </c>
      <c r="J2458" s="17">
        <f t="shared" ca="1" si="271"/>
        <v>0</v>
      </c>
      <c r="K2458" s="24">
        <f t="shared" ca="1" si="272"/>
        <v>0</v>
      </c>
      <c r="L2458" s="17">
        <f t="shared" ca="1" si="273"/>
        <v>0</v>
      </c>
      <c r="N2458" s="24" t="str">
        <f ca="1">IF(AND(L2458=1,L2457&lt;&gt;1),MAX($N$8:N2457)+1,"")</f>
        <v/>
      </c>
      <c r="O2458" s="24" t="str">
        <f ca="1">IF(AND(L2458&lt;&gt;1,L2457=1),MAX($O$8:O2457)+1,"")</f>
        <v/>
      </c>
      <c r="P2458" s="17" t="str">
        <f ca="1">IF(AND(L2458=-1,L2457&lt;&gt;-1),MAX($P$8:P2457)+1,"")</f>
        <v/>
      </c>
      <c r="Q2458" s="24" t="str">
        <f ca="1">IF(AND(L2458&lt;&gt;-1,L2457=-1),MAX($Q$8:Q2457)+1,"")</f>
        <v/>
      </c>
    </row>
    <row r="2459" spans="1:17" x14ac:dyDescent="0.3">
      <c r="A2459" s="3">
        <v>43805</v>
      </c>
      <c r="B2459" s="9">
        <v>35.187237000000003</v>
      </c>
      <c r="C2459" s="9">
        <v>33.090733</v>
      </c>
      <c r="E2459" s="14">
        <f t="shared" si="270"/>
        <v>1.0633562272555281</v>
      </c>
      <c r="F2459" s="18">
        <f t="shared" ca="1" si="269"/>
        <v>-0.86678460222949261</v>
      </c>
      <c r="G2459" s="15">
        <f t="shared" ca="1" si="267"/>
        <v>1.0720720275475502</v>
      </c>
      <c r="H2459" s="15">
        <f t="shared" ca="1" si="268"/>
        <v>1.0055324321179383E-2</v>
      </c>
      <c r="J2459" s="17">
        <f t="shared" ca="1" si="271"/>
        <v>0</v>
      </c>
      <c r="K2459" s="24">
        <f t="shared" ca="1" si="272"/>
        <v>0</v>
      </c>
      <c r="L2459" s="17">
        <f t="shared" ca="1" si="273"/>
        <v>0</v>
      </c>
      <c r="N2459" s="24" t="str">
        <f ca="1">IF(AND(L2459=1,L2458&lt;&gt;1),MAX($N$8:N2458)+1,"")</f>
        <v/>
      </c>
      <c r="O2459" s="24" t="str">
        <f ca="1">IF(AND(L2459&lt;&gt;1,L2458=1),MAX($O$8:O2458)+1,"")</f>
        <v/>
      </c>
      <c r="P2459" s="17" t="str">
        <f ca="1">IF(AND(L2459=-1,L2458&lt;&gt;-1),MAX($P$8:P2458)+1,"")</f>
        <v/>
      </c>
      <c r="Q2459" s="24" t="str">
        <f ca="1">IF(AND(L2459&lt;&gt;-1,L2458=-1),MAX($Q$8:Q2458)+1,"")</f>
        <v/>
      </c>
    </row>
    <row r="2460" spans="1:17" x14ac:dyDescent="0.3">
      <c r="A2460" s="3">
        <v>43808</v>
      </c>
      <c r="B2460" s="9">
        <v>35.874298000000003</v>
      </c>
      <c r="C2460" s="9">
        <v>33.370421999999998</v>
      </c>
      <c r="E2460" s="14">
        <f t="shared" si="270"/>
        <v>1.0750327940114155</v>
      </c>
      <c r="F2460" s="18">
        <f t="shared" ca="1" si="269"/>
        <v>0.26262830838789997</v>
      </c>
      <c r="G2460" s="15">
        <f t="shared" ca="1" si="267"/>
        <v>1.0723987922494111</v>
      </c>
      <c r="H2460" s="15">
        <f t="shared" ca="1" si="268"/>
        <v>1.0029390122385228E-2</v>
      </c>
      <c r="J2460" s="17">
        <f t="shared" ca="1" si="271"/>
        <v>0</v>
      </c>
      <c r="K2460" s="24">
        <f t="shared" ca="1" si="272"/>
        <v>0</v>
      </c>
      <c r="L2460" s="17">
        <f t="shared" ca="1" si="273"/>
        <v>0</v>
      </c>
      <c r="N2460" s="24" t="str">
        <f ca="1">IF(AND(L2460=1,L2459&lt;&gt;1),MAX($N$8:N2459)+1,"")</f>
        <v/>
      </c>
      <c r="O2460" s="24" t="str">
        <f ca="1">IF(AND(L2460&lt;&gt;1,L2459=1),MAX($O$8:O2459)+1,"")</f>
        <v/>
      </c>
      <c r="P2460" s="17" t="str">
        <f ca="1">IF(AND(L2460=-1,L2459&lt;&gt;-1),MAX($P$8:P2459)+1,"")</f>
        <v/>
      </c>
      <c r="Q2460" s="24" t="str">
        <f ca="1">IF(AND(L2460&lt;&gt;-1,L2459=-1),MAX($Q$8:Q2459)+1,"")</f>
        <v/>
      </c>
    </row>
    <row r="2461" spans="1:17" x14ac:dyDescent="0.3">
      <c r="A2461" s="3">
        <v>43809</v>
      </c>
      <c r="B2461" s="9">
        <v>35.354095000000001</v>
      </c>
      <c r="C2461" s="9">
        <v>33.254683999999997</v>
      </c>
      <c r="E2461" s="14">
        <f t="shared" si="270"/>
        <v>1.0631312870090723</v>
      </c>
      <c r="F2461" s="18">
        <f t="shared" ca="1" si="269"/>
        <v>-0.96198789708416588</v>
      </c>
      <c r="G2461" s="15">
        <f t="shared" ca="1" si="267"/>
        <v>1.0725800354206998</v>
      </c>
      <c r="H2461" s="15">
        <f t="shared" ca="1" si="268"/>
        <v>9.8221073677403816E-3</v>
      </c>
      <c r="J2461" s="17">
        <f t="shared" ca="1" si="271"/>
        <v>0</v>
      </c>
      <c r="K2461" s="24">
        <f t="shared" ca="1" si="272"/>
        <v>0</v>
      </c>
      <c r="L2461" s="17">
        <f t="shared" ca="1" si="273"/>
        <v>0</v>
      </c>
      <c r="N2461" s="24" t="str">
        <f ca="1">IF(AND(L2461=1,L2460&lt;&gt;1),MAX($N$8:N2460)+1,"")</f>
        <v/>
      </c>
      <c r="O2461" s="24" t="str">
        <f ca="1">IF(AND(L2461&lt;&gt;1,L2460=1),MAX($O$8:O2460)+1,"")</f>
        <v/>
      </c>
      <c r="P2461" s="17" t="str">
        <f ca="1">IF(AND(L2461=-1,L2460&lt;&gt;-1),MAX($P$8:P2460)+1,"")</f>
        <v/>
      </c>
      <c r="Q2461" s="24" t="str">
        <f ca="1">IF(AND(L2461&lt;&gt;-1,L2460=-1),MAX($Q$8:Q2460)+1,"")</f>
        <v/>
      </c>
    </row>
    <row r="2462" spans="1:17" x14ac:dyDescent="0.3">
      <c r="A2462" s="3">
        <v>43810</v>
      </c>
      <c r="B2462" s="9">
        <v>34.941856000000001</v>
      </c>
      <c r="C2462" s="9">
        <v>33.061798000000003</v>
      </c>
      <c r="E2462" s="14">
        <f t="shared" si="270"/>
        <v>1.0568649654202109</v>
      </c>
      <c r="F2462" s="18">
        <f t="shared" ca="1" si="269"/>
        <v>-1.5199147292034882</v>
      </c>
      <c r="G2462" s="15">
        <f t="shared" ca="1" si="267"/>
        <v>1.0723106850182285</v>
      </c>
      <c r="H2462" s="15">
        <f t="shared" ca="1" si="268"/>
        <v>1.0162227723203842E-2</v>
      </c>
      <c r="J2462" s="17">
        <f t="shared" ca="1" si="271"/>
        <v>0</v>
      </c>
      <c r="K2462" s="24">
        <f t="shared" ca="1" si="272"/>
        <v>-1</v>
      </c>
      <c r="L2462" s="17">
        <f t="shared" ca="1" si="273"/>
        <v>-1</v>
      </c>
      <c r="N2462" s="24" t="str">
        <f ca="1">IF(AND(L2462=1,L2461&lt;&gt;1),MAX($N$8:N2461)+1,"")</f>
        <v/>
      </c>
      <c r="O2462" s="24" t="str">
        <f ca="1">IF(AND(L2462&lt;&gt;1,L2461=1),MAX($O$8:O2461)+1,"")</f>
        <v/>
      </c>
      <c r="P2462" s="17">
        <f ca="1">IF(AND(L2462=-1,L2461&lt;&gt;-1),MAX($P$8:P2461)+1,"")</f>
        <v>90</v>
      </c>
      <c r="Q2462" s="24" t="str">
        <f ca="1">IF(AND(L2462&lt;&gt;-1,L2461=-1),MAX($Q$8:Q2461)+1,"")</f>
        <v/>
      </c>
    </row>
    <row r="2463" spans="1:17" x14ac:dyDescent="0.3">
      <c r="A2463" s="3">
        <v>43811</v>
      </c>
      <c r="B2463" s="9">
        <v>34.932045000000002</v>
      </c>
      <c r="C2463" s="9">
        <v>33.505454999999998</v>
      </c>
      <c r="E2463" s="14">
        <f t="shared" si="270"/>
        <v>1.042577842921399</v>
      </c>
      <c r="F2463" s="18">
        <f t="shared" ca="1" si="269"/>
        <v>-2.3821838369058734</v>
      </c>
      <c r="G2463" s="15">
        <f t="shared" ref="G2463:G2526" ca="1" si="274">IF(ISNUMBER(E2463),IF(ROW(E2463)&gt;$J$1,AVERAGE(OFFSET(E2463,0,0,-$J$1)),""),"")</f>
        <v>1.0706959316435001</v>
      </c>
      <c r="H2463" s="15">
        <f t="shared" ref="H2463:H2526" ca="1" si="275">IF(ISNUMBER(E2463),IF(ROW(E2463)&gt;$J$1,_xlfn.STDEV.P(OFFSET(E2463,0,0,-$J$1)),""),"")</f>
        <v>1.1803492361287526E-2</v>
      </c>
      <c r="J2463" s="17">
        <f t="shared" ca="1" si="271"/>
        <v>0</v>
      </c>
      <c r="K2463" s="24">
        <f t="shared" ca="1" si="272"/>
        <v>-1</v>
      </c>
      <c r="L2463" s="17">
        <f t="shared" ca="1" si="273"/>
        <v>-1</v>
      </c>
      <c r="N2463" s="24" t="str">
        <f ca="1">IF(AND(L2463=1,L2462&lt;&gt;1),MAX($N$8:N2462)+1,"")</f>
        <v/>
      </c>
      <c r="O2463" s="24" t="str">
        <f ca="1">IF(AND(L2463&lt;&gt;1,L2462=1),MAX($O$8:O2462)+1,"")</f>
        <v/>
      </c>
      <c r="P2463" s="17" t="str">
        <f ca="1">IF(AND(L2463=-1,L2462&lt;&gt;-1),MAX($P$8:P2462)+1,"")</f>
        <v/>
      </c>
      <c r="Q2463" s="24" t="str">
        <f ca="1">IF(AND(L2463&lt;&gt;-1,L2462=-1),MAX($Q$8:Q2462)+1,"")</f>
        <v/>
      </c>
    </row>
    <row r="2464" spans="1:17" x14ac:dyDescent="0.3">
      <c r="A2464" s="3">
        <v>43812</v>
      </c>
      <c r="B2464" s="9">
        <v>35.676383999999999</v>
      </c>
      <c r="C2464" s="9">
        <v>34.106937000000002</v>
      </c>
      <c r="E2464" s="14">
        <f t="shared" si="270"/>
        <v>1.0460154777311137</v>
      </c>
      <c r="F2464" s="18">
        <f t="shared" ca="1" si="269"/>
        <v>-1.8446534815460318</v>
      </c>
      <c r="G2464" s="15">
        <f t="shared" ca="1" si="274"/>
        <v>1.0689059893602204</v>
      </c>
      <c r="H2464" s="15">
        <f t="shared" ca="1" si="275"/>
        <v>1.2409111986670706E-2</v>
      </c>
      <c r="J2464" s="17">
        <f t="shared" ca="1" si="271"/>
        <v>0</v>
      </c>
      <c r="K2464" s="24">
        <f t="shared" ca="1" si="272"/>
        <v>-1</v>
      </c>
      <c r="L2464" s="17">
        <f t="shared" ca="1" si="273"/>
        <v>-1</v>
      </c>
      <c r="N2464" s="24" t="str">
        <f ca="1">IF(AND(L2464=1,L2463&lt;&gt;1),MAX($N$8:N2463)+1,"")</f>
        <v/>
      </c>
      <c r="O2464" s="24" t="str">
        <f ca="1">IF(AND(L2464&lt;&gt;1,L2463=1),MAX($O$8:O2463)+1,"")</f>
        <v/>
      </c>
      <c r="P2464" s="17" t="str">
        <f ca="1">IF(AND(L2464=-1,L2463&lt;&gt;-1),MAX($P$8:P2463)+1,"")</f>
        <v/>
      </c>
      <c r="Q2464" s="24" t="str">
        <f ca="1">IF(AND(L2464&lt;&gt;-1,L2463=-1),MAX($Q$8:Q2463)+1,"")</f>
        <v/>
      </c>
    </row>
    <row r="2465" spans="1:17" x14ac:dyDescent="0.3">
      <c r="A2465" s="3">
        <v>43815</v>
      </c>
      <c r="B2465" s="9">
        <v>34.860866999999999</v>
      </c>
      <c r="C2465" s="9">
        <v>33.50909</v>
      </c>
      <c r="E2465" s="14">
        <f t="shared" si="270"/>
        <v>1.0403406060862888</v>
      </c>
      <c r="F2465" s="18">
        <f t="shared" ca="1" si="269"/>
        <v>-1.9759563749423654</v>
      </c>
      <c r="G2465" s="15">
        <f t="shared" ca="1" si="274"/>
        <v>1.0672391427073866</v>
      </c>
      <c r="H2465" s="15">
        <f t="shared" ca="1" si="275"/>
        <v>1.3612920286199356E-2</v>
      </c>
      <c r="J2465" s="17">
        <f t="shared" ca="1" si="271"/>
        <v>0</v>
      </c>
      <c r="K2465" s="24">
        <f t="shared" ca="1" si="272"/>
        <v>-1</v>
      </c>
      <c r="L2465" s="17">
        <f t="shared" ca="1" si="273"/>
        <v>-1</v>
      </c>
      <c r="N2465" s="24" t="str">
        <f ca="1">IF(AND(L2465=1,L2464&lt;&gt;1),MAX($N$8:N2464)+1,"")</f>
        <v/>
      </c>
      <c r="O2465" s="24" t="str">
        <f ca="1">IF(AND(L2465&lt;&gt;1,L2464=1),MAX($O$8:O2464)+1,"")</f>
        <v/>
      </c>
      <c r="P2465" s="17" t="str">
        <f ca="1">IF(AND(L2465=-1,L2464&lt;&gt;-1),MAX($P$8:P2464)+1,"")</f>
        <v/>
      </c>
      <c r="Q2465" s="24" t="str">
        <f ca="1">IF(AND(L2465&lt;&gt;-1,L2464=-1),MAX($Q$8:Q2464)+1,"")</f>
        <v/>
      </c>
    </row>
    <row r="2466" spans="1:17" x14ac:dyDescent="0.3">
      <c r="A2466" s="3">
        <v>43816</v>
      </c>
      <c r="B2466" s="9">
        <v>35.391449000000001</v>
      </c>
      <c r="C2466" s="9">
        <v>34.126548999999997</v>
      </c>
      <c r="E2466" s="14">
        <f t="shared" si="270"/>
        <v>1.0370649842150756</v>
      </c>
      <c r="F2466" s="18">
        <f t="shared" ca="1" si="269"/>
        <v>-1.916529313752972</v>
      </c>
      <c r="G2466" s="15">
        <f t="shared" ca="1" si="274"/>
        <v>1.0654090905652789</v>
      </c>
      <c r="H2466" s="15">
        <f t="shared" ca="1" si="275"/>
        <v>1.4789289235915441E-2</v>
      </c>
      <c r="J2466" s="17">
        <f t="shared" ca="1" si="271"/>
        <v>0</v>
      </c>
      <c r="K2466" s="24">
        <f t="shared" ca="1" si="272"/>
        <v>-1</v>
      </c>
      <c r="L2466" s="17">
        <f t="shared" ca="1" si="273"/>
        <v>-1</v>
      </c>
      <c r="N2466" s="24" t="str">
        <f ca="1">IF(AND(L2466=1,L2465&lt;&gt;1),MAX($N$8:N2465)+1,"")</f>
        <v/>
      </c>
      <c r="O2466" s="24" t="str">
        <f ca="1">IF(AND(L2466&lt;&gt;1,L2465=1),MAX($O$8:O2465)+1,"")</f>
        <v/>
      </c>
      <c r="P2466" s="17" t="str">
        <f ca="1">IF(AND(L2466=-1,L2465&lt;&gt;-1),MAX($P$8:P2465)+1,"")</f>
        <v/>
      </c>
      <c r="Q2466" s="24" t="str">
        <f ca="1">IF(AND(L2466&lt;&gt;-1,L2465=-1),MAX($Q$8:Q2465)+1,"")</f>
        <v/>
      </c>
    </row>
    <row r="2467" spans="1:17" x14ac:dyDescent="0.3">
      <c r="A2467" s="3">
        <v>43817</v>
      </c>
      <c r="B2467" s="9">
        <v>35.843418</v>
      </c>
      <c r="C2467" s="9">
        <v>35.077224999999999</v>
      </c>
      <c r="E2467" s="14">
        <f t="shared" si="270"/>
        <v>1.0218430334782755</v>
      </c>
      <c r="F2467" s="18">
        <f t="shared" ca="1" si="269"/>
        <v>-2.4627465963298563</v>
      </c>
      <c r="G2467" s="15">
        <f t="shared" ca="1" si="274"/>
        <v>1.0623625075741832</v>
      </c>
      <c r="H2467" s="15">
        <f t="shared" ca="1" si="275"/>
        <v>1.6452961159825516E-2</v>
      </c>
      <c r="J2467" s="17">
        <f t="shared" ca="1" si="271"/>
        <v>0</v>
      </c>
      <c r="K2467" s="24">
        <f t="shared" ca="1" si="272"/>
        <v>-1</v>
      </c>
      <c r="L2467" s="17">
        <f t="shared" ca="1" si="273"/>
        <v>-1</v>
      </c>
      <c r="N2467" s="24" t="str">
        <f ca="1">IF(AND(L2467=1,L2466&lt;&gt;1),MAX($N$8:N2466)+1,"")</f>
        <v/>
      </c>
      <c r="O2467" s="24" t="str">
        <f ca="1">IF(AND(L2467&lt;&gt;1,L2466=1),MAX($O$8:O2466)+1,"")</f>
        <v/>
      </c>
      <c r="P2467" s="17" t="str">
        <f ca="1">IF(AND(L2467=-1,L2466&lt;&gt;-1),MAX($P$8:P2466)+1,"")</f>
        <v/>
      </c>
      <c r="Q2467" s="24" t="str">
        <f ca="1">IF(AND(L2467&lt;&gt;-1,L2466=-1),MAX($Q$8:Q2466)+1,"")</f>
        <v/>
      </c>
    </row>
    <row r="2468" spans="1:17" x14ac:dyDescent="0.3">
      <c r="A2468" s="3">
        <v>43818</v>
      </c>
      <c r="B2468" s="9">
        <v>36.020279000000002</v>
      </c>
      <c r="C2468" s="9">
        <v>35.724083</v>
      </c>
      <c r="E2468" s="14">
        <f t="shared" si="270"/>
        <v>1.0082912135211421</v>
      </c>
      <c r="F2468" s="18">
        <f t="shared" ca="1" si="269"/>
        <v>-2.6825460958103209</v>
      </c>
      <c r="G2468" s="15">
        <f t="shared" ca="1" si="274"/>
        <v>1.0585946814929845</v>
      </c>
      <c r="H2468" s="15">
        <f t="shared" ca="1" si="275"/>
        <v>1.875213553661121E-2</v>
      </c>
      <c r="J2468" s="17">
        <f t="shared" ca="1" si="271"/>
        <v>0</v>
      </c>
      <c r="K2468" s="24">
        <f t="shared" ca="1" si="272"/>
        <v>-1</v>
      </c>
      <c r="L2468" s="17">
        <f t="shared" ca="1" si="273"/>
        <v>-1</v>
      </c>
      <c r="N2468" s="24" t="str">
        <f ca="1">IF(AND(L2468=1,L2467&lt;&gt;1),MAX($N$8:N2467)+1,"")</f>
        <v/>
      </c>
      <c r="O2468" s="24" t="str">
        <f ca="1">IF(AND(L2468&lt;&gt;1,L2467=1),MAX($O$8:O2467)+1,"")</f>
        <v/>
      </c>
      <c r="P2468" s="17" t="str">
        <f ca="1">IF(AND(L2468=-1,L2467&lt;&gt;-1),MAX($P$8:P2467)+1,"")</f>
        <v/>
      </c>
      <c r="Q2468" s="24" t="str">
        <f ca="1">IF(AND(L2468&lt;&gt;-1,L2467=-1),MAX($Q$8:Q2467)+1,"")</f>
        <v/>
      </c>
    </row>
    <row r="2469" spans="1:17" x14ac:dyDescent="0.3">
      <c r="A2469" s="3">
        <v>43819</v>
      </c>
      <c r="B2469" s="9">
        <v>35.863064000000001</v>
      </c>
      <c r="C2469" s="9">
        <v>35.469051</v>
      </c>
      <c r="E2469" s="14">
        <f t="shared" si="270"/>
        <v>1.0111086422921212</v>
      </c>
      <c r="F2469" s="18">
        <f t="shared" ca="1" si="269"/>
        <v>-2.1595155971478612</v>
      </c>
      <c r="G2469" s="15">
        <f t="shared" ca="1" si="274"/>
        <v>1.0554105025870866</v>
      </c>
      <c r="H2469" s="15">
        <f t="shared" ca="1" si="275"/>
        <v>2.0514721150185832E-2</v>
      </c>
      <c r="J2469" s="17">
        <f t="shared" ca="1" si="271"/>
        <v>0</v>
      </c>
      <c r="K2469" s="24">
        <f t="shared" ca="1" si="272"/>
        <v>-1</v>
      </c>
      <c r="L2469" s="17">
        <f t="shared" ca="1" si="273"/>
        <v>-1</v>
      </c>
      <c r="N2469" s="24" t="str">
        <f ca="1">IF(AND(L2469=1,L2468&lt;&gt;1),MAX($N$8:N2468)+1,"")</f>
        <v/>
      </c>
      <c r="O2469" s="24" t="str">
        <f ca="1">IF(AND(L2469&lt;&gt;1,L2468=1),MAX($O$8:O2468)+1,"")</f>
        <v/>
      </c>
      <c r="P2469" s="17" t="str">
        <f ca="1">IF(AND(L2469=-1,L2468&lt;&gt;-1),MAX($P$8:P2468)+1,"")</f>
        <v/>
      </c>
      <c r="Q2469" s="24" t="str">
        <f ca="1">IF(AND(L2469&lt;&gt;-1,L2468=-1),MAX($Q$8:Q2468)+1,"")</f>
        <v/>
      </c>
    </row>
    <row r="2470" spans="1:17" x14ac:dyDescent="0.3">
      <c r="A2470" s="3">
        <v>43822</v>
      </c>
      <c r="B2470" s="9">
        <v>36.197132000000003</v>
      </c>
      <c r="C2470" s="9">
        <v>35.687694999999998</v>
      </c>
      <c r="E2470" s="14">
        <f t="shared" si="270"/>
        <v>1.0142748642073971</v>
      </c>
      <c r="F2470" s="18">
        <f t="shared" ca="1" si="269"/>
        <v>-1.796259876323866</v>
      </c>
      <c r="G2470" s="15">
        <f t="shared" ca="1" si="274"/>
        <v>1.05215025535883</v>
      </c>
      <c r="H2470" s="15">
        <f t="shared" ca="1" si="275"/>
        <v>2.1085696814063869E-2</v>
      </c>
      <c r="J2470" s="17">
        <f t="shared" ca="1" si="271"/>
        <v>0</v>
      </c>
      <c r="K2470" s="24">
        <f t="shared" ca="1" si="272"/>
        <v>-1</v>
      </c>
      <c r="L2470" s="17">
        <f t="shared" ca="1" si="273"/>
        <v>-1</v>
      </c>
      <c r="N2470" s="24" t="str">
        <f ca="1">IF(AND(L2470=1,L2469&lt;&gt;1),MAX($N$8:N2469)+1,"")</f>
        <v/>
      </c>
      <c r="O2470" s="24" t="str">
        <f ca="1">IF(AND(L2470&lt;&gt;1,L2469=1),MAX($O$8:O2469)+1,"")</f>
        <v/>
      </c>
      <c r="P2470" s="17" t="str">
        <f ca="1">IF(AND(L2470=-1,L2469&lt;&gt;-1),MAX($P$8:P2469)+1,"")</f>
        <v/>
      </c>
      <c r="Q2470" s="24" t="str">
        <f ca="1">IF(AND(L2470&lt;&gt;-1,L2469=-1),MAX($Q$8:Q2469)+1,"")</f>
        <v/>
      </c>
    </row>
    <row r="2471" spans="1:17" x14ac:dyDescent="0.3">
      <c r="A2471" s="3">
        <v>43825</v>
      </c>
      <c r="B2471" s="9">
        <v>36.74736</v>
      </c>
      <c r="C2471" s="9">
        <v>36.134903000000001</v>
      </c>
      <c r="E2471" s="14">
        <f t="shared" si="270"/>
        <v>1.0169491806854996</v>
      </c>
      <c r="F2471" s="18">
        <f t="shared" ca="1" si="269"/>
        <v>-1.5025376290998567</v>
      </c>
      <c r="G2471" s="15">
        <f t="shared" ca="1" si="274"/>
        <v>1.0494862043470798</v>
      </c>
      <c r="H2471" s="15">
        <f t="shared" ca="1" si="275"/>
        <v>2.1654714684964421E-2</v>
      </c>
      <c r="J2471" s="17">
        <f t="shared" ca="1" si="271"/>
        <v>0</v>
      </c>
      <c r="K2471" s="24">
        <f t="shared" ca="1" si="272"/>
        <v>-1</v>
      </c>
      <c r="L2471" s="17">
        <f t="shared" ca="1" si="273"/>
        <v>-1</v>
      </c>
      <c r="N2471" s="24" t="str">
        <f ca="1">IF(AND(L2471=1,L2470&lt;&gt;1),MAX($N$8:N2470)+1,"")</f>
        <v/>
      </c>
      <c r="O2471" s="24" t="str">
        <f ca="1">IF(AND(L2471&lt;&gt;1,L2470=1),MAX($O$8:O2470)+1,"")</f>
        <v/>
      </c>
      <c r="P2471" s="17" t="str">
        <f ca="1">IF(AND(L2471=-1,L2470&lt;&gt;-1),MAX($P$8:P2470)+1,"")</f>
        <v/>
      </c>
      <c r="Q2471" s="24" t="str">
        <f ca="1">IF(AND(L2471&lt;&gt;-1,L2470=-1),MAX($Q$8:Q2470)+1,"")</f>
        <v/>
      </c>
    </row>
    <row r="2472" spans="1:17" x14ac:dyDescent="0.3">
      <c r="A2472" s="3">
        <v>43826</v>
      </c>
      <c r="B2472" s="9">
        <v>36.649109000000003</v>
      </c>
      <c r="C2472" s="9">
        <v>35.995773</v>
      </c>
      <c r="E2472" s="14">
        <f t="shared" si="270"/>
        <v>1.0181503533762146</v>
      </c>
      <c r="F2472" s="18">
        <f t="shared" ca="1" si="269"/>
        <v>-1.3087146395244</v>
      </c>
      <c r="G2472" s="15">
        <f t="shared" ca="1" si="274"/>
        <v>1.0473310424055275</v>
      </c>
      <c r="H2472" s="15">
        <f t="shared" ca="1" si="275"/>
        <v>2.229721296608822E-2</v>
      </c>
      <c r="J2472" s="17">
        <f t="shared" ca="1" si="271"/>
        <v>0</v>
      </c>
      <c r="K2472" s="24">
        <f t="shared" ca="1" si="272"/>
        <v>-1</v>
      </c>
      <c r="L2472" s="17">
        <f t="shared" ca="1" si="273"/>
        <v>-1</v>
      </c>
      <c r="N2472" s="24" t="str">
        <f ca="1">IF(AND(L2472=1,L2471&lt;&gt;1),MAX($N$8:N2471)+1,"")</f>
        <v/>
      </c>
      <c r="O2472" s="24" t="str">
        <f ca="1">IF(AND(L2472&lt;&gt;1,L2471=1),MAX($O$8:O2471)+1,"")</f>
        <v/>
      </c>
      <c r="P2472" s="17" t="str">
        <f ca="1">IF(AND(L2472=-1,L2471&lt;&gt;-1),MAX($P$8:P2471)+1,"")</f>
        <v/>
      </c>
      <c r="Q2472" s="24" t="str">
        <f ca="1">IF(AND(L2472&lt;&gt;-1,L2471=-1),MAX($Q$8:Q2471)+1,"")</f>
        <v/>
      </c>
    </row>
    <row r="2473" spans="1:17" x14ac:dyDescent="0.3">
      <c r="A2473" s="3">
        <v>43829</v>
      </c>
      <c r="B2473" s="9">
        <v>36.452601999999999</v>
      </c>
      <c r="C2473" s="9">
        <v>35.946078999999997</v>
      </c>
      <c r="E2473" s="14">
        <f t="shared" si="270"/>
        <v>1.0140911891947937</v>
      </c>
      <c r="F2473" s="18">
        <f t="shared" ca="1" si="269"/>
        <v>-1.3467825837056497</v>
      </c>
      <c r="G2473" s="15">
        <f t="shared" ca="1" si="274"/>
        <v>1.0449438452419333</v>
      </c>
      <c r="H2473" s="15">
        <f t="shared" ca="1" si="275"/>
        <v>2.2908416265860106E-2</v>
      </c>
      <c r="J2473" s="17">
        <f t="shared" ca="1" si="271"/>
        <v>0</v>
      </c>
      <c r="K2473" s="24">
        <f t="shared" ca="1" si="272"/>
        <v>-1</v>
      </c>
      <c r="L2473" s="17">
        <f t="shared" ca="1" si="273"/>
        <v>-1</v>
      </c>
      <c r="N2473" s="24" t="str">
        <f ca="1">IF(AND(L2473=1,L2472&lt;&gt;1),MAX($N$8:N2472)+1,"")</f>
        <v/>
      </c>
      <c r="O2473" s="24" t="str">
        <f ca="1">IF(AND(L2473&lt;&gt;1,L2472=1),MAX($O$8:O2472)+1,"")</f>
        <v/>
      </c>
      <c r="P2473" s="17" t="str">
        <f ca="1">IF(AND(L2473=-1,L2472&lt;&gt;-1),MAX($P$8:P2472)+1,"")</f>
        <v/>
      </c>
      <c r="Q2473" s="24" t="str">
        <f ca="1">IF(AND(L2473&lt;&gt;-1,L2472=-1),MAX($Q$8:Q2472)+1,"")</f>
        <v/>
      </c>
    </row>
    <row r="2474" spans="1:17" x14ac:dyDescent="0.3">
      <c r="A2474" s="3">
        <v>43832</v>
      </c>
      <c r="B2474" s="9">
        <v>37.381481000000001</v>
      </c>
      <c r="C2474" s="9">
        <v>37.277782000000002</v>
      </c>
      <c r="E2474" s="14">
        <f t="shared" si="270"/>
        <v>1.0027817910411085</v>
      </c>
      <c r="F2474" s="18">
        <f t="shared" ca="1" si="269"/>
        <v>-1.6306168291987044</v>
      </c>
      <c r="G2474" s="15">
        <f t="shared" ca="1" si="274"/>
        <v>1.0425628406981775</v>
      </c>
      <c r="H2474" s="15">
        <f t="shared" ca="1" si="275"/>
        <v>2.4396319812679493E-2</v>
      </c>
      <c r="J2474" s="17">
        <f t="shared" ca="1" si="271"/>
        <v>0</v>
      </c>
      <c r="K2474" s="24">
        <f t="shared" ca="1" si="272"/>
        <v>-1</v>
      </c>
      <c r="L2474" s="17">
        <f t="shared" ca="1" si="273"/>
        <v>-1</v>
      </c>
      <c r="N2474" s="24" t="str">
        <f ca="1">IF(AND(L2474=1,L2473&lt;&gt;1),MAX($N$8:N2473)+1,"")</f>
        <v/>
      </c>
      <c r="O2474" s="24" t="str">
        <f ca="1">IF(AND(L2474&lt;&gt;1,L2473=1),MAX($O$8:O2473)+1,"")</f>
        <v/>
      </c>
      <c r="P2474" s="17" t="str">
        <f ca="1">IF(AND(L2474=-1,L2473&lt;&gt;-1),MAX($P$8:P2473)+1,"")</f>
        <v/>
      </c>
      <c r="Q2474" s="24" t="str">
        <f ca="1">IF(AND(L2474&lt;&gt;-1,L2473=-1),MAX($Q$8:Q2473)+1,"")</f>
        <v/>
      </c>
    </row>
    <row r="2475" spans="1:17" x14ac:dyDescent="0.3">
      <c r="A2475" s="3">
        <v>43833</v>
      </c>
      <c r="B2475" s="9">
        <v>36.988303999999999</v>
      </c>
      <c r="C2475" s="9">
        <v>37.294933</v>
      </c>
      <c r="E2475" s="14">
        <f t="shared" si="270"/>
        <v>0.99177826650070666</v>
      </c>
      <c r="F2475" s="18">
        <f t="shared" ca="1" si="269"/>
        <v>-1.8169054102652269</v>
      </c>
      <c r="G2475" s="15">
        <f t="shared" ca="1" si="274"/>
        <v>1.0394454736614533</v>
      </c>
      <c r="H2475" s="15">
        <f t="shared" ca="1" si="275"/>
        <v>2.6235381815384849E-2</v>
      </c>
      <c r="J2475" s="17">
        <f t="shared" ca="1" si="271"/>
        <v>0</v>
      </c>
      <c r="K2475" s="24">
        <f t="shared" ca="1" si="272"/>
        <v>-1</v>
      </c>
      <c r="L2475" s="17">
        <f t="shared" ca="1" si="273"/>
        <v>-1</v>
      </c>
      <c r="N2475" s="24" t="str">
        <f ca="1">IF(AND(L2475=1,L2474&lt;&gt;1),MAX($N$8:N2474)+1,"")</f>
        <v/>
      </c>
      <c r="O2475" s="24" t="str">
        <f ca="1">IF(AND(L2475&lt;&gt;1,L2474=1),MAX($O$8:O2474)+1,"")</f>
        <v/>
      </c>
      <c r="P2475" s="17" t="str">
        <f ca="1">IF(AND(L2475=-1,L2474&lt;&gt;-1),MAX($P$8:P2474)+1,"")</f>
        <v/>
      </c>
      <c r="Q2475" s="24" t="str">
        <f ca="1">IF(AND(L2475&lt;&gt;-1,L2474=-1),MAX($Q$8:Q2474)+1,"")</f>
        <v/>
      </c>
    </row>
    <row r="2476" spans="1:17" x14ac:dyDescent="0.3">
      <c r="A2476" s="3">
        <v>43836</v>
      </c>
      <c r="B2476" s="9">
        <v>36.437854999999999</v>
      </c>
      <c r="C2476" s="9">
        <v>36.628776999999999</v>
      </c>
      <c r="E2476" s="14">
        <f t="shared" si="270"/>
        <v>0.99478765015823489</v>
      </c>
      <c r="F2476" s="18">
        <f t="shared" ca="1" si="269"/>
        <v>-1.5222606996403727</v>
      </c>
      <c r="G2476" s="15">
        <f t="shared" ca="1" si="274"/>
        <v>1.0364187245544445</v>
      </c>
      <c r="H2476" s="15">
        <f t="shared" ca="1" si="275"/>
        <v>2.7348189706299826E-2</v>
      </c>
      <c r="J2476" s="17">
        <f t="shared" ca="1" si="271"/>
        <v>0</v>
      </c>
      <c r="K2476" s="24">
        <f t="shared" ca="1" si="272"/>
        <v>-1</v>
      </c>
      <c r="L2476" s="17">
        <f t="shared" ca="1" si="273"/>
        <v>-1</v>
      </c>
      <c r="N2476" s="24" t="str">
        <f ca="1">IF(AND(L2476=1,L2475&lt;&gt;1),MAX($N$8:N2475)+1,"")</f>
        <v/>
      </c>
      <c r="O2476" s="24" t="str">
        <f ca="1">IF(AND(L2476&lt;&gt;1,L2475=1),MAX($O$8:O2475)+1,"")</f>
        <v/>
      </c>
      <c r="P2476" s="17" t="str">
        <f ca="1">IF(AND(L2476=-1,L2475&lt;&gt;-1),MAX($P$8:P2475)+1,"")</f>
        <v/>
      </c>
      <c r="Q2476" s="24" t="str">
        <f ca="1">IF(AND(L2476&lt;&gt;-1,L2475=-1),MAX($Q$8:Q2475)+1,"")</f>
        <v/>
      </c>
    </row>
    <row r="2477" spans="1:17" x14ac:dyDescent="0.3">
      <c r="A2477" s="3">
        <v>43837</v>
      </c>
      <c r="B2477" s="9">
        <v>35.592525000000002</v>
      </c>
      <c r="C2477" s="9">
        <v>35.992443000000002</v>
      </c>
      <c r="E2477" s="14">
        <f t="shared" si="270"/>
        <v>0.98888883424778917</v>
      </c>
      <c r="F2477" s="18">
        <f t="shared" ca="1" si="269"/>
        <v>-1.5630889782192103</v>
      </c>
      <c r="G2477" s="15">
        <f t="shared" ca="1" si="274"/>
        <v>1.0327577975334192</v>
      </c>
      <c r="H2477" s="15">
        <f t="shared" ca="1" si="275"/>
        <v>2.8065557301548444E-2</v>
      </c>
      <c r="J2477" s="17">
        <f t="shared" ca="1" si="271"/>
        <v>0</v>
      </c>
      <c r="K2477" s="24">
        <f t="shared" ca="1" si="272"/>
        <v>-1</v>
      </c>
      <c r="L2477" s="17">
        <f t="shared" ca="1" si="273"/>
        <v>-1</v>
      </c>
      <c r="N2477" s="24" t="str">
        <f ca="1">IF(AND(L2477=1,L2476&lt;&gt;1),MAX($N$8:N2476)+1,"")</f>
        <v/>
      </c>
      <c r="O2477" s="24" t="str">
        <f ca="1">IF(AND(L2477&lt;&gt;1,L2476=1),MAX($O$8:O2476)+1,"")</f>
        <v/>
      </c>
      <c r="P2477" s="17" t="str">
        <f ca="1">IF(AND(L2477=-1,L2476&lt;&gt;-1),MAX($P$8:P2476)+1,"")</f>
        <v/>
      </c>
      <c r="Q2477" s="24" t="str">
        <f ca="1">IF(AND(L2477&lt;&gt;-1,L2476=-1),MAX($Q$8:Q2476)+1,"")</f>
        <v/>
      </c>
    </row>
    <row r="2478" spans="1:17" x14ac:dyDescent="0.3">
      <c r="A2478" s="3">
        <v>43838</v>
      </c>
      <c r="B2478" s="9">
        <v>35.012580999999997</v>
      </c>
      <c r="C2478" s="9">
        <v>35.435654</v>
      </c>
      <c r="E2478" s="14">
        <f t="shared" si="270"/>
        <v>0.98806081016594183</v>
      </c>
      <c r="F2478" s="18">
        <f t="shared" ca="1" si="269"/>
        <v>-1.4409615042603481</v>
      </c>
      <c r="G2478" s="15">
        <f t="shared" ca="1" si="274"/>
        <v>1.0292146736472023</v>
      </c>
      <c r="H2478" s="15">
        <f t="shared" ca="1" si="275"/>
        <v>2.8560002026136674E-2</v>
      </c>
      <c r="J2478" s="17">
        <f t="shared" ca="1" si="271"/>
        <v>0</v>
      </c>
      <c r="K2478" s="24">
        <f t="shared" ca="1" si="272"/>
        <v>-1</v>
      </c>
      <c r="L2478" s="17">
        <f t="shared" ca="1" si="273"/>
        <v>-1</v>
      </c>
      <c r="N2478" s="24" t="str">
        <f ca="1">IF(AND(L2478=1,L2477&lt;&gt;1),MAX($N$8:N2477)+1,"")</f>
        <v/>
      </c>
      <c r="O2478" s="24" t="str">
        <f ca="1">IF(AND(L2478&lt;&gt;1,L2477=1),MAX($O$8:O2477)+1,"")</f>
        <v/>
      </c>
      <c r="P2478" s="17" t="str">
        <f ca="1">IF(AND(L2478=-1,L2477&lt;&gt;-1),MAX($P$8:P2477)+1,"")</f>
        <v/>
      </c>
      <c r="Q2478" s="24" t="str">
        <f ca="1">IF(AND(L2478&lt;&gt;-1,L2477=-1),MAX($Q$8:Q2477)+1,"")</f>
        <v/>
      </c>
    </row>
    <row r="2479" spans="1:17" x14ac:dyDescent="0.3">
      <c r="A2479" s="3">
        <v>43839</v>
      </c>
      <c r="B2479" s="9">
        <v>34.314689999999999</v>
      </c>
      <c r="C2479" s="9">
        <v>34.868923000000002</v>
      </c>
      <c r="E2479" s="14">
        <f t="shared" si="270"/>
        <v>0.98410524466155713</v>
      </c>
      <c r="F2479" s="18">
        <f t="shared" ca="1" si="269"/>
        <v>-1.4567105103957474</v>
      </c>
      <c r="G2479" s="15">
        <f t="shared" ca="1" si="274"/>
        <v>1.0250116683127324</v>
      </c>
      <c r="H2479" s="15">
        <f t="shared" ca="1" si="275"/>
        <v>2.8081367821024456E-2</v>
      </c>
      <c r="J2479" s="17">
        <f t="shared" ca="1" si="271"/>
        <v>0</v>
      </c>
      <c r="K2479" s="24">
        <f t="shared" ca="1" si="272"/>
        <v>-1</v>
      </c>
      <c r="L2479" s="17">
        <f t="shared" ca="1" si="273"/>
        <v>-1</v>
      </c>
      <c r="N2479" s="24" t="str">
        <f ca="1">IF(AND(L2479=1,L2478&lt;&gt;1),MAX($N$8:N2478)+1,"")</f>
        <v/>
      </c>
      <c r="O2479" s="24" t="str">
        <f ca="1">IF(AND(L2479&lt;&gt;1,L2478=1),MAX($O$8:O2478)+1,"")</f>
        <v/>
      </c>
      <c r="P2479" s="17" t="str">
        <f ca="1">IF(AND(L2479=-1,L2478&lt;&gt;-1),MAX($P$8:P2478)+1,"")</f>
        <v/>
      </c>
      <c r="Q2479" s="24" t="str">
        <f ca="1">IF(AND(L2479&lt;&gt;-1,L2478=-1),MAX($Q$8:Q2478)+1,"")</f>
        <v/>
      </c>
    </row>
    <row r="2480" spans="1:17" x14ac:dyDescent="0.3">
      <c r="A2480" s="3">
        <v>43840</v>
      </c>
      <c r="B2480" s="9">
        <v>34.009971999999998</v>
      </c>
      <c r="C2480" s="9">
        <v>34.232593999999999</v>
      </c>
      <c r="E2480" s="14">
        <f t="shared" si="270"/>
        <v>0.99349678262769103</v>
      </c>
      <c r="F2480" s="18">
        <f t="shared" ca="1" si="269"/>
        <v>-1.0391149279501681</v>
      </c>
      <c r="G2480" s="15">
        <f t="shared" ca="1" si="274"/>
        <v>1.0214996382185715</v>
      </c>
      <c r="H2480" s="15">
        <f t="shared" ca="1" si="275"/>
        <v>2.6948756906149805E-2</v>
      </c>
      <c r="J2480" s="17">
        <f t="shared" ca="1" si="271"/>
        <v>0</v>
      </c>
      <c r="K2480" s="24">
        <f t="shared" ca="1" si="272"/>
        <v>-1</v>
      </c>
      <c r="L2480" s="17">
        <f t="shared" ca="1" si="273"/>
        <v>-1</v>
      </c>
      <c r="N2480" s="24" t="str">
        <f ca="1">IF(AND(L2480=1,L2479&lt;&gt;1),MAX($N$8:N2479)+1,"")</f>
        <v/>
      </c>
      <c r="O2480" s="24" t="str">
        <f ca="1">IF(AND(L2480&lt;&gt;1,L2479=1),MAX($O$8:O2479)+1,"")</f>
        <v/>
      </c>
      <c r="P2480" s="17" t="str">
        <f ca="1">IF(AND(L2480=-1,L2479&lt;&gt;-1),MAX($P$8:P2479)+1,"")</f>
        <v/>
      </c>
      <c r="Q2480" s="24" t="str">
        <f ca="1">IF(AND(L2480&lt;&gt;-1,L2479=-1),MAX($Q$8:Q2479)+1,"")</f>
        <v/>
      </c>
    </row>
    <row r="2481" spans="1:17" x14ac:dyDescent="0.3">
      <c r="A2481" s="3">
        <v>43843</v>
      </c>
      <c r="B2481" s="9">
        <v>34.462131999999997</v>
      </c>
      <c r="C2481" s="9">
        <v>34.600467999999999</v>
      </c>
      <c r="E2481" s="14">
        <f t="shared" si="270"/>
        <v>0.99600190378927811</v>
      </c>
      <c r="F2481" s="18">
        <f t="shared" ca="1" si="269"/>
        <v>-0.86887626880580016</v>
      </c>
      <c r="G2481" s="15">
        <f t="shared" ca="1" si="274"/>
        <v>1.0184380780610147</v>
      </c>
      <c r="H2481" s="15">
        <f t="shared" ca="1" si="275"/>
        <v>2.5822058994168763E-2</v>
      </c>
      <c r="J2481" s="17">
        <f t="shared" ca="1" si="271"/>
        <v>0</v>
      </c>
      <c r="K2481" s="24">
        <f t="shared" ca="1" si="272"/>
        <v>-1</v>
      </c>
      <c r="L2481" s="17">
        <f t="shared" ca="1" si="273"/>
        <v>-1</v>
      </c>
      <c r="N2481" s="24" t="str">
        <f ca="1">IF(AND(L2481=1,L2480&lt;&gt;1),MAX($N$8:N2480)+1,"")</f>
        <v/>
      </c>
      <c r="O2481" s="24" t="str">
        <f ca="1">IF(AND(L2481&lt;&gt;1,L2480=1),MAX($O$8:O2480)+1,"")</f>
        <v/>
      </c>
      <c r="P2481" s="17" t="str">
        <f ca="1">IF(AND(L2481=-1,L2480&lt;&gt;-1),MAX($P$8:P2480)+1,"")</f>
        <v/>
      </c>
      <c r="Q2481" s="24" t="str">
        <f ca="1">IF(AND(L2481&lt;&gt;-1,L2480=-1),MAX($Q$8:Q2480)+1,"")</f>
        <v/>
      </c>
    </row>
    <row r="2482" spans="1:17" x14ac:dyDescent="0.3">
      <c r="A2482" s="3">
        <v>43844</v>
      </c>
      <c r="B2482" s="9">
        <v>34.462131999999997</v>
      </c>
      <c r="C2482" s="9">
        <v>34.560699</v>
      </c>
      <c r="E2482" s="14">
        <f t="shared" si="270"/>
        <v>0.99714800328546582</v>
      </c>
      <c r="F2482" s="18">
        <f t="shared" ca="1" si="269"/>
        <v>-0.77154371821359669</v>
      </c>
      <c r="G2482" s="15">
        <f t="shared" ca="1" si="274"/>
        <v>1.0148978603007441</v>
      </c>
      <c r="H2482" s="15">
        <f t="shared" ca="1" si="275"/>
        <v>2.3005639986773095E-2</v>
      </c>
      <c r="J2482" s="17">
        <f t="shared" ca="1" si="271"/>
        <v>0</v>
      </c>
      <c r="K2482" s="24">
        <f t="shared" ca="1" si="272"/>
        <v>-1</v>
      </c>
      <c r="L2482" s="17">
        <f t="shared" ca="1" si="273"/>
        <v>-1</v>
      </c>
      <c r="N2482" s="24" t="str">
        <f ca="1">IF(AND(L2482=1,L2481&lt;&gt;1),MAX($N$8:N2481)+1,"")</f>
        <v/>
      </c>
      <c r="O2482" s="24" t="str">
        <f ca="1">IF(AND(L2482&lt;&gt;1,L2481=1),MAX($O$8:O2481)+1,"")</f>
        <v/>
      </c>
      <c r="P2482" s="17" t="str">
        <f ca="1">IF(AND(L2482=-1,L2481&lt;&gt;-1),MAX($P$8:P2481)+1,"")</f>
        <v/>
      </c>
      <c r="Q2482" s="24" t="str">
        <f ca="1">IF(AND(L2482&lt;&gt;-1,L2481=-1),MAX($Q$8:Q2481)+1,"")</f>
        <v/>
      </c>
    </row>
    <row r="2483" spans="1:17" x14ac:dyDescent="0.3">
      <c r="A2483" s="3">
        <v>43845</v>
      </c>
      <c r="B2483" s="9">
        <v>34.039467000000002</v>
      </c>
      <c r="C2483" s="9">
        <v>33.954197000000001</v>
      </c>
      <c r="E2483" s="14">
        <f t="shared" si="270"/>
        <v>1.0025113242996146</v>
      </c>
      <c r="F2483" s="18">
        <f t="shared" ca="1" si="269"/>
        <v>-0.46833878360314979</v>
      </c>
      <c r="G2483" s="15">
        <f t="shared" ca="1" si="274"/>
        <v>1.0121424074503145</v>
      </c>
      <c r="H2483" s="15">
        <f t="shared" ca="1" si="275"/>
        <v>2.0564351037946054E-2</v>
      </c>
      <c r="J2483" s="17">
        <f t="shared" ca="1" si="271"/>
        <v>0</v>
      </c>
      <c r="K2483" s="24">
        <f t="shared" ca="1" si="272"/>
        <v>-1</v>
      </c>
      <c r="L2483" s="17">
        <f t="shared" ca="1" si="273"/>
        <v>-1</v>
      </c>
      <c r="N2483" s="24" t="str">
        <f ca="1">IF(AND(L2483=1,L2482&lt;&gt;1),MAX($N$8:N2482)+1,"")</f>
        <v/>
      </c>
      <c r="O2483" s="24" t="str">
        <f ca="1">IF(AND(L2483&lt;&gt;1,L2482=1),MAX($O$8:O2482)+1,"")</f>
        <v/>
      </c>
      <c r="P2483" s="17" t="str">
        <f ca="1">IF(AND(L2483=-1,L2482&lt;&gt;-1),MAX($P$8:P2482)+1,"")</f>
        <v/>
      </c>
      <c r="Q2483" s="24" t="str">
        <f ca="1">IF(AND(L2483&lt;&gt;-1,L2482=-1),MAX($Q$8:Q2482)+1,"")</f>
        <v/>
      </c>
    </row>
    <row r="2484" spans="1:17" x14ac:dyDescent="0.3">
      <c r="A2484" s="3">
        <v>43846</v>
      </c>
      <c r="B2484" s="9">
        <v>34.108272999999997</v>
      </c>
      <c r="C2484" s="9">
        <v>34.441386999999999</v>
      </c>
      <c r="E2484" s="14">
        <f t="shared" si="270"/>
        <v>0.99032808986467347</v>
      </c>
      <c r="F2484" s="18">
        <f t="shared" ca="1" si="269"/>
        <v>-1.0124050199082417</v>
      </c>
      <c r="G2484" s="15">
        <f t="shared" ca="1" si="274"/>
        <v>1.0091180040159717</v>
      </c>
      <c r="H2484" s="15">
        <f t="shared" ca="1" si="275"/>
        <v>1.8559680939750058E-2</v>
      </c>
      <c r="J2484" s="17">
        <f t="shared" ca="1" si="271"/>
        <v>0</v>
      </c>
      <c r="K2484" s="24">
        <f t="shared" ca="1" si="272"/>
        <v>-1</v>
      </c>
      <c r="L2484" s="17">
        <f t="shared" ca="1" si="273"/>
        <v>-1</v>
      </c>
      <c r="N2484" s="24" t="str">
        <f ca="1">IF(AND(L2484=1,L2483&lt;&gt;1),MAX($N$8:N2483)+1,"")</f>
        <v/>
      </c>
      <c r="O2484" s="24" t="str">
        <f ca="1">IF(AND(L2484&lt;&gt;1,L2483=1),MAX($O$8:O2483)+1,"")</f>
        <v/>
      </c>
      <c r="P2484" s="17" t="str">
        <f ca="1">IF(AND(L2484=-1,L2483&lt;&gt;-1),MAX($P$8:P2483)+1,"")</f>
        <v/>
      </c>
      <c r="Q2484" s="24" t="str">
        <f ca="1">IF(AND(L2484&lt;&gt;-1,L2483=-1),MAX($Q$8:Q2483)+1,"")</f>
        <v/>
      </c>
    </row>
    <row r="2485" spans="1:17" x14ac:dyDescent="0.3">
      <c r="A2485" s="3">
        <v>43847</v>
      </c>
      <c r="B2485" s="9">
        <v>34.344180999999999</v>
      </c>
      <c r="C2485" s="9">
        <v>35.246746000000002</v>
      </c>
      <c r="E2485" s="14">
        <f t="shared" si="270"/>
        <v>0.97439295530997383</v>
      </c>
      <c r="F2485" s="18">
        <f t="shared" ca="1" si="269"/>
        <v>-1.7182386640645535</v>
      </c>
      <c r="G2485" s="15">
        <f t="shared" ca="1" si="274"/>
        <v>1.0060186909427253</v>
      </c>
      <c r="H2485" s="15">
        <f t="shared" ca="1" si="275"/>
        <v>1.8405903844544928E-2</v>
      </c>
      <c r="J2485" s="17">
        <f t="shared" ca="1" si="271"/>
        <v>0</v>
      </c>
      <c r="K2485" s="24">
        <f t="shared" ca="1" si="272"/>
        <v>-1</v>
      </c>
      <c r="L2485" s="17">
        <f t="shared" ca="1" si="273"/>
        <v>-1</v>
      </c>
      <c r="N2485" s="24" t="str">
        <f ca="1">IF(AND(L2485=1,L2484&lt;&gt;1),MAX($N$8:N2484)+1,"")</f>
        <v/>
      </c>
      <c r="O2485" s="24" t="str">
        <f ca="1">IF(AND(L2485&lt;&gt;1,L2484=1),MAX($O$8:O2484)+1,"")</f>
        <v/>
      </c>
      <c r="P2485" s="17" t="str">
        <f ca="1">IF(AND(L2485=-1,L2484&lt;&gt;-1),MAX($P$8:P2484)+1,"")</f>
        <v/>
      </c>
      <c r="Q2485" s="24" t="str">
        <f ca="1">IF(AND(L2485&lt;&gt;-1,L2484=-1),MAX($Q$8:Q2484)+1,"")</f>
        <v/>
      </c>
    </row>
    <row r="2486" spans="1:17" x14ac:dyDescent="0.3">
      <c r="A2486" s="3">
        <v>43850</v>
      </c>
      <c r="B2486" s="9">
        <v>33.646286000000003</v>
      </c>
      <c r="C2486" s="9">
        <v>34.560699</v>
      </c>
      <c r="E2486" s="14">
        <f t="shared" si="270"/>
        <v>0.97354182564420944</v>
      </c>
      <c r="F2486" s="18">
        <f t="shared" ca="1" si="269"/>
        <v>-1.6760749998025577</v>
      </c>
      <c r="G2486" s="15">
        <f t="shared" ca="1" si="274"/>
        <v>1.0027244340296841</v>
      </c>
      <c r="H2486" s="15">
        <f t="shared" ca="1" si="275"/>
        <v>1.7411278366965936E-2</v>
      </c>
      <c r="J2486" s="17">
        <f t="shared" ca="1" si="271"/>
        <v>0</v>
      </c>
      <c r="K2486" s="24">
        <f t="shared" ca="1" si="272"/>
        <v>-1</v>
      </c>
      <c r="L2486" s="17">
        <f t="shared" ca="1" si="273"/>
        <v>-1</v>
      </c>
      <c r="N2486" s="24" t="str">
        <f ca="1">IF(AND(L2486=1,L2485&lt;&gt;1),MAX($N$8:N2485)+1,"")</f>
        <v/>
      </c>
      <c r="O2486" s="24" t="str">
        <f ca="1">IF(AND(L2486&lt;&gt;1,L2485=1),MAX($O$8:O2485)+1,"")</f>
        <v/>
      </c>
      <c r="P2486" s="17" t="str">
        <f ca="1">IF(AND(L2486=-1,L2485&lt;&gt;-1),MAX($P$8:P2485)+1,"")</f>
        <v/>
      </c>
      <c r="Q2486" s="24" t="str">
        <f ca="1">IF(AND(L2486&lt;&gt;-1,L2485=-1),MAX($Q$8:Q2485)+1,"")</f>
        <v/>
      </c>
    </row>
    <row r="2487" spans="1:17" x14ac:dyDescent="0.3">
      <c r="A2487" s="3">
        <v>43851</v>
      </c>
      <c r="B2487" s="9">
        <v>32.928725999999997</v>
      </c>
      <c r="C2487" s="9">
        <v>33.407349000000004</v>
      </c>
      <c r="E2487" s="14">
        <f t="shared" si="270"/>
        <v>0.98567312240190008</v>
      </c>
      <c r="F2487" s="18">
        <f t="shared" ca="1" si="269"/>
        <v>-0.92895436435519829</v>
      </c>
      <c r="G2487" s="15">
        <f t="shared" ca="1" si="274"/>
        <v>1.0002395484076663</v>
      </c>
      <c r="H2487" s="15">
        <f t="shared" ca="1" si="275"/>
        <v>1.5680453814194598E-2</v>
      </c>
      <c r="J2487" s="17">
        <f t="shared" ca="1" si="271"/>
        <v>0</v>
      </c>
      <c r="K2487" s="24">
        <f t="shared" ca="1" si="272"/>
        <v>-1</v>
      </c>
      <c r="L2487" s="17">
        <f t="shared" ca="1" si="273"/>
        <v>-1</v>
      </c>
      <c r="N2487" s="24" t="str">
        <f ca="1">IF(AND(L2487=1,L2486&lt;&gt;1),MAX($N$8:N2486)+1,"")</f>
        <v/>
      </c>
      <c r="O2487" s="24" t="str">
        <f ca="1">IF(AND(L2487&lt;&gt;1,L2486=1),MAX($O$8:O2486)+1,"")</f>
        <v/>
      </c>
      <c r="P2487" s="17" t="str">
        <f ca="1">IF(AND(L2487=-1,L2486&lt;&gt;-1),MAX($P$8:P2486)+1,"")</f>
        <v/>
      </c>
      <c r="Q2487" s="24" t="str">
        <f ca="1">IF(AND(L2487&lt;&gt;-1,L2486=-1),MAX($Q$8:Q2486)+1,"")</f>
        <v/>
      </c>
    </row>
    <row r="2488" spans="1:17" x14ac:dyDescent="0.3">
      <c r="A2488" s="3">
        <v>43852</v>
      </c>
      <c r="B2488" s="9">
        <v>33.125320000000002</v>
      </c>
      <c r="C2488" s="9">
        <v>33.526665000000001</v>
      </c>
      <c r="E2488" s="14">
        <f t="shared" si="270"/>
        <v>0.9880290807332015</v>
      </c>
      <c r="F2488" s="18">
        <f t="shared" ca="1" si="269"/>
        <v>-0.73179676678975991</v>
      </c>
      <c r="G2488" s="15">
        <f t="shared" ca="1" si="274"/>
        <v>0.99801064370394488</v>
      </c>
      <c r="H2488" s="15">
        <f t="shared" ca="1" si="275"/>
        <v>1.363980195557629E-2</v>
      </c>
      <c r="J2488" s="17">
        <f t="shared" ca="1" si="271"/>
        <v>0</v>
      </c>
      <c r="K2488" s="24">
        <f t="shared" ca="1" si="272"/>
        <v>-1</v>
      </c>
      <c r="L2488" s="17">
        <f t="shared" ca="1" si="273"/>
        <v>-1</v>
      </c>
      <c r="N2488" s="24" t="str">
        <f ca="1">IF(AND(L2488=1,L2487&lt;&gt;1),MAX($N$8:N2487)+1,"")</f>
        <v/>
      </c>
      <c r="O2488" s="24" t="str">
        <f ca="1">IF(AND(L2488&lt;&gt;1,L2487=1),MAX($O$8:O2487)+1,"")</f>
        <v/>
      </c>
      <c r="P2488" s="17" t="str">
        <f ca="1">IF(AND(L2488=-1,L2487&lt;&gt;-1),MAX($P$8:P2487)+1,"")</f>
        <v/>
      </c>
      <c r="Q2488" s="24" t="str">
        <f ca="1">IF(AND(L2488&lt;&gt;-1,L2487=-1),MAX($Q$8:Q2487)+1,"")</f>
        <v/>
      </c>
    </row>
    <row r="2489" spans="1:17" x14ac:dyDescent="0.3">
      <c r="A2489" s="3">
        <v>43853</v>
      </c>
      <c r="B2489" s="9">
        <v>33.911681999999999</v>
      </c>
      <c r="C2489" s="9">
        <v>34.411560000000001</v>
      </c>
      <c r="E2489" s="14">
        <f t="shared" si="270"/>
        <v>0.98547354435544332</v>
      </c>
      <c r="F2489" s="18">
        <f t="shared" ca="1" si="269"/>
        <v>-0.84824372683153015</v>
      </c>
      <c r="G2489" s="15">
        <f t="shared" ca="1" si="274"/>
        <v>0.99635748510745248</v>
      </c>
      <c r="H2489" s="15">
        <f t="shared" ca="1" si="275"/>
        <v>1.2831147944546862E-2</v>
      </c>
      <c r="J2489" s="17">
        <f t="shared" ca="1" si="271"/>
        <v>0</v>
      </c>
      <c r="K2489" s="24">
        <f t="shared" ca="1" si="272"/>
        <v>-1</v>
      </c>
      <c r="L2489" s="17">
        <f t="shared" ca="1" si="273"/>
        <v>-1</v>
      </c>
      <c r="N2489" s="24" t="str">
        <f ca="1">IF(AND(L2489=1,L2488&lt;&gt;1),MAX($N$8:N2488)+1,"")</f>
        <v/>
      </c>
      <c r="O2489" s="24" t="str">
        <f ca="1">IF(AND(L2489&lt;&gt;1,L2488=1),MAX($O$8:O2488)+1,"")</f>
        <v/>
      </c>
      <c r="P2489" s="17" t="str">
        <f ca="1">IF(AND(L2489=-1,L2488&lt;&gt;-1),MAX($P$8:P2488)+1,"")</f>
        <v/>
      </c>
      <c r="Q2489" s="24" t="str">
        <f ca="1">IF(AND(L2489&lt;&gt;-1,L2488=-1),MAX($Q$8:Q2488)+1,"")</f>
        <v/>
      </c>
    </row>
    <row r="2490" spans="1:17" x14ac:dyDescent="0.3">
      <c r="A2490" s="3">
        <v>43854</v>
      </c>
      <c r="B2490" s="9">
        <v>33.656115999999997</v>
      </c>
      <c r="C2490" s="9">
        <v>34.153049000000003</v>
      </c>
      <c r="E2490" s="14">
        <f t="shared" si="270"/>
        <v>0.98544982030740491</v>
      </c>
      <c r="F2490" s="18">
        <f t="shared" ca="1" si="269"/>
        <v>-0.77423265089397775</v>
      </c>
      <c r="G2490" s="15">
        <f t="shared" ca="1" si="274"/>
        <v>0.99531923996137361</v>
      </c>
      <c r="H2490" s="15">
        <f t="shared" ca="1" si="275"/>
        <v>1.2747356550479819E-2</v>
      </c>
      <c r="J2490" s="17">
        <f t="shared" ca="1" si="271"/>
        <v>0</v>
      </c>
      <c r="K2490" s="24">
        <f t="shared" ca="1" si="272"/>
        <v>-1</v>
      </c>
      <c r="L2490" s="17">
        <f t="shared" ca="1" si="273"/>
        <v>-1</v>
      </c>
      <c r="N2490" s="24" t="str">
        <f ca="1">IF(AND(L2490=1,L2489&lt;&gt;1),MAX($N$8:N2489)+1,"")</f>
        <v/>
      </c>
      <c r="O2490" s="24" t="str">
        <f ca="1">IF(AND(L2490&lt;&gt;1,L2489=1),MAX($O$8:O2489)+1,"")</f>
        <v/>
      </c>
      <c r="P2490" s="17" t="str">
        <f ca="1">IF(AND(L2490=-1,L2489&lt;&gt;-1),MAX($P$8:P2489)+1,"")</f>
        <v/>
      </c>
      <c r="Q2490" s="24" t="str">
        <f ca="1">IF(AND(L2490&lt;&gt;-1,L2489=-1),MAX($Q$8:Q2489)+1,"")</f>
        <v/>
      </c>
    </row>
    <row r="2491" spans="1:17" x14ac:dyDescent="0.3">
      <c r="A2491" s="3">
        <v>43857</v>
      </c>
      <c r="B2491" s="9">
        <v>32.928725999999997</v>
      </c>
      <c r="C2491" s="9">
        <v>33.367576999999997</v>
      </c>
      <c r="E2491" s="14">
        <f t="shared" si="270"/>
        <v>0.98684798120043304</v>
      </c>
      <c r="F2491" s="18">
        <f t="shared" ca="1" si="269"/>
        <v>-0.59530179371870606</v>
      </c>
      <c r="G2491" s="15">
        <f t="shared" ca="1" si="274"/>
        <v>0.99421648263902407</v>
      </c>
      <c r="H2491" s="15">
        <f t="shared" ca="1" si="275"/>
        <v>1.2377757830296094E-2</v>
      </c>
      <c r="J2491" s="17">
        <f t="shared" ca="1" si="271"/>
        <v>0</v>
      </c>
      <c r="K2491" s="24">
        <f t="shared" ca="1" si="272"/>
        <v>-1</v>
      </c>
      <c r="L2491" s="17">
        <f t="shared" ca="1" si="273"/>
        <v>-1</v>
      </c>
      <c r="N2491" s="24" t="str">
        <f ca="1">IF(AND(L2491=1,L2490&lt;&gt;1),MAX($N$8:N2490)+1,"")</f>
        <v/>
      </c>
      <c r="O2491" s="24" t="str">
        <f ca="1">IF(AND(L2491&lt;&gt;1,L2490=1),MAX($O$8:O2490)+1,"")</f>
        <v/>
      </c>
      <c r="P2491" s="17" t="str">
        <f ca="1">IF(AND(L2491=-1,L2490&lt;&gt;-1),MAX($P$8:P2490)+1,"")</f>
        <v/>
      </c>
      <c r="Q2491" s="24" t="str">
        <f ca="1">IF(AND(L2491&lt;&gt;-1,L2490=-1),MAX($Q$8:Q2490)+1,"")</f>
        <v/>
      </c>
    </row>
    <row r="2492" spans="1:17" x14ac:dyDescent="0.3">
      <c r="A2492" s="3">
        <v>43858</v>
      </c>
      <c r="B2492" s="9">
        <v>32.918906999999997</v>
      </c>
      <c r="C2492" s="9">
        <v>33.407349000000004</v>
      </c>
      <c r="E2492" s="14">
        <f t="shared" si="270"/>
        <v>0.98537920503659227</v>
      </c>
      <c r="F2492" s="18">
        <f t="shared" ca="1" si="269"/>
        <v>-0.64340272701319345</v>
      </c>
      <c r="G2492" s="15">
        <f t="shared" ca="1" si="274"/>
        <v>0.99290304358580594</v>
      </c>
      <c r="H2492" s="15">
        <f t="shared" ca="1" si="275"/>
        <v>1.1693824463786268E-2</v>
      </c>
      <c r="J2492" s="17">
        <f t="shared" ca="1" si="271"/>
        <v>0</v>
      </c>
      <c r="K2492" s="24">
        <f t="shared" ca="1" si="272"/>
        <v>-1</v>
      </c>
      <c r="L2492" s="17">
        <f t="shared" ca="1" si="273"/>
        <v>-1</v>
      </c>
      <c r="N2492" s="24" t="str">
        <f ca="1">IF(AND(L2492=1,L2491&lt;&gt;1),MAX($N$8:N2491)+1,"")</f>
        <v/>
      </c>
      <c r="O2492" s="24" t="str">
        <f ca="1">IF(AND(L2492&lt;&gt;1,L2491=1),MAX($O$8:O2491)+1,"")</f>
        <v/>
      </c>
      <c r="P2492" s="17" t="str">
        <f ca="1">IF(AND(L2492=-1,L2491&lt;&gt;-1),MAX($P$8:P2491)+1,"")</f>
        <v/>
      </c>
      <c r="Q2492" s="24" t="str">
        <f ca="1">IF(AND(L2492&lt;&gt;-1,L2491=-1),MAX($Q$8:Q2491)+1,"")</f>
        <v/>
      </c>
    </row>
    <row r="2493" spans="1:17" x14ac:dyDescent="0.3">
      <c r="A2493" s="3">
        <v>43859</v>
      </c>
      <c r="B2493" s="9">
        <v>32.407767999999997</v>
      </c>
      <c r="C2493" s="9">
        <v>32.930098999999998</v>
      </c>
      <c r="E2493" s="14">
        <f t="shared" si="270"/>
        <v>0.98413818919888452</v>
      </c>
      <c r="F2493" s="18">
        <f t="shared" ca="1" si="269"/>
        <v>-0.68810410513352605</v>
      </c>
      <c r="G2493" s="15">
        <f t="shared" ca="1" si="274"/>
        <v>0.99141163488186901</v>
      </c>
      <c r="H2493" s="15">
        <f t="shared" ca="1" si="275"/>
        <v>1.0570269278618946E-2</v>
      </c>
      <c r="J2493" s="17">
        <f t="shared" ca="1" si="271"/>
        <v>0</v>
      </c>
      <c r="K2493" s="24">
        <f t="shared" ca="1" si="272"/>
        <v>-1</v>
      </c>
      <c r="L2493" s="17">
        <f t="shared" ca="1" si="273"/>
        <v>-1</v>
      </c>
      <c r="N2493" s="24" t="str">
        <f ca="1">IF(AND(L2493=1,L2492&lt;&gt;1),MAX($N$8:N2492)+1,"")</f>
        <v/>
      </c>
      <c r="O2493" s="24" t="str">
        <f ca="1">IF(AND(L2493&lt;&gt;1,L2492=1),MAX($O$8:O2492)+1,"")</f>
        <v/>
      </c>
      <c r="P2493" s="17" t="str">
        <f ca="1">IF(AND(L2493=-1,L2492&lt;&gt;-1),MAX($P$8:P2492)+1,"")</f>
        <v/>
      </c>
      <c r="Q2493" s="24" t="str">
        <f ca="1">IF(AND(L2493&lt;&gt;-1,L2492=-1),MAX($Q$8:Q2492)+1,"")</f>
        <v/>
      </c>
    </row>
    <row r="2494" spans="1:17" x14ac:dyDescent="0.3">
      <c r="A2494" s="3">
        <v>43860</v>
      </c>
      <c r="B2494" s="9">
        <v>32.879589000000003</v>
      </c>
      <c r="C2494" s="9">
        <v>33.258209000000001</v>
      </c>
      <c r="E2494" s="14">
        <f t="shared" si="270"/>
        <v>0.98861574295837762</v>
      </c>
      <c r="F2494" s="18">
        <f t="shared" ca="1" si="269"/>
        <v>-0.16479296705200669</v>
      </c>
      <c r="G2494" s="15">
        <f t="shared" ca="1" si="274"/>
        <v>0.99006915259014894</v>
      </c>
      <c r="H2494" s="15">
        <f t="shared" ca="1" si="275"/>
        <v>8.8196095851143935E-3</v>
      </c>
      <c r="J2494" s="17">
        <f t="shared" ca="1" si="271"/>
        <v>0</v>
      </c>
      <c r="K2494" s="24">
        <f t="shared" ca="1" si="272"/>
        <v>-1</v>
      </c>
      <c r="L2494" s="17">
        <f t="shared" ca="1" si="273"/>
        <v>-1</v>
      </c>
      <c r="N2494" s="24" t="str">
        <f ca="1">IF(AND(L2494=1,L2493&lt;&gt;1),MAX($N$8:N2493)+1,"")</f>
        <v/>
      </c>
      <c r="O2494" s="24" t="str">
        <f ca="1">IF(AND(L2494&lt;&gt;1,L2493=1),MAX($O$8:O2493)+1,"")</f>
        <v/>
      </c>
      <c r="P2494" s="17" t="str">
        <f ca="1">IF(AND(L2494=-1,L2493&lt;&gt;-1),MAX($P$8:P2493)+1,"")</f>
        <v/>
      </c>
      <c r="Q2494" s="24" t="str">
        <f ca="1">IF(AND(L2494&lt;&gt;-1,L2493=-1),MAX($Q$8:Q2493)+1,"")</f>
        <v/>
      </c>
    </row>
    <row r="2495" spans="1:17" x14ac:dyDescent="0.3">
      <c r="A2495" s="3">
        <v>43861</v>
      </c>
      <c r="B2495" s="9">
        <v>32.260330000000003</v>
      </c>
      <c r="C2495" s="9">
        <v>32.701419999999999</v>
      </c>
      <c r="E2495" s="14">
        <f t="shared" si="270"/>
        <v>0.98651159490933438</v>
      </c>
      <c r="F2495" s="18">
        <f t="shared" ca="1" si="269"/>
        <v>-0.32401902937815952</v>
      </c>
      <c r="G2495" s="15">
        <f t="shared" ca="1" si="274"/>
        <v>0.98881553466808259</v>
      </c>
      <c r="H2495" s="15">
        <f t="shared" ca="1" si="275"/>
        <v>7.1105075623793127E-3</v>
      </c>
      <c r="J2495" s="17">
        <f t="shared" ca="1" si="271"/>
        <v>0</v>
      </c>
      <c r="K2495" s="24">
        <f t="shared" ca="1" si="272"/>
        <v>-1</v>
      </c>
      <c r="L2495" s="17">
        <f t="shared" ca="1" si="273"/>
        <v>-1</v>
      </c>
      <c r="N2495" s="24" t="str">
        <f ca="1">IF(AND(L2495=1,L2494&lt;&gt;1),MAX($N$8:N2494)+1,"")</f>
        <v/>
      </c>
      <c r="O2495" s="24" t="str">
        <f ca="1">IF(AND(L2495&lt;&gt;1,L2494=1),MAX($O$8:O2494)+1,"")</f>
        <v/>
      </c>
      <c r="P2495" s="17" t="str">
        <f ca="1">IF(AND(L2495=-1,L2494&lt;&gt;-1),MAX($P$8:P2494)+1,"")</f>
        <v/>
      </c>
      <c r="Q2495" s="24" t="str">
        <f ca="1">IF(AND(L2495&lt;&gt;-1,L2494=-1),MAX($Q$8:Q2494)+1,"")</f>
        <v/>
      </c>
    </row>
    <row r="2496" spans="1:17" x14ac:dyDescent="0.3">
      <c r="A2496" s="3">
        <v>43864</v>
      </c>
      <c r="B2496" s="9">
        <v>32.353752</v>
      </c>
      <c r="C2496" s="9">
        <v>32.910221</v>
      </c>
      <c r="E2496" s="14">
        <f t="shared" si="270"/>
        <v>0.98309130163544023</v>
      </c>
      <c r="F2496" s="18">
        <f t="shared" ca="1" si="269"/>
        <v>-0.74180236173425917</v>
      </c>
      <c r="G2496" s="15">
        <f t="shared" ca="1" si="274"/>
        <v>0.98792051242237033</v>
      </c>
      <c r="H2496" s="15">
        <f t="shared" ca="1" si="275"/>
        <v>6.5101043566913111E-3</v>
      </c>
      <c r="J2496" s="17">
        <f t="shared" ca="1" si="271"/>
        <v>0</v>
      </c>
      <c r="K2496" s="24">
        <f t="shared" ca="1" si="272"/>
        <v>-1</v>
      </c>
      <c r="L2496" s="17">
        <f t="shared" ca="1" si="273"/>
        <v>-1</v>
      </c>
      <c r="N2496" s="24" t="str">
        <f ca="1">IF(AND(L2496=1,L2495&lt;&gt;1),MAX($N$8:N2495)+1,"")</f>
        <v/>
      </c>
      <c r="O2496" s="24" t="str">
        <f ca="1">IF(AND(L2496&lt;&gt;1,L2495=1),MAX($O$8:O2495)+1,"")</f>
        <v/>
      </c>
      <c r="P2496" s="17" t="str">
        <f ca="1">IF(AND(L2496=-1,L2495&lt;&gt;-1),MAX($P$8:P2495)+1,"")</f>
        <v/>
      </c>
      <c r="Q2496" s="24" t="str">
        <f ca="1">IF(AND(L2496&lt;&gt;-1,L2495=-1),MAX($Q$8:Q2495)+1,"")</f>
        <v/>
      </c>
    </row>
    <row r="2497" spans="1:17" x14ac:dyDescent="0.3">
      <c r="A2497" s="3">
        <v>43865</v>
      </c>
      <c r="B2497" s="9">
        <v>32.609436000000002</v>
      </c>
      <c r="C2497" s="9">
        <v>32.927379999999999</v>
      </c>
      <c r="E2497" s="14">
        <f t="shared" si="270"/>
        <v>0.99034408446709099</v>
      </c>
      <c r="F2497" s="18">
        <f t="shared" ca="1" si="269"/>
        <v>0.38417195513176255</v>
      </c>
      <c r="G2497" s="15">
        <f t="shared" ca="1" si="274"/>
        <v>0.98785532232993323</v>
      </c>
      <c r="H2497" s="15">
        <f t="shared" ca="1" si="275"/>
        <v>6.4782504394527499E-3</v>
      </c>
      <c r="J2497" s="17">
        <f t="shared" ca="1" si="271"/>
        <v>0</v>
      </c>
      <c r="K2497" s="24">
        <f t="shared" ca="1" si="272"/>
        <v>0</v>
      </c>
      <c r="L2497" s="17">
        <f t="shared" ca="1" si="273"/>
        <v>0</v>
      </c>
      <c r="N2497" s="24" t="str">
        <f ca="1">IF(AND(L2497=1,L2496&lt;&gt;1),MAX($N$8:N2496)+1,"")</f>
        <v/>
      </c>
      <c r="O2497" s="24" t="str">
        <f ca="1">IF(AND(L2497&lt;&gt;1,L2496=1),MAX($O$8:O2496)+1,"")</f>
        <v/>
      </c>
      <c r="P2497" s="17" t="str">
        <f ca="1">IF(AND(L2497=-1,L2496&lt;&gt;-1),MAX($P$8:P2496)+1,"")</f>
        <v/>
      </c>
      <c r="Q2497" s="24">
        <f ca="1">IF(AND(L2497&lt;&gt;-1,L2496=-1),MAX($Q$8:Q2496)+1,"")</f>
        <v>90</v>
      </c>
    </row>
    <row r="2498" spans="1:17" x14ac:dyDescent="0.3">
      <c r="A2498" s="3">
        <v>43866</v>
      </c>
      <c r="B2498" s="9">
        <v>32.806114000000001</v>
      </c>
      <c r="C2498" s="9">
        <v>33.564041000000003</v>
      </c>
      <c r="E2498" s="14">
        <f t="shared" si="270"/>
        <v>0.97741848188065306</v>
      </c>
      <c r="F2498" s="18">
        <f t="shared" ref="F2498:F2561" ca="1" si="276">IF(ISNUMBER(G2498),(E2498-G2498)/H2498,"")</f>
        <v>-1.4525550414868105</v>
      </c>
      <c r="G2498" s="15">
        <f t="shared" ca="1" si="274"/>
        <v>0.98706581468095245</v>
      </c>
      <c r="H2498" s="15">
        <f t="shared" ca="1" si="275"/>
        <v>6.6416297660049743E-3</v>
      </c>
      <c r="J2498" s="17">
        <f t="shared" ca="1" si="271"/>
        <v>0</v>
      </c>
      <c r="K2498" s="24">
        <f t="shared" ca="1" si="272"/>
        <v>-1</v>
      </c>
      <c r="L2498" s="17">
        <f t="shared" ca="1" si="273"/>
        <v>-1</v>
      </c>
      <c r="N2498" s="24" t="str">
        <f ca="1">IF(AND(L2498=1,L2497&lt;&gt;1),MAX($N$8:N2497)+1,"")</f>
        <v/>
      </c>
      <c r="O2498" s="24" t="str">
        <f ca="1">IF(AND(L2498&lt;&gt;1,L2497=1),MAX($O$8:O2497)+1,"")</f>
        <v/>
      </c>
      <c r="P2498" s="17">
        <f ca="1">IF(AND(L2498=-1,L2497&lt;&gt;-1),MAX($P$8:P2497)+1,"")</f>
        <v>91</v>
      </c>
      <c r="Q2498" s="24" t="str">
        <f ca="1">IF(AND(L2498&lt;&gt;-1,L2497=-1),MAX($Q$8:Q2497)+1,"")</f>
        <v/>
      </c>
    </row>
    <row r="2499" spans="1:17" x14ac:dyDescent="0.3">
      <c r="A2499" s="3">
        <v>43867</v>
      </c>
      <c r="B2499" s="9">
        <v>32.727440000000001</v>
      </c>
      <c r="C2499" s="9">
        <v>33.176074999999997</v>
      </c>
      <c r="E2499" s="14">
        <f t="shared" ref="E2499:E2562" si="277">IF(ISNUMBER(B2499),B2499/C2499,"")</f>
        <v>0.98647715258661561</v>
      </c>
      <c r="F2499" s="18">
        <f t="shared" ca="1" si="276"/>
        <v>-7.2247658085406841E-2</v>
      </c>
      <c r="G2499" s="15">
        <f t="shared" ca="1" si="274"/>
        <v>0.98695619278726276</v>
      </c>
      <c r="H2499" s="15">
        <f t="shared" ca="1" si="275"/>
        <v>6.630529118063026E-3</v>
      </c>
      <c r="J2499" s="17">
        <f t="shared" ca="1" si="271"/>
        <v>0</v>
      </c>
      <c r="K2499" s="24">
        <f t="shared" ca="1" si="272"/>
        <v>-1</v>
      </c>
      <c r="L2499" s="17">
        <f t="shared" ca="1" si="273"/>
        <v>-1</v>
      </c>
      <c r="N2499" s="24" t="str">
        <f ca="1">IF(AND(L2499=1,L2498&lt;&gt;1),MAX($N$8:N2498)+1,"")</f>
        <v/>
      </c>
      <c r="O2499" s="24" t="str">
        <f ca="1">IF(AND(L2499&lt;&gt;1,L2498=1),MAX($O$8:O2498)+1,"")</f>
        <v/>
      </c>
      <c r="P2499" s="17" t="str">
        <f ca="1">IF(AND(L2499=-1,L2498&lt;&gt;-1),MAX($P$8:P2498)+1,"")</f>
        <v/>
      </c>
      <c r="Q2499" s="24" t="str">
        <f ca="1">IF(AND(L2499&lt;&gt;-1,L2498=-1),MAX($Q$8:Q2498)+1,"")</f>
        <v/>
      </c>
    </row>
    <row r="2500" spans="1:17" x14ac:dyDescent="0.3">
      <c r="A2500" s="3">
        <v>43868</v>
      </c>
      <c r="B2500" s="9">
        <v>33.150306999999998</v>
      </c>
      <c r="C2500" s="9">
        <v>33.554096000000001</v>
      </c>
      <c r="E2500" s="14">
        <f t="shared" si="277"/>
        <v>0.98796602954226498</v>
      </c>
      <c r="F2500" s="18">
        <f t="shared" ca="1" si="276"/>
        <v>0.15296671580575114</v>
      </c>
      <c r="G2500" s="15">
        <f t="shared" ca="1" si="274"/>
        <v>0.98695188457709548</v>
      </c>
      <c r="H2500" s="15">
        <f t="shared" ca="1" si="275"/>
        <v>6.6298407455994118E-3</v>
      </c>
      <c r="J2500" s="17">
        <f t="shared" ca="1" si="271"/>
        <v>0</v>
      </c>
      <c r="K2500" s="24">
        <f t="shared" ca="1" si="272"/>
        <v>0</v>
      </c>
      <c r="L2500" s="17">
        <f t="shared" ca="1" si="273"/>
        <v>0</v>
      </c>
      <c r="N2500" s="24" t="str">
        <f ca="1">IF(AND(L2500=1,L2499&lt;&gt;1),MAX($N$8:N2499)+1,"")</f>
        <v/>
      </c>
      <c r="O2500" s="24" t="str">
        <f ca="1">IF(AND(L2500&lt;&gt;1,L2499=1),MAX($O$8:O2499)+1,"")</f>
        <v/>
      </c>
      <c r="P2500" s="17" t="str">
        <f ca="1">IF(AND(L2500=-1,L2499&lt;&gt;-1),MAX($P$8:P2499)+1,"")</f>
        <v/>
      </c>
      <c r="Q2500" s="24">
        <f ca="1">IF(AND(L2500&lt;&gt;-1,L2499=-1),MAX($Q$8:Q2499)+1,"")</f>
        <v>91</v>
      </c>
    </row>
    <row r="2501" spans="1:17" x14ac:dyDescent="0.3">
      <c r="A2501" s="3">
        <v>43871</v>
      </c>
      <c r="B2501" s="9">
        <v>33.710842</v>
      </c>
      <c r="C2501" s="9">
        <v>33.912211999999997</v>
      </c>
      <c r="E2501" s="14">
        <f t="shared" si="277"/>
        <v>0.99406202107960406</v>
      </c>
      <c r="F2501" s="18">
        <f t="shared" ca="1" si="276"/>
        <v>0.98504024166095583</v>
      </c>
      <c r="G2501" s="15">
        <f t="shared" ca="1" si="274"/>
        <v>0.98740446532337034</v>
      </c>
      <c r="H2501" s="15">
        <f t="shared" ca="1" si="275"/>
        <v>6.7586637323647633E-3</v>
      </c>
      <c r="J2501" s="17">
        <f t="shared" ca="1" si="271"/>
        <v>0</v>
      </c>
      <c r="K2501" s="24">
        <f t="shared" ca="1" si="272"/>
        <v>0</v>
      </c>
      <c r="L2501" s="17">
        <f t="shared" ca="1" si="273"/>
        <v>0</v>
      </c>
      <c r="N2501" s="24" t="str">
        <f ca="1">IF(AND(L2501=1,L2500&lt;&gt;1),MAX($N$8:N2500)+1,"")</f>
        <v/>
      </c>
      <c r="O2501" s="24" t="str">
        <f ca="1">IF(AND(L2501&lt;&gt;1,L2500=1),MAX($O$8:O2500)+1,"")</f>
        <v/>
      </c>
      <c r="P2501" s="17" t="str">
        <f ca="1">IF(AND(L2501=-1,L2500&lt;&gt;-1),MAX($P$8:P2500)+1,"")</f>
        <v/>
      </c>
      <c r="Q2501" s="24" t="str">
        <f ca="1">IF(AND(L2501&lt;&gt;-1,L2500=-1),MAX($Q$8:Q2500)+1,"")</f>
        <v/>
      </c>
    </row>
    <row r="2502" spans="1:17" x14ac:dyDescent="0.3">
      <c r="A2502" s="3">
        <v>43872</v>
      </c>
      <c r="B2502" s="9">
        <v>34.487724</v>
      </c>
      <c r="C2502" s="9">
        <v>31.100553999999999</v>
      </c>
      <c r="E2502" s="14">
        <f t="shared" si="277"/>
        <v>1.108910278575745</v>
      </c>
      <c r="F2502" s="18">
        <f t="shared" ca="1" si="276"/>
        <v>4.4338218805173932</v>
      </c>
      <c r="G2502" s="15">
        <f t="shared" ca="1" si="274"/>
        <v>0.99265053332100917</v>
      </c>
      <c r="H2502" s="15">
        <f t="shared" ca="1" si="275"/>
        <v>2.6221113158738166E-2</v>
      </c>
      <c r="J2502" s="17">
        <f t="shared" ca="1" si="271"/>
        <v>1</v>
      </c>
      <c r="K2502" s="24">
        <f t="shared" ca="1" si="272"/>
        <v>0</v>
      </c>
      <c r="L2502" s="17">
        <f t="shared" ca="1" si="273"/>
        <v>1</v>
      </c>
      <c r="N2502" s="24">
        <f ca="1">IF(AND(L2502=1,L2501&lt;&gt;1),MAX($N$8:N2501)+1,"")</f>
        <v>82</v>
      </c>
      <c r="O2502" s="24" t="str">
        <f ca="1">IF(AND(L2502&lt;&gt;1,L2501=1),MAX($O$8:O2501)+1,"")</f>
        <v/>
      </c>
      <c r="P2502" s="17" t="str">
        <f ca="1">IF(AND(L2502=-1,L2501&lt;&gt;-1),MAX($P$8:P2501)+1,"")</f>
        <v/>
      </c>
      <c r="Q2502" s="24" t="str">
        <f ca="1">IF(AND(L2502&lt;&gt;-1,L2501=-1),MAX($Q$8:Q2501)+1,"")</f>
        <v/>
      </c>
    </row>
    <row r="2503" spans="1:17" x14ac:dyDescent="0.3">
      <c r="A2503" s="3">
        <v>43873</v>
      </c>
      <c r="B2503" s="9">
        <v>34.350048000000001</v>
      </c>
      <c r="C2503" s="9">
        <v>33.753048</v>
      </c>
      <c r="E2503" s="14">
        <f t="shared" si="277"/>
        <v>1.0176872915299384</v>
      </c>
      <c r="F2503" s="18">
        <f t="shared" ca="1" si="276"/>
        <v>0.89973716241506863</v>
      </c>
      <c r="G2503" s="15">
        <f t="shared" ca="1" si="274"/>
        <v>0.99363623276376634</v>
      </c>
      <c r="H2503" s="15">
        <f t="shared" ca="1" si="275"/>
        <v>2.673120525733803E-2</v>
      </c>
      <c r="J2503" s="17">
        <f t="shared" ca="1" si="271"/>
        <v>1</v>
      </c>
      <c r="K2503" s="24">
        <f t="shared" ca="1" si="272"/>
        <v>0</v>
      </c>
      <c r="L2503" s="17">
        <f t="shared" ca="1" si="273"/>
        <v>1</v>
      </c>
      <c r="N2503" s="24" t="str">
        <f ca="1">IF(AND(L2503=1,L2502&lt;&gt;1),MAX($N$8:N2502)+1,"")</f>
        <v/>
      </c>
      <c r="O2503" s="24" t="str">
        <f ca="1">IF(AND(L2503&lt;&gt;1,L2502=1),MAX($O$8:O2502)+1,"")</f>
        <v/>
      </c>
      <c r="P2503" s="17" t="str">
        <f ca="1">IF(AND(L2503=-1,L2502&lt;&gt;-1),MAX($P$8:P2502)+1,"")</f>
        <v/>
      </c>
      <c r="Q2503" s="24" t="str">
        <f ca="1">IF(AND(L2503&lt;&gt;-1,L2502=-1),MAX($Q$8:Q2502)+1,"")</f>
        <v/>
      </c>
    </row>
    <row r="2504" spans="1:17" x14ac:dyDescent="0.3">
      <c r="A2504" s="3">
        <v>43874</v>
      </c>
      <c r="B2504" s="9">
        <v>33.819012000000001</v>
      </c>
      <c r="C2504" s="9">
        <v>33.106440999999997</v>
      </c>
      <c r="E2504" s="14">
        <f t="shared" si="277"/>
        <v>1.0215236364428302</v>
      </c>
      <c r="F2504" s="18">
        <f t="shared" ca="1" si="276"/>
        <v>0.97907439726342615</v>
      </c>
      <c r="G2504" s="15">
        <f t="shared" ca="1" si="274"/>
        <v>0.99474421608910102</v>
      </c>
      <c r="H2504" s="15">
        <f t="shared" ca="1" si="275"/>
        <v>2.7351772683035427E-2</v>
      </c>
      <c r="J2504" s="17">
        <f t="shared" ref="J2504:J2567" ca="1" si="278">IF(ISNUMBER(F2504),IF(AND(J2503&lt;&gt;1,F2504&gt;$L$1),1,IF(AND(J2503=1,F2504&gt;$N$1),1,0)),"")</f>
        <v>1</v>
      </c>
      <c r="K2504" s="24">
        <f t="shared" ca="1" si="272"/>
        <v>0</v>
      </c>
      <c r="L2504" s="17">
        <f t="shared" ca="1" si="273"/>
        <v>1</v>
      </c>
      <c r="N2504" s="24" t="str">
        <f ca="1">IF(AND(L2504=1,L2503&lt;&gt;1),MAX($N$8:N2503)+1,"")</f>
        <v/>
      </c>
      <c r="O2504" s="24" t="str">
        <f ca="1">IF(AND(L2504&lt;&gt;1,L2503=1),MAX($O$8:O2503)+1,"")</f>
        <v/>
      </c>
      <c r="P2504" s="17" t="str">
        <f ca="1">IF(AND(L2504=-1,L2503&lt;&gt;-1),MAX($P$8:P2503)+1,"")</f>
        <v/>
      </c>
      <c r="Q2504" s="24" t="str">
        <f ca="1">IF(AND(L2504&lt;&gt;-1,L2503=-1),MAX($Q$8:Q2503)+1,"")</f>
        <v/>
      </c>
    </row>
    <row r="2505" spans="1:17" x14ac:dyDescent="0.3">
      <c r="A2505" s="3">
        <v>43875</v>
      </c>
      <c r="B2505" s="9">
        <v>33.248646000000001</v>
      </c>
      <c r="C2505" s="9">
        <v>32.360348000000002</v>
      </c>
      <c r="E2505" s="14">
        <f t="shared" si="277"/>
        <v>1.0274501992376597</v>
      </c>
      <c r="F2505" s="18">
        <f t="shared" ca="1" si="276"/>
        <v>1.1213708491315837</v>
      </c>
      <c r="G2505" s="15">
        <f t="shared" ca="1" si="274"/>
        <v>0.99587780131355774</v>
      </c>
      <c r="H2505" s="15">
        <f t="shared" ca="1" si="275"/>
        <v>2.8155179839526197E-2</v>
      </c>
      <c r="J2505" s="17">
        <f t="shared" ca="1" si="278"/>
        <v>1</v>
      </c>
      <c r="K2505" s="24">
        <f t="shared" ref="K2505:K2568" ca="1" si="279">IF(ISNUMBER(F2505),IF(AND(K2504&lt;&gt;-1,F2505&lt;$P$1),-1,IF(AND(K2504=-1,F2505&lt;R2498),-1,0)),"")</f>
        <v>0</v>
      </c>
      <c r="L2505" s="17">
        <f t="shared" ref="L2505:L2568" ca="1" si="280">IF(ISNUMBER(F2505),IF(J2505=1,1,IF(K2505=-1,-1,0)),"")</f>
        <v>1</v>
      </c>
      <c r="N2505" s="24" t="str">
        <f ca="1">IF(AND(L2505=1,L2504&lt;&gt;1),MAX($N$8:N2504)+1,"")</f>
        <v/>
      </c>
      <c r="O2505" s="24" t="str">
        <f ca="1">IF(AND(L2505&lt;&gt;1,L2504=1),MAX($O$8:O2504)+1,"")</f>
        <v/>
      </c>
      <c r="P2505" s="17" t="str">
        <f ca="1">IF(AND(L2505=-1,L2504&lt;&gt;-1),MAX($P$8:P2504)+1,"")</f>
        <v/>
      </c>
      <c r="Q2505" s="24" t="str">
        <f ca="1">IF(AND(L2505&lt;&gt;-1,L2504=-1),MAX($Q$8:Q2504)+1,"")</f>
        <v/>
      </c>
    </row>
    <row r="2506" spans="1:17" x14ac:dyDescent="0.3">
      <c r="A2506" s="3">
        <v>43878</v>
      </c>
      <c r="B2506" s="9">
        <v>32.943783000000003</v>
      </c>
      <c r="C2506" s="9">
        <v>32.091763</v>
      </c>
      <c r="E2506" s="14">
        <f t="shared" si="277"/>
        <v>1.0265494918431251</v>
      </c>
      <c r="F2506" s="18">
        <f t="shared" ca="1" si="276"/>
        <v>1.006654206403834</v>
      </c>
      <c r="G2506" s="15">
        <f t="shared" ca="1" si="274"/>
        <v>0.9975242286762146</v>
      </c>
      <c r="H2506" s="15">
        <f t="shared" ca="1" si="275"/>
        <v>2.8833399773493369E-2</v>
      </c>
      <c r="J2506" s="17">
        <f t="shared" ca="1" si="278"/>
        <v>1</v>
      </c>
      <c r="K2506" s="24">
        <f t="shared" ca="1" si="279"/>
        <v>0</v>
      </c>
      <c r="L2506" s="17">
        <f t="shared" ca="1" si="280"/>
        <v>1</v>
      </c>
      <c r="N2506" s="24" t="str">
        <f ca="1">IF(AND(L2506=1,L2505&lt;&gt;1),MAX($N$8:N2505)+1,"")</f>
        <v/>
      </c>
      <c r="O2506" s="24" t="str">
        <f ca="1">IF(AND(L2506&lt;&gt;1,L2505=1),MAX($O$8:O2505)+1,"")</f>
        <v/>
      </c>
      <c r="P2506" s="17" t="str">
        <f ca="1">IF(AND(L2506=-1,L2505&lt;&gt;-1),MAX($P$8:P2505)+1,"")</f>
        <v/>
      </c>
      <c r="Q2506" s="24" t="str">
        <f ca="1">IF(AND(L2506&lt;&gt;-1,L2505=-1),MAX($Q$8:Q2505)+1,"")</f>
        <v/>
      </c>
    </row>
    <row r="2507" spans="1:17" x14ac:dyDescent="0.3">
      <c r="A2507" s="3">
        <v>43879</v>
      </c>
      <c r="B2507" s="9">
        <v>33.081462999999999</v>
      </c>
      <c r="C2507" s="9">
        <v>31.960419000000002</v>
      </c>
      <c r="E2507" s="14">
        <f t="shared" si="277"/>
        <v>1.0350760107369055</v>
      </c>
      <c r="F2507" s="18">
        <f t="shared" ca="1" si="276"/>
        <v>1.1840176247862171</v>
      </c>
      <c r="G2507" s="15">
        <f t="shared" ca="1" si="274"/>
        <v>1.0002825493774385</v>
      </c>
      <c r="H2507" s="15">
        <f t="shared" ca="1" si="275"/>
        <v>2.9385931958360111E-2</v>
      </c>
      <c r="J2507" s="17">
        <f t="shared" ca="1" si="278"/>
        <v>1</v>
      </c>
      <c r="K2507" s="24">
        <f t="shared" ca="1" si="279"/>
        <v>0</v>
      </c>
      <c r="L2507" s="17">
        <f t="shared" ca="1" si="280"/>
        <v>1</v>
      </c>
      <c r="N2507" s="24" t="str">
        <f ca="1">IF(AND(L2507=1,L2506&lt;&gt;1),MAX($N$8:N2506)+1,"")</f>
        <v/>
      </c>
      <c r="O2507" s="24" t="str">
        <f ca="1">IF(AND(L2507&lt;&gt;1,L2506=1),MAX($O$8:O2506)+1,"")</f>
        <v/>
      </c>
      <c r="P2507" s="17" t="str">
        <f ca="1">IF(AND(L2507=-1,L2506&lt;&gt;-1),MAX($P$8:P2506)+1,"")</f>
        <v/>
      </c>
      <c r="Q2507" s="24" t="str">
        <f ca="1">IF(AND(L2507&lt;&gt;-1,L2506=-1),MAX($Q$8:Q2506)+1,"")</f>
        <v/>
      </c>
    </row>
    <row r="2508" spans="1:17" x14ac:dyDescent="0.3">
      <c r="A2508" s="3">
        <v>43880</v>
      </c>
      <c r="B2508" s="9">
        <v>33.553493000000003</v>
      </c>
      <c r="C2508" s="9">
        <v>32.418849999999999</v>
      </c>
      <c r="E2508" s="14">
        <f t="shared" si="277"/>
        <v>1.0349994833252878</v>
      </c>
      <c r="F2508" s="18">
        <f t="shared" ca="1" si="276"/>
        <v>1.0773559732445033</v>
      </c>
      <c r="G2508" s="15">
        <f t="shared" ca="1" si="274"/>
        <v>1.0030760792720332</v>
      </c>
      <c r="H2508" s="15">
        <f t="shared" ca="1" si="275"/>
        <v>2.9631249880311954E-2</v>
      </c>
      <c r="J2508" s="17">
        <f t="shared" ca="1" si="278"/>
        <v>1</v>
      </c>
      <c r="K2508" s="24">
        <f t="shared" ca="1" si="279"/>
        <v>0</v>
      </c>
      <c r="L2508" s="17">
        <f t="shared" ca="1" si="280"/>
        <v>1</v>
      </c>
      <c r="N2508" s="24" t="str">
        <f ca="1">IF(AND(L2508=1,L2507&lt;&gt;1),MAX($N$8:N2507)+1,"")</f>
        <v/>
      </c>
      <c r="O2508" s="24" t="str">
        <f ca="1">IF(AND(L2508&lt;&gt;1,L2507=1),MAX($O$8:O2507)+1,"")</f>
        <v/>
      </c>
      <c r="P2508" s="17" t="str">
        <f ca="1">IF(AND(L2508=-1,L2507&lt;&gt;-1),MAX($P$8:P2507)+1,"")</f>
        <v/>
      </c>
      <c r="Q2508" s="24" t="str">
        <f ca="1">IF(AND(L2508&lt;&gt;-1,L2507=-1),MAX($Q$8:Q2507)+1,"")</f>
        <v/>
      </c>
    </row>
    <row r="2509" spans="1:17" x14ac:dyDescent="0.3">
      <c r="A2509" s="3">
        <v>43881</v>
      </c>
      <c r="B2509" s="9">
        <v>33.435490000000001</v>
      </c>
      <c r="C2509" s="9">
        <v>31.950458999999999</v>
      </c>
      <c r="E2509" s="14">
        <f t="shared" si="277"/>
        <v>1.0464791757764733</v>
      </c>
      <c r="F2509" s="18">
        <f t="shared" ca="1" si="276"/>
        <v>1.3239318767857899</v>
      </c>
      <c r="G2509" s="15">
        <f t="shared" ca="1" si="274"/>
        <v>1.0058399907890592</v>
      </c>
      <c r="H2509" s="15">
        <f t="shared" ca="1" si="275"/>
        <v>3.069582785941901E-2</v>
      </c>
      <c r="J2509" s="17">
        <f t="shared" ca="1" si="278"/>
        <v>1</v>
      </c>
      <c r="K2509" s="24">
        <f t="shared" ca="1" si="279"/>
        <v>0</v>
      </c>
      <c r="L2509" s="17">
        <f t="shared" ca="1" si="280"/>
        <v>1</v>
      </c>
      <c r="N2509" s="24" t="str">
        <f ca="1">IF(AND(L2509=1,L2508&lt;&gt;1),MAX($N$8:N2508)+1,"")</f>
        <v/>
      </c>
      <c r="O2509" s="24" t="str">
        <f ca="1">IF(AND(L2509&lt;&gt;1,L2508=1),MAX($O$8:O2508)+1,"")</f>
        <v/>
      </c>
      <c r="P2509" s="17" t="str">
        <f ca="1">IF(AND(L2509=-1,L2508&lt;&gt;-1),MAX($P$8:P2508)+1,"")</f>
        <v/>
      </c>
      <c r="Q2509" s="24" t="str">
        <f ca="1">IF(AND(L2509&lt;&gt;-1,L2508=-1),MAX($Q$8:Q2508)+1,"")</f>
        <v/>
      </c>
    </row>
    <row r="2510" spans="1:17" x14ac:dyDescent="0.3">
      <c r="A2510" s="3">
        <v>43882</v>
      </c>
      <c r="B2510" s="9">
        <v>32.600718999999998</v>
      </c>
      <c r="C2510" s="9">
        <v>31.701308999999998</v>
      </c>
      <c r="E2510" s="14">
        <f t="shared" si="277"/>
        <v>1.0283713836548516</v>
      </c>
      <c r="F2510" s="18">
        <f t="shared" ca="1" si="276"/>
        <v>0.67239610913975112</v>
      </c>
      <c r="G2510" s="15">
        <f t="shared" ca="1" si="274"/>
        <v>1.0076737318309521</v>
      </c>
      <c r="H2510" s="15">
        <f t="shared" ca="1" si="275"/>
        <v>3.0781932766356445E-2</v>
      </c>
      <c r="J2510" s="17">
        <f t="shared" ca="1" si="278"/>
        <v>1</v>
      </c>
      <c r="K2510" s="24">
        <f t="shared" ca="1" si="279"/>
        <v>0</v>
      </c>
      <c r="L2510" s="17">
        <f t="shared" ca="1" si="280"/>
        <v>1</v>
      </c>
      <c r="N2510" s="24" t="str">
        <f ca="1">IF(AND(L2510=1,L2509&lt;&gt;1),MAX($N$8:N2509)+1,"")</f>
        <v/>
      </c>
      <c r="O2510" s="24" t="str">
        <f ca="1">IF(AND(L2510&lt;&gt;1,L2509=1),MAX($O$8:O2509)+1,"")</f>
        <v/>
      </c>
      <c r="P2510" s="17" t="str">
        <f ca="1">IF(AND(L2510=-1,L2509&lt;&gt;-1),MAX($P$8:P2509)+1,"")</f>
        <v/>
      </c>
      <c r="Q2510" s="24" t="str">
        <f ca="1">IF(AND(L2510&lt;&gt;-1,L2509=-1),MAX($Q$8:Q2509)+1,"")</f>
        <v/>
      </c>
    </row>
    <row r="2511" spans="1:17" x14ac:dyDescent="0.3">
      <c r="A2511" s="3">
        <v>43888</v>
      </c>
      <c r="B2511" s="9">
        <v>30.994624999999999</v>
      </c>
      <c r="C2511" s="9">
        <v>29.867595999999999</v>
      </c>
      <c r="E2511" s="14">
        <f t="shared" si="277"/>
        <v>1.0377341718429565</v>
      </c>
      <c r="F2511" s="18">
        <f t="shared" ca="1" si="276"/>
        <v>0.89326933645543982</v>
      </c>
      <c r="G2511" s="15">
        <f t="shared" ca="1" si="274"/>
        <v>1.0100492148985665</v>
      </c>
      <c r="H2511" s="15">
        <f t="shared" ca="1" si="275"/>
        <v>3.0992843719729588E-2</v>
      </c>
      <c r="J2511" s="17">
        <f t="shared" ca="1" si="278"/>
        <v>1</v>
      </c>
      <c r="K2511" s="24">
        <f t="shared" ca="1" si="279"/>
        <v>0</v>
      </c>
      <c r="L2511" s="17">
        <f t="shared" ca="1" si="280"/>
        <v>1</v>
      </c>
      <c r="N2511" s="24" t="str">
        <f ca="1">IF(AND(L2511=1,L2510&lt;&gt;1),MAX($N$8:N2510)+1,"")</f>
        <v/>
      </c>
      <c r="O2511" s="24" t="str">
        <f ca="1">IF(AND(L2511&lt;&gt;1,L2510=1),MAX($O$8:O2510)+1,"")</f>
        <v/>
      </c>
      <c r="P2511" s="17" t="str">
        <f ca="1">IF(AND(L2511=-1,L2510&lt;&gt;-1),MAX($P$8:P2510)+1,"")</f>
        <v/>
      </c>
      <c r="Q2511" s="24" t="str">
        <f ca="1">IF(AND(L2511&lt;&gt;-1,L2510=-1),MAX($Q$8:Q2510)+1,"")</f>
        <v/>
      </c>
    </row>
    <row r="2512" spans="1:17" x14ac:dyDescent="0.3">
      <c r="A2512" s="3">
        <v>43889</v>
      </c>
      <c r="B2512" s="9">
        <v>31.922369</v>
      </c>
      <c r="C2512" s="9">
        <v>30.425684</v>
      </c>
      <c r="E2512" s="14">
        <f t="shared" si="277"/>
        <v>1.0491914988665496</v>
      </c>
      <c r="F2512" s="18">
        <f t="shared" ca="1" si="276"/>
        <v>1.1494474957113683</v>
      </c>
      <c r="G2512" s="15">
        <f t="shared" ca="1" si="274"/>
        <v>1.0129465639239821</v>
      </c>
      <c r="H2512" s="15">
        <f t="shared" ca="1" si="275"/>
        <v>3.1532484152428659E-2</v>
      </c>
      <c r="J2512" s="17">
        <f t="shared" ca="1" si="278"/>
        <v>1</v>
      </c>
      <c r="K2512" s="24">
        <f t="shared" ca="1" si="279"/>
        <v>0</v>
      </c>
      <c r="L2512" s="17">
        <f t="shared" ca="1" si="280"/>
        <v>1</v>
      </c>
      <c r="N2512" s="24" t="str">
        <f ca="1">IF(AND(L2512=1,L2511&lt;&gt;1),MAX($N$8:N2511)+1,"")</f>
        <v/>
      </c>
      <c r="O2512" s="24" t="str">
        <f ca="1">IF(AND(L2512&lt;&gt;1,L2511=1),MAX($O$8:O2511)+1,"")</f>
        <v/>
      </c>
      <c r="P2512" s="17" t="str">
        <f ca="1">IF(AND(L2512=-1,L2511&lt;&gt;-1),MAX($P$8:P2511)+1,"")</f>
        <v/>
      </c>
      <c r="Q2512" s="24" t="str">
        <f ca="1">IF(AND(L2512&lt;&gt;-1,L2511=-1),MAX($Q$8:Q2511)+1,"")</f>
        <v/>
      </c>
    </row>
    <row r="2513" spans="1:17" x14ac:dyDescent="0.3">
      <c r="A2513" s="3">
        <v>43892</v>
      </c>
      <c r="B2513" s="9">
        <v>31.817574</v>
      </c>
      <c r="C2513" s="9">
        <v>30.834285999999999</v>
      </c>
      <c r="E2513" s="14">
        <f t="shared" si="277"/>
        <v>1.031889436324227</v>
      </c>
      <c r="F2513" s="18">
        <f t="shared" ca="1" si="276"/>
        <v>0.54096368732599742</v>
      </c>
      <c r="G2513" s="15">
        <f t="shared" ca="1" si="274"/>
        <v>1.0149939027932458</v>
      </c>
      <c r="H2513" s="15">
        <f t="shared" ca="1" si="275"/>
        <v>3.1232287724332286E-2</v>
      </c>
      <c r="J2513" s="17">
        <f t="shared" ca="1" si="278"/>
        <v>1</v>
      </c>
      <c r="K2513" s="24">
        <f t="shared" ca="1" si="279"/>
        <v>0</v>
      </c>
      <c r="L2513" s="17">
        <f t="shared" ca="1" si="280"/>
        <v>1</v>
      </c>
      <c r="N2513" s="24" t="str">
        <f ca="1">IF(AND(L2513=1,L2512&lt;&gt;1),MAX($N$8:N2512)+1,"")</f>
        <v/>
      </c>
      <c r="O2513" s="24" t="str">
        <f ca="1">IF(AND(L2513&lt;&gt;1,L2512=1),MAX($O$8:O2512)+1,"")</f>
        <v/>
      </c>
      <c r="P2513" s="17" t="str">
        <f ca="1">IF(AND(L2513=-1,L2512&lt;&gt;-1),MAX($P$8:P2512)+1,"")</f>
        <v/>
      </c>
      <c r="Q2513" s="24" t="str">
        <f ca="1">IF(AND(L2513&lt;&gt;-1,L2512=-1),MAX($Q$8:Q2512)+1,"")</f>
        <v/>
      </c>
    </row>
    <row r="2514" spans="1:17" x14ac:dyDescent="0.3">
      <c r="A2514" s="3">
        <v>43893</v>
      </c>
      <c r="B2514" s="9">
        <v>31.238707999999999</v>
      </c>
      <c r="C2514" s="9">
        <v>30.033829000000001</v>
      </c>
      <c r="E2514" s="14">
        <f t="shared" si="277"/>
        <v>1.0401173956207848</v>
      </c>
      <c r="F2514" s="18">
        <f t="shared" ca="1" si="276"/>
        <v>0.73128178548933065</v>
      </c>
      <c r="G2514" s="15">
        <f t="shared" ca="1" si="274"/>
        <v>1.0174820023652544</v>
      </c>
      <c r="H2514" s="15">
        <f t="shared" ca="1" si="275"/>
        <v>3.0953038493067419E-2</v>
      </c>
      <c r="J2514" s="17">
        <f t="shared" ca="1" si="278"/>
        <v>1</v>
      </c>
      <c r="K2514" s="24">
        <f t="shared" ca="1" si="279"/>
        <v>0</v>
      </c>
      <c r="L2514" s="17">
        <f t="shared" ca="1" si="280"/>
        <v>1</v>
      </c>
      <c r="N2514" s="24" t="str">
        <f ca="1">IF(AND(L2514=1,L2513&lt;&gt;1),MAX($N$8:N2513)+1,"")</f>
        <v/>
      </c>
      <c r="O2514" s="24" t="str">
        <f ca="1">IF(AND(L2514&lt;&gt;1,L2513=1),MAX($O$8:O2513)+1,"")</f>
        <v/>
      </c>
      <c r="P2514" s="17" t="str">
        <f ca="1">IF(AND(L2514=-1,L2513&lt;&gt;-1),MAX($P$8:P2513)+1,"")</f>
        <v/>
      </c>
      <c r="Q2514" s="24" t="str">
        <f ca="1">IF(AND(L2514&lt;&gt;-1,L2513=-1),MAX($Q$8:Q2513)+1,"")</f>
        <v/>
      </c>
    </row>
    <row r="2515" spans="1:17" x14ac:dyDescent="0.3">
      <c r="A2515" s="3">
        <v>43894</v>
      </c>
      <c r="B2515" s="9">
        <v>31.538122000000001</v>
      </c>
      <c r="C2515" s="9">
        <v>30.362886</v>
      </c>
      <c r="E2515" s="14">
        <f t="shared" si="277"/>
        <v>1.0387063337786797</v>
      </c>
      <c r="F2515" s="18">
        <f t="shared" ca="1" si="276"/>
        <v>0.61734048141095188</v>
      </c>
      <c r="G2515" s="15">
        <f t="shared" ca="1" si="274"/>
        <v>1.019962372573427</v>
      </c>
      <c r="H2515" s="15">
        <f t="shared" ca="1" si="275"/>
        <v>3.0362436564037958E-2</v>
      </c>
      <c r="J2515" s="17">
        <f t="shared" ca="1" si="278"/>
        <v>1</v>
      </c>
      <c r="K2515" s="24">
        <f t="shared" ca="1" si="279"/>
        <v>0</v>
      </c>
      <c r="L2515" s="17">
        <f t="shared" ca="1" si="280"/>
        <v>1</v>
      </c>
      <c r="N2515" s="24" t="str">
        <f ca="1">IF(AND(L2515=1,L2514&lt;&gt;1),MAX($N$8:N2514)+1,"")</f>
        <v/>
      </c>
      <c r="O2515" s="24" t="str">
        <f ca="1">IF(AND(L2515&lt;&gt;1,L2514=1),MAX($O$8:O2514)+1,"")</f>
        <v/>
      </c>
      <c r="P2515" s="17" t="str">
        <f ca="1">IF(AND(L2515=-1,L2514&lt;&gt;-1),MAX($P$8:P2514)+1,"")</f>
        <v/>
      </c>
      <c r="Q2515" s="24" t="str">
        <f ca="1">IF(AND(L2515&lt;&gt;-1,L2514=-1),MAX($Q$8:Q2514)+1,"")</f>
        <v/>
      </c>
    </row>
    <row r="2516" spans="1:17" x14ac:dyDescent="0.3">
      <c r="A2516" s="3">
        <v>43895</v>
      </c>
      <c r="B2516" s="9">
        <v>30.460238</v>
      </c>
      <c r="C2516" s="9">
        <v>29.365746000000001</v>
      </c>
      <c r="E2516" s="14">
        <f t="shared" si="277"/>
        <v>1.0372710436166002</v>
      </c>
      <c r="F2516" s="18">
        <f t="shared" ca="1" si="276"/>
        <v>0.50721305730774513</v>
      </c>
      <c r="G2516" s="15">
        <f t="shared" ca="1" si="274"/>
        <v>1.022173977148801</v>
      </c>
      <c r="H2516" s="15">
        <f t="shared" ca="1" si="275"/>
        <v>2.976474333672216E-2</v>
      </c>
      <c r="J2516" s="17">
        <f t="shared" ca="1" si="278"/>
        <v>1</v>
      </c>
      <c r="K2516" s="24">
        <f t="shared" ca="1" si="279"/>
        <v>0</v>
      </c>
      <c r="L2516" s="17">
        <f t="shared" ca="1" si="280"/>
        <v>1</v>
      </c>
      <c r="N2516" s="24" t="str">
        <f ca="1">IF(AND(L2516=1,L2515&lt;&gt;1),MAX($N$8:N2515)+1,"")</f>
        <v/>
      </c>
      <c r="O2516" s="24" t="str">
        <f ca="1">IF(AND(L2516&lt;&gt;1,L2515=1),MAX($O$8:O2515)+1,"")</f>
        <v/>
      </c>
      <c r="P2516" s="17" t="str">
        <f ca="1">IF(AND(L2516=-1,L2515&lt;&gt;-1),MAX($P$8:P2515)+1,"")</f>
        <v/>
      </c>
      <c r="Q2516" s="24" t="str">
        <f ca="1">IF(AND(L2516&lt;&gt;-1,L2515=-1),MAX($Q$8:Q2515)+1,"")</f>
        <v/>
      </c>
    </row>
    <row r="2517" spans="1:17" x14ac:dyDescent="0.3">
      <c r="A2517" s="3">
        <v>43896</v>
      </c>
      <c r="B2517" s="9">
        <v>29.811509999999998</v>
      </c>
      <c r="C2517" s="9">
        <v>28.528151000000001</v>
      </c>
      <c r="E2517" s="14">
        <f t="shared" si="277"/>
        <v>1.044985705522941</v>
      </c>
      <c r="F2517" s="18">
        <f t="shared" ca="1" si="276"/>
        <v>0.69342738780448532</v>
      </c>
      <c r="G2517" s="15">
        <f t="shared" ca="1" si="274"/>
        <v>1.0248318912676011</v>
      </c>
      <c r="H2517" s="15">
        <f t="shared" ca="1" si="275"/>
        <v>2.9064058630782489E-2</v>
      </c>
      <c r="J2517" s="17">
        <f t="shared" ca="1" si="278"/>
        <v>1</v>
      </c>
      <c r="K2517" s="24">
        <f t="shared" ca="1" si="279"/>
        <v>0</v>
      </c>
      <c r="L2517" s="17">
        <f t="shared" ca="1" si="280"/>
        <v>1</v>
      </c>
      <c r="N2517" s="24" t="str">
        <f ca="1">IF(AND(L2517=1,L2516&lt;&gt;1),MAX($N$8:N2516)+1,"")</f>
        <v/>
      </c>
      <c r="O2517" s="24" t="str">
        <f ca="1">IF(AND(L2517&lt;&gt;1,L2516=1),MAX($O$8:O2516)+1,"")</f>
        <v/>
      </c>
      <c r="P2517" s="17" t="str">
        <f ca="1">IF(AND(L2517=-1,L2516&lt;&gt;-1),MAX($P$8:P2516)+1,"")</f>
        <v/>
      </c>
      <c r="Q2517" s="24" t="str">
        <f ca="1">IF(AND(L2517&lt;&gt;-1,L2516=-1),MAX($Q$8:Q2516)+1,"")</f>
        <v/>
      </c>
    </row>
    <row r="2518" spans="1:17" x14ac:dyDescent="0.3">
      <c r="A2518" s="3">
        <v>43899</v>
      </c>
      <c r="B2518" s="9">
        <v>27.745564000000002</v>
      </c>
      <c r="C2518" s="9">
        <v>26.474043000000002</v>
      </c>
      <c r="E2518" s="14">
        <f t="shared" si="277"/>
        <v>1.0480289693568905</v>
      </c>
      <c r="F2518" s="18">
        <f t="shared" ca="1" si="276"/>
        <v>0.72431012964238928</v>
      </c>
      <c r="G2518" s="15">
        <f t="shared" ca="1" si="274"/>
        <v>1.027783603436758</v>
      </c>
      <c r="H2518" s="15">
        <f t="shared" ca="1" si="275"/>
        <v>2.7951239519635254E-2</v>
      </c>
      <c r="J2518" s="17">
        <f t="shared" ca="1" si="278"/>
        <v>1</v>
      </c>
      <c r="K2518" s="24">
        <f t="shared" ca="1" si="279"/>
        <v>0</v>
      </c>
      <c r="L2518" s="17">
        <f t="shared" ca="1" si="280"/>
        <v>1</v>
      </c>
      <c r="N2518" s="24" t="str">
        <f ca="1">IF(AND(L2518=1,L2517&lt;&gt;1),MAX($N$8:N2517)+1,"")</f>
        <v/>
      </c>
      <c r="O2518" s="24" t="str">
        <f ca="1">IF(AND(L2518&lt;&gt;1,L2517=1),MAX($O$8:O2517)+1,"")</f>
        <v/>
      </c>
      <c r="P2518" s="17" t="str">
        <f ca="1">IF(AND(L2518=-1,L2517&lt;&gt;-1),MAX($P$8:P2517)+1,"")</f>
        <v/>
      </c>
      <c r="Q2518" s="24" t="str">
        <f ca="1">IF(AND(L2518&lt;&gt;-1,L2517=-1),MAX($Q$8:Q2517)+1,"")</f>
        <v/>
      </c>
    </row>
    <row r="2519" spans="1:17" x14ac:dyDescent="0.3">
      <c r="A2519" s="3">
        <v>43900</v>
      </c>
      <c r="B2519" s="9">
        <v>28.434211999999999</v>
      </c>
      <c r="C2519" s="9">
        <v>27.112213000000001</v>
      </c>
      <c r="E2519" s="14">
        <f t="shared" si="277"/>
        <v>1.0487602764112247</v>
      </c>
      <c r="F2519" s="18">
        <f t="shared" ca="1" si="276"/>
        <v>0.67786940413190988</v>
      </c>
      <c r="G2519" s="15">
        <f t="shared" ca="1" si="274"/>
        <v>1.0304388848887642</v>
      </c>
      <c r="H2519" s="15">
        <f t="shared" ca="1" si="275"/>
        <v>2.7027907456485874E-2</v>
      </c>
      <c r="J2519" s="17">
        <f t="shared" ca="1" si="278"/>
        <v>1</v>
      </c>
      <c r="K2519" s="24">
        <f t="shared" ca="1" si="279"/>
        <v>0</v>
      </c>
      <c r="L2519" s="17">
        <f t="shared" ca="1" si="280"/>
        <v>1</v>
      </c>
      <c r="N2519" s="24" t="str">
        <f ca="1">IF(AND(L2519=1,L2518&lt;&gt;1),MAX($N$8:N2518)+1,"")</f>
        <v/>
      </c>
      <c r="O2519" s="24" t="str">
        <f ca="1">IF(AND(L2519&lt;&gt;1,L2518=1),MAX($O$8:O2518)+1,"")</f>
        <v/>
      </c>
      <c r="P2519" s="17" t="str">
        <f ca="1">IF(AND(L2519=-1,L2518&lt;&gt;-1),MAX($P$8:P2518)+1,"")</f>
        <v/>
      </c>
      <c r="Q2519" s="24" t="str">
        <f ca="1">IF(AND(L2519&lt;&gt;-1,L2518=-1),MAX($Q$8:Q2518)+1,"")</f>
        <v/>
      </c>
    </row>
    <row r="2520" spans="1:17" x14ac:dyDescent="0.3">
      <c r="A2520" s="3">
        <v>43901</v>
      </c>
      <c r="B2520" s="9">
        <v>26.118753000000002</v>
      </c>
      <c r="C2520" s="9">
        <v>24.918507000000002</v>
      </c>
      <c r="E2520" s="14">
        <f t="shared" si="277"/>
        <v>1.0481668504457349</v>
      </c>
      <c r="F2520" s="18">
        <f t="shared" ca="1" si="276"/>
        <v>0.58918864716562902</v>
      </c>
      <c r="G2520" s="15">
        <f t="shared" ca="1" si="274"/>
        <v>1.0336547198235406</v>
      </c>
      <c r="H2520" s="15">
        <f t="shared" ca="1" si="275"/>
        <v>2.4630703072787981E-2</v>
      </c>
      <c r="J2520" s="17">
        <f t="shared" ca="1" si="278"/>
        <v>1</v>
      </c>
      <c r="K2520" s="24">
        <f t="shared" ca="1" si="279"/>
        <v>0</v>
      </c>
      <c r="L2520" s="17">
        <f t="shared" ca="1" si="280"/>
        <v>1</v>
      </c>
      <c r="N2520" s="24" t="str">
        <f ca="1">IF(AND(L2520=1,L2519&lt;&gt;1),MAX($N$8:N2519)+1,"")</f>
        <v/>
      </c>
      <c r="O2520" s="24" t="str">
        <f ca="1">IF(AND(L2520&lt;&gt;1,L2519=1),MAX($O$8:O2519)+1,"")</f>
        <v/>
      </c>
      <c r="P2520" s="17" t="str">
        <f ca="1">IF(AND(L2520=-1,L2519&lt;&gt;-1),MAX($P$8:P2519)+1,"")</f>
        <v/>
      </c>
      <c r="Q2520" s="24" t="str">
        <f ca="1">IF(AND(L2520&lt;&gt;-1,L2519=-1),MAX($Q$8:Q2519)+1,"")</f>
        <v/>
      </c>
    </row>
    <row r="2521" spans="1:17" x14ac:dyDescent="0.3">
      <c r="A2521" s="3">
        <v>43902</v>
      </c>
      <c r="B2521" s="9">
        <v>23.553787</v>
      </c>
      <c r="C2521" s="9">
        <v>21.578088999999999</v>
      </c>
      <c r="E2521" s="14">
        <f t="shared" si="277"/>
        <v>1.0915603786785752</v>
      </c>
      <c r="F2521" s="18">
        <f t="shared" ca="1" si="276"/>
        <v>2.108201078525243</v>
      </c>
      <c r="G2521" s="15">
        <f t="shared" ca="1" si="274"/>
        <v>1.0384312301004479</v>
      </c>
      <c r="H2521" s="15">
        <f t="shared" ca="1" si="275"/>
        <v>2.5201177022114489E-2</v>
      </c>
      <c r="J2521" s="17">
        <f t="shared" ca="1" si="278"/>
        <v>1</v>
      </c>
      <c r="K2521" s="24">
        <f t="shared" ca="1" si="279"/>
        <v>0</v>
      </c>
      <c r="L2521" s="17">
        <f t="shared" ca="1" si="280"/>
        <v>1</v>
      </c>
      <c r="N2521" s="24" t="str">
        <f ca="1">IF(AND(L2521=1,L2520&lt;&gt;1),MAX($N$8:N2520)+1,"")</f>
        <v/>
      </c>
      <c r="O2521" s="24" t="str">
        <f ca="1">IF(AND(L2521&lt;&gt;1,L2520=1),MAX($O$8:O2520)+1,"")</f>
        <v/>
      </c>
      <c r="P2521" s="17" t="str">
        <f ca="1">IF(AND(L2521=-1,L2520&lt;&gt;-1),MAX($P$8:P2520)+1,"")</f>
        <v/>
      </c>
      <c r="Q2521" s="24" t="str">
        <f ca="1">IF(AND(L2521&lt;&gt;-1,L2520=-1),MAX($Q$8:Q2520)+1,"")</f>
        <v/>
      </c>
    </row>
    <row r="2522" spans="1:17" x14ac:dyDescent="0.3">
      <c r="A2522" s="3">
        <v>43903</v>
      </c>
      <c r="B2522" s="9">
        <v>26.158674000000001</v>
      </c>
      <c r="C2522" s="9">
        <v>25.217649000000002</v>
      </c>
      <c r="E2522" s="14">
        <f t="shared" si="277"/>
        <v>1.0373161272884717</v>
      </c>
      <c r="F2522" s="18">
        <f t="shared" ca="1" si="276"/>
        <v>-0.14807547248006084</v>
      </c>
      <c r="G2522" s="15">
        <f t="shared" ca="1" si="274"/>
        <v>1.040674416361639</v>
      </c>
      <c r="H2522" s="15">
        <f t="shared" ca="1" si="275"/>
        <v>2.2679576954377688E-2</v>
      </c>
      <c r="J2522" s="17">
        <f t="shared" ca="1" si="278"/>
        <v>0</v>
      </c>
      <c r="K2522" s="24">
        <f t="shared" ca="1" si="279"/>
        <v>0</v>
      </c>
      <c r="L2522" s="17">
        <f t="shared" ca="1" si="280"/>
        <v>0</v>
      </c>
      <c r="N2522" s="24" t="str">
        <f ca="1">IF(AND(L2522=1,L2521&lt;&gt;1),MAX($N$8:N2521)+1,"")</f>
        <v/>
      </c>
      <c r="O2522" s="24">
        <f ca="1">IF(AND(L2522&lt;&gt;1,L2521=1),MAX($O$8:O2521)+1,"")</f>
        <v>82</v>
      </c>
      <c r="P2522" s="17" t="str">
        <f ca="1">IF(AND(L2522=-1,L2521&lt;&gt;-1),MAX($P$8:P2521)+1,"")</f>
        <v/>
      </c>
      <c r="Q2522" s="24" t="str">
        <f ca="1">IF(AND(L2522&lt;&gt;-1,L2521=-1),MAX($Q$8:Q2521)+1,"")</f>
        <v/>
      </c>
    </row>
    <row r="2523" spans="1:17" x14ac:dyDescent="0.3">
      <c r="A2523" s="3">
        <v>43906</v>
      </c>
      <c r="B2523" s="9">
        <v>23.753395000000001</v>
      </c>
      <c r="C2523" s="9">
        <v>21.617975000000001</v>
      </c>
      <c r="E2523" s="14">
        <f t="shared" si="277"/>
        <v>1.0987798348365192</v>
      </c>
      <c r="F2523" s="18">
        <f t="shared" ca="1" si="276"/>
        <v>2.2821161248395794</v>
      </c>
      <c r="G2523" s="15">
        <f t="shared" ca="1" si="274"/>
        <v>1.0454343169869533</v>
      </c>
      <c r="H2523" s="15">
        <f t="shared" ca="1" si="275"/>
        <v>2.3375461602908477E-2</v>
      </c>
      <c r="J2523" s="17">
        <f t="shared" ca="1" si="278"/>
        <v>1</v>
      </c>
      <c r="K2523" s="24">
        <f t="shared" ca="1" si="279"/>
        <v>0</v>
      </c>
      <c r="L2523" s="17">
        <f t="shared" ca="1" si="280"/>
        <v>1</v>
      </c>
      <c r="N2523" s="24">
        <f ca="1">IF(AND(L2523=1,L2522&lt;&gt;1),MAX($N$8:N2522)+1,"")</f>
        <v>83</v>
      </c>
      <c r="O2523" s="24" t="str">
        <f ca="1">IF(AND(L2523&lt;&gt;1,L2522=1),MAX($O$8:O2522)+1,"")</f>
        <v/>
      </c>
      <c r="P2523" s="17" t="str">
        <f ca="1">IF(AND(L2523=-1,L2522&lt;&gt;-1),MAX($P$8:P2522)+1,"")</f>
        <v/>
      </c>
      <c r="Q2523" s="24" t="str">
        <f ca="1">IF(AND(L2523&lt;&gt;-1,L2522=-1),MAX($Q$8:Q2522)+1,"")</f>
        <v/>
      </c>
    </row>
    <row r="2524" spans="1:17" x14ac:dyDescent="0.3">
      <c r="A2524" s="3">
        <v>43907</v>
      </c>
      <c r="B2524" s="9">
        <v>25.150656000000001</v>
      </c>
      <c r="C2524" s="9">
        <v>23.352996999999998</v>
      </c>
      <c r="E2524" s="14">
        <f t="shared" si="277"/>
        <v>1.0769776573002601</v>
      </c>
      <c r="F2524" s="18">
        <f t="shared" ca="1" si="276"/>
        <v>1.6367266592534109</v>
      </c>
      <c r="G2524" s="15">
        <f t="shared" ca="1" si="274"/>
        <v>1.0439828342017041</v>
      </c>
      <c r="H2524" s="15">
        <f t="shared" ca="1" si="275"/>
        <v>2.0159030777690431E-2</v>
      </c>
      <c r="J2524" s="17">
        <f t="shared" ca="1" si="278"/>
        <v>1</v>
      </c>
      <c r="K2524" s="24">
        <f t="shared" ca="1" si="279"/>
        <v>0</v>
      </c>
      <c r="L2524" s="17">
        <f t="shared" ca="1" si="280"/>
        <v>1</v>
      </c>
      <c r="N2524" s="24" t="str">
        <f ca="1">IF(AND(L2524=1,L2523&lt;&gt;1),MAX($N$8:N2523)+1,"")</f>
        <v/>
      </c>
      <c r="O2524" s="24" t="str">
        <f ca="1">IF(AND(L2524&lt;&gt;1,L2523=1),MAX($O$8:O2523)+1,"")</f>
        <v/>
      </c>
      <c r="P2524" s="17" t="str">
        <f ca="1">IF(AND(L2524=-1,L2523&lt;&gt;-1),MAX($P$8:P2523)+1,"")</f>
        <v/>
      </c>
      <c r="Q2524" s="24" t="str">
        <f ca="1">IF(AND(L2524&lt;&gt;-1,L2523=-1),MAX($Q$8:Q2523)+1,"")</f>
        <v/>
      </c>
    </row>
    <row r="2525" spans="1:17" x14ac:dyDescent="0.3">
      <c r="A2525" s="3">
        <v>43908</v>
      </c>
      <c r="B2525" s="9">
        <v>23.404078999999999</v>
      </c>
      <c r="C2525" s="9">
        <v>20.630807999999998</v>
      </c>
      <c r="E2525" s="14">
        <f t="shared" si="277"/>
        <v>1.1344237705086491</v>
      </c>
      <c r="F2525" s="18">
        <f t="shared" ca="1" si="276"/>
        <v>3.175874989077589</v>
      </c>
      <c r="G2525" s="15">
        <f t="shared" ca="1" si="274"/>
        <v>1.0492890377916455</v>
      </c>
      <c r="H2525" s="15">
        <f t="shared" ca="1" si="275"/>
        <v>2.6806701463312432E-2</v>
      </c>
      <c r="J2525" s="17">
        <f t="shared" ca="1" si="278"/>
        <v>1</v>
      </c>
      <c r="K2525" s="24">
        <f t="shared" ca="1" si="279"/>
        <v>0</v>
      </c>
      <c r="L2525" s="17">
        <f t="shared" ca="1" si="280"/>
        <v>1</v>
      </c>
      <c r="N2525" s="24" t="str">
        <f ca="1">IF(AND(L2525=1,L2524&lt;&gt;1),MAX($N$8:N2524)+1,"")</f>
        <v/>
      </c>
      <c r="O2525" s="24" t="str">
        <f ca="1">IF(AND(L2525&lt;&gt;1,L2524=1),MAX($O$8:O2524)+1,"")</f>
        <v/>
      </c>
      <c r="P2525" s="17" t="str">
        <f ca="1">IF(AND(L2525=-1,L2524&lt;&gt;-1),MAX($P$8:P2524)+1,"")</f>
        <v/>
      </c>
      <c r="Q2525" s="24" t="str">
        <f ca="1">IF(AND(L2525&lt;&gt;-1,L2524=-1),MAX($Q$8:Q2524)+1,"")</f>
        <v/>
      </c>
    </row>
    <row r="2526" spans="1:17" x14ac:dyDescent="0.3">
      <c r="A2526" s="3">
        <v>43909</v>
      </c>
      <c r="B2526" s="9">
        <v>22.805254000000001</v>
      </c>
      <c r="C2526" s="9">
        <v>20.690636000000001</v>
      </c>
      <c r="E2526" s="14">
        <f t="shared" si="277"/>
        <v>1.1022016916251389</v>
      </c>
      <c r="F2526" s="18">
        <f t="shared" ca="1" si="276"/>
        <v>1.7439585945452545</v>
      </c>
      <c r="G2526" s="15">
        <f t="shared" ca="1" si="274"/>
        <v>1.0529562221181141</v>
      </c>
      <c r="H2526" s="15">
        <f t="shared" ca="1" si="275"/>
        <v>2.8237751550440789E-2</v>
      </c>
      <c r="J2526" s="17">
        <f t="shared" ca="1" si="278"/>
        <v>1</v>
      </c>
      <c r="K2526" s="24">
        <f t="shared" ca="1" si="279"/>
        <v>0</v>
      </c>
      <c r="L2526" s="17">
        <f t="shared" ca="1" si="280"/>
        <v>1</v>
      </c>
      <c r="N2526" s="24" t="str">
        <f ca="1">IF(AND(L2526=1,L2525&lt;&gt;1),MAX($N$8:N2525)+1,"")</f>
        <v/>
      </c>
      <c r="O2526" s="24" t="str">
        <f ca="1">IF(AND(L2526&lt;&gt;1,L2525=1),MAX($O$8:O2525)+1,"")</f>
        <v/>
      </c>
      <c r="P2526" s="17" t="str">
        <f ca="1">IF(AND(L2526=-1,L2525&lt;&gt;-1),MAX($P$8:P2525)+1,"")</f>
        <v/>
      </c>
      <c r="Q2526" s="24" t="str">
        <f ca="1">IF(AND(L2526&lt;&gt;-1,L2525=-1),MAX($Q$8:Q2525)+1,"")</f>
        <v/>
      </c>
    </row>
    <row r="2527" spans="1:17" x14ac:dyDescent="0.3">
      <c r="A2527" s="3">
        <v>43910</v>
      </c>
      <c r="B2527" s="9">
        <v>22.006820999999999</v>
      </c>
      <c r="C2527" s="9">
        <v>19.184956</v>
      </c>
      <c r="E2527" s="14">
        <f t="shared" si="277"/>
        <v>1.1470873845110721</v>
      </c>
      <c r="F2527" s="18">
        <f t="shared" ca="1" si="276"/>
        <v>2.6257286015350596</v>
      </c>
      <c r="G2527" s="15">
        <f t="shared" ref="G2527:G2593" ca="1" si="281">IF(ISNUMBER(E2527),IF(ROW(E2527)&gt;$J$1,AVERAGE(OFFSET(E2527,0,0,-$J$1)),""),"")</f>
        <v>1.0583942759941782</v>
      </c>
      <c r="H2527" s="15">
        <f t="shared" ref="H2527:H2593" ca="1" si="282">IF(ISNUMBER(E2527),IF(ROW(E2527)&gt;$J$1,_xlfn.STDEV.P(OFFSET(E2527,0,0,-$J$1)),""),"")</f>
        <v>3.3778475225901813E-2</v>
      </c>
      <c r="J2527" s="17">
        <f t="shared" ca="1" si="278"/>
        <v>1</v>
      </c>
      <c r="K2527" s="24">
        <f t="shared" ca="1" si="279"/>
        <v>0</v>
      </c>
      <c r="L2527" s="17">
        <f t="shared" ca="1" si="280"/>
        <v>1</v>
      </c>
      <c r="N2527" s="24" t="str">
        <f ca="1">IF(AND(L2527=1,L2526&lt;&gt;1),MAX($N$8:N2526)+1,"")</f>
        <v/>
      </c>
      <c r="O2527" s="24" t="str">
        <f ca="1">IF(AND(L2527&lt;&gt;1,L2526=1),MAX($O$8:O2526)+1,"")</f>
        <v/>
      </c>
      <c r="P2527" s="17" t="str">
        <f ca="1">IF(AND(L2527=-1,L2526&lt;&gt;-1),MAX($P$8:P2526)+1,"")</f>
        <v/>
      </c>
      <c r="Q2527" s="24" t="str">
        <f ca="1">IF(AND(L2527&lt;&gt;-1,L2526=-1),MAX($Q$8:Q2526)+1,"")</f>
        <v/>
      </c>
    </row>
    <row r="2528" spans="1:17" x14ac:dyDescent="0.3">
      <c r="A2528" s="3">
        <v>43913</v>
      </c>
      <c r="B2528" s="9">
        <v>20.47982</v>
      </c>
      <c r="C2528" s="9">
        <v>17.619450000000001</v>
      </c>
      <c r="E2528" s="14">
        <f t="shared" si="277"/>
        <v>1.1623416167928056</v>
      </c>
      <c r="F2528" s="18">
        <f t="shared" ca="1" si="276"/>
        <v>2.4851460648343981</v>
      </c>
      <c r="G2528" s="15">
        <f t="shared" ca="1" si="281"/>
        <v>1.0645666453100728</v>
      </c>
      <c r="H2528" s="15">
        <f t="shared" ca="1" si="282"/>
        <v>3.9343752412093383E-2</v>
      </c>
      <c r="J2528" s="17">
        <f t="shared" ca="1" si="278"/>
        <v>1</v>
      </c>
      <c r="K2528" s="24">
        <f t="shared" ca="1" si="279"/>
        <v>0</v>
      </c>
      <c r="L2528" s="17">
        <f t="shared" ca="1" si="280"/>
        <v>1</v>
      </c>
      <c r="N2528" s="24" t="str">
        <f ca="1">IF(AND(L2528=1,L2527&lt;&gt;1),MAX($N$8:N2527)+1,"")</f>
        <v/>
      </c>
      <c r="O2528" s="24" t="str">
        <f ca="1">IF(AND(L2528&lt;&gt;1,L2527=1),MAX($O$8:O2527)+1,"")</f>
        <v/>
      </c>
      <c r="P2528" s="17" t="str">
        <f ca="1">IF(AND(L2528=-1,L2527&lt;&gt;-1),MAX($P$8:P2527)+1,"")</f>
        <v/>
      </c>
      <c r="Q2528" s="24" t="str">
        <f ca="1">IF(AND(L2528&lt;&gt;-1,L2527=-1),MAX($Q$8:Q2527)+1,"")</f>
        <v/>
      </c>
    </row>
    <row r="2529" spans="1:17" x14ac:dyDescent="0.3">
      <c r="A2529" s="3">
        <v>43914</v>
      </c>
      <c r="B2529" s="9">
        <v>22.455942</v>
      </c>
      <c r="C2529" s="9">
        <v>20.271839</v>
      </c>
      <c r="E2529" s="14">
        <f t="shared" si="277"/>
        <v>1.1077407432053896</v>
      </c>
      <c r="F2529" s="18">
        <f t="shared" ca="1" si="276"/>
        <v>1.0023647442023593</v>
      </c>
      <c r="G2529" s="15">
        <f t="shared" ca="1" si="281"/>
        <v>1.067869587695004</v>
      </c>
      <c r="H2529" s="15">
        <f t="shared" ca="1" si="282"/>
        <v>3.977709286065672E-2</v>
      </c>
      <c r="J2529" s="17">
        <f t="shared" ca="1" si="278"/>
        <v>1</v>
      </c>
      <c r="K2529" s="24">
        <f t="shared" ca="1" si="279"/>
        <v>0</v>
      </c>
      <c r="L2529" s="17">
        <f t="shared" ca="1" si="280"/>
        <v>1</v>
      </c>
      <c r="N2529" s="24" t="str">
        <f ca="1">IF(AND(L2529=1,L2528&lt;&gt;1),MAX($N$8:N2528)+1,"")</f>
        <v/>
      </c>
      <c r="O2529" s="24" t="str">
        <f ca="1">IF(AND(L2529&lt;&gt;1,L2528=1),MAX($O$8:O2528)+1,"")</f>
        <v/>
      </c>
      <c r="P2529" s="17" t="str">
        <f ca="1">IF(AND(L2529=-1,L2528&lt;&gt;-1),MAX($P$8:P2528)+1,"")</f>
        <v/>
      </c>
      <c r="Q2529" s="24" t="str">
        <f ca="1">IF(AND(L2529&lt;&gt;-1,L2528=-1),MAX($Q$8:Q2528)+1,"")</f>
        <v/>
      </c>
    </row>
    <row r="2530" spans="1:17" x14ac:dyDescent="0.3">
      <c r="A2530" s="3">
        <v>43915</v>
      </c>
      <c r="B2530" s="9">
        <v>23.553787</v>
      </c>
      <c r="C2530" s="9">
        <v>21.787489000000001</v>
      </c>
      <c r="E2530" s="14">
        <f t="shared" si="277"/>
        <v>1.0810693696735774</v>
      </c>
      <c r="F2530" s="18">
        <f t="shared" ca="1" si="276"/>
        <v>0.28330852399942985</v>
      </c>
      <c r="G2530" s="15">
        <f t="shared" ca="1" si="281"/>
        <v>1.0699636734381082</v>
      </c>
      <c r="H2530" s="15">
        <f t="shared" ca="1" si="282"/>
        <v>3.9200007393676399E-2</v>
      </c>
      <c r="J2530" s="17">
        <f t="shared" ca="1" si="278"/>
        <v>1</v>
      </c>
      <c r="K2530" s="24">
        <f t="shared" ca="1" si="279"/>
        <v>0</v>
      </c>
      <c r="L2530" s="17">
        <f t="shared" ca="1" si="280"/>
        <v>1</v>
      </c>
      <c r="N2530" s="24" t="str">
        <f ca="1">IF(AND(L2530=1,L2529&lt;&gt;1),MAX($N$8:N2529)+1,"")</f>
        <v/>
      </c>
      <c r="O2530" s="24" t="str">
        <f ca="1">IF(AND(L2530&lt;&gt;1,L2529=1),MAX($O$8:O2529)+1,"")</f>
        <v/>
      </c>
      <c r="P2530" s="17" t="str">
        <f ca="1">IF(AND(L2530=-1,L2529&lt;&gt;-1),MAX($P$8:P2529)+1,"")</f>
        <v/>
      </c>
      <c r="Q2530" s="24" t="str">
        <f ca="1">IF(AND(L2530&lt;&gt;-1,L2529=-1),MAX($Q$8:Q2529)+1,"")</f>
        <v/>
      </c>
    </row>
    <row r="2531" spans="1:17" x14ac:dyDescent="0.3">
      <c r="A2531" s="3">
        <v>43916</v>
      </c>
      <c r="B2531" s="9">
        <v>24.202514999999998</v>
      </c>
      <c r="C2531" s="9">
        <v>22.246172000000001</v>
      </c>
      <c r="E2531" s="14">
        <f t="shared" si="277"/>
        <v>1.0879406578354243</v>
      </c>
      <c r="F2531" s="18">
        <f t="shared" ca="1" si="276"/>
        <v>0.41239325564384927</v>
      </c>
      <c r="G2531" s="15">
        <f t="shared" ca="1" si="281"/>
        <v>1.0718482862589693</v>
      </c>
      <c r="H2531" s="15">
        <f t="shared" ca="1" si="282"/>
        <v>3.9021907745146578E-2</v>
      </c>
      <c r="J2531" s="17">
        <f t="shared" ca="1" si="278"/>
        <v>1</v>
      </c>
      <c r="K2531" s="24">
        <f t="shared" ca="1" si="279"/>
        <v>0</v>
      </c>
      <c r="L2531" s="17">
        <f t="shared" ca="1" si="280"/>
        <v>1</v>
      </c>
      <c r="N2531" s="24" t="str">
        <f ca="1">IF(AND(L2531=1,L2530&lt;&gt;1),MAX($N$8:N2530)+1,"")</f>
        <v/>
      </c>
      <c r="O2531" s="24" t="str">
        <f ca="1">IF(AND(L2531&lt;&gt;1,L2530=1),MAX($O$8:O2530)+1,"")</f>
        <v/>
      </c>
      <c r="P2531" s="17" t="str">
        <f ca="1">IF(AND(L2531=-1,L2530&lt;&gt;-1),MAX($P$8:P2530)+1,"")</f>
        <v/>
      </c>
      <c r="Q2531" s="24" t="str">
        <f ca="1">IF(AND(L2531&lt;&gt;-1,L2530=-1),MAX($Q$8:Q2530)+1,"")</f>
        <v/>
      </c>
    </row>
    <row r="2532" spans="1:17" x14ac:dyDescent="0.3">
      <c r="A2532" s="3">
        <v>43917</v>
      </c>
      <c r="B2532" s="9">
        <v>22.92502</v>
      </c>
      <c r="C2532" s="9">
        <v>20.800322999999999</v>
      </c>
      <c r="E2532" s="14">
        <f t="shared" si="277"/>
        <v>1.1021473080009383</v>
      </c>
      <c r="F2532" s="18">
        <f t="shared" ca="1" si="276"/>
        <v>0.70344805018951151</v>
      </c>
      <c r="G2532" s="15">
        <f t="shared" ca="1" si="281"/>
        <v>1.0752017373656095</v>
      </c>
      <c r="H2532" s="15">
        <f t="shared" ca="1" si="282"/>
        <v>3.8304990152534399E-2</v>
      </c>
      <c r="J2532" s="17">
        <f t="shared" ca="1" si="278"/>
        <v>1</v>
      </c>
      <c r="K2532" s="24">
        <f t="shared" ca="1" si="279"/>
        <v>0</v>
      </c>
      <c r="L2532" s="17">
        <f t="shared" ca="1" si="280"/>
        <v>1</v>
      </c>
      <c r="N2532" s="24" t="str">
        <f ca="1">IF(AND(L2532=1,L2531&lt;&gt;1),MAX($N$8:N2531)+1,"")</f>
        <v/>
      </c>
      <c r="O2532" s="24" t="str">
        <f ca="1">IF(AND(L2532&lt;&gt;1,L2531=1),MAX($O$8:O2531)+1,"")</f>
        <v/>
      </c>
      <c r="P2532" s="17" t="str">
        <f ca="1">IF(AND(L2532=-1,L2531&lt;&gt;-1),MAX($P$8:P2531)+1,"")</f>
        <v/>
      </c>
      <c r="Q2532" s="24" t="str">
        <f ca="1">IF(AND(L2532&lt;&gt;-1,L2531=-1),MAX($Q$8:Q2531)+1,"")</f>
        <v/>
      </c>
    </row>
    <row r="2533" spans="1:17" x14ac:dyDescent="0.3">
      <c r="A2533" s="3">
        <v>43920</v>
      </c>
      <c r="B2533" s="9">
        <v>24.06279</v>
      </c>
      <c r="C2533" s="9">
        <v>21.448460000000001</v>
      </c>
      <c r="E2533" s="14">
        <f t="shared" si="277"/>
        <v>1.1218889374808261</v>
      </c>
      <c r="F2533" s="18">
        <f t="shared" ca="1" si="276"/>
        <v>1.1111798527275423</v>
      </c>
      <c r="G2533" s="15">
        <f t="shared" ca="1" si="281"/>
        <v>1.0790269539855126</v>
      </c>
      <c r="H2533" s="15">
        <f t="shared" ca="1" si="282"/>
        <v>3.857339870778153E-2</v>
      </c>
      <c r="J2533" s="17">
        <f t="shared" ca="1" si="278"/>
        <v>1</v>
      </c>
      <c r="K2533" s="24">
        <f t="shared" ca="1" si="279"/>
        <v>0</v>
      </c>
      <c r="L2533" s="17">
        <f t="shared" ca="1" si="280"/>
        <v>1</v>
      </c>
      <c r="N2533" s="24" t="str">
        <f ca="1">IF(AND(L2533=1,L2532&lt;&gt;1),MAX($N$8:N2532)+1,"")</f>
        <v/>
      </c>
      <c r="O2533" s="24" t="str">
        <f ca="1">IF(AND(L2533&lt;&gt;1,L2532=1),MAX($O$8:O2532)+1,"")</f>
        <v/>
      </c>
      <c r="P2533" s="17" t="str">
        <f ca="1">IF(AND(L2533=-1,L2532&lt;&gt;-1),MAX($P$8:P2532)+1,"")</f>
        <v/>
      </c>
      <c r="Q2533" s="24" t="str">
        <f ca="1">IF(AND(L2533&lt;&gt;-1,L2532=-1),MAX($Q$8:Q2532)+1,"")</f>
        <v/>
      </c>
    </row>
    <row r="2534" spans="1:17" x14ac:dyDescent="0.3">
      <c r="A2534" s="3">
        <v>43921</v>
      </c>
      <c r="B2534" s="9">
        <v>23.044785999999998</v>
      </c>
      <c r="C2534" s="9">
        <v>20.710581000000001</v>
      </c>
      <c r="E2534" s="14">
        <f t="shared" si="277"/>
        <v>1.1127059158794239</v>
      </c>
      <c r="F2534" s="18">
        <f t="shared" ca="1" si="276"/>
        <v>0.79752913619578381</v>
      </c>
      <c r="G2534" s="15">
        <f t="shared" ca="1" si="281"/>
        <v>1.0819139729406435</v>
      </c>
      <c r="H2534" s="15">
        <f t="shared" ca="1" si="282"/>
        <v>3.8609176193434208E-2</v>
      </c>
      <c r="J2534" s="17">
        <f t="shared" ca="1" si="278"/>
        <v>1</v>
      </c>
      <c r="K2534" s="24">
        <f t="shared" ca="1" si="279"/>
        <v>0</v>
      </c>
      <c r="L2534" s="17">
        <f t="shared" ca="1" si="280"/>
        <v>1</v>
      </c>
      <c r="N2534" s="24" t="str">
        <f ca="1">IF(AND(L2534=1,L2533&lt;&gt;1),MAX($N$8:N2533)+1,"")</f>
        <v/>
      </c>
      <c r="O2534" s="24" t="str">
        <f ca="1">IF(AND(L2534&lt;&gt;1,L2533=1),MAX($O$8:O2533)+1,"")</f>
        <v/>
      </c>
      <c r="P2534" s="17" t="str">
        <f ca="1">IF(AND(L2534=-1,L2533&lt;&gt;-1),MAX($P$8:P2533)+1,"")</f>
        <v/>
      </c>
      <c r="Q2534" s="24" t="str">
        <f ca="1">IF(AND(L2534&lt;&gt;-1,L2533=-1),MAX($Q$8:Q2533)+1,"")</f>
        <v/>
      </c>
    </row>
    <row r="2535" spans="1:17" x14ac:dyDescent="0.3">
      <c r="A2535" s="3">
        <v>43922</v>
      </c>
      <c r="B2535" s="9">
        <v>21.371979</v>
      </c>
      <c r="C2535" s="9">
        <v>19.803183000000001</v>
      </c>
      <c r="E2535" s="14">
        <f t="shared" si="277"/>
        <v>1.0792193860956594</v>
      </c>
      <c r="F2535" s="18">
        <f t="shared" ca="1" si="276"/>
        <v>-0.13079864674747047</v>
      </c>
      <c r="G2535" s="15">
        <f t="shared" ca="1" si="281"/>
        <v>1.0840653342938902</v>
      </c>
      <c r="H2535" s="15">
        <f t="shared" ca="1" si="282"/>
        <v>3.7048916932502791E-2</v>
      </c>
      <c r="J2535" s="17">
        <f t="shared" ca="1" si="278"/>
        <v>0</v>
      </c>
      <c r="K2535" s="24">
        <f t="shared" ca="1" si="279"/>
        <v>0</v>
      </c>
      <c r="L2535" s="17">
        <f t="shared" ca="1" si="280"/>
        <v>0</v>
      </c>
      <c r="N2535" s="24" t="str">
        <f ca="1">IF(AND(L2535=1,L2534&lt;&gt;1),MAX($N$8:N2534)+1,"")</f>
        <v/>
      </c>
      <c r="O2535" s="24">
        <f ca="1">IF(AND(L2535&lt;&gt;1,L2534=1),MAX($O$8:O2534)+1,"")</f>
        <v>83</v>
      </c>
      <c r="P2535" s="17" t="str">
        <f ca="1">IF(AND(L2535=-1,L2534&lt;&gt;-1),MAX($P$8:P2534)+1,"")</f>
        <v/>
      </c>
      <c r="Q2535" s="24" t="str">
        <f ca="1">IF(AND(L2535&lt;&gt;-1,L2534=-1),MAX($Q$8:Q2534)+1,"")</f>
        <v/>
      </c>
    </row>
    <row r="2536" spans="1:17" x14ac:dyDescent="0.3">
      <c r="A2536" s="3">
        <v>43923</v>
      </c>
      <c r="B2536" s="9">
        <v>21.471848000000001</v>
      </c>
      <c r="C2536" s="9">
        <v>19.910216999999999</v>
      </c>
      <c r="E2536" s="14">
        <f t="shared" si="277"/>
        <v>1.0784336504217911</v>
      </c>
      <c r="F2536" s="18">
        <f t="shared" ca="1" si="276"/>
        <v>-0.20583065733500608</v>
      </c>
      <c r="G2536" s="15">
        <f t="shared" ca="1" si="281"/>
        <v>1.0858069822393903</v>
      </c>
      <c r="H2536" s="15">
        <f t="shared" ca="1" si="282"/>
        <v>3.5822320703171803E-2</v>
      </c>
      <c r="J2536" s="17">
        <f t="shared" ca="1" si="278"/>
        <v>0</v>
      </c>
      <c r="K2536" s="24">
        <f t="shared" ca="1" si="279"/>
        <v>0</v>
      </c>
      <c r="L2536" s="17">
        <f t="shared" ca="1" si="280"/>
        <v>0</v>
      </c>
      <c r="N2536" s="24" t="str">
        <f ca="1">IF(AND(L2536=1,L2535&lt;&gt;1),MAX($N$8:N2535)+1,"")</f>
        <v/>
      </c>
      <c r="O2536" s="24" t="str">
        <f ca="1">IF(AND(L2536&lt;&gt;1,L2535=1),MAX($O$8:O2535)+1,"")</f>
        <v/>
      </c>
      <c r="P2536" s="17" t="str">
        <f ca="1">IF(AND(L2536=-1,L2535&lt;&gt;-1),MAX($P$8:P2535)+1,"")</f>
        <v/>
      </c>
      <c r="Q2536" s="24" t="str">
        <f ca="1">IF(AND(L2536&lt;&gt;-1,L2535=-1),MAX($Q$8:Q2535)+1,"")</f>
        <v/>
      </c>
    </row>
    <row r="2537" spans="1:17" x14ac:dyDescent="0.3">
      <c r="A2537" s="3">
        <v>43924</v>
      </c>
      <c r="B2537" s="9">
        <v>20.632947999999999</v>
      </c>
      <c r="C2537" s="9">
        <v>19.171693999999999</v>
      </c>
      <c r="E2537" s="14">
        <f t="shared" si="277"/>
        <v>1.0762193471270718</v>
      </c>
      <c r="F2537" s="18">
        <f t="shared" ca="1" si="276"/>
        <v>-0.32823528439269906</v>
      </c>
      <c r="G2537" s="15">
        <f t="shared" ca="1" si="281"/>
        <v>1.0875121192097721</v>
      </c>
      <c r="H2537" s="15">
        <f t="shared" ca="1" si="282"/>
        <v>3.4404503780250756E-2</v>
      </c>
      <c r="J2537" s="17">
        <f t="shared" ca="1" si="278"/>
        <v>0</v>
      </c>
      <c r="K2537" s="24">
        <f t="shared" ca="1" si="279"/>
        <v>0</v>
      </c>
      <c r="L2537" s="17">
        <f t="shared" ca="1" si="280"/>
        <v>0</v>
      </c>
      <c r="N2537" s="24" t="str">
        <f ca="1">IF(AND(L2537=1,L2536&lt;&gt;1),MAX($N$8:N2536)+1,"")</f>
        <v/>
      </c>
      <c r="O2537" s="24" t="str">
        <f ca="1">IF(AND(L2537&lt;&gt;1,L2536=1),MAX($O$8:O2536)+1,"")</f>
        <v/>
      </c>
      <c r="P2537" s="17" t="str">
        <f ca="1">IF(AND(L2537=-1,L2536&lt;&gt;-1),MAX($P$8:P2536)+1,"")</f>
        <v/>
      </c>
      <c r="Q2537" s="24" t="str">
        <f ca="1">IF(AND(L2537&lt;&gt;-1,L2536=-1),MAX($Q$8:Q2536)+1,"")</f>
        <v/>
      </c>
    </row>
    <row r="2538" spans="1:17" x14ac:dyDescent="0.3">
      <c r="A2538" s="3">
        <v>43927</v>
      </c>
      <c r="B2538" s="9">
        <v>22.150959</v>
      </c>
      <c r="C2538" s="9">
        <v>20.988064000000001</v>
      </c>
      <c r="E2538" s="14">
        <f t="shared" si="277"/>
        <v>1.0554074449172635</v>
      </c>
      <c r="F2538" s="18">
        <f t="shared" ca="1" si="276"/>
        <v>-0.98610059316351772</v>
      </c>
      <c r="G2538" s="15">
        <f t="shared" ca="1" si="281"/>
        <v>1.0883365010870749</v>
      </c>
      <c r="H2538" s="15">
        <f t="shared" ca="1" si="282"/>
        <v>3.3393201868149647E-2</v>
      </c>
      <c r="J2538" s="17">
        <f t="shared" ca="1" si="278"/>
        <v>0</v>
      </c>
      <c r="K2538" s="24">
        <f t="shared" ca="1" si="279"/>
        <v>0</v>
      </c>
      <c r="L2538" s="17">
        <f t="shared" ca="1" si="280"/>
        <v>0</v>
      </c>
      <c r="N2538" s="24" t="str">
        <f ca="1">IF(AND(L2538=1,L2537&lt;&gt;1),MAX($N$8:N2537)+1,"")</f>
        <v/>
      </c>
      <c r="O2538" s="24" t="str">
        <f ca="1">IF(AND(L2538&lt;&gt;1,L2537=1),MAX($O$8:O2537)+1,"")</f>
        <v/>
      </c>
      <c r="P2538" s="17" t="str">
        <f ca="1">IF(AND(L2538=-1,L2537&lt;&gt;-1),MAX($P$8:P2537)+1,"")</f>
        <v/>
      </c>
      <c r="Q2538" s="24" t="str">
        <f ca="1">IF(AND(L2538&lt;&gt;-1,L2537=-1),MAX($Q$8:Q2537)+1,"")</f>
        <v/>
      </c>
    </row>
    <row r="2539" spans="1:17" x14ac:dyDescent="0.3">
      <c r="A2539" s="3">
        <v>43928</v>
      </c>
      <c r="B2539" s="9">
        <v>22.969885000000001</v>
      </c>
      <c r="C2539" s="9">
        <v>21.776489000000002</v>
      </c>
      <c r="E2539" s="14">
        <f t="shared" si="277"/>
        <v>1.0548020390247481</v>
      </c>
      <c r="F2539" s="18">
        <f t="shared" ca="1" si="276"/>
        <v>-1.0337110082071954</v>
      </c>
      <c r="G2539" s="15">
        <f t="shared" ca="1" si="281"/>
        <v>1.0887826980644297</v>
      </c>
      <c r="H2539" s="15">
        <f t="shared" ca="1" si="282"/>
        <v>3.2872494120591379E-2</v>
      </c>
      <c r="J2539" s="17">
        <f t="shared" ca="1" si="278"/>
        <v>0</v>
      </c>
      <c r="K2539" s="24">
        <f t="shared" ca="1" si="279"/>
        <v>-1</v>
      </c>
      <c r="L2539" s="17">
        <f t="shared" ca="1" si="280"/>
        <v>-1</v>
      </c>
      <c r="N2539" s="24" t="str">
        <f ca="1">IF(AND(L2539=1,L2538&lt;&gt;1),MAX($N$8:N2538)+1,"")</f>
        <v/>
      </c>
      <c r="O2539" s="24" t="str">
        <f ca="1">IF(AND(L2539&lt;&gt;1,L2538=1),MAX($O$8:O2538)+1,"")</f>
        <v/>
      </c>
      <c r="P2539" s="17">
        <f ca="1">IF(AND(L2539=-1,L2538&lt;&gt;-1),MAX($P$8:P2538)+1,"")</f>
        <v>92</v>
      </c>
      <c r="Q2539" s="24" t="str">
        <f ca="1">IF(AND(L2539&lt;&gt;-1,L2538=-1),MAX($Q$8:Q2538)+1,"")</f>
        <v/>
      </c>
    </row>
    <row r="2540" spans="1:17" x14ac:dyDescent="0.3">
      <c r="A2540" s="3">
        <v>43929</v>
      </c>
      <c r="B2540" s="9">
        <v>24.148337999999999</v>
      </c>
      <c r="C2540" s="9">
        <v>20.322991999999999</v>
      </c>
      <c r="E2540" s="14">
        <f t="shared" si="277"/>
        <v>1.1882275011474688</v>
      </c>
      <c r="F2540" s="18">
        <f t="shared" ca="1" si="276"/>
        <v>2.4751055437735112</v>
      </c>
      <c r="G2540" s="15">
        <f t="shared" ca="1" si="281"/>
        <v>1.0951553586003653</v>
      </c>
      <c r="H2540" s="15">
        <f t="shared" ca="1" si="282"/>
        <v>3.7603302526326619E-2</v>
      </c>
      <c r="J2540" s="17">
        <f t="shared" ca="1" si="278"/>
        <v>1</v>
      </c>
      <c r="K2540" s="24">
        <f t="shared" ca="1" si="279"/>
        <v>0</v>
      </c>
      <c r="L2540" s="17">
        <f t="shared" ca="1" si="280"/>
        <v>1</v>
      </c>
      <c r="N2540" s="24">
        <f ca="1">IF(AND(L2540=1,L2539&lt;&gt;1),MAX($N$8:N2539)+1,"")</f>
        <v>84</v>
      </c>
      <c r="O2540" s="24" t="str">
        <f ca="1">IF(AND(L2540&lt;&gt;1,L2539=1),MAX($O$8:O2539)+1,"")</f>
        <v/>
      </c>
      <c r="P2540" s="17" t="str">
        <f ca="1">IF(AND(L2540=-1,L2539&lt;&gt;-1),MAX($P$8:P2539)+1,"")</f>
        <v/>
      </c>
      <c r="Q2540" s="24">
        <f ca="1">IF(AND(L2540&lt;&gt;-1,L2539=-1),MAX($Q$8:Q2539)+1,"")</f>
        <v>92</v>
      </c>
    </row>
    <row r="2541" spans="1:17" x14ac:dyDescent="0.3">
      <c r="A2541" s="3">
        <v>43930</v>
      </c>
      <c r="B2541" s="9">
        <v>23.469228999999999</v>
      </c>
      <c r="C2541" s="9">
        <v>20.31391</v>
      </c>
      <c r="E2541" s="14">
        <f t="shared" si="277"/>
        <v>1.1553279993856427</v>
      </c>
      <c r="F2541" s="18">
        <f t="shared" ca="1" si="276"/>
        <v>1.4493665376028471</v>
      </c>
      <c r="G2541" s="15">
        <f t="shared" ca="1" si="281"/>
        <v>1.0999993460082933</v>
      </c>
      <c r="H2541" s="15">
        <f t="shared" ca="1" si="282"/>
        <v>3.8174369244690289E-2</v>
      </c>
      <c r="J2541" s="17">
        <f t="shared" ca="1" si="278"/>
        <v>1</v>
      </c>
      <c r="K2541" s="24">
        <f t="shared" ca="1" si="279"/>
        <v>0</v>
      </c>
      <c r="L2541" s="17">
        <f t="shared" ca="1" si="280"/>
        <v>1</v>
      </c>
      <c r="N2541" s="24" t="str">
        <f ca="1">IF(AND(L2541=1,L2540&lt;&gt;1),MAX($N$8:N2540)+1,"")</f>
        <v/>
      </c>
      <c r="O2541" s="24" t="str">
        <f ca="1">IF(AND(L2541&lt;&gt;1,L2540=1),MAX($O$8:O2540)+1,"")</f>
        <v/>
      </c>
      <c r="P2541" s="17" t="str">
        <f ca="1">IF(AND(L2541=-1,L2540&lt;&gt;-1),MAX($P$8:P2540)+1,"")</f>
        <v/>
      </c>
      <c r="Q2541" s="24" t="str">
        <f ca="1">IF(AND(L2541&lt;&gt;-1,L2540=-1),MAX($Q$8:Q2540)+1,"")</f>
        <v/>
      </c>
    </row>
    <row r="2542" spans="1:17" x14ac:dyDescent="0.3">
      <c r="A2542" s="3">
        <v>43934</v>
      </c>
      <c r="B2542" s="9">
        <v>23.968575000000001</v>
      </c>
      <c r="C2542" s="9">
        <v>20.840160000000001</v>
      </c>
      <c r="E2542" s="14">
        <f t="shared" si="277"/>
        <v>1.1501147304051409</v>
      </c>
      <c r="F2542" s="18">
        <f t="shared" ca="1" si="276"/>
        <v>1.2036277999258325</v>
      </c>
      <c r="G2542" s="15">
        <f t="shared" ca="1" si="281"/>
        <v>1.1046333405519027</v>
      </c>
      <c r="H2542" s="15">
        <f t="shared" ca="1" si="282"/>
        <v>3.778692205018927E-2</v>
      </c>
      <c r="J2542" s="17">
        <f t="shared" ca="1" si="278"/>
        <v>1</v>
      </c>
      <c r="K2542" s="24">
        <f t="shared" ca="1" si="279"/>
        <v>0</v>
      </c>
      <c r="L2542" s="17">
        <f t="shared" ca="1" si="280"/>
        <v>1</v>
      </c>
      <c r="N2542" s="24" t="str">
        <f ca="1">IF(AND(L2542=1,L2541&lt;&gt;1),MAX($N$8:N2541)+1,"")</f>
        <v/>
      </c>
      <c r="O2542" s="24" t="str">
        <f ca="1">IF(AND(L2542&lt;&gt;1,L2541=1),MAX($O$8:O2541)+1,"")</f>
        <v/>
      </c>
      <c r="P2542" s="17" t="str">
        <f ca="1">IF(AND(L2542=-1,L2541&lt;&gt;-1),MAX($P$8:P2541)+1,"")</f>
        <v/>
      </c>
      <c r="Q2542" s="24" t="str">
        <f ca="1">IF(AND(L2542&lt;&gt;-1,L2541=-1),MAX($Q$8:Q2541)+1,"")</f>
        <v/>
      </c>
    </row>
    <row r="2543" spans="1:17" x14ac:dyDescent="0.3">
      <c r="A2543" s="3">
        <v>43935</v>
      </c>
      <c r="B2543" s="9">
        <v>24.268180999999998</v>
      </c>
      <c r="C2543" s="9">
        <v>21.067905</v>
      </c>
      <c r="E2543" s="14">
        <f t="shared" si="277"/>
        <v>1.1519029063402364</v>
      </c>
      <c r="F2543" s="18">
        <f t="shared" ca="1" si="276"/>
        <v>1.1443002481452362</v>
      </c>
      <c r="G2543" s="15">
        <f t="shared" ca="1" si="281"/>
        <v>1.1073761827183419</v>
      </c>
      <c r="H2543" s="15">
        <f t="shared" ca="1" si="282"/>
        <v>3.8911748637708132E-2</v>
      </c>
      <c r="J2543" s="17">
        <f t="shared" ca="1" si="278"/>
        <v>1</v>
      </c>
      <c r="K2543" s="24">
        <f t="shared" ca="1" si="279"/>
        <v>0</v>
      </c>
      <c r="L2543" s="17">
        <f t="shared" ca="1" si="280"/>
        <v>1</v>
      </c>
      <c r="N2543" s="24" t="str">
        <f ca="1">IF(AND(L2543=1,L2542&lt;&gt;1),MAX($N$8:N2542)+1,"")</f>
        <v/>
      </c>
      <c r="O2543" s="24" t="str">
        <f ca="1">IF(AND(L2543&lt;&gt;1,L2542=1),MAX($O$8:O2542)+1,"")</f>
        <v/>
      </c>
      <c r="P2543" s="17" t="str">
        <f ca="1">IF(AND(L2543=-1,L2542&lt;&gt;-1),MAX($P$8:P2542)+1,"")</f>
        <v/>
      </c>
      <c r="Q2543" s="24" t="str">
        <f ca="1">IF(AND(L2543&lt;&gt;-1,L2542=-1),MAX($Q$8:Q2542)+1,"")</f>
        <v/>
      </c>
    </row>
    <row r="2544" spans="1:17" x14ac:dyDescent="0.3">
      <c r="A2544" s="3">
        <v>43936</v>
      </c>
      <c r="B2544" s="9">
        <v>23.36936</v>
      </c>
      <c r="C2544" s="9">
        <v>20.459119999999999</v>
      </c>
      <c r="E2544" s="14">
        <f t="shared" si="277"/>
        <v>1.1422465873410002</v>
      </c>
      <c r="F2544" s="18">
        <f t="shared" ca="1" si="276"/>
        <v>0.82739083070578778</v>
      </c>
      <c r="G2544" s="15">
        <f t="shared" ca="1" si="281"/>
        <v>1.1121457490843658</v>
      </c>
      <c r="H2544" s="15">
        <f t="shared" ca="1" si="282"/>
        <v>3.6380434903970929E-2</v>
      </c>
      <c r="J2544" s="17">
        <f t="shared" ca="1" si="278"/>
        <v>1</v>
      </c>
      <c r="K2544" s="24">
        <f t="shared" ca="1" si="279"/>
        <v>0</v>
      </c>
      <c r="L2544" s="17">
        <f t="shared" ca="1" si="280"/>
        <v>1</v>
      </c>
      <c r="N2544" s="24" t="str">
        <f ca="1">IF(AND(L2544=1,L2543&lt;&gt;1),MAX($N$8:N2543)+1,"")</f>
        <v/>
      </c>
      <c r="O2544" s="24" t="str">
        <f ca="1">IF(AND(L2544&lt;&gt;1,L2543=1),MAX($O$8:O2543)+1,"")</f>
        <v/>
      </c>
      <c r="P2544" s="17" t="str">
        <f ca="1">IF(AND(L2544=-1,L2543&lt;&gt;-1),MAX($P$8:P2543)+1,"")</f>
        <v/>
      </c>
      <c r="Q2544" s="24" t="str">
        <f ca="1">IF(AND(L2544&lt;&gt;-1,L2543=-1),MAX($Q$8:Q2543)+1,"")</f>
        <v/>
      </c>
    </row>
    <row r="2545" spans="1:17" x14ac:dyDescent="0.3">
      <c r="A2545" s="3">
        <v>43937</v>
      </c>
      <c r="B2545" s="9">
        <v>22.780131999999998</v>
      </c>
      <c r="C2545" s="9">
        <v>19.930175999999999</v>
      </c>
      <c r="E2545" s="14">
        <f t="shared" si="277"/>
        <v>1.1429970312354492</v>
      </c>
      <c r="F2545" s="18">
        <f t="shared" ca="1" si="276"/>
        <v>0.78361828945290635</v>
      </c>
      <c r="G2545" s="15">
        <f t="shared" ca="1" si="281"/>
        <v>1.1141556216479533</v>
      </c>
      <c r="H2545" s="15">
        <f t="shared" ca="1" si="282"/>
        <v>3.6805431899288407E-2</v>
      </c>
      <c r="J2545" s="17">
        <f t="shared" ca="1" si="278"/>
        <v>1</v>
      </c>
      <c r="K2545" s="24">
        <f t="shared" ca="1" si="279"/>
        <v>0</v>
      </c>
      <c r="L2545" s="17">
        <f t="shared" ca="1" si="280"/>
        <v>1</v>
      </c>
      <c r="N2545" s="24" t="str">
        <f ca="1">IF(AND(L2545=1,L2544&lt;&gt;1),MAX($N$8:N2544)+1,"")</f>
        <v/>
      </c>
      <c r="O2545" s="24" t="str">
        <f ca="1">IF(AND(L2545&lt;&gt;1,L2544=1),MAX($O$8:O2544)+1,"")</f>
        <v/>
      </c>
      <c r="P2545" s="17" t="str">
        <f ca="1">IF(AND(L2545=-1,L2544&lt;&gt;-1),MAX($P$8:P2544)+1,"")</f>
        <v/>
      </c>
      <c r="Q2545" s="24" t="str">
        <f ca="1">IF(AND(L2545&lt;&gt;-1,L2544=-1),MAX($Q$8:Q2544)+1,"")</f>
        <v/>
      </c>
    </row>
    <row r="2546" spans="1:17" x14ac:dyDescent="0.3">
      <c r="A2546" s="3">
        <v>43938</v>
      </c>
      <c r="B2546" s="9">
        <v>23.189596000000002</v>
      </c>
      <c r="C2546" s="9">
        <v>20.319400999999999</v>
      </c>
      <c r="E2546" s="14">
        <f t="shared" si="277"/>
        <v>1.1412539178689374</v>
      </c>
      <c r="F2546" s="18">
        <f t="shared" ca="1" si="276"/>
        <v>0.66628519981089018</v>
      </c>
      <c r="G2546" s="15">
        <f t="shared" ca="1" si="281"/>
        <v>1.1170772698556206</v>
      </c>
      <c r="H2546" s="15">
        <f t="shared" ca="1" si="282"/>
        <v>3.6285734727679299E-2</v>
      </c>
      <c r="J2546" s="17">
        <f t="shared" ca="1" si="278"/>
        <v>1</v>
      </c>
      <c r="K2546" s="24">
        <f t="shared" ca="1" si="279"/>
        <v>0</v>
      </c>
      <c r="L2546" s="17">
        <f t="shared" ca="1" si="280"/>
        <v>1</v>
      </c>
      <c r="N2546" s="24" t="str">
        <f ca="1">IF(AND(L2546=1,L2545&lt;&gt;1),MAX($N$8:N2545)+1,"")</f>
        <v/>
      </c>
      <c r="O2546" s="24" t="str">
        <f ca="1">IF(AND(L2546&lt;&gt;1,L2545=1),MAX($O$8:O2545)+1,"")</f>
        <v/>
      </c>
      <c r="P2546" s="17" t="str">
        <f ca="1">IF(AND(L2546=-1,L2545&lt;&gt;-1),MAX($P$8:P2545)+1,"")</f>
        <v/>
      </c>
      <c r="Q2546" s="24" t="str">
        <f ca="1">IF(AND(L2546&lt;&gt;-1,L2545=-1),MAX($Q$8:Q2545)+1,"")</f>
        <v/>
      </c>
    </row>
    <row r="2547" spans="1:17" x14ac:dyDescent="0.3">
      <c r="A2547" s="3">
        <v>43941</v>
      </c>
      <c r="B2547" s="9">
        <v>22.610354999999998</v>
      </c>
      <c r="C2547" s="9">
        <v>19.660717000000002</v>
      </c>
      <c r="E2547" s="14">
        <f t="shared" si="277"/>
        <v>1.1500269801960934</v>
      </c>
      <c r="F2547" s="18">
        <f t="shared" ca="1" si="276"/>
        <v>0.87688254200013538</v>
      </c>
      <c r="G2547" s="15">
        <f t="shared" ca="1" si="281"/>
        <v>1.1177865066595951</v>
      </c>
      <c r="H2547" s="15">
        <f t="shared" ca="1" si="282"/>
        <v>3.6767151804572365E-2</v>
      </c>
      <c r="J2547" s="17">
        <f t="shared" ca="1" si="278"/>
        <v>1</v>
      </c>
      <c r="K2547" s="24">
        <f t="shared" ca="1" si="279"/>
        <v>0</v>
      </c>
      <c r="L2547" s="17">
        <f t="shared" ca="1" si="280"/>
        <v>1</v>
      </c>
      <c r="N2547" s="24" t="str">
        <f ca="1">IF(AND(L2547=1,L2546&lt;&gt;1),MAX($N$8:N2546)+1,"")</f>
        <v/>
      </c>
      <c r="O2547" s="24" t="str">
        <f ca="1">IF(AND(L2547&lt;&gt;1,L2546=1),MAX($O$8:O2546)+1,"")</f>
        <v/>
      </c>
      <c r="P2547" s="17" t="str">
        <f ca="1">IF(AND(L2547=-1,L2546&lt;&gt;-1),MAX($P$8:P2546)+1,"")</f>
        <v/>
      </c>
      <c r="Q2547" s="24" t="str">
        <f ca="1">IF(AND(L2547&lt;&gt;-1,L2546=-1),MAX($Q$8:Q2546)+1,"")</f>
        <v/>
      </c>
    </row>
    <row r="2548" spans="1:17" x14ac:dyDescent="0.3">
      <c r="A2548" s="3">
        <v>43943</v>
      </c>
      <c r="B2548" s="9">
        <v>22.340710000000001</v>
      </c>
      <c r="C2548" s="9">
        <v>19.590855000000001</v>
      </c>
      <c r="E2548" s="14">
        <f t="shared" si="277"/>
        <v>1.1403642158547955</v>
      </c>
      <c r="F2548" s="18">
        <f t="shared" ca="1" si="276"/>
        <v>0.56499032390341863</v>
      </c>
      <c r="G2548" s="15">
        <f t="shared" ca="1" si="281"/>
        <v>1.1195211668518523</v>
      </c>
      <c r="H2548" s="15">
        <f t="shared" ca="1" si="282"/>
        <v>3.6890984006491032E-2</v>
      </c>
      <c r="J2548" s="17">
        <f t="shared" ca="1" si="278"/>
        <v>1</v>
      </c>
      <c r="K2548" s="24">
        <f t="shared" ca="1" si="279"/>
        <v>0</v>
      </c>
      <c r="L2548" s="17">
        <f t="shared" ca="1" si="280"/>
        <v>1</v>
      </c>
      <c r="N2548" s="24" t="str">
        <f ca="1">IF(AND(L2548=1,L2547&lt;&gt;1),MAX($N$8:N2547)+1,"")</f>
        <v/>
      </c>
      <c r="O2548" s="24" t="str">
        <f ca="1">IF(AND(L2548&lt;&gt;1,L2547=1),MAX($O$8:O2547)+1,"")</f>
        <v/>
      </c>
      <c r="P2548" s="17" t="str">
        <f ca="1">IF(AND(L2548=-1,L2547&lt;&gt;-1),MAX($P$8:P2547)+1,"")</f>
        <v/>
      </c>
      <c r="Q2548" s="24" t="str">
        <f ca="1">IF(AND(L2548&lt;&gt;-1,L2547=-1),MAX($Q$8:Q2547)+1,"")</f>
        <v/>
      </c>
    </row>
    <row r="2549" spans="1:17" x14ac:dyDescent="0.3">
      <c r="A2549" s="3">
        <v>43944</v>
      </c>
      <c r="B2549" s="9">
        <v>22.021125999999999</v>
      </c>
      <c r="C2549" s="9">
        <v>19.311415</v>
      </c>
      <c r="E2549" s="14">
        <f t="shared" si="277"/>
        <v>1.1403165433501377</v>
      </c>
      <c r="F2549" s="18">
        <f t="shared" ca="1" si="276"/>
        <v>0.57521484353726304</v>
      </c>
      <c r="G2549" s="15">
        <f t="shared" ca="1" si="281"/>
        <v>1.1192134013445372</v>
      </c>
      <c r="H2549" s="15">
        <f t="shared" ca="1" si="282"/>
        <v>3.6687408613844993E-2</v>
      </c>
      <c r="J2549" s="17">
        <f t="shared" ca="1" si="278"/>
        <v>1</v>
      </c>
      <c r="K2549" s="24">
        <f t="shared" ca="1" si="279"/>
        <v>0</v>
      </c>
      <c r="L2549" s="17">
        <f t="shared" ca="1" si="280"/>
        <v>1</v>
      </c>
      <c r="N2549" s="24" t="str">
        <f ca="1">IF(AND(L2549=1,L2548&lt;&gt;1),MAX($N$8:N2548)+1,"")</f>
        <v/>
      </c>
      <c r="O2549" s="24" t="str">
        <f ca="1">IF(AND(L2549&lt;&gt;1,L2548=1),MAX($O$8:O2548)+1,"")</f>
        <v/>
      </c>
      <c r="P2549" s="17" t="str">
        <f ca="1">IF(AND(L2549=-1,L2548&lt;&gt;-1),MAX($P$8:P2548)+1,"")</f>
        <v/>
      </c>
      <c r="Q2549" s="24" t="str">
        <f ca="1">IF(AND(L2549&lt;&gt;-1,L2548=-1),MAX($Q$8:Q2548)+1,"")</f>
        <v/>
      </c>
    </row>
    <row r="2550" spans="1:17" x14ac:dyDescent="0.3">
      <c r="A2550" s="3">
        <v>43945</v>
      </c>
      <c r="B2550" s="9">
        <v>20.852658999999999</v>
      </c>
      <c r="C2550" s="9">
        <v>17.804424000000001</v>
      </c>
      <c r="E2550" s="14">
        <f t="shared" si="277"/>
        <v>1.1712066057290029</v>
      </c>
      <c r="F2550" s="18">
        <f t="shared" ca="1" si="276"/>
        <v>1.3866878230128243</v>
      </c>
      <c r="G2550" s="15">
        <f t="shared" ca="1" si="281"/>
        <v>1.1196163553870917</v>
      </c>
      <c r="H2550" s="15">
        <f t="shared" ca="1" si="282"/>
        <v>3.7203939838328058E-2</v>
      </c>
      <c r="J2550" s="17">
        <f t="shared" ca="1" si="278"/>
        <v>1</v>
      </c>
      <c r="K2550" s="24">
        <f t="shared" ca="1" si="279"/>
        <v>0</v>
      </c>
      <c r="L2550" s="17">
        <f t="shared" ca="1" si="280"/>
        <v>1</v>
      </c>
      <c r="N2550" s="24" t="str">
        <f ca="1">IF(AND(L2550=1,L2549&lt;&gt;1),MAX($N$8:N2549)+1,"")</f>
        <v/>
      </c>
      <c r="O2550" s="24" t="str">
        <f ca="1">IF(AND(L2550&lt;&gt;1,L2549=1),MAX($O$8:O2549)+1,"")</f>
        <v/>
      </c>
      <c r="P2550" s="17" t="str">
        <f ca="1">IF(AND(L2550=-1,L2549&lt;&gt;-1),MAX($P$8:P2549)+1,"")</f>
        <v/>
      </c>
      <c r="Q2550" s="24" t="str">
        <f ca="1">IF(AND(L2550&lt;&gt;-1,L2549=-1),MAX($Q$8:Q2549)+1,"")</f>
        <v/>
      </c>
    </row>
    <row r="2551" spans="1:17" x14ac:dyDescent="0.3">
      <c r="A2551" s="3">
        <v>43948</v>
      </c>
      <c r="B2551" s="9">
        <v>21.541755999999999</v>
      </c>
      <c r="C2551" s="9">
        <v>18.323388999999999</v>
      </c>
      <c r="E2551" s="14">
        <f t="shared" si="277"/>
        <v>1.1756425626285618</v>
      </c>
      <c r="F2551" s="18">
        <f t="shared" ca="1" si="276"/>
        <v>1.361970327803943</v>
      </c>
      <c r="G2551" s="15">
        <f t="shared" ca="1" si="281"/>
        <v>1.1227028017245084</v>
      </c>
      <c r="H2551" s="15">
        <f t="shared" ca="1" si="282"/>
        <v>3.8869981102608954E-2</v>
      </c>
      <c r="J2551" s="17">
        <f t="shared" ca="1" si="278"/>
        <v>1</v>
      </c>
      <c r="K2551" s="24">
        <f t="shared" ca="1" si="279"/>
        <v>0</v>
      </c>
      <c r="L2551" s="17">
        <f t="shared" ca="1" si="280"/>
        <v>1</v>
      </c>
      <c r="N2551" s="24" t="str">
        <f ca="1">IF(AND(L2551=1,L2550&lt;&gt;1),MAX($N$8:N2550)+1,"")</f>
        <v/>
      </c>
      <c r="O2551" s="24" t="str">
        <f ca="1">IF(AND(L2551&lt;&gt;1,L2550=1),MAX($O$8:O2550)+1,"")</f>
        <v/>
      </c>
      <c r="P2551" s="17" t="str">
        <f ca="1">IF(AND(L2551=-1,L2550&lt;&gt;-1),MAX($P$8:P2550)+1,"")</f>
        <v/>
      </c>
      <c r="Q2551" s="24" t="str">
        <f ca="1">IF(AND(L2551&lt;&gt;-1,L2550=-1),MAX($Q$8:Q2550)+1,"")</f>
        <v/>
      </c>
    </row>
    <row r="2552" spans="1:17" x14ac:dyDescent="0.3">
      <c r="A2552" s="3">
        <v>43949</v>
      </c>
      <c r="B2552" s="9">
        <v>23.319427000000001</v>
      </c>
      <c r="C2552" s="9">
        <v>19.930175999999999</v>
      </c>
      <c r="E2552" s="14">
        <f t="shared" si="277"/>
        <v>1.1700562503813314</v>
      </c>
      <c r="F2552" s="18">
        <f t="shared" ca="1" si="276"/>
        <v>1.1117011705195992</v>
      </c>
      <c r="G2552" s="15">
        <f t="shared" ca="1" si="281"/>
        <v>1.1267476599384976</v>
      </c>
      <c r="H2552" s="15">
        <f t="shared" ca="1" si="282"/>
        <v>3.8957043125709592E-2</v>
      </c>
      <c r="J2552" s="17">
        <f t="shared" ca="1" si="278"/>
        <v>1</v>
      </c>
      <c r="K2552" s="24">
        <f t="shared" ca="1" si="279"/>
        <v>0</v>
      </c>
      <c r="L2552" s="17">
        <f t="shared" ca="1" si="280"/>
        <v>1</v>
      </c>
      <c r="N2552" s="24" t="str">
        <f ca="1">IF(AND(L2552=1,L2551&lt;&gt;1),MAX($N$8:N2551)+1,"")</f>
        <v/>
      </c>
      <c r="O2552" s="24" t="str">
        <f ca="1">IF(AND(L2552&lt;&gt;1,L2551=1),MAX($O$8:O2551)+1,"")</f>
        <v/>
      </c>
      <c r="P2552" s="17" t="str">
        <f ca="1">IF(AND(L2552=-1,L2551&lt;&gt;-1),MAX($P$8:P2551)+1,"")</f>
        <v/>
      </c>
      <c r="Q2552" s="24" t="str">
        <f ca="1">IF(AND(L2552&lt;&gt;-1,L2551=-1),MAX($Q$8:Q2551)+1,"")</f>
        <v/>
      </c>
    </row>
    <row r="2553" spans="1:17" x14ac:dyDescent="0.3">
      <c r="A2553" s="3">
        <v>43950</v>
      </c>
      <c r="B2553" s="9">
        <v>23.629021000000002</v>
      </c>
      <c r="C2553" s="9">
        <v>20.598841</v>
      </c>
      <c r="E2553" s="14">
        <f t="shared" si="277"/>
        <v>1.1471043929122033</v>
      </c>
      <c r="F2553" s="18">
        <f t="shared" ca="1" si="276"/>
        <v>0.46225201751337042</v>
      </c>
      <c r="G2553" s="15">
        <f t="shared" ca="1" si="281"/>
        <v>1.1294369206238057</v>
      </c>
      <c r="H2553" s="15">
        <f t="shared" ca="1" si="282"/>
        <v>3.822043305173152E-2</v>
      </c>
      <c r="J2553" s="17">
        <f t="shared" ca="1" si="278"/>
        <v>1</v>
      </c>
      <c r="K2553" s="24">
        <f t="shared" ca="1" si="279"/>
        <v>0</v>
      </c>
      <c r="L2553" s="17">
        <f t="shared" ca="1" si="280"/>
        <v>1</v>
      </c>
      <c r="N2553" s="24" t="str">
        <f ca="1">IF(AND(L2553=1,L2552&lt;&gt;1),MAX($N$8:N2552)+1,"")</f>
        <v/>
      </c>
      <c r="O2553" s="24" t="str">
        <f ca="1">IF(AND(L2553&lt;&gt;1,L2552=1),MAX($O$8:O2552)+1,"")</f>
        <v/>
      </c>
      <c r="P2553" s="17" t="str">
        <f ca="1">IF(AND(L2553=-1,L2552&lt;&gt;-1),MAX($P$8:P2552)+1,"")</f>
        <v/>
      </c>
      <c r="Q2553" s="24" t="str">
        <f ca="1">IF(AND(L2553&lt;&gt;-1,L2552=-1),MAX($Q$8:Q2552)+1,"")</f>
        <v/>
      </c>
    </row>
    <row r="2554" spans="1:17" x14ac:dyDescent="0.3">
      <c r="A2554" s="3">
        <v>43951</v>
      </c>
      <c r="B2554" s="9">
        <v>22.740186999999999</v>
      </c>
      <c r="C2554" s="9">
        <v>19.111813000000001</v>
      </c>
      <c r="E2554" s="14">
        <f t="shared" si="277"/>
        <v>1.18984980650449</v>
      </c>
      <c r="F2554" s="18">
        <f t="shared" ca="1" si="276"/>
        <v>1.4209303951576462</v>
      </c>
      <c r="G2554" s="15">
        <f t="shared" ca="1" si="281"/>
        <v>1.1334233978285126</v>
      </c>
      <c r="H2554" s="15">
        <f t="shared" ca="1" si="282"/>
        <v>3.9710888632034015E-2</v>
      </c>
      <c r="J2554" s="17">
        <f t="shared" ca="1" si="278"/>
        <v>1</v>
      </c>
      <c r="K2554" s="24">
        <f t="shared" ca="1" si="279"/>
        <v>0</v>
      </c>
      <c r="L2554" s="17">
        <f t="shared" ca="1" si="280"/>
        <v>1</v>
      </c>
      <c r="N2554" s="24" t="str">
        <f ca="1">IF(AND(L2554=1,L2553&lt;&gt;1),MAX($N$8:N2553)+1,"")</f>
        <v/>
      </c>
      <c r="O2554" s="24" t="str">
        <f ca="1">IF(AND(L2554&lt;&gt;1,L2553=1),MAX($O$8:O2553)+1,"")</f>
        <v/>
      </c>
      <c r="P2554" s="17" t="str">
        <f ca="1">IF(AND(L2554=-1,L2553&lt;&gt;-1),MAX($P$8:P2553)+1,"")</f>
        <v/>
      </c>
      <c r="Q2554" s="24" t="str">
        <f ca="1">IF(AND(L2554&lt;&gt;-1,L2553=-1),MAX($Q$8:Q2553)+1,"")</f>
        <v/>
      </c>
    </row>
    <row r="2555" spans="1:17" x14ac:dyDescent="0.3">
      <c r="A2555" s="3">
        <v>43955</v>
      </c>
      <c r="B2555" s="9">
        <v>21.875748000000002</v>
      </c>
      <c r="C2555" s="9">
        <v>18.263506</v>
      </c>
      <c r="E2555" s="14">
        <f t="shared" si="277"/>
        <v>1.197784696979868</v>
      </c>
      <c r="F2555" s="18">
        <f t="shared" ca="1" si="276"/>
        <v>1.4571894076925165</v>
      </c>
      <c r="G2555" s="15">
        <f t="shared" ca="1" si="281"/>
        <v>1.1368732050784693</v>
      </c>
      <c r="H2555" s="15">
        <f t="shared" ca="1" si="282"/>
        <v>4.1800668862843997E-2</v>
      </c>
      <c r="J2555" s="17">
        <f t="shared" ca="1" si="278"/>
        <v>1</v>
      </c>
      <c r="K2555" s="24">
        <f t="shared" ca="1" si="279"/>
        <v>0</v>
      </c>
      <c r="L2555" s="17">
        <f t="shared" ca="1" si="280"/>
        <v>1</v>
      </c>
      <c r="N2555" s="24" t="str">
        <f ca="1">IF(AND(L2555=1,L2554&lt;&gt;1),MAX($N$8:N2554)+1,"")</f>
        <v/>
      </c>
      <c r="O2555" s="24" t="str">
        <f ca="1">IF(AND(L2555&lt;&gt;1,L2554=1),MAX($O$8:O2554)+1,"")</f>
        <v/>
      </c>
      <c r="P2555" s="17" t="str">
        <f ca="1">IF(AND(L2555=-1,L2554&lt;&gt;-1),MAX($P$8:P2554)+1,"")</f>
        <v/>
      </c>
      <c r="Q2555" s="24" t="str">
        <f ca="1">IF(AND(L2555&lt;&gt;-1,L2554=-1),MAX($Q$8:Q2554)+1,"")</f>
        <v/>
      </c>
    </row>
    <row r="2556" spans="1:17" x14ac:dyDescent="0.3">
      <c r="A2556" s="3">
        <v>43956</v>
      </c>
      <c r="B2556" s="9">
        <v>22.685220999999999</v>
      </c>
      <c r="C2556" s="9">
        <v>18.282463</v>
      </c>
      <c r="E2556" s="14">
        <f t="shared" si="277"/>
        <v>1.2408186468092399</v>
      </c>
      <c r="F2556" s="18">
        <f t="shared" ca="1" si="276"/>
        <v>2.1025303850640635</v>
      </c>
      <c r="G2556" s="15">
        <f t="shared" ca="1" si="281"/>
        <v>1.1426965110298242</v>
      </c>
      <c r="H2556" s="15">
        <f t="shared" ca="1" si="282"/>
        <v>4.6668593460743729E-2</v>
      </c>
      <c r="J2556" s="17">
        <f t="shared" ca="1" si="278"/>
        <v>1</v>
      </c>
      <c r="K2556" s="24">
        <f t="shared" ca="1" si="279"/>
        <v>0</v>
      </c>
      <c r="L2556" s="17">
        <f t="shared" ca="1" si="280"/>
        <v>1</v>
      </c>
      <c r="N2556" s="24" t="str">
        <f ca="1">IF(AND(L2556=1,L2555&lt;&gt;1),MAX($N$8:N2555)+1,"")</f>
        <v/>
      </c>
      <c r="O2556" s="24" t="str">
        <f ca="1">IF(AND(L2556&lt;&gt;1,L2555=1),MAX($O$8:O2555)+1,"")</f>
        <v/>
      </c>
      <c r="P2556" s="17" t="str">
        <f ca="1">IF(AND(L2556=-1,L2555&lt;&gt;-1),MAX($P$8:P2555)+1,"")</f>
        <v/>
      </c>
      <c r="Q2556" s="24" t="str">
        <f ca="1">IF(AND(L2556&lt;&gt;-1,L2555=-1),MAX($Q$8:Q2555)+1,"")</f>
        <v/>
      </c>
    </row>
    <row r="2557" spans="1:17" x14ac:dyDescent="0.3">
      <c r="A2557" s="3">
        <v>43957</v>
      </c>
      <c r="B2557" s="9">
        <v>22.225521000000001</v>
      </c>
      <c r="C2557" s="9">
        <v>17.902828</v>
      </c>
      <c r="E2557" s="14">
        <f t="shared" si="277"/>
        <v>1.2414530821610978</v>
      </c>
      <c r="F2557" s="18">
        <f t="shared" ca="1" si="276"/>
        <v>1.8716856509009439</v>
      </c>
      <c r="G2557" s="15">
        <f t="shared" ca="1" si="281"/>
        <v>1.1500707699418895</v>
      </c>
      <c r="H2557" s="15">
        <f t="shared" ca="1" si="282"/>
        <v>4.8823536246709522E-2</v>
      </c>
      <c r="J2557" s="17">
        <f t="shared" ca="1" si="278"/>
        <v>1</v>
      </c>
      <c r="K2557" s="24">
        <f t="shared" ca="1" si="279"/>
        <v>0</v>
      </c>
      <c r="L2557" s="17">
        <f t="shared" ca="1" si="280"/>
        <v>1</v>
      </c>
      <c r="N2557" s="24" t="str">
        <f ca="1">IF(AND(L2557=1,L2556&lt;&gt;1),MAX($N$8:N2556)+1,"")</f>
        <v/>
      </c>
      <c r="O2557" s="24" t="str">
        <f ca="1">IF(AND(L2557&lt;&gt;1,L2556=1),MAX($O$8:O2556)+1,"")</f>
        <v/>
      </c>
      <c r="P2557" s="17" t="str">
        <f ca="1">IF(AND(L2557=-1,L2556&lt;&gt;-1),MAX($P$8:P2556)+1,"")</f>
        <v/>
      </c>
      <c r="Q2557" s="24" t="str">
        <f ca="1">IF(AND(L2557&lt;&gt;-1,L2556=-1),MAX($Q$8:Q2556)+1,"")</f>
        <v/>
      </c>
    </row>
    <row r="2558" spans="1:17" x14ac:dyDescent="0.3">
      <c r="A2558" s="3">
        <v>43958</v>
      </c>
      <c r="B2558" s="9">
        <v>21.426043</v>
      </c>
      <c r="C2558" s="9">
        <v>17.133565999999998</v>
      </c>
      <c r="E2558" s="14">
        <f t="shared" si="277"/>
        <v>1.2505302749001581</v>
      </c>
      <c r="F2558" s="18">
        <f t="shared" ca="1" si="276"/>
        <v>1.8352007259524223</v>
      </c>
      <c r="G2558" s="15">
        <f t="shared" ca="1" si="281"/>
        <v>1.1578933437818153</v>
      </c>
      <c r="H2558" s="15">
        <f t="shared" ca="1" si="282"/>
        <v>5.0477819569446067E-2</v>
      </c>
      <c r="J2558" s="17">
        <f t="shared" ca="1" si="278"/>
        <v>1</v>
      </c>
      <c r="K2558" s="24">
        <f t="shared" ca="1" si="279"/>
        <v>0</v>
      </c>
      <c r="L2558" s="17">
        <f t="shared" ca="1" si="280"/>
        <v>1</v>
      </c>
      <c r="N2558" s="24" t="str">
        <f ca="1">IF(AND(L2558=1,L2557&lt;&gt;1),MAX($N$8:N2557)+1,"")</f>
        <v/>
      </c>
      <c r="O2558" s="24" t="str">
        <f ca="1">IF(AND(L2558&lt;&gt;1,L2557=1),MAX($O$8:O2557)+1,"")</f>
        <v/>
      </c>
      <c r="P2558" s="17" t="str">
        <f ca="1">IF(AND(L2558=-1,L2557&lt;&gt;-1),MAX($P$8:P2557)+1,"")</f>
        <v/>
      </c>
      <c r="Q2558" s="24" t="str">
        <f ca="1">IF(AND(L2558&lt;&gt;-1,L2557=-1),MAX($Q$8:Q2557)+1,"")</f>
        <v/>
      </c>
    </row>
    <row r="2559" spans="1:17" x14ac:dyDescent="0.3">
      <c r="A2559" s="3">
        <v>43959</v>
      </c>
      <c r="B2559" s="9">
        <v>22.305468000000001</v>
      </c>
      <c r="C2559" s="9">
        <v>17.902828</v>
      </c>
      <c r="E2559" s="14">
        <f t="shared" si="277"/>
        <v>1.2459186894941963</v>
      </c>
      <c r="F2559" s="18">
        <f t="shared" ca="1" si="276"/>
        <v>1.594321139324862</v>
      </c>
      <c r="G2559" s="15">
        <f t="shared" ca="1" si="281"/>
        <v>1.1656069502530482</v>
      </c>
      <c r="H2559" s="15">
        <f t="shared" ca="1" si="282"/>
        <v>5.037362753350761E-2</v>
      </c>
      <c r="J2559" s="17">
        <f t="shared" ca="1" si="278"/>
        <v>1</v>
      </c>
      <c r="K2559" s="24">
        <f t="shared" ca="1" si="279"/>
        <v>0</v>
      </c>
      <c r="L2559" s="17">
        <f t="shared" ca="1" si="280"/>
        <v>1</v>
      </c>
      <c r="N2559" s="24" t="str">
        <f ca="1">IF(AND(L2559=1,L2558&lt;&gt;1),MAX($N$8:N2558)+1,"")</f>
        <v/>
      </c>
      <c r="O2559" s="24" t="str">
        <f ca="1">IF(AND(L2559&lt;&gt;1,L2558=1),MAX($O$8:O2558)+1,"")</f>
        <v/>
      </c>
      <c r="P2559" s="17" t="str">
        <f ca="1">IF(AND(L2559=-1,L2558&lt;&gt;-1),MAX($P$8:P2558)+1,"")</f>
        <v/>
      </c>
      <c r="Q2559" s="24" t="str">
        <f ca="1">IF(AND(L2559&lt;&gt;-1,L2558=-1),MAX($Q$8:Q2558)+1,"")</f>
        <v/>
      </c>
    </row>
    <row r="2560" spans="1:17" x14ac:dyDescent="0.3">
      <c r="A2560" s="3">
        <v>43962</v>
      </c>
      <c r="B2560" s="9">
        <v>22.365428999999999</v>
      </c>
      <c r="C2560" s="9">
        <v>17.633087</v>
      </c>
      <c r="E2560" s="14">
        <f t="shared" si="277"/>
        <v>1.2683785317908316</v>
      </c>
      <c r="F2560" s="18">
        <f t="shared" ca="1" si="276"/>
        <v>1.9114428658362901</v>
      </c>
      <c r="G2560" s="15">
        <f t="shared" ca="1" si="281"/>
        <v>1.175287454201847</v>
      </c>
      <c r="H2560" s="15">
        <f t="shared" ca="1" si="282"/>
        <v>4.8701993270542046E-2</v>
      </c>
      <c r="J2560" s="17">
        <f t="shared" ca="1" si="278"/>
        <v>1</v>
      </c>
      <c r="K2560" s="24">
        <f t="shared" ca="1" si="279"/>
        <v>0</v>
      </c>
      <c r="L2560" s="17">
        <f t="shared" ca="1" si="280"/>
        <v>1</v>
      </c>
      <c r="N2560" s="24" t="str">
        <f ca="1">IF(AND(L2560=1,L2559&lt;&gt;1),MAX($N$8:N2559)+1,"")</f>
        <v/>
      </c>
      <c r="O2560" s="24" t="str">
        <f ca="1">IF(AND(L2560&lt;&gt;1,L2559=1),MAX($O$8:O2559)+1,"")</f>
        <v/>
      </c>
      <c r="P2560" s="17" t="str">
        <f ca="1">IF(AND(L2560=-1,L2559&lt;&gt;-1),MAX($P$8:P2559)+1,"")</f>
        <v/>
      </c>
      <c r="Q2560" s="24" t="str">
        <f ca="1">IF(AND(L2560&lt;&gt;-1,L2559=-1),MAX($Q$8:Q2559)+1,"")</f>
        <v/>
      </c>
    </row>
    <row r="2561" spans="1:17" x14ac:dyDescent="0.3">
      <c r="A2561" s="3">
        <v>43963</v>
      </c>
      <c r="B2561" s="9">
        <v>21.595932000000001</v>
      </c>
      <c r="C2561" s="9">
        <v>17.083614000000001</v>
      </c>
      <c r="E2561" s="14">
        <f t="shared" si="277"/>
        <v>1.264131348320092</v>
      </c>
      <c r="F2561" s="18">
        <f t="shared" ca="1" si="276"/>
        <v>1.7826583313933897</v>
      </c>
      <c r="G2561" s="15">
        <f t="shared" ca="1" si="281"/>
        <v>1.1848024228061806</v>
      </c>
      <c r="H2561" s="15">
        <f t="shared" ca="1" si="282"/>
        <v>4.4500353274037105E-2</v>
      </c>
      <c r="J2561" s="17">
        <f t="shared" ca="1" si="278"/>
        <v>1</v>
      </c>
      <c r="K2561" s="24">
        <f t="shared" ca="1" si="279"/>
        <v>0</v>
      </c>
      <c r="L2561" s="17">
        <f t="shared" ca="1" si="280"/>
        <v>1</v>
      </c>
      <c r="N2561" s="24" t="str">
        <f ca="1">IF(AND(L2561=1,L2560&lt;&gt;1),MAX($N$8:N2560)+1,"")</f>
        <v/>
      </c>
      <c r="O2561" s="24" t="str">
        <f ca="1">IF(AND(L2561&lt;&gt;1,L2560=1),MAX($O$8:O2560)+1,"")</f>
        <v/>
      </c>
      <c r="P2561" s="17" t="str">
        <f ca="1">IF(AND(L2561=-1,L2560&lt;&gt;-1),MAX($P$8:P2560)+1,"")</f>
        <v/>
      </c>
      <c r="Q2561" s="24" t="str">
        <f ca="1">IF(AND(L2561&lt;&gt;-1,L2560=-1),MAX($Q$8:Q2560)+1,"")</f>
        <v/>
      </c>
    </row>
    <row r="2562" spans="1:17" x14ac:dyDescent="0.3">
      <c r="A2562" s="3">
        <v>43964</v>
      </c>
      <c r="B2562" s="9">
        <v>21.585937999999999</v>
      </c>
      <c r="C2562" s="9">
        <v>16.933758000000001</v>
      </c>
      <c r="E2562" s="14">
        <f t="shared" si="277"/>
        <v>1.2747281495342024</v>
      </c>
      <c r="F2562" s="18">
        <f t="shared" ref="F2562:F2593" ca="1" si="283">IF(ISNUMBER(G2562),(E2562-G2562)/H2562,"")</f>
        <v>1.7808035357664942</v>
      </c>
      <c r="G2562" s="15">
        <f t="shared" ca="1" si="281"/>
        <v>1.1887342704601229</v>
      </c>
      <c r="H2562" s="15">
        <f t="shared" ca="1" si="282"/>
        <v>4.8289369010639342E-2</v>
      </c>
      <c r="J2562" s="17">
        <f t="shared" ca="1" si="278"/>
        <v>1</v>
      </c>
      <c r="K2562" s="24">
        <f t="shared" ca="1" si="279"/>
        <v>0</v>
      </c>
      <c r="L2562" s="17">
        <f t="shared" ca="1" si="280"/>
        <v>1</v>
      </c>
      <c r="N2562" s="24" t="str">
        <f ca="1">IF(AND(L2562=1,L2561&lt;&gt;1),MAX($N$8:N2561)+1,"")</f>
        <v/>
      </c>
      <c r="O2562" s="24" t="str">
        <f ca="1">IF(AND(L2562&lt;&gt;1,L2561=1),MAX($O$8:O2561)+1,"")</f>
        <v/>
      </c>
      <c r="P2562" s="17" t="str">
        <f ca="1">IF(AND(L2562=-1,L2561&lt;&gt;-1),MAX($P$8:P2561)+1,"")</f>
        <v/>
      </c>
      <c r="Q2562" s="24" t="str">
        <f ca="1">IF(AND(L2562&lt;&gt;-1,L2561=-1),MAX($Q$8:Q2561)+1,"")</f>
        <v/>
      </c>
    </row>
    <row r="2563" spans="1:17" x14ac:dyDescent="0.3">
      <c r="A2563" s="3">
        <v>43965</v>
      </c>
      <c r="B2563" s="9">
        <v>22.535318</v>
      </c>
      <c r="C2563" s="9">
        <v>17.862864999999999</v>
      </c>
      <c r="E2563" s="14">
        <f t="shared" ref="E2563:E2593" si="284">IF(ISNUMBER(B2563),B2563/C2563,"")</f>
        <v>1.2615735493718394</v>
      </c>
      <c r="F2563" s="18">
        <f t="shared" ca="1" si="283"/>
        <v>1.3604773331457276</v>
      </c>
      <c r="G2563" s="15">
        <f t="shared" ca="1" si="281"/>
        <v>1.1935636136413137</v>
      </c>
      <c r="H2563" s="15">
        <f t="shared" ca="1" si="282"/>
        <v>4.9989760265444147E-2</v>
      </c>
      <c r="J2563" s="17">
        <f t="shared" ca="1" si="278"/>
        <v>1</v>
      </c>
      <c r="K2563" s="24">
        <f t="shared" ca="1" si="279"/>
        <v>0</v>
      </c>
      <c r="L2563" s="17">
        <f t="shared" ca="1" si="280"/>
        <v>1</v>
      </c>
      <c r="N2563" s="24" t="str">
        <f ca="1">IF(AND(L2563=1,L2562&lt;&gt;1),MAX($N$8:N2562)+1,"")</f>
        <v/>
      </c>
      <c r="O2563" s="24" t="str">
        <f ca="1">IF(AND(L2563&lt;&gt;1,L2562=1),MAX($O$8:O2562)+1,"")</f>
        <v/>
      </c>
      <c r="P2563" s="17" t="str">
        <f ca="1">IF(AND(L2563=-1,L2562&lt;&gt;-1),MAX($P$8:P2562)+1,"")</f>
        <v/>
      </c>
      <c r="Q2563" s="24" t="str">
        <f ca="1">IF(AND(L2563&lt;&gt;-1,L2562=-1),MAX($Q$8:Q2562)+1,"")</f>
        <v/>
      </c>
    </row>
    <row r="2564" spans="1:17" x14ac:dyDescent="0.3">
      <c r="A2564" s="3">
        <v>43966</v>
      </c>
      <c r="B2564" s="9">
        <v>21.615917</v>
      </c>
      <c r="C2564" s="9">
        <v>17.093605</v>
      </c>
      <c r="E2564" s="14">
        <f t="shared" si="284"/>
        <v>1.2645616299194933</v>
      </c>
      <c r="F2564" s="18">
        <f t="shared" ca="1" si="283"/>
        <v>1.2866011523510379</v>
      </c>
      <c r="G2564" s="15">
        <f t="shared" ca="1" si="281"/>
        <v>1.1987657454374205</v>
      </c>
      <c r="H2564" s="15">
        <f t="shared" ca="1" si="282"/>
        <v>5.1139301687894732E-2</v>
      </c>
      <c r="J2564" s="17">
        <f t="shared" ca="1" si="278"/>
        <v>1</v>
      </c>
      <c r="K2564" s="24">
        <f t="shared" ca="1" si="279"/>
        <v>0</v>
      </c>
      <c r="L2564" s="17">
        <f t="shared" ca="1" si="280"/>
        <v>1</v>
      </c>
      <c r="N2564" s="24" t="str">
        <f ca="1">IF(AND(L2564=1,L2563&lt;&gt;1),MAX($N$8:N2563)+1,"")</f>
        <v/>
      </c>
      <c r="O2564" s="24" t="str">
        <f ca="1">IF(AND(L2564&lt;&gt;1,L2563=1),MAX($O$8:O2563)+1,"")</f>
        <v/>
      </c>
      <c r="P2564" s="17" t="str">
        <f ca="1">IF(AND(L2564=-1,L2563&lt;&gt;-1),MAX($P$8:P2563)+1,"")</f>
        <v/>
      </c>
      <c r="Q2564" s="24" t="str">
        <f ca="1">IF(AND(L2564&lt;&gt;-1,L2563=-1),MAX($Q$8:Q2563)+1,"")</f>
        <v/>
      </c>
    </row>
    <row r="2565" spans="1:17" x14ac:dyDescent="0.3">
      <c r="A2565" s="3">
        <v>43969</v>
      </c>
      <c r="B2565" s="9">
        <v>22.655241</v>
      </c>
      <c r="C2565" s="9">
        <v>17.992743000000001</v>
      </c>
      <c r="E2565" s="14">
        <f t="shared" si="284"/>
        <v>1.2591321401078202</v>
      </c>
      <c r="F2565" s="18">
        <f t="shared" ca="1" si="283"/>
        <v>1.0764990367665555</v>
      </c>
      <c r="G2565" s="15">
        <f t="shared" ca="1" si="281"/>
        <v>1.2036398015177654</v>
      </c>
      <c r="H2565" s="15">
        <f t="shared" ca="1" si="282"/>
        <v>5.1548897578891716E-2</v>
      </c>
      <c r="J2565" s="17">
        <f t="shared" ca="1" si="278"/>
        <v>1</v>
      </c>
      <c r="K2565" s="24">
        <f t="shared" ca="1" si="279"/>
        <v>0</v>
      </c>
      <c r="L2565" s="17">
        <f t="shared" ca="1" si="280"/>
        <v>1</v>
      </c>
      <c r="N2565" s="24" t="str">
        <f ca="1">IF(AND(L2565=1,L2564&lt;&gt;1),MAX($N$8:N2564)+1,"")</f>
        <v/>
      </c>
      <c r="O2565" s="24" t="str">
        <f ca="1">IF(AND(L2565&lt;&gt;1,L2564=1),MAX($O$8:O2564)+1,"")</f>
        <v/>
      </c>
      <c r="P2565" s="17" t="str">
        <f ca="1">IF(AND(L2565=-1,L2564&lt;&gt;-1),MAX($P$8:P2564)+1,"")</f>
        <v/>
      </c>
      <c r="Q2565" s="24" t="str">
        <f ca="1">IF(AND(L2565&lt;&gt;-1,L2564=-1),MAX($Q$8:Q2564)+1,"")</f>
        <v/>
      </c>
    </row>
    <row r="2566" spans="1:17" x14ac:dyDescent="0.3">
      <c r="A2566" s="3">
        <v>43970</v>
      </c>
      <c r="B2566" s="9">
        <v>21.675878999999998</v>
      </c>
      <c r="C2566" s="9">
        <v>17.463249000000001</v>
      </c>
      <c r="E2566" s="14">
        <f t="shared" si="284"/>
        <v>1.2412283075159725</v>
      </c>
      <c r="F2566" s="18">
        <f t="shared" ca="1" si="283"/>
        <v>0.6578585625621044</v>
      </c>
      <c r="G2566" s="15">
        <f t="shared" ca="1" si="281"/>
        <v>1.2081389706166279</v>
      </c>
      <c r="H2566" s="15">
        <f t="shared" ca="1" si="282"/>
        <v>5.0298557748453425E-2</v>
      </c>
      <c r="J2566" s="17">
        <f t="shared" ca="1" si="278"/>
        <v>1</v>
      </c>
      <c r="K2566" s="24">
        <f t="shared" ca="1" si="279"/>
        <v>0</v>
      </c>
      <c r="L2566" s="17">
        <f t="shared" ca="1" si="280"/>
        <v>1</v>
      </c>
      <c r="N2566" s="24" t="str">
        <f ca="1">IF(AND(L2566=1,L2565&lt;&gt;1),MAX($N$8:N2565)+1,"")</f>
        <v/>
      </c>
      <c r="O2566" s="24" t="str">
        <f ca="1">IF(AND(L2566&lt;&gt;1,L2565=1),MAX($O$8:O2565)+1,"")</f>
        <v/>
      </c>
      <c r="P2566" s="17" t="str">
        <f ca="1">IF(AND(L2566=-1,L2565&lt;&gt;-1),MAX($P$8:P2565)+1,"")</f>
        <v/>
      </c>
      <c r="Q2566" s="24" t="str">
        <f ca="1">IF(AND(L2566&lt;&gt;-1,L2565=-1),MAX($Q$8:Q2565)+1,"")</f>
        <v/>
      </c>
    </row>
    <row r="2567" spans="1:17" x14ac:dyDescent="0.3">
      <c r="A2567" s="3">
        <v>43971</v>
      </c>
      <c r="B2567" s="9">
        <v>21.585937999999999</v>
      </c>
      <c r="C2567" s="9">
        <v>17.643077999999999</v>
      </c>
      <c r="E2567" s="14">
        <f t="shared" si="284"/>
        <v>1.2234791457590337</v>
      </c>
      <c r="F2567" s="18">
        <f t="shared" ca="1" si="283"/>
        <v>0.24178437651146556</v>
      </c>
      <c r="G2567" s="15">
        <f t="shared" ca="1" si="281"/>
        <v>1.2117972485495179</v>
      </c>
      <c r="H2567" s="15">
        <f t="shared" ca="1" si="282"/>
        <v>4.8315351794295455E-2</v>
      </c>
      <c r="J2567" s="17">
        <f t="shared" ca="1" si="278"/>
        <v>1</v>
      </c>
      <c r="K2567" s="24">
        <f t="shared" ca="1" si="279"/>
        <v>0</v>
      </c>
      <c r="L2567" s="17">
        <f t="shared" ca="1" si="280"/>
        <v>1</v>
      </c>
      <c r="N2567" s="24" t="str">
        <f ca="1">IF(AND(L2567=1,L2566&lt;&gt;1),MAX($N$8:N2566)+1,"")</f>
        <v/>
      </c>
      <c r="O2567" s="24" t="str">
        <f ca="1">IF(AND(L2567&lt;&gt;1,L2566=1),MAX($O$8:O2566)+1,"")</f>
        <v/>
      </c>
      <c r="P2567" s="17" t="str">
        <f ca="1">IF(AND(L2567=-1,L2566&lt;&gt;-1),MAX($P$8:P2566)+1,"")</f>
        <v/>
      </c>
      <c r="Q2567" s="24" t="str">
        <f ca="1">IF(AND(L2567&lt;&gt;-1,L2566=-1),MAX($Q$8:Q2566)+1,"")</f>
        <v/>
      </c>
    </row>
    <row r="2568" spans="1:17" x14ac:dyDescent="0.3">
      <c r="A2568" s="3">
        <v>43972</v>
      </c>
      <c r="B2568" s="9">
        <v>22.825130000000001</v>
      </c>
      <c r="C2568" s="9">
        <v>18.622136999999999</v>
      </c>
      <c r="E2568" s="14">
        <f t="shared" si="284"/>
        <v>1.2256987476786365</v>
      </c>
      <c r="F2568" s="18">
        <f t="shared" ca="1" si="283"/>
        <v>0.21947851361590343</v>
      </c>
      <c r="G2568" s="15">
        <f t="shared" ca="1" si="281"/>
        <v>1.2156356499045042</v>
      </c>
      <c r="H2568" s="15">
        <f t="shared" ca="1" si="282"/>
        <v>4.5850036107603319E-2</v>
      </c>
      <c r="J2568" s="17">
        <f t="shared" ref="J2568:J2593" ca="1" si="285">IF(ISNUMBER(F2568),IF(AND(J2567&lt;&gt;1,F2568&gt;$L$1),1,IF(AND(J2567=1,F2568&gt;$N$1),1,0)),"")</f>
        <v>1</v>
      </c>
      <c r="K2568" s="24">
        <f t="shared" ca="1" si="279"/>
        <v>0</v>
      </c>
      <c r="L2568" s="17">
        <f t="shared" ca="1" si="280"/>
        <v>1</v>
      </c>
      <c r="N2568" s="24" t="str">
        <f ca="1">IF(AND(L2568=1,L2567&lt;&gt;1),MAX($N$8:N2567)+1,"")</f>
        <v/>
      </c>
      <c r="O2568" s="24" t="str">
        <f ca="1">IF(AND(L2568&lt;&gt;1,L2567=1),MAX($O$8:O2567)+1,"")</f>
        <v/>
      </c>
      <c r="P2568" s="17" t="str">
        <f ca="1">IF(AND(L2568=-1,L2567&lt;&gt;-1),MAX($P$8:P2567)+1,"")</f>
        <v/>
      </c>
      <c r="Q2568" s="24" t="str">
        <f ca="1">IF(AND(L2568&lt;&gt;-1,L2567=-1),MAX($Q$8:Q2567)+1,"")</f>
        <v/>
      </c>
    </row>
    <row r="2569" spans="1:17" x14ac:dyDescent="0.3">
      <c r="A2569" s="3">
        <v>43973</v>
      </c>
      <c r="B2569" s="9">
        <v>22.945050999999999</v>
      </c>
      <c r="C2569" s="9">
        <v>18.732033000000001</v>
      </c>
      <c r="E2569" s="14">
        <f t="shared" si="284"/>
        <v>1.2249098109105401</v>
      </c>
      <c r="F2569" s="18">
        <f t="shared" ca="1" si="283"/>
        <v>0.13471544979268943</v>
      </c>
      <c r="G2569" s="15">
        <f t="shared" ca="1" si="281"/>
        <v>1.2190394149369792</v>
      </c>
      <c r="H2569" s="15">
        <f t="shared" ca="1" si="282"/>
        <v>4.3576263766291777E-2</v>
      </c>
      <c r="J2569" s="17">
        <f t="shared" ca="1" si="285"/>
        <v>1</v>
      </c>
      <c r="K2569" s="24">
        <f t="shared" ref="K2569:K2593" ca="1" si="286">IF(ISNUMBER(F2569),IF(AND(K2568&lt;&gt;-1,F2569&lt;$P$1),-1,IF(AND(K2568=-1,F2569&lt;R2562),-1,0)),"")</f>
        <v>0</v>
      </c>
      <c r="L2569" s="17">
        <f t="shared" ref="L2569:L2593" ca="1" si="287">IF(ISNUMBER(F2569),IF(J2569=1,1,IF(K2569=-1,-1,0)),"")</f>
        <v>1</v>
      </c>
      <c r="N2569" s="24" t="str">
        <f ca="1">IF(AND(L2569=1,L2568&lt;&gt;1),MAX($N$8:N2568)+1,"")</f>
        <v/>
      </c>
      <c r="O2569" s="24" t="str">
        <f ca="1">IF(AND(L2569&lt;&gt;1,L2568=1),MAX($O$8:O2568)+1,"")</f>
        <v/>
      </c>
      <c r="P2569" s="17" t="str">
        <f ca="1">IF(AND(L2569=-1,L2568&lt;&gt;-1),MAX($P$8:P2568)+1,"")</f>
        <v/>
      </c>
      <c r="Q2569" s="24" t="str">
        <f ca="1">IF(AND(L2569&lt;&gt;-1,L2568=-1),MAX($Q$8:Q2568)+1,"")</f>
        <v/>
      </c>
    </row>
    <row r="2570" spans="1:17" x14ac:dyDescent="0.3">
      <c r="A2570" s="3">
        <v>43976</v>
      </c>
      <c r="B2570" s="9">
        <v>23.944399000000001</v>
      </c>
      <c r="C2570" s="9">
        <v>20.060759000000001</v>
      </c>
      <c r="E2570" s="14">
        <f t="shared" si="284"/>
        <v>1.1935938714980823</v>
      </c>
      <c r="F2570" s="18">
        <f t="shared" ca="1" si="283"/>
        <v>-0.68784548848092142</v>
      </c>
      <c r="G2570" s="15">
        <f t="shared" ca="1" si="281"/>
        <v>1.2214589447389466</v>
      </c>
      <c r="H2570" s="15">
        <f t="shared" ca="1" si="282"/>
        <v>4.0510657854866745E-2</v>
      </c>
      <c r="J2570" s="17">
        <f t="shared" ca="1" si="285"/>
        <v>0</v>
      </c>
      <c r="K2570" s="24">
        <f t="shared" ca="1" si="286"/>
        <v>0</v>
      </c>
      <c r="L2570" s="17">
        <f t="shared" ca="1" si="287"/>
        <v>0</v>
      </c>
      <c r="N2570" s="24" t="str">
        <f ca="1">IF(AND(L2570=1,L2569&lt;&gt;1),MAX($N$8:N2569)+1,"")</f>
        <v/>
      </c>
      <c r="O2570" s="24">
        <f ca="1">IF(AND(L2570&lt;&gt;1,L2569=1),MAX($O$8:O2569)+1,"")</f>
        <v>84</v>
      </c>
      <c r="P2570" s="17" t="str">
        <f ca="1">IF(AND(L2570=-1,L2569&lt;&gt;-1),MAX($P$8:P2569)+1,"")</f>
        <v/>
      </c>
      <c r="Q2570" s="24" t="str">
        <f ca="1">IF(AND(L2570&lt;&gt;-1,L2569=-1),MAX($Q$8:Q2569)+1,"")</f>
        <v/>
      </c>
    </row>
    <row r="2571" spans="1:17" x14ac:dyDescent="0.3">
      <c r="A2571" s="3">
        <v>43977</v>
      </c>
      <c r="B2571" s="9">
        <v>22.99502</v>
      </c>
      <c r="C2571" s="9">
        <v>19.191590999999999</v>
      </c>
      <c r="E2571" s="14">
        <f t="shared" si="284"/>
        <v>1.1981820579648661</v>
      </c>
      <c r="F2571" s="18">
        <f t="shared" ca="1" si="283"/>
        <v>-0.70262311187308801</v>
      </c>
      <c r="G2571" s="15">
        <f t="shared" ca="1" si="281"/>
        <v>1.2240891954032527</v>
      </c>
      <c r="H2571" s="15">
        <f t="shared" ca="1" si="282"/>
        <v>3.687202569998306E-2</v>
      </c>
      <c r="J2571" s="17">
        <f t="shared" ca="1" si="285"/>
        <v>0</v>
      </c>
      <c r="K2571" s="24">
        <f t="shared" ca="1" si="286"/>
        <v>0</v>
      </c>
      <c r="L2571" s="17">
        <f t="shared" ca="1" si="287"/>
        <v>0</v>
      </c>
      <c r="N2571" s="24" t="str">
        <f ca="1">IF(AND(L2571=1,L2570&lt;&gt;1),MAX($N$8:N2570)+1,"")</f>
        <v/>
      </c>
      <c r="O2571" s="24" t="str">
        <f ca="1">IF(AND(L2571&lt;&gt;1,L2570=1),MAX($O$8:O2570)+1,"")</f>
        <v/>
      </c>
      <c r="P2571" s="17" t="str">
        <f ca="1">IF(AND(L2571=-1,L2570&lt;&gt;-1),MAX($P$8:P2570)+1,"")</f>
        <v/>
      </c>
      <c r="Q2571" s="24" t="str">
        <f ca="1">IF(AND(L2571&lt;&gt;-1,L2570=-1),MAX($Q$8:Q2570)+1,"")</f>
        <v/>
      </c>
    </row>
    <row r="2572" spans="1:17" x14ac:dyDescent="0.3">
      <c r="A2572" s="3">
        <v>43978</v>
      </c>
      <c r="B2572" s="9">
        <v>23.714549999999999</v>
      </c>
      <c r="C2572" s="9">
        <v>19.521276</v>
      </c>
      <c r="E2572" s="14">
        <f t="shared" si="284"/>
        <v>1.21480532317662</v>
      </c>
      <c r="F2572" s="18">
        <f t="shared" ca="1" si="283"/>
        <v>-0.32090479951087292</v>
      </c>
      <c r="G2572" s="15">
        <f t="shared" ca="1" si="281"/>
        <v>1.2260709552872351</v>
      </c>
      <c r="H2572" s="15">
        <f t="shared" ca="1" si="282"/>
        <v>3.5105838640575829E-2</v>
      </c>
      <c r="J2572" s="17">
        <f t="shared" ca="1" si="285"/>
        <v>0</v>
      </c>
      <c r="K2572" s="24">
        <f t="shared" ca="1" si="286"/>
        <v>0</v>
      </c>
      <c r="L2572" s="17">
        <f t="shared" ca="1" si="287"/>
        <v>0</v>
      </c>
      <c r="N2572" s="24" t="str">
        <f ca="1">IF(AND(L2572=1,L2571&lt;&gt;1),MAX($N$8:N2571)+1,"")</f>
        <v/>
      </c>
      <c r="O2572" s="24" t="str">
        <f ca="1">IF(AND(L2572&lt;&gt;1,L2571=1),MAX($O$8:O2571)+1,"")</f>
        <v/>
      </c>
      <c r="P2572" s="17" t="str">
        <f ca="1">IF(AND(L2572=-1,L2571&lt;&gt;-1),MAX($P$8:P2571)+1,"")</f>
        <v/>
      </c>
      <c r="Q2572" s="24" t="str">
        <f ca="1">IF(AND(L2572&lt;&gt;-1,L2571=-1),MAX($Q$8:Q2571)+1,"")</f>
        <v/>
      </c>
    </row>
    <row r="2573" spans="1:17" x14ac:dyDescent="0.3">
      <c r="A2573" s="3">
        <v>43979</v>
      </c>
      <c r="B2573" s="9">
        <v>23.294823000000001</v>
      </c>
      <c r="C2573" s="9">
        <v>19.081696999999998</v>
      </c>
      <c r="E2573" s="14">
        <f t="shared" si="284"/>
        <v>1.2207940939424833</v>
      </c>
      <c r="F2573" s="18">
        <f t="shared" ca="1" si="283"/>
        <v>-0.21960250319896932</v>
      </c>
      <c r="G2573" s="15">
        <f t="shared" ca="1" si="281"/>
        <v>1.2281232976196863</v>
      </c>
      <c r="H2573" s="15">
        <f t="shared" ca="1" si="282"/>
        <v>3.3374863994890112E-2</v>
      </c>
      <c r="J2573" s="17">
        <f t="shared" ca="1" si="285"/>
        <v>0</v>
      </c>
      <c r="K2573" s="24">
        <f t="shared" ca="1" si="286"/>
        <v>0</v>
      </c>
      <c r="L2573" s="17">
        <f t="shared" ca="1" si="287"/>
        <v>0</v>
      </c>
      <c r="N2573" s="24" t="str">
        <f ca="1">IF(AND(L2573=1,L2572&lt;&gt;1),MAX($N$8:N2572)+1,"")</f>
        <v/>
      </c>
      <c r="O2573" s="24" t="str">
        <f ca="1">IF(AND(L2573&lt;&gt;1,L2572=1),MAX($O$8:O2572)+1,"")</f>
        <v/>
      </c>
      <c r="P2573" s="17" t="str">
        <f ca="1">IF(AND(L2573=-1,L2572&lt;&gt;-1),MAX($P$8:P2572)+1,"")</f>
        <v/>
      </c>
      <c r="Q2573" s="24" t="str">
        <f ca="1">IF(AND(L2573&lt;&gt;-1,L2572=-1),MAX($Q$8:Q2572)+1,"")</f>
        <v/>
      </c>
    </row>
    <row r="2574" spans="1:17" x14ac:dyDescent="0.3">
      <c r="A2574" s="3">
        <v>43980</v>
      </c>
      <c r="B2574" s="9">
        <v>23.024999999999999</v>
      </c>
      <c r="C2574" s="9">
        <v>18.931840999999999</v>
      </c>
      <c r="E2574" s="14">
        <f t="shared" si="284"/>
        <v>1.2162050167228851</v>
      </c>
      <c r="F2574" s="18">
        <f t="shared" ca="1" si="283"/>
        <v>-0.4517339505276905</v>
      </c>
      <c r="G2574" s="15">
        <f t="shared" ca="1" si="281"/>
        <v>1.2302209688170294</v>
      </c>
      <c r="H2574" s="15">
        <f t="shared" ca="1" si="282"/>
        <v>3.1027006222958547E-2</v>
      </c>
      <c r="J2574" s="17">
        <f t="shared" ca="1" si="285"/>
        <v>0</v>
      </c>
      <c r="K2574" s="24">
        <f t="shared" ca="1" si="286"/>
        <v>0</v>
      </c>
      <c r="L2574" s="17">
        <f t="shared" ca="1" si="287"/>
        <v>0</v>
      </c>
      <c r="N2574" s="24" t="str">
        <f ca="1">IF(AND(L2574=1,L2573&lt;&gt;1),MAX($N$8:N2573)+1,"")</f>
        <v/>
      </c>
      <c r="O2574" s="24" t="str">
        <f ca="1">IF(AND(L2574&lt;&gt;1,L2573=1),MAX($O$8:O2573)+1,"")</f>
        <v/>
      </c>
      <c r="P2574" s="17" t="str">
        <f ca="1">IF(AND(L2574=-1,L2573&lt;&gt;-1),MAX($P$8:P2573)+1,"")</f>
        <v/>
      </c>
      <c r="Q2574" s="24" t="str">
        <f ca="1">IF(AND(L2574&lt;&gt;-1,L2573=-1),MAX($Q$8:Q2573)+1,"")</f>
        <v/>
      </c>
    </row>
    <row r="2575" spans="1:17" x14ac:dyDescent="0.3">
      <c r="A2575" s="3">
        <v>43983</v>
      </c>
      <c r="B2575" s="9">
        <v>23.66</v>
      </c>
      <c r="C2575" s="9">
        <v>19.781025</v>
      </c>
      <c r="E2575" s="14">
        <f t="shared" si="284"/>
        <v>1.1960957533798173</v>
      </c>
      <c r="F2575" s="18">
        <f t="shared" ca="1" si="283"/>
        <v>-1.377296730035769</v>
      </c>
      <c r="G2575" s="15">
        <f t="shared" ca="1" si="281"/>
        <v>1.2324478488382846</v>
      </c>
      <c r="H2575" s="15">
        <f t="shared" ca="1" si="282"/>
        <v>2.6393800744392397E-2</v>
      </c>
      <c r="J2575" s="17">
        <f t="shared" ca="1" si="285"/>
        <v>0</v>
      </c>
      <c r="K2575" s="24">
        <f t="shared" ca="1" si="286"/>
        <v>-1</v>
      </c>
      <c r="L2575" s="17">
        <f t="shared" ca="1" si="287"/>
        <v>-1</v>
      </c>
      <c r="N2575" s="24" t="str">
        <f ca="1">IF(AND(L2575=1,L2574&lt;&gt;1),MAX($N$8:N2574)+1,"")</f>
        <v/>
      </c>
      <c r="O2575" s="24" t="str">
        <f ca="1">IF(AND(L2575&lt;&gt;1,L2574=1),MAX($O$8:O2574)+1,"")</f>
        <v/>
      </c>
      <c r="P2575" s="17">
        <f ca="1">IF(AND(L2575=-1,L2574&lt;&gt;-1),MAX($P$8:P2574)+1,"")</f>
        <v>93</v>
      </c>
      <c r="Q2575" s="24" t="str">
        <f ca="1">IF(AND(L2575&lt;&gt;-1,L2574=-1),MAX($Q$8:Q2574)+1,"")</f>
        <v/>
      </c>
    </row>
    <row r="2576" spans="1:17" x14ac:dyDescent="0.3">
      <c r="A2576" s="3">
        <v>43984</v>
      </c>
      <c r="B2576" s="9">
        <v>25.25</v>
      </c>
      <c r="C2576" s="9">
        <v>20.67</v>
      </c>
      <c r="E2576" s="14">
        <f t="shared" si="284"/>
        <v>1.2215771649733913</v>
      </c>
      <c r="F2576" s="18">
        <f t="shared" ca="1" si="283"/>
        <v>-0.49551833782760962</v>
      </c>
      <c r="G2576" s="15">
        <f t="shared" ca="1" si="281"/>
        <v>1.233890001495962</v>
      </c>
      <c r="H2576" s="15">
        <f t="shared" ca="1" si="282"/>
        <v>2.4848397289495009E-2</v>
      </c>
      <c r="J2576" s="17">
        <f t="shared" ca="1" si="285"/>
        <v>0</v>
      </c>
      <c r="K2576" s="24">
        <f t="shared" ca="1" si="286"/>
        <v>-1</v>
      </c>
      <c r="L2576" s="17">
        <f t="shared" ca="1" si="287"/>
        <v>-1</v>
      </c>
      <c r="N2576" s="24" t="str">
        <f ca="1">IF(AND(L2576=1,L2575&lt;&gt;1),MAX($N$8:N2575)+1,"")</f>
        <v/>
      </c>
      <c r="O2576" s="24" t="str">
        <f ca="1">IF(AND(L2576&lt;&gt;1,L2575=1),MAX($O$8:O2575)+1,"")</f>
        <v/>
      </c>
      <c r="P2576" s="17" t="str">
        <f ca="1">IF(AND(L2576=-1,L2575&lt;&gt;-1),MAX($P$8:P2575)+1,"")</f>
        <v/>
      </c>
      <c r="Q2576" s="24" t="str">
        <f ca="1">IF(AND(L2576&lt;&gt;-1,L2575=-1),MAX($Q$8:Q2575)+1,"")</f>
        <v/>
      </c>
    </row>
    <row r="2577" spans="1:17" x14ac:dyDescent="0.3">
      <c r="A2577" s="3">
        <v>43985</v>
      </c>
      <c r="B2577" s="9">
        <v>25.92</v>
      </c>
      <c r="C2577" s="9">
        <v>21.59</v>
      </c>
      <c r="E2577" s="14">
        <f t="shared" si="284"/>
        <v>1.2005558128763316</v>
      </c>
      <c r="F2577" s="18">
        <f t="shared" ca="1" si="283"/>
        <v>-1.3562295597671676</v>
      </c>
      <c r="G2577" s="15">
        <f t="shared" ca="1" si="281"/>
        <v>1.2340159613094377</v>
      </c>
      <c r="H2577" s="15">
        <f t="shared" ca="1" si="282"/>
        <v>2.4671449012547982E-2</v>
      </c>
      <c r="J2577" s="17">
        <f t="shared" ca="1" si="285"/>
        <v>0</v>
      </c>
      <c r="K2577" s="24">
        <f t="shared" ca="1" si="286"/>
        <v>-1</v>
      </c>
      <c r="L2577" s="17">
        <f t="shared" ca="1" si="287"/>
        <v>-1</v>
      </c>
      <c r="N2577" s="24" t="str">
        <f ca="1">IF(AND(L2577=1,L2576&lt;&gt;1),MAX($N$8:N2576)+1,"")</f>
        <v/>
      </c>
      <c r="O2577" s="24" t="str">
        <f ca="1">IF(AND(L2577&lt;&gt;1,L2576=1),MAX($O$8:O2576)+1,"")</f>
        <v/>
      </c>
      <c r="P2577" s="17" t="str">
        <f ca="1">IF(AND(L2577=-1,L2576&lt;&gt;-1),MAX($P$8:P2576)+1,"")</f>
        <v/>
      </c>
      <c r="Q2577" s="24" t="str">
        <f ca="1">IF(AND(L2577&lt;&gt;-1,L2576=-1),MAX($Q$8:Q2576)+1,"")</f>
        <v/>
      </c>
    </row>
    <row r="2578" spans="1:17" x14ac:dyDescent="0.3">
      <c r="A2578" s="3">
        <v>43986</v>
      </c>
      <c r="B2578" s="9">
        <v>26.67</v>
      </c>
      <c r="C2578" s="9">
        <v>21.9</v>
      </c>
      <c r="E2578" s="14">
        <f t="shared" si="284"/>
        <v>1.2178082191780824</v>
      </c>
      <c r="F2578" s="18">
        <f t="shared" ca="1" si="283"/>
        <v>-0.61018228396612961</v>
      </c>
      <c r="G2578" s="15">
        <f t="shared" ca="1" si="281"/>
        <v>1.2329700327807487</v>
      </c>
      <c r="H2578" s="15">
        <f t="shared" ca="1" si="282"/>
        <v>2.4848006900685338E-2</v>
      </c>
      <c r="J2578" s="17">
        <f t="shared" ca="1" si="285"/>
        <v>0</v>
      </c>
      <c r="K2578" s="24">
        <f t="shared" ca="1" si="286"/>
        <v>-1</v>
      </c>
      <c r="L2578" s="17">
        <f t="shared" ca="1" si="287"/>
        <v>-1</v>
      </c>
      <c r="N2578" s="24" t="str">
        <f ca="1">IF(AND(L2578=1,L2577&lt;&gt;1),MAX($N$8:N2577)+1,"")</f>
        <v/>
      </c>
      <c r="O2578" s="24" t="str">
        <f ca="1">IF(AND(L2578&lt;&gt;1,L2577=1),MAX($O$8:O2577)+1,"")</f>
        <v/>
      </c>
      <c r="P2578" s="17" t="str">
        <f ca="1">IF(AND(L2578=-1,L2577&lt;&gt;-1),MAX($P$8:P2577)+1,"")</f>
        <v/>
      </c>
      <c r="Q2578" s="24" t="str">
        <f ca="1">IF(AND(L2578&lt;&gt;-1,L2577=-1),MAX($Q$8:Q2577)+1,"")</f>
        <v/>
      </c>
    </row>
    <row r="2579" spans="1:17" x14ac:dyDescent="0.3">
      <c r="A2579" s="3">
        <v>43987</v>
      </c>
      <c r="B2579" s="9">
        <v>27.26</v>
      </c>
      <c r="C2579" s="9">
        <v>22.299999</v>
      </c>
      <c r="E2579" s="14">
        <f t="shared" si="284"/>
        <v>1.2224215794807884</v>
      </c>
      <c r="F2579" s="18">
        <f t="shared" ca="1" si="283"/>
        <v>-0.38937741022186595</v>
      </c>
      <c r="G2579" s="15">
        <f t="shared" ca="1" si="281"/>
        <v>1.2321049644770985</v>
      </c>
      <c r="H2579" s="15">
        <f t="shared" ca="1" si="282"/>
        <v>2.4868892601634211E-2</v>
      </c>
      <c r="J2579" s="17">
        <f t="shared" ca="1" si="285"/>
        <v>0</v>
      </c>
      <c r="K2579" s="24">
        <f t="shared" ca="1" si="286"/>
        <v>-1</v>
      </c>
      <c r="L2579" s="17">
        <f t="shared" ca="1" si="287"/>
        <v>-1</v>
      </c>
      <c r="N2579" s="24" t="str">
        <f ca="1">IF(AND(L2579=1,L2578&lt;&gt;1),MAX($N$8:N2578)+1,"")</f>
        <v/>
      </c>
      <c r="O2579" s="24" t="str">
        <f ca="1">IF(AND(L2579&lt;&gt;1,L2578=1),MAX($O$8:O2578)+1,"")</f>
        <v/>
      </c>
      <c r="P2579" s="17" t="str">
        <f ca="1">IF(AND(L2579=-1,L2578&lt;&gt;-1),MAX($P$8:P2578)+1,"")</f>
        <v/>
      </c>
      <c r="Q2579" s="24" t="str">
        <f ca="1">IF(AND(L2579&lt;&gt;-1,L2578=-1),MAX($Q$8:Q2578)+1,"")</f>
        <v/>
      </c>
    </row>
    <row r="2580" spans="1:17" x14ac:dyDescent="0.3">
      <c r="A2580" s="3">
        <v>43990</v>
      </c>
      <c r="B2580" s="9">
        <v>28.360001</v>
      </c>
      <c r="C2580" s="9">
        <v>23.469999000000001</v>
      </c>
      <c r="E2580" s="14">
        <f t="shared" si="284"/>
        <v>1.2083511805859046</v>
      </c>
      <c r="F2580" s="18">
        <f t="shared" ca="1" si="283"/>
        <v>-0.87346072375929884</v>
      </c>
      <c r="G2580" s="15">
        <f t="shared" ca="1" si="281"/>
        <v>1.2301877329173596</v>
      </c>
      <c r="H2580" s="15">
        <f t="shared" ca="1" si="282"/>
        <v>2.5000039197495185E-2</v>
      </c>
      <c r="J2580" s="17">
        <f t="shared" ca="1" si="285"/>
        <v>0</v>
      </c>
      <c r="K2580" s="24">
        <f t="shared" ca="1" si="286"/>
        <v>-1</v>
      </c>
      <c r="L2580" s="17">
        <f t="shared" ca="1" si="287"/>
        <v>-1</v>
      </c>
      <c r="N2580" s="24" t="str">
        <f ca="1">IF(AND(L2580=1,L2579&lt;&gt;1),MAX($N$8:N2579)+1,"")</f>
        <v/>
      </c>
      <c r="O2580" s="24" t="str">
        <f ca="1">IF(AND(L2580&lt;&gt;1,L2579=1),MAX($O$8:O2579)+1,"")</f>
        <v/>
      </c>
      <c r="P2580" s="17" t="str">
        <f ca="1">IF(AND(L2580=-1,L2579&lt;&gt;-1),MAX($P$8:P2579)+1,"")</f>
        <v/>
      </c>
      <c r="Q2580" s="24" t="str">
        <f ca="1">IF(AND(L2580&lt;&gt;-1,L2579=-1),MAX($Q$8:Q2579)+1,"")</f>
        <v/>
      </c>
    </row>
    <row r="2581" spans="1:17" x14ac:dyDescent="0.3">
      <c r="A2581" s="3">
        <v>43991</v>
      </c>
      <c r="B2581" s="9">
        <v>27.799999</v>
      </c>
      <c r="C2581" s="9">
        <v>22.950001</v>
      </c>
      <c r="E2581" s="14">
        <f t="shared" si="284"/>
        <v>1.2113288796806587</v>
      </c>
      <c r="F2581" s="18">
        <f t="shared" ca="1" si="283"/>
        <v>-0.69011346515207606</v>
      </c>
      <c r="G2581" s="15">
        <f t="shared" ca="1" si="281"/>
        <v>1.228615468834926</v>
      </c>
      <c r="H2581" s="15">
        <f t="shared" ca="1" si="282"/>
        <v>2.5048908660922801E-2</v>
      </c>
      <c r="J2581" s="17">
        <f t="shared" ca="1" si="285"/>
        <v>0</v>
      </c>
      <c r="K2581" s="24">
        <f t="shared" ca="1" si="286"/>
        <v>-1</v>
      </c>
      <c r="L2581" s="17">
        <f t="shared" ca="1" si="287"/>
        <v>-1</v>
      </c>
      <c r="N2581" s="24" t="str">
        <f ca="1">IF(AND(L2581=1,L2580&lt;&gt;1),MAX($N$8:N2580)+1,"")</f>
        <v/>
      </c>
      <c r="O2581" s="24" t="str">
        <f ca="1">IF(AND(L2581&lt;&gt;1,L2580=1),MAX($O$8:O2580)+1,"")</f>
        <v/>
      </c>
      <c r="P2581" s="17" t="str">
        <f ca="1">IF(AND(L2581=-1,L2580&lt;&gt;-1),MAX($P$8:P2580)+1,"")</f>
        <v/>
      </c>
      <c r="Q2581" s="24" t="str">
        <f ca="1">IF(AND(L2581&lt;&gt;-1,L2580=-1),MAX($Q$8:Q2580)+1,"")</f>
        <v/>
      </c>
    </row>
    <row r="2582" spans="1:17" x14ac:dyDescent="0.3">
      <c r="A2582" s="3">
        <v>43992</v>
      </c>
      <c r="B2582" s="9">
        <v>26.59</v>
      </c>
      <c r="C2582" s="9">
        <v>21.879999000000002</v>
      </c>
      <c r="E2582" s="14">
        <f t="shared" si="284"/>
        <v>1.2152651378091928</v>
      </c>
      <c r="F2582" s="18">
        <f t="shared" ca="1" si="283"/>
        <v>-0.46302265859186714</v>
      </c>
      <c r="G2582" s="15">
        <f t="shared" ca="1" si="281"/>
        <v>1.2262012236539421</v>
      </c>
      <c r="H2582" s="15">
        <f t="shared" ca="1" si="282"/>
        <v>2.361889994327257E-2</v>
      </c>
      <c r="J2582" s="17">
        <f t="shared" ca="1" si="285"/>
        <v>0</v>
      </c>
      <c r="K2582" s="24">
        <f t="shared" ca="1" si="286"/>
        <v>-1</v>
      </c>
      <c r="L2582" s="17">
        <f t="shared" ca="1" si="287"/>
        <v>-1</v>
      </c>
      <c r="N2582" s="24" t="str">
        <f ca="1">IF(AND(L2582=1,L2581&lt;&gt;1),MAX($N$8:N2581)+1,"")</f>
        <v/>
      </c>
      <c r="O2582" s="24" t="str">
        <f ca="1">IF(AND(L2582&lt;&gt;1,L2581=1),MAX($O$8:O2581)+1,"")</f>
        <v/>
      </c>
      <c r="P2582" s="17" t="str">
        <f ca="1">IF(AND(L2582=-1,L2581&lt;&gt;-1),MAX($P$8:P2581)+1,"")</f>
        <v/>
      </c>
      <c r="Q2582" s="24" t="str">
        <f ca="1">IF(AND(L2582&lt;&gt;-1,L2581=-1),MAX($Q$8:Q2581)+1,"")</f>
        <v/>
      </c>
    </row>
    <row r="2583" spans="1:17" x14ac:dyDescent="0.3">
      <c r="A2583" s="3">
        <v>43994</v>
      </c>
      <c r="B2583" s="9">
        <v>26.059999000000001</v>
      </c>
      <c r="C2583" s="9">
        <v>21.629999000000002</v>
      </c>
      <c r="E2583" s="14">
        <f t="shared" si="284"/>
        <v>1.2048081463156795</v>
      </c>
      <c r="F2583" s="18">
        <f t="shared" ca="1" si="283"/>
        <v>-0.83117289258154736</v>
      </c>
      <c r="G2583" s="15">
        <f t="shared" ca="1" si="281"/>
        <v>1.2235047144719238</v>
      </c>
      <c r="H2583" s="15">
        <f t="shared" ca="1" si="282"/>
        <v>2.2494198647617682E-2</v>
      </c>
      <c r="J2583" s="17">
        <f t="shared" ca="1" si="285"/>
        <v>0</v>
      </c>
      <c r="K2583" s="24">
        <f t="shared" ca="1" si="286"/>
        <v>-1</v>
      </c>
      <c r="L2583" s="17">
        <f t="shared" ca="1" si="287"/>
        <v>-1</v>
      </c>
      <c r="N2583" s="24" t="str">
        <f ca="1">IF(AND(L2583=1,L2582&lt;&gt;1),MAX($N$8:N2582)+1,"")</f>
        <v/>
      </c>
      <c r="O2583" s="24" t="str">
        <f ca="1">IF(AND(L2583&lt;&gt;1,L2582=1),MAX($O$8:O2582)+1,"")</f>
        <v/>
      </c>
      <c r="P2583" s="17" t="str">
        <f ca="1">IF(AND(L2583=-1,L2582&lt;&gt;-1),MAX($P$8:P2582)+1,"")</f>
        <v/>
      </c>
      <c r="Q2583" s="24" t="str">
        <f ca="1">IF(AND(L2583&lt;&gt;-1,L2582=-1),MAX($Q$8:Q2582)+1,"")</f>
        <v/>
      </c>
    </row>
    <row r="2584" spans="1:17" x14ac:dyDescent="0.3">
      <c r="A2584" s="3">
        <v>43997</v>
      </c>
      <c r="B2584" s="9">
        <v>25.450001</v>
      </c>
      <c r="C2584" s="9">
        <v>21.15</v>
      </c>
      <c r="E2584" s="14">
        <f t="shared" si="284"/>
        <v>1.2033097399527188</v>
      </c>
      <c r="F2584" s="18">
        <f t="shared" ca="1" si="283"/>
        <v>-0.85307981600793759</v>
      </c>
      <c r="G2584" s="15">
        <f t="shared" ca="1" si="281"/>
        <v>1.2202584231273106</v>
      </c>
      <c r="H2584" s="15">
        <f t="shared" ca="1" si="282"/>
        <v>1.9867640584798514E-2</v>
      </c>
      <c r="J2584" s="17">
        <f t="shared" ca="1" si="285"/>
        <v>0</v>
      </c>
      <c r="K2584" s="24">
        <f t="shared" ca="1" si="286"/>
        <v>-1</v>
      </c>
      <c r="L2584" s="17">
        <f t="shared" ca="1" si="287"/>
        <v>-1</v>
      </c>
      <c r="N2584" s="24" t="str">
        <f ca="1">IF(AND(L2584=1,L2583&lt;&gt;1),MAX($N$8:N2583)+1,"")</f>
        <v/>
      </c>
      <c r="O2584" s="24" t="str">
        <f ca="1">IF(AND(L2584&lt;&gt;1,L2583=1),MAX($O$8:O2583)+1,"")</f>
        <v/>
      </c>
      <c r="P2584" s="17" t="str">
        <f ca="1">IF(AND(L2584=-1,L2583&lt;&gt;-1),MAX($P$8:P2583)+1,"")</f>
        <v/>
      </c>
      <c r="Q2584" s="24" t="str">
        <f ca="1">IF(AND(L2584&lt;&gt;-1,L2583=-1),MAX($Q$8:Q2583)+1,"")</f>
        <v/>
      </c>
    </row>
    <row r="2585" spans="1:17" x14ac:dyDescent="0.3">
      <c r="A2585" s="3">
        <v>43998</v>
      </c>
      <c r="B2585" s="9">
        <v>26.18</v>
      </c>
      <c r="C2585" s="9">
        <v>22.030000999999999</v>
      </c>
      <c r="E2585" s="14">
        <f t="shared" si="284"/>
        <v>1.1883794285801441</v>
      </c>
      <c r="F2585" s="18">
        <f t="shared" ca="1" si="283"/>
        <v>-1.5212641550524371</v>
      </c>
      <c r="G2585" s="15">
        <f t="shared" ca="1" si="281"/>
        <v>1.2169314176367791</v>
      </c>
      <c r="H2585" s="15">
        <f t="shared" ca="1" si="282"/>
        <v>1.8768593844670493E-2</v>
      </c>
      <c r="J2585" s="17">
        <f t="shared" ca="1" si="285"/>
        <v>0</v>
      </c>
      <c r="K2585" s="24">
        <f t="shared" ca="1" si="286"/>
        <v>-1</v>
      </c>
      <c r="L2585" s="17">
        <f t="shared" ca="1" si="287"/>
        <v>-1</v>
      </c>
      <c r="N2585" s="24" t="str">
        <f ca="1">IF(AND(L2585=1,L2584&lt;&gt;1),MAX($N$8:N2584)+1,"")</f>
        <v/>
      </c>
      <c r="O2585" s="24" t="str">
        <f ca="1">IF(AND(L2585&lt;&gt;1,L2584=1),MAX($O$8:O2584)+1,"")</f>
        <v/>
      </c>
      <c r="P2585" s="17" t="str">
        <f ca="1">IF(AND(L2585=-1,L2584&lt;&gt;-1),MAX($P$8:P2584)+1,"")</f>
        <v/>
      </c>
      <c r="Q2585" s="24" t="str">
        <f ca="1">IF(AND(L2585&lt;&gt;-1,L2584=-1),MAX($Q$8:Q2584)+1,"")</f>
        <v/>
      </c>
    </row>
    <row r="2586" spans="1:17" x14ac:dyDescent="0.3">
      <c r="A2586" s="3">
        <v>43999</v>
      </c>
      <c r="B2586" s="9">
        <v>26.51</v>
      </c>
      <c r="C2586" s="9">
        <v>22.379999000000002</v>
      </c>
      <c r="E2586" s="14">
        <f t="shared" si="284"/>
        <v>1.1845398205781867</v>
      </c>
      <c r="F2586" s="18">
        <f t="shared" ca="1" si="283"/>
        <v>-1.707448662534661</v>
      </c>
      <c r="G2586" s="15">
        <f t="shared" ca="1" si="281"/>
        <v>1.2132940626667199</v>
      </c>
      <c r="H2586" s="15">
        <f t="shared" ca="1" si="282"/>
        <v>1.6840472407438755E-2</v>
      </c>
      <c r="J2586" s="17">
        <f t="shared" ca="1" si="285"/>
        <v>0</v>
      </c>
      <c r="K2586" s="24">
        <f t="shared" ca="1" si="286"/>
        <v>-1</v>
      </c>
      <c r="L2586" s="17">
        <f t="shared" ca="1" si="287"/>
        <v>-1</v>
      </c>
      <c r="N2586" s="24" t="str">
        <f ca="1">IF(AND(L2586=1,L2585&lt;&gt;1),MAX($N$8:N2585)+1,"")</f>
        <v/>
      </c>
      <c r="O2586" s="24" t="str">
        <f ca="1">IF(AND(L2586&lt;&gt;1,L2585=1),MAX($O$8:O2585)+1,"")</f>
        <v/>
      </c>
      <c r="P2586" s="17" t="str">
        <f ca="1">IF(AND(L2586=-1,L2585&lt;&gt;-1),MAX($P$8:P2585)+1,"")</f>
        <v/>
      </c>
      <c r="Q2586" s="24" t="str">
        <f ca="1">IF(AND(L2586&lt;&gt;-1,L2585=-1),MAX($Q$8:Q2585)+1,"")</f>
        <v/>
      </c>
    </row>
    <row r="2587" spans="1:17" x14ac:dyDescent="0.3">
      <c r="A2587" s="3">
        <v>44000</v>
      </c>
      <c r="B2587" s="9">
        <v>27.549999</v>
      </c>
      <c r="C2587" s="9">
        <v>22.299999</v>
      </c>
      <c r="E2587" s="14">
        <f t="shared" si="284"/>
        <v>1.2354260195258304</v>
      </c>
      <c r="F2587" s="18">
        <f t="shared" ca="1" si="283"/>
        <v>1.6046706124061842</v>
      </c>
      <c r="G2587" s="15">
        <f t="shared" ca="1" si="281"/>
        <v>1.2122165117311747</v>
      </c>
      <c r="H2587" s="15">
        <f t="shared" ca="1" si="282"/>
        <v>1.4463720850382692E-2</v>
      </c>
      <c r="J2587" s="17">
        <f t="shared" ca="1" si="285"/>
        <v>1</v>
      </c>
      <c r="K2587" s="24">
        <f t="shared" ca="1" si="286"/>
        <v>0</v>
      </c>
      <c r="L2587" s="17">
        <f t="shared" ca="1" si="287"/>
        <v>1</v>
      </c>
      <c r="N2587" s="24">
        <f ca="1">IF(AND(L2587=1,L2586&lt;&gt;1),MAX($N$8:N2586)+1,"")</f>
        <v>85</v>
      </c>
      <c r="O2587" s="24" t="str">
        <f ca="1">IF(AND(L2587&lt;&gt;1,L2586=1),MAX($O$8:O2586)+1,"")</f>
        <v/>
      </c>
      <c r="P2587" s="17" t="str">
        <f ca="1">IF(AND(L2587=-1,L2586&lt;&gt;-1),MAX($P$8:P2586)+1,"")</f>
        <v/>
      </c>
      <c r="Q2587" s="24">
        <f ca="1">IF(AND(L2587&lt;&gt;-1,L2586=-1),MAX($Q$8:Q2586)+1,"")</f>
        <v>93</v>
      </c>
    </row>
    <row r="2588" spans="1:17" x14ac:dyDescent="0.3">
      <c r="A2588" s="3">
        <v>44001</v>
      </c>
      <c r="B2588" s="9">
        <v>28.09</v>
      </c>
      <c r="C2588" s="9">
        <v>22.360001</v>
      </c>
      <c r="E2588" s="14">
        <f t="shared" si="284"/>
        <v>1.256261124496372</v>
      </c>
      <c r="F2588" s="18">
        <f t="shared" ca="1" si="283"/>
        <v>2.6961497221662158</v>
      </c>
      <c r="G2588" s="15">
        <f t="shared" ca="1" si="281"/>
        <v>1.2128998215939202</v>
      </c>
      <c r="H2588" s="15">
        <f t="shared" ca="1" si="282"/>
        <v>1.6082676175569813E-2</v>
      </c>
      <c r="J2588" s="17">
        <f t="shared" ca="1" si="285"/>
        <v>1</v>
      </c>
      <c r="K2588" s="24">
        <f t="shared" ca="1" si="286"/>
        <v>0</v>
      </c>
      <c r="L2588" s="17">
        <f t="shared" ca="1" si="287"/>
        <v>1</v>
      </c>
      <c r="N2588" s="24" t="str">
        <f ca="1">IF(AND(L2588=1,L2587&lt;&gt;1),MAX($N$8:N2587)+1,"")</f>
        <v/>
      </c>
      <c r="O2588" s="24" t="str">
        <f ca="1">IF(AND(L2588&lt;&gt;1,L2587=1),MAX($O$8:O2587)+1,"")</f>
        <v/>
      </c>
      <c r="P2588" s="17" t="str">
        <f ca="1">IF(AND(L2588=-1,L2587&lt;&gt;-1),MAX($P$8:P2587)+1,"")</f>
        <v/>
      </c>
      <c r="Q2588" s="24" t="str">
        <f ca="1">IF(AND(L2588&lt;&gt;-1,L2587=-1),MAX($Q$8:Q2587)+1,"")</f>
        <v/>
      </c>
    </row>
    <row r="2589" spans="1:17" x14ac:dyDescent="0.3">
      <c r="A2589" s="3">
        <v>44004</v>
      </c>
      <c r="B2589" s="9">
        <v>27.219999000000001</v>
      </c>
      <c r="C2589" s="9">
        <v>21.58</v>
      </c>
      <c r="E2589" s="14">
        <f t="shared" si="284"/>
        <v>1.261353058387396</v>
      </c>
      <c r="F2589" s="18">
        <f t="shared" ca="1" si="283"/>
        <v>2.4722104858606349</v>
      </c>
      <c r="G2589" s="15">
        <f t="shared" ca="1" si="281"/>
        <v>1.2146213630770277</v>
      </c>
      <c r="H2589" s="15">
        <f t="shared" ca="1" si="282"/>
        <v>1.8902797952537541E-2</v>
      </c>
      <c r="J2589" s="17">
        <f t="shared" ca="1" si="285"/>
        <v>1</v>
      </c>
      <c r="K2589" s="24">
        <f t="shared" ca="1" si="286"/>
        <v>0</v>
      </c>
      <c r="L2589" s="17">
        <f t="shared" ca="1" si="287"/>
        <v>1</v>
      </c>
      <c r="N2589" s="24" t="str">
        <f ca="1">IF(AND(L2589=1,L2588&lt;&gt;1),MAX($N$8:N2588)+1,"")</f>
        <v/>
      </c>
      <c r="O2589" s="24" t="str">
        <f ca="1">IF(AND(L2589&lt;&gt;1,L2588=1),MAX($O$8:O2588)+1,"")</f>
        <v/>
      </c>
      <c r="P2589" s="17" t="str">
        <f ca="1">IF(AND(L2589=-1,L2588&lt;&gt;-1),MAX($P$8:P2588)+1,"")</f>
        <v/>
      </c>
      <c r="Q2589" s="24" t="str">
        <f ca="1">IF(AND(L2589&lt;&gt;-1,L2588=-1),MAX($Q$8:Q2588)+1,"")</f>
        <v/>
      </c>
    </row>
    <row r="2590" spans="1:17" x14ac:dyDescent="0.3">
      <c r="A2590" s="3">
        <v>44005</v>
      </c>
      <c r="B2590" s="9">
        <v>26.860001</v>
      </c>
      <c r="C2590" s="9">
        <v>21.549999</v>
      </c>
      <c r="E2590" s="14">
        <f t="shared" si="284"/>
        <v>1.2464038165384601</v>
      </c>
      <c r="F2590" s="18">
        <f t="shared" ca="1" si="283"/>
        <v>1.5483353836494558</v>
      </c>
      <c r="G2590" s="15">
        <f t="shared" ca="1" si="281"/>
        <v>1.2155625025706558</v>
      </c>
      <c r="H2590" s="15">
        <f t="shared" ca="1" si="282"/>
        <v>1.9919013860621566E-2</v>
      </c>
      <c r="J2590" s="17">
        <f t="shared" ca="1" si="285"/>
        <v>1</v>
      </c>
      <c r="K2590" s="24">
        <f t="shared" ca="1" si="286"/>
        <v>0</v>
      </c>
      <c r="L2590" s="17">
        <f t="shared" ca="1" si="287"/>
        <v>1</v>
      </c>
      <c r="N2590" s="24" t="str">
        <f ca="1">IF(AND(L2590=1,L2589&lt;&gt;1),MAX($N$8:N2589)+1,"")</f>
        <v/>
      </c>
      <c r="O2590" s="24" t="str">
        <f ca="1">IF(AND(L2590&lt;&gt;1,L2589=1),MAX($O$8:O2589)+1,"")</f>
        <v/>
      </c>
      <c r="P2590" s="17" t="str">
        <f ca="1">IF(AND(L2590=-1,L2589&lt;&gt;-1),MAX($P$8:P2589)+1,"")</f>
        <v/>
      </c>
      <c r="Q2590" s="24" t="str">
        <f ca="1">IF(AND(L2590&lt;&gt;-1,L2589=-1),MAX($Q$8:Q2589)+1,"")</f>
        <v/>
      </c>
    </row>
    <row r="2591" spans="1:17" x14ac:dyDescent="0.3">
      <c r="A2591" s="3">
        <v>44006</v>
      </c>
      <c r="B2591" s="9">
        <v>25.84</v>
      </c>
      <c r="C2591" s="9">
        <v>20.85</v>
      </c>
      <c r="E2591" s="14">
        <f t="shared" si="284"/>
        <v>1.2393285371702636</v>
      </c>
      <c r="F2591" s="18">
        <f t="shared" ca="1" si="283"/>
        <v>1.1303242482843427</v>
      </c>
      <c r="G2591" s="15">
        <f t="shared" ca="1" si="281"/>
        <v>1.2162178992188251</v>
      </c>
      <c r="H2591" s="15">
        <f t="shared" ca="1" si="282"/>
        <v>2.0446025099892264E-2</v>
      </c>
      <c r="J2591" s="17">
        <f t="shared" ca="1" si="285"/>
        <v>1</v>
      </c>
      <c r="K2591" s="24">
        <f t="shared" ca="1" si="286"/>
        <v>0</v>
      </c>
      <c r="L2591" s="17">
        <f t="shared" ca="1" si="287"/>
        <v>1</v>
      </c>
      <c r="N2591" s="24" t="str">
        <f ca="1">IF(AND(L2591=1,L2590&lt;&gt;1),MAX($N$8:N2590)+1,"")</f>
        <v/>
      </c>
      <c r="O2591" s="24" t="str">
        <f ca="1">IF(AND(L2591&lt;&gt;1,L2590=1),MAX($O$8:O2590)+1,"")</f>
        <v/>
      </c>
      <c r="P2591" s="17" t="str">
        <f ca="1">IF(AND(L2591=-1,L2590&lt;&gt;-1),MAX($P$8:P2590)+1,"")</f>
        <v/>
      </c>
      <c r="Q2591" s="24" t="str">
        <f ca="1">IF(AND(L2591&lt;&gt;-1,L2590=-1),MAX($Q$8:Q2590)+1,"")</f>
        <v/>
      </c>
    </row>
    <row r="2592" spans="1:17" x14ac:dyDescent="0.3">
      <c r="A2592" s="3">
        <v>44007</v>
      </c>
      <c r="B2592" s="9">
        <v>26.15</v>
      </c>
      <c r="C2592" s="9">
        <v>21.35</v>
      </c>
      <c r="E2592" s="14">
        <f t="shared" si="284"/>
        <v>1.2248243559718968</v>
      </c>
      <c r="F2592" s="18">
        <f t="shared" ca="1" si="283"/>
        <v>0.36109738559028975</v>
      </c>
      <c r="G2592" s="15">
        <f t="shared" ca="1" si="281"/>
        <v>1.2176374666949079</v>
      </c>
      <c r="H2592" s="15">
        <f t="shared" ca="1" si="282"/>
        <v>1.9902911413330688E-2</v>
      </c>
      <c r="J2592" s="17">
        <f t="shared" ca="1" si="285"/>
        <v>1</v>
      </c>
      <c r="K2592" s="24">
        <f t="shared" ca="1" si="286"/>
        <v>0</v>
      </c>
      <c r="L2592" s="17">
        <f t="shared" ca="1" si="287"/>
        <v>1</v>
      </c>
      <c r="N2592" s="24" t="str">
        <f ca="1">IF(AND(L2592=1,L2591&lt;&gt;1),MAX($N$8:N2591)+1,"")</f>
        <v/>
      </c>
      <c r="O2592" s="24" t="str">
        <f ca="1">IF(AND(L2592&lt;&gt;1,L2591=1),MAX($O$8:O2591)+1,"")</f>
        <v/>
      </c>
      <c r="P2592" s="17" t="str">
        <f ca="1">IF(AND(L2592=-1,L2591&lt;&gt;-1),MAX($P$8:P2591)+1,"")</f>
        <v/>
      </c>
      <c r="Q2592" s="24" t="str">
        <f ca="1">IF(AND(L2592&lt;&gt;-1,L2591=-1),MAX($Q$8:Q2591)+1,"")</f>
        <v/>
      </c>
    </row>
    <row r="2593" spans="1:17" x14ac:dyDescent="0.3">
      <c r="A2593" s="3">
        <v>44008</v>
      </c>
      <c r="B2593" s="9">
        <v>25.6</v>
      </c>
      <c r="C2593" s="9">
        <v>20.690000999999999</v>
      </c>
      <c r="E2593" s="14">
        <f t="shared" si="284"/>
        <v>1.2373126516523612</v>
      </c>
      <c r="F2593" s="18">
        <f t="shared" ca="1" si="283"/>
        <v>0.90235476163211625</v>
      </c>
      <c r="G2593" s="15">
        <f t="shared" ca="1" si="281"/>
        <v>1.2194161300443391</v>
      </c>
      <c r="H2593" s="15">
        <f t="shared" ca="1" si="282"/>
        <v>1.9833132564903898E-2</v>
      </c>
      <c r="J2593" s="17">
        <f t="shared" ca="1" si="285"/>
        <v>1</v>
      </c>
      <c r="K2593" s="24">
        <f t="shared" ca="1" si="286"/>
        <v>0</v>
      </c>
      <c r="L2593" s="17">
        <f t="shared" ca="1" si="287"/>
        <v>1</v>
      </c>
      <c r="N2593" s="24" t="str">
        <f ca="1">IF(AND(L2593=1,L2592&lt;&gt;1),MAX($N$8:N2592)+1,"")</f>
        <v/>
      </c>
      <c r="O2593" s="24" t="str">
        <f ca="1">IF(AND(L2593&lt;&gt;1,L2592=1),MAX($O$8:O2592)+1,"")</f>
        <v/>
      </c>
      <c r="P2593" s="17" t="str">
        <f ca="1">IF(AND(L2593=-1,L2592&lt;&gt;-1),MAX($P$8:P2592)+1,"")</f>
        <v/>
      </c>
      <c r="Q2593" s="24" t="str">
        <f ca="1">IF(AND(L2593&lt;&gt;-1,L2592=-1),MAX($Q$8:Q2592)+1,"")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8307D-CE73-4FAB-8E78-F59A0B436DB3}">
  <dimension ref="A1:AE102"/>
  <sheetViews>
    <sheetView showGridLines="0" topLeftCell="L1" workbookViewId="0">
      <selection activeCell="Y16" sqref="Y16"/>
    </sheetView>
  </sheetViews>
  <sheetFormatPr defaultRowHeight="14.4" x14ac:dyDescent="0.3"/>
  <cols>
    <col min="2" max="2" width="10.77734375" customWidth="1"/>
    <col min="3" max="3" width="9.5546875" bestFit="1" customWidth="1"/>
    <col min="8" max="10" width="11" customWidth="1"/>
    <col min="13" max="13" width="10.33203125" bestFit="1" customWidth="1"/>
    <col min="14" max="15" width="9.33203125" bestFit="1" customWidth="1"/>
    <col min="20" max="21" width="11" customWidth="1"/>
    <col min="23" max="23" width="13.6640625" bestFit="1" customWidth="1"/>
    <col min="24" max="24" width="12.33203125" bestFit="1" customWidth="1"/>
  </cols>
  <sheetData>
    <row r="1" spans="1:31" ht="48.6" customHeight="1" thickBot="1" x14ac:dyDescent="0.35">
      <c r="A1" s="33" t="s">
        <v>22</v>
      </c>
      <c r="B1" s="48">
        <f>100000</f>
        <v>100000</v>
      </c>
      <c r="C1" s="48"/>
      <c r="D1" s="49" t="s">
        <v>32</v>
      </c>
      <c r="E1" s="49"/>
      <c r="F1" s="49"/>
      <c r="G1" s="49"/>
      <c r="H1" s="49"/>
      <c r="I1" s="49"/>
      <c r="J1" s="49"/>
      <c r="O1" s="49" t="s">
        <v>33</v>
      </c>
      <c r="P1" s="49"/>
      <c r="Q1" s="49"/>
      <c r="R1" s="49"/>
      <c r="S1" s="49"/>
      <c r="T1" s="49"/>
      <c r="U1" s="49"/>
      <c r="V1" s="19" t="s">
        <v>5</v>
      </c>
      <c r="W1" s="22">
        <v>22</v>
      </c>
      <c r="X1" s="20" t="s">
        <v>29</v>
      </c>
      <c r="Y1" s="22">
        <v>1</v>
      </c>
      <c r="Z1" s="20" t="s">
        <v>9</v>
      </c>
      <c r="AA1" s="23">
        <v>0</v>
      </c>
      <c r="AB1" s="20" t="s">
        <v>30</v>
      </c>
      <c r="AC1" s="22">
        <v>-1</v>
      </c>
      <c r="AD1" s="20" t="s">
        <v>9</v>
      </c>
      <c r="AE1" s="23">
        <v>0</v>
      </c>
    </row>
    <row r="2" spans="1:31" x14ac:dyDescent="0.3">
      <c r="B2" s="11" t="s">
        <v>17</v>
      </c>
      <c r="C2" s="11" t="s">
        <v>18</v>
      </c>
      <c r="D2" s="11" t="s">
        <v>11</v>
      </c>
      <c r="E2" s="11" t="s">
        <v>19</v>
      </c>
      <c r="F2" s="11" t="s">
        <v>16</v>
      </c>
      <c r="G2" s="11" t="s">
        <v>19</v>
      </c>
      <c r="H2" s="11" t="s">
        <v>20</v>
      </c>
      <c r="I2" s="11" t="s">
        <v>21</v>
      </c>
      <c r="J2" s="11" t="s">
        <v>23</v>
      </c>
      <c r="M2" s="11" t="s">
        <v>17</v>
      </c>
      <c r="N2" s="11" t="s">
        <v>18</v>
      </c>
      <c r="O2" s="11" t="s">
        <v>11</v>
      </c>
      <c r="P2" s="11" t="s">
        <v>19</v>
      </c>
      <c r="Q2" s="11" t="s">
        <v>16</v>
      </c>
      <c r="R2" s="11" t="s">
        <v>19</v>
      </c>
      <c r="S2" s="11" t="s">
        <v>20</v>
      </c>
      <c r="T2" s="11" t="s">
        <v>21</v>
      </c>
      <c r="U2" s="11" t="s">
        <v>23</v>
      </c>
    </row>
    <row r="3" spans="1:31" ht="15" thickBot="1" x14ac:dyDescent="0.35">
      <c r="A3" s="26">
        <v>1</v>
      </c>
      <c r="B3" s="27">
        <f ca="1">IFERROR(INDEX(Backtest!$A$8:$A$5000,MATCH(A3,Backtest!$N$8:$N$5000,0)),"")</f>
        <v>40212</v>
      </c>
      <c r="C3" s="27">
        <f ca="1">IFERROR(INDEX(Backtest!$A$8:$A$5000,MATCH(A3,Backtest!$O$8:$O$5000,0)),"")</f>
        <v>40233</v>
      </c>
      <c r="D3" s="28" t="str">
        <f ca="1">IF(ISNUMBER(B3),Backtest!$C$1,"")</f>
        <v>BBDC4</v>
      </c>
      <c r="E3" s="29">
        <f ca="1">IFERROR(VLOOKUP(C3,Backtest!A:C,3,FALSE)/VLOOKUP(B3,Backtest!A:C,3,FALSE)-1,"")</f>
        <v>0.39554407230933264</v>
      </c>
      <c r="F3" s="28" t="str">
        <f ca="1">IF(ISNUMBER(C3),Backtest!$B$1,"")</f>
        <v>ITUB4</v>
      </c>
      <c r="G3" s="29">
        <f ca="1">IFERROR(VLOOKUP(C3,Backtest!A:C,2,FALSE)/VLOOKUP(B3,Backtest!A:C,2,FALSE)-1,"")</f>
        <v>-4.1196920749990595E-2</v>
      </c>
      <c r="H3" s="31">
        <f t="shared" ref="H3:H34" ca="1" si="0">IF(ISNUMBER(C3),E3-G3,"")</f>
        <v>0.43674099305932323</v>
      </c>
      <c r="I3" s="34">
        <f t="shared" ref="I3:I34" ca="1" si="1">IF(ISNUMBER(C3),H3*$B$1,"")</f>
        <v>43674.099305932323</v>
      </c>
      <c r="J3" s="37">
        <f ca="1">IF(ISNUMBER(C3),NETWORKDAYS(B3,C3),"")</f>
        <v>16</v>
      </c>
      <c r="L3" s="26">
        <v>1</v>
      </c>
      <c r="M3" s="27">
        <f ca="1">IFERROR(INDEX(Backtest!$A$8:$A$5000,MATCH(L3,Backtest!$P$8:$P$5000,0)),"")</f>
        <v>40233</v>
      </c>
      <c r="N3" s="27">
        <f ca="1">IFERROR(INDEX(Backtest!$A$8:$A$5000,MATCH(L3,Backtest!$Q$8:$Q$5000,0)),"")</f>
        <v>40262</v>
      </c>
      <c r="O3" s="28" t="str">
        <f ca="1">IF(ISNUMBER(M3),Backtest!$B$1,"")</f>
        <v>ITUB4</v>
      </c>
      <c r="P3" s="29">
        <f ca="1">IFERROR(VLOOKUP(N3,Backtest!A:C,2,FALSE)/VLOOKUP(M3,Backtest!A:C,2,FALSE)-1,"")</f>
        <v>3.7348756666443217E-2</v>
      </c>
      <c r="Q3" s="28" t="str">
        <f ca="1">IF(ISNUMBER(N3),Backtest!$C$1,"")</f>
        <v>BBDC4</v>
      </c>
      <c r="R3" s="29">
        <f ca="1">IFERROR(VLOOKUP(N3,Backtest!A:C,3,FALSE)/VLOOKUP(M3,Backtest!A:C,3,FALSE)-1,"")</f>
        <v>1.0781345485235017E-2</v>
      </c>
      <c r="S3" s="31">
        <f t="shared" ref="S3:S34" ca="1" si="2">IF(ISNUMBER(N3),P3-R3,"")</f>
        <v>2.65674111812082E-2</v>
      </c>
      <c r="T3" s="34">
        <f t="shared" ref="T3:T34" ca="1" si="3">IF(ISNUMBER(N3),S3*$B$1,"")</f>
        <v>2656.7411181208199</v>
      </c>
      <c r="U3" s="37">
        <f ca="1">IF(ISNUMBER(N3),NETWORKDAYS(M3,N3),"")</f>
        <v>22</v>
      </c>
    </row>
    <row r="4" spans="1:31" x14ac:dyDescent="0.3">
      <c r="A4">
        <v>2</v>
      </c>
      <c r="B4" s="1">
        <f ca="1">IFERROR(INDEX(Backtest!$A$8:$A$5000,MATCH(A4,Backtest!$N$8:$N$5000,0)),"")</f>
        <v>40263</v>
      </c>
      <c r="C4" s="1">
        <f ca="1">IFERROR(INDEX(Backtest!$A$8:$A$5000,MATCH(A4,Backtest!$O$8:$O$5000,0)),"")</f>
        <v>40269</v>
      </c>
      <c r="D4" s="25" t="str">
        <f ca="1">IF(ISNUMBER(B4),Backtest!$C$1,"")</f>
        <v>BBDC4</v>
      </c>
      <c r="E4" s="30">
        <f ca="1">IFERROR(VLOOKUP(C4,Backtest!A:C,3,FALSE)/VLOOKUP(B4,Backtest!A:C,3,FALSE)-1,"")</f>
        <v>5.6684869933085302E-2</v>
      </c>
      <c r="F4" s="25" t="str">
        <f ca="1">IF(ISNUMBER(C4),Backtest!$B$1,"")</f>
        <v>ITUB4</v>
      </c>
      <c r="G4" s="30">
        <f ca="1">IFERROR(VLOOKUP(C4,Backtest!A:C,2,FALSE)/VLOOKUP(B4,Backtest!A:C,2,FALSE)-1,"")</f>
        <v>4.2551006485933129E-2</v>
      </c>
      <c r="H4" s="32">
        <f t="shared" ca="1" si="0"/>
        <v>1.4133863447152173E-2</v>
      </c>
      <c r="I4" s="35">
        <f t="shared" ca="1" si="1"/>
        <v>1413.3863447152173</v>
      </c>
      <c r="J4" s="38">
        <f t="shared" ref="J4:J67" ca="1" si="4">IF(ISNUMBER(C4),NETWORKDAYS(B4,C4),"")</f>
        <v>5</v>
      </c>
      <c r="L4">
        <v>2</v>
      </c>
      <c r="M4" s="1">
        <f ca="1">IFERROR(INDEX(Backtest!$A$8:$A$5000,MATCH(L4,Backtest!$P$8:$P$5000,0)),"")</f>
        <v>40275</v>
      </c>
      <c r="N4" s="1">
        <f ca="1">IFERROR(INDEX(Backtest!$A$8:$A$5000,MATCH(L4,Backtest!$Q$8:$Q$5000,0)),"")</f>
        <v>40277</v>
      </c>
      <c r="O4" s="25" t="str">
        <f ca="1">IF(ISNUMBER(M4),Backtest!$B$1,"")</f>
        <v>ITUB4</v>
      </c>
      <c r="P4" s="30">
        <f ca="1">IFERROR(VLOOKUP(N4,Backtest!A:C,2,FALSE)/VLOOKUP(M4,Backtest!A:C,2,FALSE)-1,"")</f>
        <v>3.8859941816679067E-2</v>
      </c>
      <c r="Q4" s="25" t="str">
        <f ca="1">IF(ISNUMBER(N4),Backtest!$C$1,"")</f>
        <v>BBDC4</v>
      </c>
      <c r="R4" s="30">
        <f ca="1">IFERROR(VLOOKUP(N4,Backtest!A:C,3,FALSE)/VLOOKUP(M4,Backtest!A:C,3,FALSE)-1,"")</f>
        <v>2.9902664679366087E-2</v>
      </c>
      <c r="S4" s="32">
        <f t="shared" ca="1" si="2"/>
        <v>8.95727713731298E-3</v>
      </c>
      <c r="T4" s="35">
        <f t="shared" ca="1" si="3"/>
        <v>895.72771373129797</v>
      </c>
      <c r="U4" s="38">
        <f t="shared" ref="U4:U67" ca="1" si="5">IF(ISNUMBER(N4),NETWORKDAYS(M4,N4),"")</f>
        <v>3</v>
      </c>
      <c r="W4" s="39" t="s">
        <v>17</v>
      </c>
      <c r="X4" s="40">
        <f>MIN(Backtest!A:A)</f>
        <v>40182</v>
      </c>
    </row>
    <row r="5" spans="1:31" x14ac:dyDescent="0.3">
      <c r="A5" s="26">
        <v>3</v>
      </c>
      <c r="B5" s="27">
        <f ca="1">IFERROR(INDEX(Backtest!$A$8:$A$5000,MATCH(A5,Backtest!$N$8:$N$5000,0)),"")</f>
        <v>40281</v>
      </c>
      <c r="C5" s="27">
        <f ca="1">IFERROR(INDEX(Backtest!$A$8:$A$5000,MATCH(A5,Backtest!$O$8:$O$5000,0)),"")</f>
        <v>40290</v>
      </c>
      <c r="D5" s="28" t="str">
        <f ca="1">IF(ISNUMBER(B5),Backtest!$C$1,"")</f>
        <v>BBDC4</v>
      </c>
      <c r="E5" s="29">
        <f ca="1">IFERROR(VLOOKUP(C5,Backtest!A:C,3,FALSE)/VLOOKUP(B5,Backtest!A:C,3,FALSE)-1,"")</f>
        <v>-3.3335428406124912E-2</v>
      </c>
      <c r="F5" s="28" t="str">
        <f ca="1">IF(ISNUMBER(C5),Backtest!$B$1,"")</f>
        <v>ITUB4</v>
      </c>
      <c r="G5" s="29">
        <f ca="1">IFERROR(VLOOKUP(C5,Backtest!A:C,2,FALSE)/VLOOKUP(B5,Backtest!A:C,2,FALSE)-1,"")</f>
        <v>-3.8799021134711231E-2</v>
      </c>
      <c r="H5" s="31">
        <f t="shared" ca="1" si="0"/>
        <v>5.4635927285863195E-3</v>
      </c>
      <c r="I5" s="34">
        <f t="shared" ca="1" si="1"/>
        <v>546.35927285863193</v>
      </c>
      <c r="J5" s="37">
        <f t="shared" ca="1" si="4"/>
        <v>8</v>
      </c>
      <c r="L5" s="26">
        <v>3</v>
      </c>
      <c r="M5" s="27">
        <f ca="1">IFERROR(INDEX(Backtest!$A$8:$A$5000,MATCH(L5,Backtest!$P$8:$P$5000,0)),"")</f>
        <v>40295</v>
      </c>
      <c r="N5" s="27">
        <f ca="1">IFERROR(INDEX(Backtest!$A$8:$A$5000,MATCH(L5,Backtest!$Q$8:$Q$5000,0)),"")</f>
        <v>40301</v>
      </c>
      <c r="O5" s="28" t="str">
        <f ca="1">IF(ISNUMBER(M5),Backtest!$B$1,"")</f>
        <v>ITUB4</v>
      </c>
      <c r="P5" s="29">
        <f ca="1">IFERROR(VLOOKUP(N5,Backtest!A:C,2,FALSE)/VLOOKUP(M5,Backtest!A:C,2,FALSE)-1,"")</f>
        <v>4.4641161724216172E-2</v>
      </c>
      <c r="Q5" s="28" t="str">
        <f ca="1">IF(ISNUMBER(N5),Backtest!$C$1,"")</f>
        <v>BBDC4</v>
      </c>
      <c r="R5" s="29">
        <f ca="1">IFERROR(VLOOKUP(N5,Backtest!A:C,3,FALSE)/VLOOKUP(M5,Backtest!A:C,3,FALSE)-1,"")</f>
        <v>3.0240673390505846E-2</v>
      </c>
      <c r="S5" s="31">
        <f t="shared" ca="1" si="2"/>
        <v>1.4400488333710326E-2</v>
      </c>
      <c r="T5" s="34">
        <f t="shared" ca="1" si="3"/>
        <v>1440.0488333710325</v>
      </c>
      <c r="U5" s="37">
        <f t="shared" ca="1" si="5"/>
        <v>5</v>
      </c>
      <c r="W5" s="41" t="s">
        <v>18</v>
      </c>
      <c r="X5" s="43">
        <f>MAX(Backtest!A:A)</f>
        <v>44008</v>
      </c>
    </row>
    <row r="6" spans="1:31" x14ac:dyDescent="0.3">
      <c r="A6">
        <v>4</v>
      </c>
      <c r="B6" s="1">
        <f ca="1">IFERROR(INDEX(Backtest!$A$8:$A$5000,MATCH(A6,Backtest!$N$8:$N$5000,0)),"")</f>
        <v>40347</v>
      </c>
      <c r="C6" s="1">
        <f ca="1">IFERROR(INDEX(Backtest!$A$8:$A$5000,MATCH(A6,Backtest!$O$8:$O$5000,0)),"")</f>
        <v>40353</v>
      </c>
      <c r="D6" s="25" t="str">
        <f ca="1">IF(ISNUMBER(B6),Backtest!$C$1,"")</f>
        <v>BBDC4</v>
      </c>
      <c r="E6" s="30">
        <f ca="1">IFERROR(VLOOKUP(C6,Backtest!A:C,3,FALSE)/VLOOKUP(B6,Backtest!A:C,3,FALSE)-1,"")</f>
        <v>0</v>
      </c>
      <c r="F6" s="25" t="str">
        <f ca="1">IF(ISNUMBER(C6),Backtest!$B$1,"")</f>
        <v>ITUB4</v>
      </c>
      <c r="G6" s="30">
        <f ca="1">IFERROR(VLOOKUP(C6,Backtest!A:C,2,FALSE)/VLOOKUP(B6,Backtest!A:C,2,FALSE)-1,"")</f>
        <v>-2.6913868187031231E-2</v>
      </c>
      <c r="H6" s="32">
        <f t="shared" ca="1" si="0"/>
        <v>2.6913868187031231E-2</v>
      </c>
      <c r="I6" s="35">
        <f t="shared" ca="1" si="1"/>
        <v>2691.386818703123</v>
      </c>
      <c r="J6" s="38">
        <f t="shared" ca="1" si="4"/>
        <v>5</v>
      </c>
      <c r="L6">
        <v>4</v>
      </c>
      <c r="M6" s="1">
        <f ca="1">IFERROR(INDEX(Backtest!$A$8:$A$5000,MATCH(L6,Backtest!$P$8:$P$5000,0)),"")</f>
        <v>40304</v>
      </c>
      <c r="N6" s="1">
        <f ca="1">IFERROR(INDEX(Backtest!$A$8:$A$5000,MATCH(L6,Backtest!$Q$8:$Q$5000,0)),"")</f>
        <v>40308</v>
      </c>
      <c r="O6" s="25" t="str">
        <f ca="1">IF(ISNUMBER(M6),Backtest!$B$1,"")</f>
        <v>ITUB4</v>
      </c>
      <c r="P6" s="30">
        <f ca="1">IFERROR(VLOOKUP(N6,Backtest!A:C,2,FALSE)/VLOOKUP(M6,Backtest!A:C,2,FALSE)-1,"")</f>
        <v>4.0008568087845475E-2</v>
      </c>
      <c r="Q6" s="25" t="str">
        <f ca="1">IF(ISNUMBER(N6),Backtest!$C$1,"")</f>
        <v>BBDC4</v>
      </c>
      <c r="R6" s="30">
        <f ca="1">IFERROR(VLOOKUP(N6,Backtest!A:C,3,FALSE)/VLOOKUP(M6,Backtest!A:C,3,FALSE)-1,"")</f>
        <v>2.1293893878964631E-2</v>
      </c>
      <c r="S6" s="32">
        <f t="shared" ca="1" si="2"/>
        <v>1.8714674208880844E-2</v>
      </c>
      <c r="T6" s="35">
        <f t="shared" ca="1" si="3"/>
        <v>1871.4674208880845</v>
      </c>
      <c r="U6" s="38">
        <f t="shared" ca="1" si="5"/>
        <v>3</v>
      </c>
      <c r="W6" s="41" t="s">
        <v>24</v>
      </c>
      <c r="X6" s="44">
        <f ca="1">COUNTIFS(N3:N102,"&gt;0")+COUNTIFS(C3:C102,"&gt;0")</f>
        <v>177</v>
      </c>
    </row>
    <row r="7" spans="1:31" x14ac:dyDescent="0.3">
      <c r="A7" s="26">
        <v>5</v>
      </c>
      <c r="B7" s="27">
        <f ca="1">IFERROR(INDEX(Backtest!$A$8:$A$5000,MATCH(A7,Backtest!$N$8:$N$5000,0)),"")</f>
        <v>40371</v>
      </c>
      <c r="C7" s="27">
        <f ca="1">IFERROR(INDEX(Backtest!$A$8:$A$5000,MATCH(A7,Backtest!$O$8:$O$5000,0)),"")</f>
        <v>40399</v>
      </c>
      <c r="D7" s="28" t="str">
        <f ca="1">IF(ISNUMBER(B7),Backtest!$C$1,"")</f>
        <v>BBDC4</v>
      </c>
      <c r="E7" s="29">
        <f ca="1">IFERROR(VLOOKUP(C7,Backtest!A:C,3,FALSE)/VLOOKUP(B7,Backtest!A:C,3,FALSE)-1,"")</f>
        <v>2.6126720816608273E-3</v>
      </c>
      <c r="F7" s="28" t="str">
        <f ca="1">IF(ISNUMBER(C7),Backtest!$B$1,"")</f>
        <v>ITUB4</v>
      </c>
      <c r="G7" s="29">
        <f ca="1">IFERROR(VLOOKUP(C7,Backtest!A:C,2,FALSE)/VLOOKUP(B7,Backtest!A:C,2,FALSE)-1,"")</f>
        <v>3.4802115388428145E-2</v>
      </c>
      <c r="H7" s="31">
        <f t="shared" ca="1" si="0"/>
        <v>-3.2189443306767318E-2</v>
      </c>
      <c r="I7" s="34">
        <f t="shared" ca="1" si="1"/>
        <v>-3218.9443306767316</v>
      </c>
      <c r="J7" s="37">
        <f t="shared" ca="1" si="4"/>
        <v>21</v>
      </c>
      <c r="L7" s="26">
        <v>5</v>
      </c>
      <c r="M7" s="27">
        <f ca="1">IFERROR(INDEX(Backtest!$A$8:$A$5000,MATCH(L7,Backtest!$P$8:$P$5000,0)),"")</f>
        <v>40310</v>
      </c>
      <c r="N7" s="27">
        <f ca="1">IFERROR(INDEX(Backtest!$A$8:$A$5000,MATCH(L7,Backtest!$Q$8:$Q$5000,0)),"")</f>
        <v>40339</v>
      </c>
      <c r="O7" s="28" t="str">
        <f ca="1">IF(ISNUMBER(M7),Backtest!$B$1,"")</f>
        <v>ITUB4</v>
      </c>
      <c r="P7" s="29">
        <f ca="1">IFERROR(VLOOKUP(N7,Backtest!A:C,2,FALSE)/VLOOKUP(M7,Backtest!A:C,2,FALSE)-1,"")</f>
        <v>-7.2069485489901108E-2</v>
      </c>
      <c r="Q7" s="28" t="str">
        <f ca="1">IF(ISNUMBER(N7),Backtest!$C$1,"")</f>
        <v>BBDC4</v>
      </c>
      <c r="R7" s="29">
        <f ca="1">IFERROR(VLOOKUP(N7,Backtest!A:C,3,FALSE)/VLOOKUP(M7,Backtest!A:C,3,FALSE)-1,"")</f>
        <v>-5.7024903951845229E-2</v>
      </c>
      <c r="S7" s="31">
        <f t="shared" ca="1" si="2"/>
        <v>-1.5044581538055879E-2</v>
      </c>
      <c r="T7" s="34">
        <f t="shared" ca="1" si="3"/>
        <v>-1504.4581538055879</v>
      </c>
      <c r="U7" s="37">
        <f t="shared" ca="1" si="5"/>
        <v>22</v>
      </c>
      <c r="W7" s="41" t="s">
        <v>25</v>
      </c>
      <c r="X7" s="45">
        <f ca="1">(COUNTIFS(S3:S102,"&gt;0")+COUNTIFS(H3:H102,"&gt;0"))/X6</f>
        <v>0.75706214689265539</v>
      </c>
    </row>
    <row r="8" spans="1:31" x14ac:dyDescent="0.3">
      <c r="A8">
        <v>6</v>
      </c>
      <c r="B8" s="1">
        <f ca="1">IFERROR(INDEX(Backtest!$A$8:$A$5000,MATCH(A8,Backtest!$N$8:$N$5000,0)),"")</f>
        <v>40415</v>
      </c>
      <c r="C8" s="1">
        <f ca="1">IFERROR(INDEX(Backtest!$A$8:$A$5000,MATCH(A8,Backtest!$O$8:$O$5000,0)),"")</f>
        <v>40430</v>
      </c>
      <c r="D8" s="25" t="str">
        <f ca="1">IF(ISNUMBER(B8),Backtest!$C$1,"")</f>
        <v>BBDC4</v>
      </c>
      <c r="E8" s="30">
        <f ca="1">IFERROR(VLOOKUP(C8,Backtest!A:C,3,FALSE)/VLOOKUP(B8,Backtest!A:C,3,FALSE)-1,"")</f>
        <v>3.3797333849884259E-2</v>
      </c>
      <c r="F8" s="25" t="str">
        <f ca="1">IF(ISNUMBER(C8),Backtest!$B$1,"")</f>
        <v>ITUB4</v>
      </c>
      <c r="G8" s="30">
        <f ca="1">IFERROR(VLOOKUP(C8,Backtest!A:C,2,FALSE)/VLOOKUP(B8,Backtest!A:C,2,FALSE)-1,"")</f>
        <v>1.9017325380707106E-2</v>
      </c>
      <c r="H8" s="32">
        <f t="shared" ca="1" si="0"/>
        <v>1.4780008469177153E-2</v>
      </c>
      <c r="I8" s="35">
        <f t="shared" ca="1" si="1"/>
        <v>1478.0008469177153</v>
      </c>
      <c r="J8" s="38">
        <f t="shared" ca="1" si="4"/>
        <v>12</v>
      </c>
      <c r="L8">
        <v>6</v>
      </c>
      <c r="M8" s="1">
        <f ca="1">IFERROR(INDEX(Backtest!$A$8:$A$5000,MATCH(L8,Backtest!$P$8:$P$5000,0)),"")</f>
        <v>40353</v>
      </c>
      <c r="N8" s="1">
        <f ca="1">IFERROR(INDEX(Backtest!$A$8:$A$5000,MATCH(L8,Backtest!$Q$8:$Q$5000,0)),"")</f>
        <v>40357</v>
      </c>
      <c r="O8" s="25" t="str">
        <f ca="1">IF(ISNUMBER(M8),Backtest!$B$1,"")</f>
        <v>ITUB4</v>
      </c>
      <c r="P8" s="30">
        <f ca="1">IFERROR(VLOOKUP(N8,Backtest!A:C,2,FALSE)/VLOOKUP(M8,Backtest!A:C,2,FALSE)-1,"")</f>
        <v>4.6609288183268038E-3</v>
      </c>
      <c r="Q8" s="25" t="str">
        <f ca="1">IF(ISNUMBER(N8),Backtest!$C$1,"")</f>
        <v>BBDC4</v>
      </c>
      <c r="R8" s="30">
        <f ca="1">IFERROR(VLOOKUP(N8,Backtest!A:C,3,FALSE)/VLOOKUP(M8,Backtest!A:C,3,FALSE)-1,"")</f>
        <v>-1.4489868915511739E-2</v>
      </c>
      <c r="S8" s="32">
        <f t="shared" ca="1" si="2"/>
        <v>1.9150797733838543E-2</v>
      </c>
      <c r="T8" s="35">
        <f t="shared" ca="1" si="3"/>
        <v>1915.0797733838542</v>
      </c>
      <c r="U8" s="38">
        <f t="shared" ca="1" si="5"/>
        <v>3</v>
      </c>
      <c r="W8" s="41" t="s">
        <v>26</v>
      </c>
      <c r="X8" s="45">
        <f ca="1">AVERAGE(H3:H102,S3:S102)</f>
        <v>1.4501450595548629E-2</v>
      </c>
    </row>
    <row r="9" spans="1:31" ht="15" thickBot="1" x14ac:dyDescent="0.35">
      <c r="A9" s="26">
        <v>7</v>
      </c>
      <c r="B9" s="27">
        <f ca="1">IFERROR(INDEX(Backtest!$A$8:$A$5000,MATCH(A9,Backtest!$N$8:$N$5000,0)),"")</f>
        <v>40441</v>
      </c>
      <c r="C9" s="27">
        <f ca="1">IFERROR(INDEX(Backtest!$A$8:$A$5000,MATCH(A9,Backtest!$O$8:$O$5000,0)),"")</f>
        <v>40442</v>
      </c>
      <c r="D9" s="28" t="str">
        <f ca="1">IF(ISNUMBER(B9),Backtest!$C$1,"")</f>
        <v>BBDC4</v>
      </c>
      <c r="E9" s="29">
        <f ca="1">IFERROR(VLOOKUP(C9,Backtest!A:C,3,FALSE)/VLOOKUP(B9,Backtest!A:C,3,FALSE)-1,"")</f>
        <v>0.14653215183026846</v>
      </c>
      <c r="F9" s="28" t="str">
        <f ca="1">IF(ISNUMBER(C9),Backtest!$B$1,"")</f>
        <v>ITUB4</v>
      </c>
      <c r="G9" s="29">
        <f ca="1">IFERROR(VLOOKUP(C9,Backtest!A:C,2,FALSE)/VLOOKUP(B9,Backtest!A:C,2,FALSE)-1,"")</f>
        <v>-1.5643034077331808E-2</v>
      </c>
      <c r="H9" s="31">
        <f t="shared" ca="1" si="0"/>
        <v>0.16217518590760027</v>
      </c>
      <c r="I9" s="34">
        <f t="shared" ca="1" si="1"/>
        <v>16217.518590760028</v>
      </c>
      <c r="J9" s="37">
        <f t="shared" ca="1" si="4"/>
        <v>2</v>
      </c>
      <c r="L9" s="26">
        <v>7</v>
      </c>
      <c r="M9" s="27">
        <f ca="1">IFERROR(INDEX(Backtest!$A$8:$A$5000,MATCH(L9,Backtest!$P$8:$P$5000,0)),"")</f>
        <v>40364</v>
      </c>
      <c r="N9" s="27">
        <f ca="1">IFERROR(INDEX(Backtest!$A$8:$A$5000,MATCH(L9,Backtest!$Q$8:$Q$5000,0)),"")</f>
        <v>40371</v>
      </c>
      <c r="O9" s="28" t="str">
        <f ca="1">IF(ISNUMBER(M9),Backtest!$B$1,"")</f>
        <v>ITUB4</v>
      </c>
      <c r="P9" s="29">
        <f ca="1">IFERROR(VLOOKUP(N9,Backtest!A:C,2,FALSE)/VLOOKUP(M9,Backtest!A:C,2,FALSE)-1,"")</f>
        <v>0.11200468948140885</v>
      </c>
      <c r="Q9" s="28" t="str">
        <f ca="1">IF(ISNUMBER(N9),Backtest!$C$1,"")</f>
        <v>BBDC4</v>
      </c>
      <c r="R9" s="29">
        <f ca="1">IFERROR(VLOOKUP(N9,Backtest!A:C,3,FALSE)/VLOOKUP(M9,Backtest!A:C,3,FALSE)-1,"")</f>
        <v>-0.24540041560823778</v>
      </c>
      <c r="S9" s="31">
        <f t="shared" ca="1" si="2"/>
        <v>0.35740510508964662</v>
      </c>
      <c r="T9" s="34">
        <f t="shared" ca="1" si="3"/>
        <v>35740.51050896466</v>
      </c>
      <c r="U9" s="37">
        <f t="shared" ca="1" si="5"/>
        <v>6</v>
      </c>
      <c r="W9" s="42" t="s">
        <v>27</v>
      </c>
      <c r="X9" s="46">
        <f ca="1">AVERAGE(J3:J102,U3:U102)</f>
        <v>12.63276836158192</v>
      </c>
    </row>
    <row r="10" spans="1:31" ht="15" thickBot="1" x14ac:dyDescent="0.35">
      <c r="A10">
        <v>8</v>
      </c>
      <c r="B10" s="1">
        <f ca="1">IFERROR(INDEX(Backtest!$A$8:$A$5000,MATCH(A10,Backtest!$N$8:$N$5000,0)),"")</f>
        <v>40504</v>
      </c>
      <c r="C10" s="1">
        <f ca="1">IFERROR(INDEX(Backtest!$A$8:$A$5000,MATCH(A10,Backtest!$O$8:$O$5000,0)),"")</f>
        <v>40506</v>
      </c>
      <c r="D10" s="25" t="str">
        <f ca="1">IF(ISNUMBER(B10),Backtest!$C$1,"")</f>
        <v>BBDC4</v>
      </c>
      <c r="E10" s="30">
        <f ca="1">IFERROR(VLOOKUP(C10,Backtest!A:C,3,FALSE)/VLOOKUP(B10,Backtest!A:C,3,FALSE)-1,"")</f>
        <v>2.891594884526727E-3</v>
      </c>
      <c r="F10" s="25" t="str">
        <f ca="1">IF(ISNUMBER(C10),Backtest!$B$1,"")</f>
        <v>ITUB4</v>
      </c>
      <c r="G10" s="30">
        <f ca="1">IFERROR(VLOOKUP(C10,Backtest!A:C,2,FALSE)/VLOOKUP(B10,Backtest!A:C,2,FALSE)-1,"")</f>
        <v>-1.7922639379265193E-2</v>
      </c>
      <c r="H10" s="32">
        <f t="shared" ca="1" si="0"/>
        <v>2.081423426379192E-2</v>
      </c>
      <c r="I10" s="35">
        <f t="shared" ca="1" si="1"/>
        <v>2081.4234263791918</v>
      </c>
      <c r="J10" s="38">
        <f t="shared" ca="1" si="4"/>
        <v>3</v>
      </c>
      <c r="L10">
        <v>8</v>
      </c>
      <c r="M10" s="1">
        <f ca="1">IFERROR(INDEX(Backtest!$A$8:$A$5000,MATCH(L10,Backtest!$P$8:$P$5000,0)),"")</f>
        <v>40434</v>
      </c>
      <c r="N10" s="1">
        <f ca="1">IFERROR(INDEX(Backtest!$A$8:$A$5000,MATCH(L10,Backtest!$Q$8:$Q$5000,0)),"")</f>
        <v>40441</v>
      </c>
      <c r="O10" s="25" t="str">
        <f ca="1">IF(ISNUMBER(M10),Backtest!$B$1,"")</f>
        <v>ITUB4</v>
      </c>
      <c r="P10" s="30">
        <f ca="1">IFERROR(VLOOKUP(N10,Backtest!A:C,2,FALSE)/VLOOKUP(M10,Backtest!A:C,2,FALSE)-1,"")</f>
        <v>1.2988411574735625E-2</v>
      </c>
      <c r="Q10" s="25" t="str">
        <f ca="1">IF(ISNUMBER(N10),Backtest!$C$1,"")</f>
        <v>BBDC4</v>
      </c>
      <c r="R10" s="30">
        <f ca="1">IFERROR(VLOOKUP(N10,Backtest!A:C,3,FALSE)/VLOOKUP(M10,Backtest!A:C,3,FALSE)-1,"")</f>
        <v>-0.12834871792434566</v>
      </c>
      <c r="S10" s="32">
        <f t="shared" ca="1" si="2"/>
        <v>0.14133712949908128</v>
      </c>
      <c r="T10" s="35">
        <f t="shared" ca="1" si="3"/>
        <v>14133.712949908127</v>
      </c>
      <c r="U10" s="38">
        <f t="shared" ca="1" si="5"/>
        <v>6</v>
      </c>
      <c r="W10" s="42" t="s">
        <v>21</v>
      </c>
      <c r="X10" s="47">
        <f ca="1">SUM(I3:I102)+SUM(T3:T102)</f>
        <v>256675.67554121083</v>
      </c>
    </row>
    <row r="11" spans="1:31" x14ac:dyDescent="0.3">
      <c r="A11" s="26">
        <v>9</v>
      </c>
      <c r="B11" s="27">
        <f ca="1">IFERROR(INDEX(Backtest!$A$8:$A$5000,MATCH(A11,Backtest!$N$8:$N$5000,0)),"")</f>
        <v>40541</v>
      </c>
      <c r="C11" s="27">
        <f ca="1">IFERROR(INDEX(Backtest!$A$8:$A$5000,MATCH(A11,Backtest!$O$8:$O$5000,0)),"")</f>
        <v>40548</v>
      </c>
      <c r="D11" s="28" t="str">
        <f ca="1">IF(ISNUMBER(B11),Backtest!$C$1,"")</f>
        <v>BBDC4</v>
      </c>
      <c r="E11" s="29">
        <f ca="1">IFERROR(VLOOKUP(C11,Backtest!A:C,3,FALSE)/VLOOKUP(B11,Backtest!A:C,3,FALSE)-1,"")</f>
        <v>4.6330357645991027E-2</v>
      </c>
      <c r="F11" s="28" t="str">
        <f ca="1">IF(ISNUMBER(C11),Backtest!$B$1,"")</f>
        <v>ITUB4</v>
      </c>
      <c r="G11" s="29">
        <f ca="1">IFERROR(VLOOKUP(C11,Backtest!A:C,2,FALSE)/VLOOKUP(B11,Backtest!A:C,2,FALSE)-1,"")</f>
        <v>2.8787645652907701E-2</v>
      </c>
      <c r="H11" s="31">
        <f t="shared" ca="1" si="0"/>
        <v>1.7542711993083326E-2</v>
      </c>
      <c r="I11" s="34">
        <f t="shared" ca="1" si="1"/>
        <v>1754.2711993083326</v>
      </c>
      <c r="J11" s="37">
        <f t="shared" ca="1" si="4"/>
        <v>6</v>
      </c>
      <c r="L11" s="26">
        <v>9</v>
      </c>
      <c r="M11" s="27">
        <f ca="1">IFERROR(INDEX(Backtest!$A$8:$A$5000,MATCH(L11,Backtest!$P$8:$P$5000,0)),"")</f>
        <v>40476</v>
      </c>
      <c r="N11" s="27">
        <f ca="1">IFERROR(INDEX(Backtest!$A$8:$A$5000,MATCH(L11,Backtest!$Q$8:$Q$5000,0)),"")</f>
        <v>40493</v>
      </c>
      <c r="O11" s="28" t="str">
        <f ca="1">IF(ISNUMBER(M11),Backtest!$B$1,"")</f>
        <v>ITUB4</v>
      </c>
      <c r="P11" s="29">
        <f ca="1">IFERROR(VLOOKUP(N11,Backtest!A:C,2,FALSE)/VLOOKUP(M11,Backtest!A:C,2,FALSE)-1,"")</f>
        <v>-1.1138188861525733E-2</v>
      </c>
      <c r="Q11" s="28" t="str">
        <f ca="1">IF(ISNUMBER(N11),Backtest!$C$1,"")</f>
        <v>BBDC4</v>
      </c>
      <c r="R11" s="29">
        <f ca="1">IFERROR(VLOOKUP(N11,Backtest!A:C,3,FALSE)/VLOOKUP(M11,Backtest!A:C,3,FALSE)-1,"")</f>
        <v>-1.5373385688692731E-2</v>
      </c>
      <c r="S11" s="31">
        <f t="shared" ca="1" si="2"/>
        <v>4.2351968271669982E-3</v>
      </c>
      <c r="T11" s="34">
        <f t="shared" ca="1" si="3"/>
        <v>423.51968271669983</v>
      </c>
      <c r="U11" s="37">
        <f t="shared" ca="1" si="5"/>
        <v>14</v>
      </c>
    </row>
    <row r="12" spans="1:31" x14ac:dyDescent="0.3">
      <c r="A12">
        <v>10</v>
      </c>
      <c r="B12" s="1">
        <f ca="1">IFERROR(INDEX(Backtest!$A$8:$A$5000,MATCH(A12,Backtest!$N$8:$N$5000,0)),"")</f>
        <v>40556</v>
      </c>
      <c r="C12" s="1">
        <f ca="1">IFERROR(INDEX(Backtest!$A$8:$A$5000,MATCH(A12,Backtest!$O$8:$O$5000,0)),"")</f>
        <v>40557</v>
      </c>
      <c r="D12" s="25" t="str">
        <f ca="1">IF(ISNUMBER(B12),Backtest!$C$1,"")</f>
        <v>BBDC4</v>
      </c>
      <c r="E12" s="30">
        <f ca="1">IFERROR(VLOOKUP(C12,Backtest!A:C,3,FALSE)/VLOOKUP(B12,Backtest!A:C,3,FALSE)-1,"")</f>
        <v>9.4106819791990315E-3</v>
      </c>
      <c r="F12" s="25" t="str">
        <f ca="1">IF(ISNUMBER(C12),Backtest!$B$1,"")</f>
        <v>ITUB4</v>
      </c>
      <c r="G12" s="30">
        <f ca="1">IFERROR(VLOOKUP(C12,Backtest!A:C,2,FALSE)/VLOOKUP(B12,Backtest!A:C,2,FALSE)-1,"")</f>
        <v>-1.1233039340887707E-2</v>
      </c>
      <c r="H12" s="32">
        <f t="shared" ca="1" si="0"/>
        <v>2.0643721320086739E-2</v>
      </c>
      <c r="I12" s="35">
        <f t="shared" ca="1" si="1"/>
        <v>2064.3721320086738</v>
      </c>
      <c r="J12" s="38">
        <f t="shared" ca="1" si="4"/>
        <v>2</v>
      </c>
      <c r="L12">
        <v>10</v>
      </c>
      <c r="M12" s="1">
        <f ca="1">IFERROR(INDEX(Backtest!$A$8:$A$5000,MATCH(L12,Backtest!$P$8:$P$5000,0)),"")</f>
        <v>40511</v>
      </c>
      <c r="N12" s="1">
        <f ca="1">IFERROR(INDEX(Backtest!$A$8:$A$5000,MATCH(L12,Backtest!$Q$8:$Q$5000,0)),"")</f>
        <v>40534</v>
      </c>
      <c r="O12" s="25" t="str">
        <f ca="1">IF(ISNUMBER(M12),Backtest!$B$1,"")</f>
        <v>ITUB4</v>
      </c>
      <c r="P12" s="30">
        <f ca="1">IFERROR(VLOOKUP(N12,Backtest!A:C,2,FALSE)/VLOOKUP(M12,Backtest!A:C,2,FALSE)-1,"")</f>
        <v>-3.6286812759676046E-3</v>
      </c>
      <c r="Q12" s="25" t="str">
        <f ca="1">IF(ISNUMBER(N12),Backtest!$C$1,"")</f>
        <v>BBDC4</v>
      </c>
      <c r="R12" s="30">
        <f ca="1">IFERROR(VLOOKUP(N12,Backtest!A:C,3,FALSE)/VLOOKUP(M12,Backtest!A:C,3,FALSE)-1,"")</f>
        <v>-1.6814909479828666E-3</v>
      </c>
      <c r="S12" s="32">
        <f t="shared" ca="1" si="2"/>
        <v>-1.947190327984738E-3</v>
      </c>
      <c r="T12" s="35">
        <f t="shared" ca="1" si="3"/>
        <v>-194.71903279847379</v>
      </c>
      <c r="U12" s="38">
        <f t="shared" ca="1" si="5"/>
        <v>18</v>
      </c>
    </row>
    <row r="13" spans="1:31" x14ac:dyDescent="0.3">
      <c r="A13" s="26">
        <v>11</v>
      </c>
      <c r="B13" s="27">
        <f ca="1">IFERROR(INDEX(Backtest!$A$8:$A$5000,MATCH(A13,Backtest!$N$8:$N$5000,0)),"")</f>
        <v>40585</v>
      </c>
      <c r="C13" s="27">
        <f ca="1">IFERROR(INDEX(Backtest!$A$8:$A$5000,MATCH(A13,Backtest!$O$8:$O$5000,0)),"")</f>
        <v>40611</v>
      </c>
      <c r="D13" s="28" t="str">
        <f ca="1">IF(ISNUMBER(B13),Backtest!$C$1,"")</f>
        <v>BBDC4</v>
      </c>
      <c r="E13" s="29">
        <f ca="1">IFERROR(VLOOKUP(C13,Backtest!A:C,3,FALSE)/VLOOKUP(B13,Backtest!A:C,3,FALSE)-1,"")</f>
        <v>0</v>
      </c>
      <c r="F13" s="28" t="str">
        <f ca="1">IF(ISNUMBER(C13),Backtest!$B$1,"")</f>
        <v>ITUB4</v>
      </c>
      <c r="G13" s="29">
        <f ca="1">IFERROR(VLOOKUP(C13,Backtest!A:C,2,FALSE)/VLOOKUP(B13,Backtest!A:C,2,FALSE)-1,"")</f>
        <v>3.4821214307085846E-3</v>
      </c>
      <c r="H13" s="31">
        <f t="shared" ca="1" si="0"/>
        <v>-3.4821214307085846E-3</v>
      </c>
      <c r="I13" s="34">
        <f t="shared" ca="1" si="1"/>
        <v>-348.21214307085847</v>
      </c>
      <c r="J13" s="37">
        <f t="shared" ca="1" si="4"/>
        <v>19</v>
      </c>
      <c r="L13" s="26">
        <v>11</v>
      </c>
      <c r="M13" s="27">
        <f ca="1">IFERROR(INDEX(Backtest!$A$8:$A$5000,MATCH(L13,Backtest!$P$8:$P$5000,0)),"")</f>
        <v>40560</v>
      </c>
      <c r="N13" s="27">
        <f ca="1">IFERROR(INDEX(Backtest!$A$8:$A$5000,MATCH(L13,Backtest!$Q$8:$Q$5000,0)),"")</f>
        <v>40582</v>
      </c>
      <c r="O13" s="28" t="str">
        <f ca="1">IF(ISNUMBER(M13),Backtest!$B$1,"")</f>
        <v>ITUB4</v>
      </c>
      <c r="P13" s="29">
        <f ca="1">IFERROR(VLOOKUP(N13,Backtest!A:C,2,FALSE)/VLOOKUP(M13,Backtest!A:C,2,FALSE)-1,"")</f>
        <v>-8.2543846201980964E-2</v>
      </c>
      <c r="Q13" s="28" t="str">
        <f ca="1">IF(ISNUMBER(N13),Backtest!$C$1,"")</f>
        <v>BBDC4</v>
      </c>
      <c r="R13" s="29">
        <f ca="1">IFERROR(VLOOKUP(N13,Backtest!A:C,3,FALSE)/VLOOKUP(M13,Backtest!A:C,3,FALSE)-1,"")</f>
        <v>-7.7839277653076189E-2</v>
      </c>
      <c r="S13" s="31">
        <f t="shared" ca="1" si="2"/>
        <v>-4.704568548904775E-3</v>
      </c>
      <c r="T13" s="34">
        <f t="shared" ca="1" si="3"/>
        <v>-470.45685489047753</v>
      </c>
      <c r="U13" s="37">
        <f t="shared" ca="1" si="5"/>
        <v>17</v>
      </c>
    </row>
    <row r="14" spans="1:31" x14ac:dyDescent="0.3">
      <c r="A14">
        <v>12</v>
      </c>
      <c r="B14" s="1">
        <f ca="1">IFERROR(INDEX(Backtest!$A$8:$A$5000,MATCH(A14,Backtest!$N$8:$N$5000,0)),"")</f>
        <v>40669</v>
      </c>
      <c r="C14" s="1">
        <f ca="1">IFERROR(INDEX(Backtest!$A$8:$A$5000,MATCH(A14,Backtest!$O$8:$O$5000,0)),"")</f>
        <v>40674</v>
      </c>
      <c r="D14" s="25" t="str">
        <f ca="1">IF(ISNUMBER(B14),Backtest!$C$1,"")</f>
        <v>BBDC4</v>
      </c>
      <c r="E14" s="30">
        <f ca="1">IFERROR(VLOOKUP(C14,Backtest!A:C,3,FALSE)/VLOOKUP(B14,Backtest!A:C,3,FALSE)-1,"")</f>
        <v>1.515640614328162E-2</v>
      </c>
      <c r="F14" s="25" t="str">
        <f ca="1">IF(ISNUMBER(C14),Backtest!$B$1,"")</f>
        <v>ITUB4</v>
      </c>
      <c r="G14" s="30">
        <f ca="1">IFERROR(VLOOKUP(C14,Backtest!A:C,2,FALSE)/VLOOKUP(B14,Backtest!A:C,2,FALSE)-1,"")</f>
        <v>6.2888430648391225E-3</v>
      </c>
      <c r="H14" s="32">
        <f t="shared" ca="1" si="0"/>
        <v>8.8675630784424975E-3</v>
      </c>
      <c r="I14" s="35">
        <f t="shared" ca="1" si="1"/>
        <v>886.7563078442497</v>
      </c>
      <c r="J14" s="38">
        <f t="shared" ca="1" si="4"/>
        <v>4</v>
      </c>
      <c r="L14">
        <v>12</v>
      </c>
      <c r="M14" s="1">
        <f ca="1">IFERROR(INDEX(Backtest!$A$8:$A$5000,MATCH(L14,Backtest!$P$8:$P$5000,0)),"")</f>
        <v>40612</v>
      </c>
      <c r="N14" s="1">
        <f ca="1">IFERROR(INDEX(Backtest!$A$8:$A$5000,MATCH(L14,Backtest!$Q$8:$Q$5000,0)),"")</f>
        <v>40632</v>
      </c>
      <c r="O14" s="25" t="str">
        <f ca="1">IF(ISNUMBER(M14),Backtest!$B$1,"")</f>
        <v>ITUB4</v>
      </c>
      <c r="P14" s="30">
        <f ca="1">IFERROR(VLOOKUP(N14,Backtest!A:C,2,FALSE)/VLOOKUP(M14,Backtest!A:C,2,FALSE)-1,"")</f>
        <v>8.0125532473761751E-2</v>
      </c>
      <c r="Q14" s="25" t="str">
        <f ca="1">IF(ISNUMBER(N14),Backtest!$C$1,"")</f>
        <v>BBDC4</v>
      </c>
      <c r="R14" s="30">
        <f ca="1">IFERROR(VLOOKUP(N14,Backtest!A:C,3,FALSE)/VLOOKUP(M14,Backtest!A:C,3,FALSE)-1,"")</f>
        <v>4.1364100518151981E-2</v>
      </c>
      <c r="S14" s="32">
        <f t="shared" ca="1" si="2"/>
        <v>3.8761431955609771E-2</v>
      </c>
      <c r="T14" s="35">
        <f t="shared" ca="1" si="3"/>
        <v>3876.1431955609769</v>
      </c>
      <c r="U14" s="38">
        <f t="shared" ca="1" si="5"/>
        <v>15</v>
      </c>
    </row>
    <row r="15" spans="1:31" x14ac:dyDescent="0.3">
      <c r="A15" s="26">
        <v>13</v>
      </c>
      <c r="B15" s="27">
        <f ca="1">IFERROR(INDEX(Backtest!$A$8:$A$5000,MATCH(A15,Backtest!$N$8:$N$5000,0)),"")</f>
        <v>40710</v>
      </c>
      <c r="C15" s="27">
        <f ca="1">IFERROR(INDEX(Backtest!$A$8:$A$5000,MATCH(A15,Backtest!$O$8:$O$5000,0)),"")</f>
        <v>40711</v>
      </c>
      <c r="D15" s="28" t="str">
        <f ca="1">IF(ISNUMBER(B15),Backtest!$C$1,"")</f>
        <v>BBDC4</v>
      </c>
      <c r="E15" s="29">
        <f ca="1">IFERROR(VLOOKUP(C15,Backtest!A:C,3,FALSE)/VLOOKUP(B15,Backtest!A:C,3,FALSE)-1,"")</f>
        <v>-3.288627193369198E-3</v>
      </c>
      <c r="F15" s="28" t="str">
        <f ca="1">IF(ISNUMBER(C15),Backtest!$B$1,"")</f>
        <v>ITUB4</v>
      </c>
      <c r="G15" s="29">
        <f ca="1">IFERROR(VLOOKUP(C15,Backtest!A:C,2,FALSE)/VLOOKUP(B15,Backtest!A:C,2,FALSE)-1,"")</f>
        <v>-1.1024163793421415E-2</v>
      </c>
      <c r="H15" s="31">
        <f t="shared" ca="1" si="0"/>
        <v>7.7355366000522174E-3</v>
      </c>
      <c r="I15" s="34">
        <f t="shared" ca="1" si="1"/>
        <v>773.55366000522179</v>
      </c>
      <c r="J15" s="37">
        <f t="shared" ca="1" si="4"/>
        <v>2</v>
      </c>
      <c r="L15" s="26">
        <v>13</v>
      </c>
      <c r="M15" s="27">
        <f ca="1">IFERROR(INDEX(Backtest!$A$8:$A$5000,MATCH(L15,Backtest!$P$8:$P$5000,0)),"")</f>
        <v>40675</v>
      </c>
      <c r="N15" s="27">
        <f ca="1">IFERROR(INDEX(Backtest!$A$8:$A$5000,MATCH(L15,Backtest!$Q$8:$Q$5000,0)),"")</f>
        <v>40696</v>
      </c>
      <c r="O15" s="28" t="str">
        <f ca="1">IF(ISNUMBER(M15),Backtest!$B$1,"")</f>
        <v>ITUB4</v>
      </c>
      <c r="P15" s="29">
        <f ca="1">IFERROR(VLOOKUP(N15,Backtest!A:C,2,FALSE)/VLOOKUP(M15,Backtest!A:C,2,FALSE)-1,"")</f>
        <v>-2.3299756846769659E-2</v>
      </c>
      <c r="Q15" s="28" t="str">
        <f ca="1">IF(ISNUMBER(N15),Backtest!$C$1,"")</f>
        <v>BBDC4</v>
      </c>
      <c r="R15" s="29">
        <f ca="1">IFERROR(VLOOKUP(N15,Backtest!A:C,3,FALSE)/VLOOKUP(M15,Backtest!A:C,3,FALSE)-1,"")</f>
        <v>-2.6171606012665549E-2</v>
      </c>
      <c r="S15" s="31">
        <f t="shared" ca="1" si="2"/>
        <v>2.87184916589589E-3</v>
      </c>
      <c r="T15" s="34">
        <f t="shared" ca="1" si="3"/>
        <v>287.18491658958902</v>
      </c>
      <c r="U15" s="37">
        <f t="shared" ca="1" si="5"/>
        <v>16</v>
      </c>
    </row>
    <row r="16" spans="1:31" x14ac:dyDescent="0.3">
      <c r="A16">
        <v>14</v>
      </c>
      <c r="B16" s="1">
        <f ca="1">IFERROR(INDEX(Backtest!$A$8:$A$5000,MATCH(A16,Backtest!$N$8:$N$5000,0)),"")</f>
        <v>40812</v>
      </c>
      <c r="C16" s="1">
        <f ca="1">IFERROR(INDEX(Backtest!$A$8:$A$5000,MATCH(A16,Backtest!$O$8:$O$5000,0)),"")</f>
        <v>40844</v>
      </c>
      <c r="D16" s="25" t="str">
        <f ca="1">IF(ISNUMBER(B16),Backtest!$C$1,"")</f>
        <v>BBDC4</v>
      </c>
      <c r="E16" s="30">
        <f ca="1">IFERROR(VLOOKUP(C16,Backtest!A:C,3,FALSE)/VLOOKUP(B16,Backtest!A:C,3,FALSE)-1,"")</f>
        <v>0.15233095221194715</v>
      </c>
      <c r="F16" s="25" t="str">
        <f ca="1">IF(ISNUMBER(C16),Backtest!$B$1,"")</f>
        <v>ITUB4</v>
      </c>
      <c r="G16" s="30">
        <f ca="1">IFERROR(VLOOKUP(C16,Backtest!A:C,2,FALSE)/VLOOKUP(B16,Backtest!A:C,2,FALSE)-1,"")</f>
        <v>0.18195170695417828</v>
      </c>
      <c r="H16" s="32">
        <f t="shared" ca="1" si="0"/>
        <v>-2.9620754742231137E-2</v>
      </c>
      <c r="I16" s="35">
        <f t="shared" ca="1" si="1"/>
        <v>-2962.0754742231138</v>
      </c>
      <c r="J16" s="38">
        <f t="shared" ca="1" si="4"/>
        <v>25</v>
      </c>
      <c r="L16">
        <v>14</v>
      </c>
      <c r="M16" s="1">
        <f ca="1">IFERROR(INDEX(Backtest!$A$8:$A$5000,MATCH(L16,Backtest!$P$8:$P$5000,0)),"")</f>
        <v>40701</v>
      </c>
      <c r="N16" s="1">
        <f ca="1">IFERROR(INDEX(Backtest!$A$8:$A$5000,MATCH(L16,Backtest!$Q$8:$Q$5000,0)),"")</f>
        <v>40708</v>
      </c>
      <c r="O16" s="25" t="str">
        <f ca="1">IF(ISNUMBER(M16),Backtest!$B$1,"")</f>
        <v>ITUB4</v>
      </c>
      <c r="P16" s="30">
        <f ca="1">IFERROR(VLOOKUP(N16,Backtest!A:C,2,FALSE)/VLOOKUP(M16,Backtest!A:C,2,FALSE)-1,"")</f>
        <v>-8.1547635206089542E-3</v>
      </c>
      <c r="Q16" s="25" t="str">
        <f ca="1">IF(ISNUMBER(N16),Backtest!$C$1,"")</f>
        <v>BBDC4</v>
      </c>
      <c r="R16" s="30">
        <f ca="1">IFERROR(VLOOKUP(N16,Backtest!A:C,3,FALSE)/VLOOKUP(M16,Backtest!A:C,3,FALSE)-1,"")</f>
        <v>-1.3570074586498393E-2</v>
      </c>
      <c r="S16" s="32">
        <f t="shared" ca="1" si="2"/>
        <v>5.4153110658894388E-3</v>
      </c>
      <c r="T16" s="35">
        <f t="shared" ca="1" si="3"/>
        <v>541.53110658894389</v>
      </c>
      <c r="U16" s="38">
        <f t="shared" ca="1" si="5"/>
        <v>6</v>
      </c>
    </row>
    <row r="17" spans="1:21" x14ac:dyDescent="0.3">
      <c r="A17" s="26">
        <v>15</v>
      </c>
      <c r="B17" s="27">
        <f ca="1">IFERROR(INDEX(Backtest!$A$8:$A$5000,MATCH(A17,Backtest!$N$8:$N$5000,0)),"")</f>
        <v>40875</v>
      </c>
      <c r="C17" s="27">
        <f ca="1">IFERROR(INDEX(Backtest!$A$8:$A$5000,MATCH(A17,Backtest!$O$8:$O$5000,0)),"")</f>
        <v>40914</v>
      </c>
      <c r="D17" s="28" t="str">
        <f ca="1">IF(ISNUMBER(B17),Backtest!$C$1,"")</f>
        <v>BBDC4</v>
      </c>
      <c r="E17" s="29">
        <f ca="1">IFERROR(VLOOKUP(C17,Backtest!A:C,3,FALSE)/VLOOKUP(B17,Backtest!A:C,3,FALSE)-1,"")</f>
        <v>0.10912834225210699</v>
      </c>
      <c r="F17" s="28" t="str">
        <f ca="1">IF(ISNUMBER(C17),Backtest!$B$1,"")</f>
        <v>ITUB4</v>
      </c>
      <c r="G17" s="29">
        <f ca="1">IFERROR(VLOOKUP(C17,Backtest!A:C,2,FALSE)/VLOOKUP(B17,Backtest!A:C,2,FALSE)-1,"")</f>
        <v>0.15279635606092645</v>
      </c>
      <c r="H17" s="31">
        <f t="shared" ca="1" si="0"/>
        <v>-4.3668013808819461E-2</v>
      </c>
      <c r="I17" s="34">
        <f t="shared" ca="1" si="1"/>
        <v>-4366.801380881946</v>
      </c>
      <c r="J17" s="37">
        <f t="shared" ca="1" si="4"/>
        <v>30</v>
      </c>
      <c r="L17" s="26">
        <v>15</v>
      </c>
      <c r="M17" s="27">
        <f ca="1">IFERROR(INDEX(Backtest!$A$8:$A$5000,MATCH(L17,Backtest!$P$8:$P$5000,0)),"")</f>
        <v>40715</v>
      </c>
      <c r="N17" s="27">
        <f ca="1">IFERROR(INDEX(Backtest!$A$8:$A$5000,MATCH(L17,Backtest!$Q$8:$Q$5000,0)),"")</f>
        <v>40781</v>
      </c>
      <c r="O17" s="28" t="str">
        <f ca="1">IF(ISNUMBER(M17),Backtest!$B$1,"")</f>
        <v>ITUB4</v>
      </c>
      <c r="P17" s="29">
        <f ca="1">IFERROR(VLOOKUP(N17,Backtest!A:C,2,FALSE)/VLOOKUP(M17,Backtest!A:C,2,FALSE)-1,"")</f>
        <v>-0.21864864977853027</v>
      </c>
      <c r="Q17" s="28" t="str">
        <f ca="1">IF(ISNUMBER(N17),Backtest!$C$1,"")</f>
        <v>BBDC4</v>
      </c>
      <c r="R17" s="29">
        <f ca="1">IFERROR(VLOOKUP(N17,Backtest!A:C,3,FALSE)/VLOOKUP(M17,Backtest!A:C,3,FALSE)-1,"")</f>
        <v>-0.12530712147237255</v>
      </c>
      <c r="S17" s="31">
        <f t="shared" ca="1" si="2"/>
        <v>-9.3341528306157717E-2</v>
      </c>
      <c r="T17" s="34">
        <f t="shared" ca="1" si="3"/>
        <v>-9334.1528306157725</v>
      </c>
      <c r="U17" s="37">
        <f t="shared" ca="1" si="5"/>
        <v>49</v>
      </c>
    </row>
    <row r="18" spans="1:21" x14ac:dyDescent="0.3">
      <c r="A18">
        <v>16</v>
      </c>
      <c r="B18" s="1">
        <f ca="1">IFERROR(INDEX(Backtest!$A$8:$A$5000,MATCH(A18,Backtest!$N$8:$N$5000,0)),"")</f>
        <v>40918</v>
      </c>
      <c r="C18" s="1">
        <f ca="1">IFERROR(INDEX(Backtest!$A$8:$A$5000,MATCH(A18,Backtest!$O$8:$O$5000,0)),"")</f>
        <v>40932</v>
      </c>
      <c r="D18" s="25" t="str">
        <f ca="1">IF(ISNUMBER(B18),Backtest!$C$1,"")</f>
        <v>BBDC4</v>
      </c>
      <c r="E18" s="30">
        <f ca="1">IFERROR(VLOOKUP(C18,Backtest!A:C,3,FALSE)/VLOOKUP(B18,Backtest!A:C,3,FALSE)-1,"")</f>
        <v>2.0788394488563844E-2</v>
      </c>
      <c r="F18" s="25" t="str">
        <f ca="1">IF(ISNUMBER(C18),Backtest!$B$1,"")</f>
        <v>ITUB4</v>
      </c>
      <c r="G18" s="30">
        <f ca="1">IFERROR(VLOOKUP(C18,Backtest!A:C,2,FALSE)/VLOOKUP(B18,Backtest!A:C,2,FALSE)-1,"")</f>
        <v>3.9300546203919762E-3</v>
      </c>
      <c r="H18" s="32">
        <f t="shared" ca="1" si="0"/>
        <v>1.6858339868171868E-2</v>
      </c>
      <c r="I18" s="35">
        <f t="shared" ca="1" si="1"/>
        <v>1685.8339868171868</v>
      </c>
      <c r="J18" s="38">
        <f t="shared" ca="1" si="4"/>
        <v>11</v>
      </c>
      <c r="L18">
        <v>16</v>
      </c>
      <c r="M18" s="1">
        <f ca="1">IFERROR(INDEX(Backtest!$A$8:$A$5000,MATCH(L18,Backtest!$P$8:$P$5000,0)),"")</f>
        <v>40799</v>
      </c>
      <c r="N18" s="1">
        <f ca="1">IFERROR(INDEX(Backtest!$A$8:$A$5000,MATCH(L18,Backtest!$Q$8:$Q$5000,0)),"")</f>
        <v>40809</v>
      </c>
      <c r="O18" s="25" t="str">
        <f ca="1">IF(ISNUMBER(M18),Backtest!$B$1,"")</f>
        <v>ITUB4</v>
      </c>
      <c r="P18" s="30">
        <f ca="1">IFERROR(VLOOKUP(N18,Backtest!A:C,2,FALSE)/VLOOKUP(M18,Backtest!A:C,2,FALSE)-1,"")</f>
        <v>-2.1060383149071438E-2</v>
      </c>
      <c r="Q18" s="25" t="str">
        <f ca="1">IF(ISNUMBER(N18),Backtest!$C$1,"")</f>
        <v>BBDC4</v>
      </c>
      <c r="R18" s="30">
        <f ca="1">IFERROR(VLOOKUP(N18,Backtest!A:C,3,FALSE)/VLOOKUP(M18,Backtest!A:C,3,FALSE)-1,"")</f>
        <v>-4.4484191577381371E-2</v>
      </c>
      <c r="S18" s="32">
        <f t="shared" ca="1" si="2"/>
        <v>2.3423808428309933E-2</v>
      </c>
      <c r="T18" s="35">
        <f t="shared" ca="1" si="3"/>
        <v>2342.3808428309935</v>
      </c>
      <c r="U18" s="38">
        <f t="shared" ca="1" si="5"/>
        <v>9</v>
      </c>
    </row>
    <row r="19" spans="1:21" x14ac:dyDescent="0.3">
      <c r="A19" s="26">
        <v>17</v>
      </c>
      <c r="B19" s="27">
        <f ca="1">IFERROR(INDEX(Backtest!$A$8:$A$5000,MATCH(A19,Backtest!$N$8:$N$5000,0)),"")</f>
        <v>40940</v>
      </c>
      <c r="C19" s="27">
        <f ca="1">IFERROR(INDEX(Backtest!$A$8:$A$5000,MATCH(A19,Backtest!$O$8:$O$5000,0)),"")</f>
        <v>40974</v>
      </c>
      <c r="D19" s="28" t="str">
        <f ca="1">IF(ISNUMBER(B19),Backtest!$C$1,"")</f>
        <v>BBDC4</v>
      </c>
      <c r="E19" s="29">
        <f ca="1">IFERROR(VLOOKUP(C19,Backtest!A:C,3,FALSE)/VLOOKUP(B19,Backtest!A:C,3,FALSE)-1,"")</f>
        <v>-1.1512964352221822E-2</v>
      </c>
      <c r="F19" s="28" t="str">
        <f ca="1">IF(ISNUMBER(C19),Backtest!$B$1,"")</f>
        <v>ITUB4</v>
      </c>
      <c r="G19" s="29">
        <f ca="1">IFERROR(VLOOKUP(C19,Backtest!A:C,2,FALSE)/VLOOKUP(B19,Backtest!A:C,2,FALSE)-1,"")</f>
        <v>6.5052370440108476E-3</v>
      </c>
      <c r="H19" s="31">
        <f t="shared" ca="1" si="0"/>
        <v>-1.8018201396232669E-2</v>
      </c>
      <c r="I19" s="34">
        <f t="shared" ca="1" si="1"/>
        <v>-1801.8201396232669</v>
      </c>
      <c r="J19" s="37">
        <f t="shared" ca="1" si="4"/>
        <v>25</v>
      </c>
      <c r="L19" s="26">
        <v>17</v>
      </c>
      <c r="M19" s="27">
        <f ca="1">IFERROR(INDEX(Backtest!$A$8:$A$5000,MATCH(L19,Backtest!$P$8:$P$5000,0)),"")</f>
        <v>40844</v>
      </c>
      <c r="N19" s="27">
        <f ca="1">IFERROR(INDEX(Backtest!$A$8:$A$5000,MATCH(L19,Backtest!$Q$8:$Q$5000,0)),"")</f>
        <v>40870</v>
      </c>
      <c r="O19" s="28" t="str">
        <f ca="1">IF(ISNUMBER(M19),Backtest!$B$1,"")</f>
        <v>ITUB4</v>
      </c>
      <c r="P19" s="29">
        <f ca="1">IFERROR(VLOOKUP(N19,Backtest!A:C,2,FALSE)/VLOOKUP(M19,Backtest!A:C,2,FALSE)-1,"")</f>
        <v>-0.10622887503194856</v>
      </c>
      <c r="Q19" s="28" t="str">
        <f ca="1">IF(ISNUMBER(N19),Backtest!$C$1,"")</f>
        <v>BBDC4</v>
      </c>
      <c r="R19" s="29">
        <f ca="1">IFERROR(VLOOKUP(N19,Backtest!A:C,3,FALSE)/VLOOKUP(M19,Backtest!A:C,3,FALSE)-1,"")</f>
        <v>-0.10766853940050858</v>
      </c>
      <c r="S19" s="31">
        <f t="shared" ca="1" si="2"/>
        <v>1.439664368560023E-3</v>
      </c>
      <c r="T19" s="34">
        <f t="shared" ca="1" si="3"/>
        <v>143.9664368560023</v>
      </c>
      <c r="U19" s="37">
        <f t="shared" ca="1" si="5"/>
        <v>19</v>
      </c>
    </row>
    <row r="20" spans="1:21" x14ac:dyDescent="0.3">
      <c r="A20">
        <v>18</v>
      </c>
      <c r="B20" s="1">
        <f ca="1">IFERROR(INDEX(Backtest!$A$8:$A$5000,MATCH(A20,Backtest!$N$8:$N$5000,0)),"")</f>
        <v>41057</v>
      </c>
      <c r="C20" s="1">
        <f ca="1">IFERROR(INDEX(Backtest!$A$8:$A$5000,MATCH(A20,Backtest!$O$8:$O$5000,0)),"")</f>
        <v>41058</v>
      </c>
      <c r="D20" s="25" t="str">
        <f ca="1">IF(ISNUMBER(B20),Backtest!$C$1,"")</f>
        <v>BBDC4</v>
      </c>
      <c r="E20" s="30">
        <f ca="1">IFERROR(VLOOKUP(C20,Backtest!A:C,3,FALSE)/VLOOKUP(B20,Backtest!A:C,3,FALSE)-1,"")</f>
        <v>1.0548240034395473E-2</v>
      </c>
      <c r="F20" s="25" t="str">
        <f ca="1">IF(ISNUMBER(C20),Backtest!$B$1,"")</f>
        <v>ITUB4</v>
      </c>
      <c r="G20" s="30">
        <f ca="1">IFERROR(VLOOKUP(C20,Backtest!A:C,2,FALSE)/VLOOKUP(B20,Backtest!A:C,2,FALSE)-1,"")</f>
        <v>-9.4645975835480067E-3</v>
      </c>
      <c r="H20" s="32">
        <f t="shared" ca="1" si="0"/>
        <v>2.001283761794348E-2</v>
      </c>
      <c r="I20" s="35">
        <f t="shared" ca="1" si="1"/>
        <v>2001.283761794348</v>
      </c>
      <c r="J20" s="38">
        <f t="shared" ca="1" si="4"/>
        <v>2</v>
      </c>
      <c r="L20">
        <v>18</v>
      </c>
      <c r="M20" s="1">
        <f ca="1">IFERROR(INDEX(Backtest!$A$8:$A$5000,MATCH(L20,Backtest!$P$8:$P$5000,0)),"")</f>
        <v>40932</v>
      </c>
      <c r="N20" s="1">
        <f ca="1">IFERROR(INDEX(Backtest!$A$8:$A$5000,MATCH(L20,Backtest!$Q$8:$Q$5000,0)),"")</f>
        <v>40940</v>
      </c>
      <c r="O20" s="25" t="str">
        <f ca="1">IF(ISNUMBER(M20),Backtest!$B$1,"")</f>
        <v>ITUB4</v>
      </c>
      <c r="P20" s="30">
        <f ca="1">IFERROR(VLOOKUP(N20,Backtest!A:C,2,FALSE)/VLOOKUP(M20,Backtest!A:C,2,FALSE)-1,"")</f>
        <v>-3.6798549181660256E-4</v>
      </c>
      <c r="Q20" s="25" t="str">
        <f ca="1">IF(ISNUMBER(N20),Backtest!$C$1,"")</f>
        <v>BBDC4</v>
      </c>
      <c r="R20" s="30">
        <f ca="1">IFERROR(VLOOKUP(N20,Backtest!A:C,3,FALSE)/VLOOKUP(M20,Backtest!A:C,3,FALSE)-1,"")</f>
        <v>-3.3324435017468956E-2</v>
      </c>
      <c r="S20" s="32">
        <f t="shared" ca="1" si="2"/>
        <v>3.2956449525652354E-2</v>
      </c>
      <c r="T20" s="35">
        <f t="shared" ca="1" si="3"/>
        <v>3295.6449525652356</v>
      </c>
      <c r="U20" s="38">
        <f t="shared" ca="1" si="5"/>
        <v>7</v>
      </c>
    </row>
    <row r="21" spans="1:21" x14ac:dyDescent="0.3">
      <c r="A21" s="26">
        <v>19</v>
      </c>
      <c r="B21" s="27">
        <f ca="1">IFERROR(INDEX(Backtest!$A$8:$A$5000,MATCH(A21,Backtest!$N$8:$N$5000,0)),"")</f>
        <v>41103</v>
      </c>
      <c r="C21" s="27">
        <f ca="1">IFERROR(INDEX(Backtest!$A$8:$A$5000,MATCH(A21,Backtest!$O$8:$O$5000,0)),"")</f>
        <v>41128</v>
      </c>
      <c r="D21" s="28" t="str">
        <f ca="1">IF(ISNUMBER(B21),Backtest!$C$1,"")</f>
        <v>BBDC4</v>
      </c>
      <c r="E21" s="29">
        <f ca="1">IFERROR(VLOOKUP(C21,Backtest!A:C,3,FALSE)/VLOOKUP(B21,Backtest!A:C,3,FALSE)-1,"")</f>
        <v>0.11943933667337725</v>
      </c>
      <c r="F21" s="28" t="str">
        <f ca="1">IF(ISNUMBER(C21),Backtest!$B$1,"")</f>
        <v>ITUB4</v>
      </c>
      <c r="G21" s="29">
        <f ca="1">IFERROR(VLOOKUP(C21,Backtest!A:C,2,FALSE)/VLOOKUP(B21,Backtest!A:C,2,FALSE)-1,"")</f>
        <v>0.13597337102048157</v>
      </c>
      <c r="H21" s="31">
        <f t="shared" ca="1" si="0"/>
        <v>-1.6534034347104321E-2</v>
      </c>
      <c r="I21" s="34">
        <f t="shared" ca="1" si="1"/>
        <v>-1653.4034347104321</v>
      </c>
      <c r="J21" s="37">
        <f t="shared" ca="1" si="4"/>
        <v>18</v>
      </c>
      <c r="L21" s="26">
        <v>19</v>
      </c>
      <c r="M21" s="27">
        <f ca="1">IFERROR(INDEX(Backtest!$A$8:$A$5000,MATCH(L21,Backtest!$P$8:$P$5000,0)),"")</f>
        <v>40981</v>
      </c>
      <c r="N21" s="27">
        <f ca="1">IFERROR(INDEX(Backtest!$A$8:$A$5000,MATCH(L21,Backtest!$Q$8:$Q$5000,0)),"")</f>
        <v>41045</v>
      </c>
      <c r="O21" s="28" t="str">
        <f ca="1">IF(ISNUMBER(M21),Backtest!$B$1,"")</f>
        <v>ITUB4</v>
      </c>
      <c r="P21" s="29">
        <f ca="1">IFERROR(VLOOKUP(N21,Backtest!A:C,2,FALSE)/VLOOKUP(M21,Backtest!A:C,2,FALSE)-1,"")</f>
        <v>-0.25389775339804355</v>
      </c>
      <c r="Q21" s="28" t="str">
        <f ca="1">IF(ISNUMBER(N21),Backtest!$C$1,"")</f>
        <v>BBDC4</v>
      </c>
      <c r="R21" s="29">
        <f ca="1">IFERROR(VLOOKUP(N21,Backtest!A:C,3,FALSE)/VLOOKUP(M21,Backtest!A:C,3,FALSE)-1,"")</f>
        <v>-0.1433585867349414</v>
      </c>
      <c r="S21" s="31">
        <f t="shared" ca="1" si="2"/>
        <v>-0.11053916666310215</v>
      </c>
      <c r="T21" s="34">
        <f t="shared" ca="1" si="3"/>
        <v>-11053.916666310215</v>
      </c>
      <c r="U21" s="37">
        <f t="shared" ca="1" si="5"/>
        <v>47</v>
      </c>
    </row>
    <row r="22" spans="1:21" x14ac:dyDescent="0.3">
      <c r="A22">
        <v>20</v>
      </c>
      <c r="B22" s="1">
        <f ca="1">IFERROR(INDEX(Backtest!$A$8:$A$5000,MATCH(A22,Backtest!$N$8:$N$5000,0)),"")</f>
        <v>41249</v>
      </c>
      <c r="C22" s="1">
        <f ca="1">IFERROR(INDEX(Backtest!$A$8:$A$5000,MATCH(A22,Backtest!$O$8:$O$5000,0)),"")</f>
        <v>41253</v>
      </c>
      <c r="D22" s="25" t="str">
        <f ca="1">IF(ISNUMBER(B22),Backtest!$C$1,"")</f>
        <v>BBDC4</v>
      </c>
      <c r="E22" s="30">
        <f ca="1">IFERROR(VLOOKUP(C22,Backtest!A:C,3,FALSE)/VLOOKUP(B22,Backtest!A:C,3,FALSE)-1,"")</f>
        <v>1.3666113637084809E-2</v>
      </c>
      <c r="F22" s="25" t="str">
        <f ca="1">IF(ISNUMBER(C22),Backtest!$B$1,"")</f>
        <v>ITUB4</v>
      </c>
      <c r="G22" s="30">
        <f ca="1">IFERROR(VLOOKUP(C22,Backtest!A:C,2,FALSE)/VLOOKUP(B22,Backtest!A:C,2,FALSE)-1,"")</f>
        <v>2.444133310977481E-3</v>
      </c>
      <c r="H22" s="32">
        <f t="shared" ca="1" si="0"/>
        <v>1.1221980326107328E-2</v>
      </c>
      <c r="I22" s="35">
        <f t="shared" ca="1" si="1"/>
        <v>1122.1980326107328</v>
      </c>
      <c r="J22" s="38">
        <f t="shared" ca="1" si="4"/>
        <v>3</v>
      </c>
      <c r="L22">
        <v>20</v>
      </c>
      <c r="M22" s="1">
        <f ca="1">IFERROR(INDEX(Backtest!$A$8:$A$5000,MATCH(L22,Backtest!$P$8:$P$5000,0)),"")</f>
        <v>41050</v>
      </c>
      <c r="N22" s="1">
        <f ca="1">IFERROR(INDEX(Backtest!$A$8:$A$5000,MATCH(L22,Backtest!$Q$8:$Q$5000,0)),"")</f>
        <v>41052</v>
      </c>
      <c r="O22" s="25" t="str">
        <f ca="1">IF(ISNUMBER(M22),Backtest!$B$1,"")</f>
        <v>ITUB4</v>
      </c>
      <c r="P22" s="30">
        <f ca="1">IFERROR(VLOOKUP(N22,Backtest!A:C,2,FALSE)/VLOOKUP(M22,Backtest!A:C,2,FALSE)-1,"")</f>
        <v>4.8914820351057653E-2</v>
      </c>
      <c r="Q22" s="25" t="str">
        <f ca="1">IF(ISNUMBER(N22),Backtest!$C$1,"")</f>
        <v>BBDC4</v>
      </c>
      <c r="R22" s="30">
        <f ca="1">IFERROR(VLOOKUP(N22,Backtest!A:C,3,FALSE)/VLOOKUP(M22,Backtest!A:C,3,FALSE)-1,"")</f>
        <v>-1.1739642903482617E-2</v>
      </c>
      <c r="S22" s="32">
        <f t="shared" ca="1" si="2"/>
        <v>6.065446325454027E-2</v>
      </c>
      <c r="T22" s="35">
        <f t="shared" ca="1" si="3"/>
        <v>6065.4463254540269</v>
      </c>
      <c r="U22" s="38">
        <f t="shared" ca="1" si="5"/>
        <v>3</v>
      </c>
    </row>
    <row r="23" spans="1:21" x14ac:dyDescent="0.3">
      <c r="A23" s="26">
        <v>21</v>
      </c>
      <c r="B23" s="27">
        <f ca="1">IFERROR(INDEX(Backtest!$A$8:$A$5000,MATCH(A23,Backtest!$N$8:$N$5000,0)),"")</f>
        <v>41263</v>
      </c>
      <c r="C23" s="27">
        <f ca="1">IFERROR(INDEX(Backtest!$A$8:$A$5000,MATCH(A23,Backtest!$O$8:$O$5000,0)),"")</f>
        <v>41305</v>
      </c>
      <c r="D23" s="28" t="str">
        <f ca="1">IF(ISNUMBER(B23),Backtest!$C$1,"")</f>
        <v>BBDC4</v>
      </c>
      <c r="E23" s="29">
        <f ca="1">IFERROR(VLOOKUP(C23,Backtest!A:C,3,FALSE)/VLOOKUP(B23,Backtest!A:C,3,FALSE)-1,"")</f>
        <v>3.8766944323478381E-3</v>
      </c>
      <c r="F23" s="28" t="str">
        <f ca="1">IF(ISNUMBER(C23),Backtest!$B$1,"")</f>
        <v>ITUB4</v>
      </c>
      <c r="G23" s="29">
        <f ca="1">IFERROR(VLOOKUP(C23,Backtest!A:C,2,FALSE)/VLOOKUP(B23,Backtest!A:C,2,FALSE)-1,"")</f>
        <v>1.3685015093244823E-2</v>
      </c>
      <c r="H23" s="31">
        <f t="shared" ca="1" si="0"/>
        <v>-9.8083206608969853E-3</v>
      </c>
      <c r="I23" s="34">
        <f t="shared" ca="1" si="1"/>
        <v>-980.83206608969851</v>
      </c>
      <c r="J23" s="37">
        <f t="shared" ca="1" si="4"/>
        <v>31</v>
      </c>
      <c r="L23" s="26">
        <v>21</v>
      </c>
      <c r="M23" s="27">
        <f ca="1">IFERROR(INDEX(Backtest!$A$8:$A$5000,MATCH(L23,Backtest!$P$8:$P$5000,0)),"")</f>
        <v>41064</v>
      </c>
      <c r="N23" s="27">
        <f ca="1">IFERROR(INDEX(Backtest!$A$8:$A$5000,MATCH(L23,Backtest!$Q$8:$Q$5000,0)),"")</f>
        <v>41095</v>
      </c>
      <c r="O23" s="28" t="str">
        <f ca="1">IF(ISNUMBER(M23),Backtest!$B$1,"")</f>
        <v>ITUB4</v>
      </c>
      <c r="P23" s="29">
        <f ca="1">IFERROR(VLOOKUP(N23,Backtest!A:C,2,FALSE)/VLOOKUP(M23,Backtest!A:C,2,FALSE)-1,"")</f>
        <v>4.7396841400774159E-2</v>
      </c>
      <c r="Q23" s="28" t="str">
        <f ca="1">IF(ISNUMBER(N23),Backtest!$C$1,"")</f>
        <v>BBDC4</v>
      </c>
      <c r="R23" s="29">
        <f ca="1">IFERROR(VLOOKUP(N23,Backtest!A:C,3,FALSE)/VLOOKUP(M23,Backtest!A:C,3,FALSE)-1,"")</f>
        <v>5.5489745348864528E-2</v>
      </c>
      <c r="S23" s="31">
        <f t="shared" ca="1" si="2"/>
        <v>-8.0929039480903686E-3</v>
      </c>
      <c r="T23" s="34">
        <f t="shared" ca="1" si="3"/>
        <v>-809.29039480903691</v>
      </c>
      <c r="U23" s="37">
        <f t="shared" ca="1" si="5"/>
        <v>24</v>
      </c>
    </row>
    <row r="24" spans="1:21" x14ac:dyDescent="0.3">
      <c r="A24">
        <v>22</v>
      </c>
      <c r="B24" s="1">
        <f ca="1">IFERROR(INDEX(Backtest!$A$8:$A$5000,MATCH(A24,Backtest!$N$8:$N$5000,0)),"")</f>
        <v>41310</v>
      </c>
      <c r="C24" s="1">
        <f ca="1">IFERROR(INDEX(Backtest!$A$8:$A$5000,MATCH(A24,Backtest!$O$8:$O$5000,0)),"")</f>
        <v>41347</v>
      </c>
      <c r="D24" s="25" t="str">
        <f ca="1">IF(ISNUMBER(B24),Backtest!$C$1,"")</f>
        <v>BBDC4</v>
      </c>
      <c r="E24" s="30">
        <f ca="1">IFERROR(VLOOKUP(C24,Backtest!A:C,3,FALSE)/VLOOKUP(B24,Backtest!A:C,3,FALSE)-1,"")</f>
        <v>2.9116335658876391E-2</v>
      </c>
      <c r="F24" s="25" t="str">
        <f ca="1">IF(ISNUMBER(C24),Backtest!$B$1,"")</f>
        <v>ITUB4</v>
      </c>
      <c r="G24" s="30">
        <f ca="1">IFERROR(VLOOKUP(C24,Backtest!A:C,2,FALSE)/VLOOKUP(B24,Backtest!A:C,2,FALSE)-1,"")</f>
        <v>4.0752063215522938E-2</v>
      </c>
      <c r="H24" s="32">
        <f t="shared" ca="1" si="0"/>
        <v>-1.1635727556646547E-2</v>
      </c>
      <c r="I24" s="35">
        <f t="shared" ca="1" si="1"/>
        <v>-1163.5727556646548</v>
      </c>
      <c r="J24" s="38">
        <f t="shared" ca="1" si="4"/>
        <v>28</v>
      </c>
      <c r="L24">
        <v>22</v>
      </c>
      <c r="M24" s="1">
        <f ca="1">IFERROR(INDEX(Backtest!$A$8:$A$5000,MATCH(L24,Backtest!$P$8:$P$5000,0)),"")</f>
        <v>41100</v>
      </c>
      <c r="N24" s="1">
        <f ca="1">IFERROR(INDEX(Backtest!$A$8:$A$5000,MATCH(L24,Backtest!$Q$8:$Q$5000,0)),"")</f>
        <v>41102</v>
      </c>
      <c r="O24" s="25" t="str">
        <f ca="1">IF(ISNUMBER(M24),Backtest!$B$1,"")</f>
        <v>ITUB4</v>
      </c>
      <c r="P24" s="30">
        <f ca="1">IFERROR(VLOOKUP(N24,Backtest!A:C,2,FALSE)/VLOOKUP(M24,Backtest!A:C,2,FALSE)-1,"")</f>
        <v>1.4675032636760399E-2</v>
      </c>
      <c r="Q24" s="25" t="str">
        <f ca="1">IF(ISNUMBER(N24),Backtest!$C$1,"")</f>
        <v>BBDC4</v>
      </c>
      <c r="R24" s="30">
        <f ca="1">IFERROR(VLOOKUP(N24,Backtest!A:C,3,FALSE)/VLOOKUP(M24,Backtest!A:C,3,FALSE)-1,"")</f>
        <v>-1.9601432422897913E-2</v>
      </c>
      <c r="S24" s="32">
        <f t="shared" ca="1" si="2"/>
        <v>3.4276465059658312E-2</v>
      </c>
      <c r="T24" s="35">
        <f t="shared" ca="1" si="3"/>
        <v>3427.6465059658312</v>
      </c>
      <c r="U24" s="38">
        <f t="shared" ca="1" si="5"/>
        <v>3</v>
      </c>
    </row>
    <row r="25" spans="1:21" x14ac:dyDescent="0.3">
      <c r="A25" s="26">
        <v>23</v>
      </c>
      <c r="B25" s="27">
        <f ca="1">IFERROR(INDEX(Backtest!$A$8:$A$5000,MATCH(A25,Backtest!$N$8:$N$5000,0)),"")</f>
        <v>41351</v>
      </c>
      <c r="C25" s="27">
        <f ca="1">IFERROR(INDEX(Backtest!$A$8:$A$5000,MATCH(A25,Backtest!$O$8:$O$5000,0)),"")</f>
        <v>41360</v>
      </c>
      <c r="D25" s="28" t="str">
        <f ca="1">IF(ISNUMBER(B25),Backtest!$C$1,"")</f>
        <v>BBDC4</v>
      </c>
      <c r="E25" s="29">
        <f ca="1">IFERROR(VLOOKUP(C25,Backtest!A:C,3,FALSE)/VLOOKUP(B25,Backtest!A:C,3,FALSE)-1,"")</f>
        <v>8.3301554671639799E-3</v>
      </c>
      <c r="F25" s="28" t="str">
        <f ca="1">IF(ISNUMBER(C25),Backtest!$B$1,"")</f>
        <v>ITUB4</v>
      </c>
      <c r="G25" s="29">
        <f ca="1">IFERROR(VLOOKUP(C25,Backtest!A:C,2,FALSE)/VLOOKUP(B25,Backtest!A:C,2,FALSE)-1,"")</f>
        <v>-2.2070847145211014E-2</v>
      </c>
      <c r="H25" s="31">
        <f t="shared" ca="1" si="0"/>
        <v>3.0401002612374994E-2</v>
      </c>
      <c r="I25" s="34">
        <f t="shared" ca="1" si="1"/>
        <v>3040.1002612374996</v>
      </c>
      <c r="J25" s="37">
        <f t="shared" ca="1" si="4"/>
        <v>8</v>
      </c>
      <c r="L25" s="26">
        <v>23</v>
      </c>
      <c r="M25" s="27">
        <f ca="1">IFERROR(INDEX(Backtest!$A$8:$A$5000,MATCH(L25,Backtest!$P$8:$P$5000,0)),"")</f>
        <v>41138</v>
      </c>
      <c r="N25" s="27">
        <f ca="1">IFERROR(INDEX(Backtest!$A$8:$A$5000,MATCH(L25,Backtest!$Q$8:$Q$5000,0)),"")</f>
        <v>41164</v>
      </c>
      <c r="O25" s="28" t="str">
        <f ca="1">IF(ISNUMBER(M25),Backtest!$B$1,"")</f>
        <v>ITUB4</v>
      </c>
      <c r="P25" s="29">
        <f ca="1">IFERROR(VLOOKUP(N25,Backtest!A:C,2,FALSE)/VLOOKUP(M25,Backtest!A:C,2,FALSE)-1,"")</f>
        <v>-3.0912439004824321E-3</v>
      </c>
      <c r="Q25" s="28" t="str">
        <f ca="1">IF(ISNUMBER(N25),Backtest!$C$1,"")</f>
        <v>BBDC4</v>
      </c>
      <c r="R25" s="29">
        <f ca="1">IFERROR(VLOOKUP(N25,Backtest!A:C,3,FALSE)/VLOOKUP(M25,Backtest!A:C,3,FALSE)-1,"")</f>
        <v>-1.1160664457185998E-2</v>
      </c>
      <c r="S25" s="31">
        <f t="shared" ca="1" si="2"/>
        <v>8.0694205567035659E-3</v>
      </c>
      <c r="T25" s="34">
        <f t="shared" ca="1" si="3"/>
        <v>806.94205567035658</v>
      </c>
      <c r="U25" s="37">
        <f t="shared" ca="1" si="5"/>
        <v>19</v>
      </c>
    </row>
    <row r="26" spans="1:21" x14ac:dyDescent="0.3">
      <c r="A26">
        <v>24</v>
      </c>
      <c r="B26" s="1">
        <f ca="1">IFERROR(INDEX(Backtest!$A$8:$A$5000,MATCH(A26,Backtest!$N$8:$N$5000,0)),"")</f>
        <v>41409</v>
      </c>
      <c r="C26" s="1">
        <f ca="1">IFERROR(INDEX(Backtest!$A$8:$A$5000,MATCH(A26,Backtest!$O$8:$O$5000,0)),"")</f>
        <v>41414</v>
      </c>
      <c r="D26" s="25" t="str">
        <f ca="1">IF(ISNUMBER(B26),Backtest!$C$1,"")</f>
        <v>BBDC4</v>
      </c>
      <c r="E26" s="30">
        <f ca="1">IFERROR(VLOOKUP(C26,Backtest!A:C,3,FALSE)/VLOOKUP(B26,Backtest!A:C,3,FALSE)-1,"")</f>
        <v>4.0416985846155828E-2</v>
      </c>
      <c r="F26" s="25" t="str">
        <f ca="1">IF(ISNUMBER(C26),Backtest!$B$1,"")</f>
        <v>ITUB4</v>
      </c>
      <c r="G26" s="30">
        <f ca="1">IFERROR(VLOOKUP(C26,Backtest!A:C,2,FALSE)/VLOOKUP(B26,Backtest!A:C,2,FALSE)-1,"")</f>
        <v>-7.9486864463342743E-2</v>
      </c>
      <c r="H26" s="32">
        <f t="shared" ca="1" si="0"/>
        <v>0.11990385030949857</v>
      </c>
      <c r="I26" s="35">
        <f t="shared" ca="1" si="1"/>
        <v>11990.385030949858</v>
      </c>
      <c r="J26" s="38">
        <f t="shared" ca="1" si="4"/>
        <v>4</v>
      </c>
      <c r="L26">
        <v>24</v>
      </c>
      <c r="M26" s="1">
        <f ca="1">IFERROR(INDEX(Backtest!$A$8:$A$5000,MATCH(L26,Backtest!$P$8:$P$5000,0)),"")</f>
        <v>41170</v>
      </c>
      <c r="N26" s="1">
        <f ca="1">IFERROR(INDEX(Backtest!$A$8:$A$5000,MATCH(L26,Backtest!$Q$8:$Q$5000,0)),"")</f>
        <v>41178</v>
      </c>
      <c r="O26" s="25" t="str">
        <f ca="1">IF(ISNUMBER(M26),Backtest!$B$1,"")</f>
        <v>ITUB4</v>
      </c>
      <c r="P26" s="30">
        <f ca="1">IFERROR(VLOOKUP(N26,Backtest!A:C,2,FALSE)/VLOOKUP(M26,Backtest!A:C,2,FALSE)-1,"")</f>
        <v>-5.2849464939512591E-2</v>
      </c>
      <c r="Q26" s="25" t="str">
        <f ca="1">IF(ISNUMBER(N26),Backtest!$C$1,"")</f>
        <v>BBDC4</v>
      </c>
      <c r="R26" s="30">
        <f ca="1">IFERROR(VLOOKUP(N26,Backtest!A:C,3,FALSE)/VLOOKUP(M26,Backtest!A:C,3,FALSE)-1,"")</f>
        <v>-7.5944483466734325E-2</v>
      </c>
      <c r="S26" s="32">
        <f t="shared" ca="1" si="2"/>
        <v>2.3095018527221733E-2</v>
      </c>
      <c r="T26" s="35">
        <f t="shared" ca="1" si="3"/>
        <v>2309.5018527221732</v>
      </c>
      <c r="U26" s="38">
        <f t="shared" ca="1" si="5"/>
        <v>7</v>
      </c>
    </row>
    <row r="27" spans="1:21" x14ac:dyDescent="0.3">
      <c r="A27" s="26">
        <v>25</v>
      </c>
      <c r="B27" s="27">
        <f ca="1">IFERROR(INDEX(Backtest!$A$8:$A$5000,MATCH(A27,Backtest!$N$8:$N$5000,0)),"")</f>
        <v>41429</v>
      </c>
      <c r="C27" s="27">
        <f ca="1">IFERROR(INDEX(Backtest!$A$8:$A$5000,MATCH(A27,Backtest!$O$8:$O$5000,0)),"")</f>
        <v>41470</v>
      </c>
      <c r="D27" s="28" t="str">
        <f ca="1">IF(ISNUMBER(B27),Backtest!$C$1,"")</f>
        <v>BBDC4</v>
      </c>
      <c r="E27" s="29">
        <f ca="1">IFERROR(VLOOKUP(C27,Backtest!A:C,3,FALSE)/VLOOKUP(B27,Backtest!A:C,3,FALSE)-1,"")</f>
        <v>-0.1464734481319433</v>
      </c>
      <c r="F27" s="28" t="str">
        <f ca="1">IF(ISNUMBER(C27),Backtest!$B$1,"")</f>
        <v>ITUB4</v>
      </c>
      <c r="G27" s="29">
        <f ca="1">IFERROR(VLOOKUP(C27,Backtest!A:C,2,FALSE)/VLOOKUP(B27,Backtest!A:C,2,FALSE)-1,"")</f>
        <v>-0.13540961266112006</v>
      </c>
      <c r="H27" s="31">
        <f t="shared" ca="1" si="0"/>
        <v>-1.1063835470823236E-2</v>
      </c>
      <c r="I27" s="34">
        <f t="shared" ca="1" si="1"/>
        <v>-1106.3835470823235</v>
      </c>
      <c r="J27" s="37">
        <f t="shared" ca="1" si="4"/>
        <v>30</v>
      </c>
      <c r="L27" s="26">
        <v>25</v>
      </c>
      <c r="M27" s="27">
        <f ca="1">IFERROR(INDEX(Backtest!$A$8:$A$5000,MATCH(L27,Backtest!$P$8:$P$5000,0)),"")</f>
        <v>41180</v>
      </c>
      <c r="N27" s="27">
        <f ca="1">IFERROR(INDEX(Backtest!$A$8:$A$5000,MATCH(L27,Backtest!$Q$8:$Q$5000,0)),"")</f>
        <v>41190</v>
      </c>
      <c r="O27" s="28" t="str">
        <f ca="1">IF(ISNUMBER(M27),Backtest!$B$1,"")</f>
        <v>ITUB4</v>
      </c>
      <c r="P27" s="29">
        <f ca="1">IFERROR(VLOOKUP(N27,Backtest!A:C,2,FALSE)/VLOOKUP(M27,Backtest!A:C,2,FALSE)-1,"")</f>
        <v>1.0579287558544648E-2</v>
      </c>
      <c r="Q27" s="28" t="str">
        <f ca="1">IF(ISNUMBER(N27),Backtest!$C$1,"")</f>
        <v>BBDC4</v>
      </c>
      <c r="R27" s="29">
        <f ca="1">IFERROR(VLOOKUP(N27,Backtest!A:C,3,FALSE)/VLOOKUP(M27,Backtest!A:C,3,FALSE)-1,"")</f>
        <v>-9.0037583136807209E-3</v>
      </c>
      <c r="S27" s="31">
        <f t="shared" ca="1" si="2"/>
        <v>1.9583045872225369E-2</v>
      </c>
      <c r="T27" s="34">
        <f t="shared" ca="1" si="3"/>
        <v>1958.3045872225368</v>
      </c>
      <c r="U27" s="37">
        <f t="shared" ca="1" si="5"/>
        <v>7</v>
      </c>
    </row>
    <row r="28" spans="1:21" x14ac:dyDescent="0.3">
      <c r="A28">
        <v>26</v>
      </c>
      <c r="B28" s="1">
        <f ca="1">IFERROR(INDEX(Backtest!$A$8:$A$5000,MATCH(A28,Backtest!$N$8:$N$5000,0)),"")</f>
        <v>41474</v>
      </c>
      <c r="C28" s="1">
        <f ca="1">IFERROR(INDEX(Backtest!$A$8:$A$5000,MATCH(A28,Backtest!$O$8:$O$5000,0)),"")</f>
        <v>41477</v>
      </c>
      <c r="D28" s="25" t="str">
        <f ca="1">IF(ISNUMBER(B28),Backtest!$C$1,"")</f>
        <v>BBDC4</v>
      </c>
      <c r="E28" s="30">
        <f ca="1">IFERROR(VLOOKUP(C28,Backtest!A:C,3,FALSE)/VLOOKUP(B28,Backtest!A:C,3,FALSE)-1,"")</f>
        <v>3.6730522830282553E-2</v>
      </c>
      <c r="F28" s="25" t="str">
        <f ca="1">IF(ISNUMBER(C28),Backtest!$B$1,"")</f>
        <v>ITUB4</v>
      </c>
      <c r="G28" s="30">
        <f ca="1">IFERROR(VLOOKUP(C28,Backtest!A:C,2,FALSE)/VLOOKUP(B28,Backtest!A:C,2,FALSE)-1,"")</f>
        <v>1.6519447811548016E-2</v>
      </c>
      <c r="H28" s="32">
        <f t="shared" ca="1" si="0"/>
        <v>2.0211075018734537E-2</v>
      </c>
      <c r="I28" s="35">
        <f t="shared" ca="1" si="1"/>
        <v>2021.1075018734537</v>
      </c>
      <c r="J28" s="38">
        <f t="shared" ca="1" si="4"/>
        <v>2</v>
      </c>
      <c r="L28">
        <v>26</v>
      </c>
      <c r="M28" s="1">
        <f ca="1">IFERROR(INDEX(Backtest!$A$8:$A$5000,MATCH(L28,Backtest!$P$8:$P$5000,0)),"")</f>
        <v>41193</v>
      </c>
      <c r="N28" s="1">
        <f ca="1">IFERROR(INDEX(Backtest!$A$8:$A$5000,MATCH(L28,Backtest!$Q$8:$Q$5000,0)),"")</f>
        <v>41214</v>
      </c>
      <c r="O28" s="25" t="str">
        <f ca="1">IF(ISNUMBER(M28),Backtest!$B$1,"")</f>
        <v>ITUB4</v>
      </c>
      <c r="P28" s="30">
        <f ca="1">IFERROR(VLOOKUP(N28,Backtest!A:C,2,FALSE)/VLOOKUP(M28,Backtest!A:C,2,FALSE)-1,"")</f>
        <v>4.6691357225110641E-2</v>
      </c>
      <c r="Q28" s="25" t="str">
        <f ca="1">IF(ISNUMBER(N28),Backtest!$C$1,"")</f>
        <v>BBDC4</v>
      </c>
      <c r="R28" s="30">
        <f ca="1">IFERROR(VLOOKUP(N28,Backtest!A:C,3,FALSE)/VLOOKUP(M28,Backtest!A:C,3,FALSE)-1,"")</f>
        <v>5.0049004376428341E-2</v>
      </c>
      <c r="S28" s="32">
        <f t="shared" ca="1" si="2"/>
        <v>-3.3576471513176998E-3</v>
      </c>
      <c r="T28" s="35">
        <f t="shared" ca="1" si="3"/>
        <v>-335.76471513177</v>
      </c>
      <c r="U28" s="38">
        <f t="shared" ca="1" si="5"/>
        <v>16</v>
      </c>
    </row>
    <row r="29" spans="1:21" x14ac:dyDescent="0.3">
      <c r="A29" s="26">
        <v>27</v>
      </c>
      <c r="B29" s="27">
        <f ca="1">IFERROR(INDEX(Backtest!$A$8:$A$5000,MATCH(A29,Backtest!$N$8:$N$5000,0)),"")</f>
        <v>41485</v>
      </c>
      <c r="C29" s="27">
        <f ca="1">IFERROR(INDEX(Backtest!$A$8:$A$5000,MATCH(A29,Backtest!$O$8:$O$5000,0)),"")</f>
        <v>41502</v>
      </c>
      <c r="D29" s="28" t="str">
        <f ca="1">IF(ISNUMBER(B29),Backtest!$C$1,"")</f>
        <v>BBDC4</v>
      </c>
      <c r="E29" s="29">
        <f ca="1">IFERROR(VLOOKUP(C29,Backtest!A:C,3,FALSE)/VLOOKUP(B29,Backtest!A:C,3,FALSE)-1,"")</f>
        <v>1.3988132483445881E-2</v>
      </c>
      <c r="F29" s="28" t="str">
        <f ca="1">IF(ISNUMBER(C29),Backtest!$B$1,"")</f>
        <v>ITUB4</v>
      </c>
      <c r="G29" s="29">
        <f ca="1">IFERROR(VLOOKUP(C29,Backtest!A:C,2,FALSE)/VLOOKUP(B29,Backtest!A:C,2,FALSE)-1,"")</f>
        <v>3.460026556476592E-4</v>
      </c>
      <c r="H29" s="31">
        <f t="shared" ca="1" si="0"/>
        <v>1.3642129827798222E-2</v>
      </c>
      <c r="I29" s="34">
        <f t="shared" ca="1" si="1"/>
        <v>1364.2129827798221</v>
      </c>
      <c r="J29" s="37">
        <f t="shared" ca="1" si="4"/>
        <v>14</v>
      </c>
      <c r="L29" s="26">
        <v>27</v>
      </c>
      <c r="M29" s="27">
        <f ca="1">IFERROR(INDEX(Backtest!$A$8:$A$5000,MATCH(L29,Backtest!$P$8:$P$5000,0)),"")</f>
        <v>41229</v>
      </c>
      <c r="N29" s="27">
        <f ca="1">IFERROR(INDEX(Backtest!$A$8:$A$5000,MATCH(L29,Backtest!$Q$8:$Q$5000,0)),"")</f>
        <v>41242</v>
      </c>
      <c r="O29" s="28" t="str">
        <f ca="1">IF(ISNUMBER(M29),Backtest!$B$1,"")</f>
        <v>ITUB4</v>
      </c>
      <c r="P29" s="29">
        <f ca="1">IFERROR(VLOOKUP(N29,Backtest!A:C,2,FALSE)/VLOOKUP(M29,Backtest!A:C,2,FALSE)-1,"")</f>
        <v>6.3245275232825859E-2</v>
      </c>
      <c r="Q29" s="28" t="str">
        <f ca="1">IF(ISNUMBER(N29),Backtest!$C$1,"")</f>
        <v>BBDC4</v>
      </c>
      <c r="R29" s="29">
        <f ca="1">IFERROR(VLOOKUP(N29,Backtest!A:C,3,FALSE)/VLOOKUP(M29,Backtest!A:C,3,FALSE)-1,"")</f>
        <v>4.9737254179473833E-2</v>
      </c>
      <c r="S29" s="31">
        <f t="shared" ca="1" si="2"/>
        <v>1.3508021053352026E-2</v>
      </c>
      <c r="T29" s="34">
        <f t="shared" ca="1" si="3"/>
        <v>1350.8021053352027</v>
      </c>
      <c r="U29" s="37">
        <f t="shared" ca="1" si="5"/>
        <v>10</v>
      </c>
    </row>
    <row r="30" spans="1:21" x14ac:dyDescent="0.3">
      <c r="A30">
        <v>28</v>
      </c>
      <c r="B30" s="1">
        <f ca="1">IFERROR(INDEX(Backtest!$A$8:$A$5000,MATCH(A30,Backtest!$N$8:$N$5000,0)),"")</f>
        <v>41575</v>
      </c>
      <c r="C30" s="1">
        <f ca="1">IFERROR(INDEX(Backtest!$A$8:$A$5000,MATCH(A30,Backtest!$O$8:$O$5000,0)),"")</f>
        <v>41659</v>
      </c>
      <c r="D30" s="25" t="str">
        <f ca="1">IF(ISNUMBER(B30),Backtest!$C$1,"")</f>
        <v>BBDC4</v>
      </c>
      <c r="E30" s="30">
        <f ca="1">IFERROR(VLOOKUP(C30,Backtest!A:C,3,FALSE)/VLOOKUP(B30,Backtest!A:C,3,FALSE)-1,"")</f>
        <v>-0.15757457891677618</v>
      </c>
      <c r="F30" s="25" t="str">
        <f ca="1">IF(ISNUMBER(C30),Backtest!$B$1,"")</f>
        <v>ITUB4</v>
      </c>
      <c r="G30" s="30">
        <f ca="1">IFERROR(VLOOKUP(C30,Backtest!A:C,2,FALSE)/VLOOKUP(B30,Backtest!A:C,2,FALSE)-1,"")</f>
        <v>-0.10629743018192139</v>
      </c>
      <c r="H30" s="32">
        <f t="shared" ca="1" si="0"/>
        <v>-5.1277148734854783E-2</v>
      </c>
      <c r="I30" s="35">
        <f t="shared" ca="1" si="1"/>
        <v>-5127.7148734854782</v>
      </c>
      <c r="J30" s="38">
        <f t="shared" ca="1" si="4"/>
        <v>61</v>
      </c>
      <c r="L30">
        <v>28</v>
      </c>
      <c r="M30" s="1">
        <f ca="1">IFERROR(INDEX(Backtest!$A$8:$A$5000,MATCH(L30,Backtest!$P$8:$P$5000,0)),"")</f>
        <v>41243</v>
      </c>
      <c r="N30" s="1">
        <f ca="1">IFERROR(INDEX(Backtest!$A$8:$A$5000,MATCH(L30,Backtest!$Q$8:$Q$5000,0)),"")</f>
        <v>41247</v>
      </c>
      <c r="O30" s="25" t="str">
        <f ca="1">IF(ISNUMBER(M30),Backtest!$B$1,"")</f>
        <v>ITUB4</v>
      </c>
      <c r="P30" s="30">
        <f ca="1">IFERROR(VLOOKUP(N30,Backtest!A:C,2,FALSE)/VLOOKUP(M30,Backtest!A:C,2,FALSE)-1,"")</f>
        <v>1.6190812811580635E-2</v>
      </c>
      <c r="Q30" s="25" t="str">
        <f ca="1">IF(ISNUMBER(N30),Backtest!$C$1,"")</f>
        <v>BBDC4</v>
      </c>
      <c r="R30" s="30">
        <f ca="1">IFERROR(VLOOKUP(N30,Backtest!A:C,3,FALSE)/VLOOKUP(M30,Backtest!A:C,3,FALSE)-1,"")</f>
        <v>-4.4966969191330142E-3</v>
      </c>
      <c r="S30" s="32">
        <f t="shared" ca="1" si="2"/>
        <v>2.0687509730713649E-2</v>
      </c>
      <c r="T30" s="35">
        <f t="shared" ca="1" si="3"/>
        <v>2068.750973071365</v>
      </c>
      <c r="U30" s="38">
        <f t="shared" ca="1" si="5"/>
        <v>3</v>
      </c>
    </row>
    <row r="31" spans="1:21" x14ac:dyDescent="0.3">
      <c r="A31" s="26">
        <v>29</v>
      </c>
      <c r="B31" s="27">
        <f ca="1">IFERROR(INDEX(Backtest!$A$8:$A$5000,MATCH(A31,Backtest!$N$8:$N$5000,0)),"")</f>
        <v>41666</v>
      </c>
      <c r="C31" s="27">
        <f ca="1">IFERROR(INDEX(Backtest!$A$8:$A$5000,MATCH(A31,Backtest!$O$8:$O$5000,0)),"")</f>
        <v>41688</v>
      </c>
      <c r="D31" s="28" t="str">
        <f ca="1">IF(ISNUMBER(B31),Backtest!$C$1,"")</f>
        <v>BBDC4</v>
      </c>
      <c r="E31" s="29">
        <f ca="1">IFERROR(VLOOKUP(C31,Backtest!A:C,3,FALSE)/VLOOKUP(B31,Backtest!A:C,3,FALSE)-1,"")</f>
        <v>1.6571203870845874E-2</v>
      </c>
      <c r="F31" s="28" t="str">
        <f ca="1">IF(ISNUMBER(C31),Backtest!$B$1,"")</f>
        <v>ITUB4</v>
      </c>
      <c r="G31" s="29">
        <f ca="1">IFERROR(VLOOKUP(C31,Backtest!A:C,2,FALSE)/VLOOKUP(B31,Backtest!A:C,2,FALSE)-1,"")</f>
        <v>3.9889412401668212E-2</v>
      </c>
      <c r="H31" s="31">
        <f t="shared" ca="1" si="0"/>
        <v>-2.3318208530822337E-2</v>
      </c>
      <c r="I31" s="34">
        <f t="shared" ca="1" si="1"/>
        <v>-2331.820853082234</v>
      </c>
      <c r="J31" s="37">
        <f t="shared" ca="1" si="4"/>
        <v>17</v>
      </c>
      <c r="L31" s="26">
        <v>29</v>
      </c>
      <c r="M31" s="27">
        <f ca="1">IFERROR(INDEX(Backtest!$A$8:$A$5000,MATCH(L31,Backtest!$P$8:$P$5000,0)),"")</f>
        <v>41248</v>
      </c>
      <c r="N31" s="27">
        <f ca="1">IFERROR(INDEX(Backtest!$A$8:$A$5000,MATCH(L31,Backtest!$Q$8:$Q$5000,0)),"")</f>
        <v>41249</v>
      </c>
      <c r="O31" s="28" t="str">
        <f ca="1">IF(ISNUMBER(M31),Backtest!$B$1,"")</f>
        <v>ITUB4</v>
      </c>
      <c r="P31" s="29">
        <f ca="1">IFERROR(VLOOKUP(N31,Backtest!A:C,2,FALSE)/VLOOKUP(M31,Backtest!A:C,2,FALSE)-1,"")</f>
        <v>-3.3531635530851256E-3</v>
      </c>
      <c r="Q31" s="28" t="str">
        <f ca="1">IF(ISNUMBER(N31),Backtest!$C$1,"")</f>
        <v>BBDC4</v>
      </c>
      <c r="R31" s="29">
        <f ca="1">IFERROR(VLOOKUP(N31,Backtest!A:C,3,FALSE)/VLOOKUP(M31,Backtest!A:C,3,FALSE)-1,"")</f>
        <v>-2.0642617936999286E-2</v>
      </c>
      <c r="S31" s="31">
        <f t="shared" ca="1" si="2"/>
        <v>1.728945438391416E-2</v>
      </c>
      <c r="T31" s="34">
        <f t="shared" ca="1" si="3"/>
        <v>1728.945438391416</v>
      </c>
      <c r="U31" s="37">
        <f t="shared" ca="1" si="5"/>
        <v>2</v>
      </c>
    </row>
    <row r="32" spans="1:21" x14ac:dyDescent="0.3">
      <c r="A32">
        <v>30</v>
      </c>
      <c r="B32" s="1">
        <f ca="1">IFERROR(INDEX(Backtest!$A$8:$A$5000,MATCH(A32,Backtest!$N$8:$N$5000,0)),"")</f>
        <v>41754</v>
      </c>
      <c r="C32" s="1">
        <f ca="1">IFERROR(INDEX(Backtest!$A$8:$A$5000,MATCH(A32,Backtest!$O$8:$O$5000,0)),"")</f>
        <v>41766</v>
      </c>
      <c r="D32" s="25" t="str">
        <f ca="1">IF(ISNUMBER(B32),Backtest!$C$1,"")</f>
        <v>BBDC4</v>
      </c>
      <c r="E32" s="30">
        <f ca="1">IFERROR(VLOOKUP(C32,Backtest!A:C,3,FALSE)/VLOOKUP(B32,Backtest!A:C,3,FALSE)-1,"")</f>
        <v>4.4294128414282596E-2</v>
      </c>
      <c r="F32" s="25" t="str">
        <f ca="1">IF(ISNUMBER(C32),Backtest!$B$1,"")</f>
        <v>ITUB4</v>
      </c>
      <c r="G32" s="30">
        <f ca="1">IFERROR(VLOOKUP(C32,Backtest!A:C,2,FALSE)/VLOOKUP(B32,Backtest!A:C,2,FALSE)-1,"")</f>
        <v>2.552993086053279E-2</v>
      </c>
      <c r="H32" s="32">
        <f t="shared" ca="1" si="0"/>
        <v>1.8764197553749806E-2</v>
      </c>
      <c r="I32" s="35">
        <f t="shared" ca="1" si="1"/>
        <v>1876.4197553749807</v>
      </c>
      <c r="J32" s="38">
        <f t="shared" ca="1" si="4"/>
        <v>9</v>
      </c>
      <c r="L32">
        <v>30</v>
      </c>
      <c r="M32" s="1">
        <f ca="1">IFERROR(INDEX(Backtest!$A$8:$A$5000,MATCH(L32,Backtest!$P$8:$P$5000,0)),"")</f>
        <v>41256</v>
      </c>
      <c r="N32" s="1">
        <f ca="1">IFERROR(INDEX(Backtest!$A$8:$A$5000,MATCH(L32,Backtest!$Q$8:$Q$5000,0)),"")</f>
        <v>41262</v>
      </c>
      <c r="O32" s="25" t="str">
        <f ca="1">IF(ISNUMBER(M32),Backtest!$B$1,"")</f>
        <v>ITUB4</v>
      </c>
      <c r="P32" s="30">
        <f ca="1">IFERROR(VLOOKUP(N32,Backtest!A:C,2,FALSE)/VLOOKUP(M32,Backtest!A:C,2,FALSE)-1,"")</f>
        <v>3.5580329334250926E-2</v>
      </c>
      <c r="Q32" s="25" t="str">
        <f ca="1">IF(ISNUMBER(N32),Backtest!$C$1,"")</f>
        <v>BBDC4</v>
      </c>
      <c r="R32" s="30">
        <f ca="1">IFERROR(VLOOKUP(N32,Backtest!A:C,3,FALSE)/VLOOKUP(M32,Backtest!A:C,3,FALSE)-1,"")</f>
        <v>2.1058728954090666E-2</v>
      </c>
      <c r="S32" s="32">
        <f t="shared" ca="1" si="2"/>
        <v>1.452160038016026E-2</v>
      </c>
      <c r="T32" s="35">
        <f t="shared" ca="1" si="3"/>
        <v>1452.160038016026</v>
      </c>
      <c r="U32" s="38">
        <f t="shared" ca="1" si="5"/>
        <v>5</v>
      </c>
    </row>
    <row r="33" spans="1:21" x14ac:dyDescent="0.3">
      <c r="A33" s="26">
        <v>31</v>
      </c>
      <c r="B33" s="27">
        <f ca="1">IFERROR(INDEX(Backtest!$A$8:$A$5000,MATCH(A33,Backtest!$N$8:$N$5000,0)),"")</f>
        <v>41786</v>
      </c>
      <c r="C33" s="27">
        <f ca="1">IFERROR(INDEX(Backtest!$A$8:$A$5000,MATCH(A33,Backtest!$O$8:$O$5000,0)),"")</f>
        <v>41800</v>
      </c>
      <c r="D33" s="28" t="str">
        <f ca="1">IF(ISNUMBER(B33),Backtest!$C$1,"")</f>
        <v>BBDC4</v>
      </c>
      <c r="E33" s="29">
        <f ca="1">IFERROR(VLOOKUP(C33,Backtest!A:C,3,FALSE)/VLOOKUP(B33,Backtest!A:C,3,FALSE)-1,"")</f>
        <v>5.8933651665882936E-2</v>
      </c>
      <c r="F33" s="28" t="str">
        <f ca="1">IF(ISNUMBER(C33),Backtest!$B$1,"")</f>
        <v>ITUB4</v>
      </c>
      <c r="G33" s="29">
        <f ca="1">IFERROR(VLOOKUP(C33,Backtest!A:C,2,FALSE)/VLOOKUP(B33,Backtest!A:C,2,FALSE)-1,"")</f>
        <v>4.1737868967517855E-2</v>
      </c>
      <c r="H33" s="31">
        <f t="shared" ca="1" si="0"/>
        <v>1.7195782698365081E-2</v>
      </c>
      <c r="I33" s="34">
        <f t="shared" ca="1" si="1"/>
        <v>1719.5782698365081</v>
      </c>
      <c r="J33" s="37">
        <f t="shared" ca="1" si="4"/>
        <v>11</v>
      </c>
      <c r="L33" s="26">
        <v>31</v>
      </c>
      <c r="M33" s="27">
        <f ca="1">IFERROR(INDEX(Backtest!$A$8:$A$5000,MATCH(L33,Backtest!$P$8:$P$5000,0)),"")</f>
        <v>41309</v>
      </c>
      <c r="N33" s="27">
        <f ca="1">IFERROR(INDEX(Backtest!$A$8:$A$5000,MATCH(L33,Backtest!$Q$8:$Q$5000,0)),"")</f>
        <v>41310</v>
      </c>
      <c r="O33" s="28" t="str">
        <f ca="1">IF(ISNUMBER(M33),Backtest!$B$1,"")</f>
        <v>ITUB4</v>
      </c>
      <c r="P33" s="29">
        <f ca="1">IFERROR(VLOOKUP(N33,Backtest!A:C,2,FALSE)/VLOOKUP(M33,Backtest!A:C,2,FALSE)-1,"")</f>
        <v>2.5187925427809565E-2</v>
      </c>
      <c r="Q33" s="28" t="str">
        <f ca="1">IF(ISNUMBER(N33),Backtest!$C$1,"")</f>
        <v>BBDC4</v>
      </c>
      <c r="R33" s="29">
        <f ca="1">IFERROR(VLOOKUP(N33,Backtest!A:C,3,FALSE)/VLOOKUP(M33,Backtest!A:C,3,FALSE)-1,"")</f>
        <v>-3.061336227562883E-3</v>
      </c>
      <c r="S33" s="31">
        <f t="shared" ca="1" si="2"/>
        <v>2.8249261655372448E-2</v>
      </c>
      <c r="T33" s="34">
        <f t="shared" ca="1" si="3"/>
        <v>2824.9261655372447</v>
      </c>
      <c r="U33" s="37">
        <f t="shared" ca="1" si="5"/>
        <v>2</v>
      </c>
    </row>
    <row r="34" spans="1:21" x14ac:dyDescent="0.3">
      <c r="A34">
        <v>32</v>
      </c>
      <c r="B34" s="1">
        <f ca="1">IFERROR(INDEX(Backtest!$A$8:$A$5000,MATCH(A34,Backtest!$N$8:$N$5000,0)),"")</f>
        <v>41837</v>
      </c>
      <c r="C34" s="1">
        <f ca="1">IFERROR(INDEX(Backtest!$A$8:$A$5000,MATCH(A34,Backtest!$O$8:$O$5000,0)),"")</f>
        <v>41855</v>
      </c>
      <c r="D34" s="25" t="str">
        <f ca="1">IF(ISNUMBER(B34),Backtest!$C$1,"")</f>
        <v>BBDC4</v>
      </c>
      <c r="E34" s="30">
        <f ca="1">IFERROR(VLOOKUP(C34,Backtest!A:C,3,FALSE)/VLOOKUP(B34,Backtest!A:C,3,FALSE)-1,"")</f>
        <v>6.3566209389352535E-2</v>
      </c>
      <c r="F34" s="25" t="str">
        <f ca="1">IF(ISNUMBER(C34),Backtest!$B$1,"")</f>
        <v>ITUB4</v>
      </c>
      <c r="G34" s="30">
        <f ca="1">IFERROR(VLOOKUP(C34,Backtest!A:C,2,FALSE)/VLOOKUP(B34,Backtest!A:C,2,FALSE)-1,"")</f>
        <v>5.9628668790461248E-2</v>
      </c>
      <c r="H34" s="32">
        <f t="shared" ca="1" si="0"/>
        <v>3.937540598891287E-3</v>
      </c>
      <c r="I34" s="35">
        <f t="shared" ca="1" si="1"/>
        <v>393.75405988912871</v>
      </c>
      <c r="J34" s="38">
        <f t="shared" ca="1" si="4"/>
        <v>13</v>
      </c>
      <c r="L34">
        <v>32</v>
      </c>
      <c r="M34" s="1">
        <f ca="1">IFERROR(INDEX(Backtest!$A$8:$A$5000,MATCH(L34,Backtest!$P$8:$P$5000,0)),"")</f>
        <v>41347</v>
      </c>
      <c r="N34" s="1">
        <f ca="1">IFERROR(INDEX(Backtest!$A$8:$A$5000,MATCH(L34,Backtest!$Q$8:$Q$5000,0)),"")</f>
        <v>41351</v>
      </c>
      <c r="O34" s="25" t="str">
        <f ca="1">IF(ISNUMBER(M34),Backtest!$B$1,"")</f>
        <v>ITUB4</v>
      </c>
      <c r="P34" s="30">
        <f ca="1">IFERROR(VLOOKUP(N34,Backtest!A:C,2,FALSE)/VLOOKUP(M34,Backtest!A:C,2,FALSE)-1,"")</f>
        <v>1.9694064397874689E-2</v>
      </c>
      <c r="Q34" s="25" t="str">
        <f ca="1">IF(ISNUMBER(N34),Backtest!$C$1,"")</f>
        <v>BBDC4</v>
      </c>
      <c r="R34" s="30">
        <f ca="1">IFERROR(VLOOKUP(N34,Backtest!A:C,3,FALSE)/VLOOKUP(M34,Backtest!A:C,3,FALSE)-1,"")</f>
        <v>-1.1687354798700422E-2</v>
      </c>
      <c r="S34" s="32">
        <f t="shared" ca="1" si="2"/>
        <v>3.1381419196575111E-2</v>
      </c>
      <c r="T34" s="35">
        <f t="shared" ca="1" si="3"/>
        <v>3138.1419196575112</v>
      </c>
      <c r="U34" s="38">
        <f t="shared" ca="1" si="5"/>
        <v>3</v>
      </c>
    </row>
    <row r="35" spans="1:21" x14ac:dyDescent="0.3">
      <c r="A35" s="26">
        <v>33</v>
      </c>
      <c r="B35" s="27">
        <f ca="1">IFERROR(INDEX(Backtest!$A$8:$A$5000,MATCH(A35,Backtest!$N$8:$N$5000,0)),"")</f>
        <v>41856</v>
      </c>
      <c r="C35" s="27">
        <f ca="1">IFERROR(INDEX(Backtest!$A$8:$A$5000,MATCH(A35,Backtest!$O$8:$O$5000,0)),"")</f>
        <v>41864</v>
      </c>
      <c r="D35" s="28" t="str">
        <f ca="1">IF(ISNUMBER(B35),Backtest!$C$1,"")</f>
        <v>BBDC4</v>
      </c>
      <c r="E35" s="29">
        <f ca="1">IFERROR(VLOOKUP(C35,Backtest!A:C,3,FALSE)/VLOOKUP(B35,Backtest!A:C,3,FALSE)-1,"")</f>
        <v>-1.3676669474966929E-2</v>
      </c>
      <c r="F35" s="28" t="str">
        <f ca="1">IF(ISNUMBER(C35),Backtest!$B$1,"")</f>
        <v>ITUB4</v>
      </c>
      <c r="G35" s="29">
        <f ca="1">IFERROR(VLOOKUP(C35,Backtest!A:C,2,FALSE)/VLOOKUP(B35,Backtest!A:C,2,FALSE)-1,"")</f>
        <v>-2.83733048804653E-2</v>
      </c>
      <c r="H35" s="31">
        <f t="shared" ref="H35:H66" ca="1" si="6">IF(ISNUMBER(C35),E35-G35,"")</f>
        <v>1.4696635405498371E-2</v>
      </c>
      <c r="I35" s="34">
        <f t="shared" ref="I35:I66" ca="1" si="7">IF(ISNUMBER(C35),H35*$B$1,"")</f>
        <v>1469.6635405498371</v>
      </c>
      <c r="J35" s="37">
        <f t="shared" ca="1" si="4"/>
        <v>7</v>
      </c>
      <c r="L35" s="26">
        <v>33</v>
      </c>
      <c r="M35" s="27">
        <f ca="1">IFERROR(INDEX(Backtest!$A$8:$A$5000,MATCH(L35,Backtest!$P$8:$P$5000,0)),"")</f>
        <v>41360</v>
      </c>
      <c r="N35" s="27">
        <f ca="1">IFERROR(INDEX(Backtest!$A$8:$A$5000,MATCH(L35,Backtest!$Q$8:$Q$5000,0)),"")</f>
        <v>41388</v>
      </c>
      <c r="O35" s="28" t="str">
        <f ca="1">IF(ISNUMBER(M35),Backtest!$B$1,"")</f>
        <v>ITUB4</v>
      </c>
      <c r="P35" s="29">
        <f ca="1">IFERROR(VLOOKUP(N35,Backtest!A:C,2,FALSE)/VLOOKUP(M35,Backtest!A:C,2,FALSE)-1,"")</f>
        <v>-4.8763174872537229E-2</v>
      </c>
      <c r="Q35" s="28" t="str">
        <f ca="1">IF(ISNUMBER(N35),Backtest!$C$1,"")</f>
        <v>BBDC4</v>
      </c>
      <c r="R35" s="29">
        <f ca="1">IFERROR(VLOOKUP(N35,Backtest!A:C,3,FALSE)/VLOOKUP(M35,Backtest!A:C,3,FALSE)-1,"")</f>
        <v>-2.412940507419814E-2</v>
      </c>
      <c r="S35" s="31">
        <f t="shared" ref="S35:S66" ca="1" si="8">IF(ISNUMBER(N35),P35-R35,"")</f>
        <v>-2.4633769798339089E-2</v>
      </c>
      <c r="T35" s="34">
        <f t="shared" ref="T35:T66" ca="1" si="9">IF(ISNUMBER(N35),S35*$B$1,"")</f>
        <v>-2463.376979833909</v>
      </c>
      <c r="U35" s="37">
        <f t="shared" ca="1" si="5"/>
        <v>21</v>
      </c>
    </row>
    <row r="36" spans="1:21" x14ac:dyDescent="0.3">
      <c r="A36">
        <v>34</v>
      </c>
      <c r="B36" s="1">
        <f ca="1">IFERROR(INDEX(Backtest!$A$8:$A$5000,MATCH(A36,Backtest!$N$8:$N$5000,0)),"")</f>
        <v>41892</v>
      </c>
      <c r="C36" s="1">
        <f ca="1">IFERROR(INDEX(Backtest!$A$8:$A$5000,MATCH(A36,Backtest!$O$8:$O$5000,0)),"")</f>
        <v>41897</v>
      </c>
      <c r="D36" s="25" t="str">
        <f ca="1">IF(ISNUMBER(B36),Backtest!$C$1,"")</f>
        <v>BBDC4</v>
      </c>
      <c r="E36" s="30">
        <f ca="1">IFERROR(VLOOKUP(C36,Backtest!A:C,3,FALSE)/VLOOKUP(B36,Backtest!A:C,3,FALSE)-1,"")</f>
        <v>0</v>
      </c>
      <c r="F36" s="25" t="str">
        <f ca="1">IF(ISNUMBER(C36),Backtest!$B$1,"")</f>
        <v>ITUB4</v>
      </c>
      <c r="G36" s="30">
        <f ca="1">IFERROR(VLOOKUP(C36,Backtest!A:C,2,FALSE)/VLOOKUP(B36,Backtest!A:C,2,FALSE)-1,"")</f>
        <v>-1.2994884630171288E-2</v>
      </c>
      <c r="H36" s="32">
        <f t="shared" ca="1" si="6"/>
        <v>1.2994884630171288E-2</v>
      </c>
      <c r="I36" s="35">
        <f t="shared" ca="1" si="7"/>
        <v>1299.4884630171289</v>
      </c>
      <c r="J36" s="38">
        <f t="shared" ca="1" si="4"/>
        <v>4</v>
      </c>
      <c r="L36">
        <v>34</v>
      </c>
      <c r="M36" s="1">
        <f ca="1">IFERROR(INDEX(Backtest!$A$8:$A$5000,MATCH(L36,Backtest!$P$8:$P$5000,0)),"")</f>
        <v>41390</v>
      </c>
      <c r="N36" s="1">
        <f ca="1">IFERROR(INDEX(Backtest!$A$8:$A$5000,MATCH(L36,Backtest!$Q$8:$Q$5000,0)),"")</f>
        <v>41393</v>
      </c>
      <c r="O36" s="25" t="str">
        <f ca="1">IF(ISNUMBER(M36),Backtest!$B$1,"")</f>
        <v>ITUB4</v>
      </c>
      <c r="P36" s="30">
        <f ca="1">IFERROR(VLOOKUP(N36,Backtest!A:C,2,FALSE)/VLOOKUP(M36,Backtest!A:C,2,FALSE)-1,"")</f>
        <v>-2.5842350790242552E-2</v>
      </c>
      <c r="Q36" s="25" t="str">
        <f ca="1">IF(ISNUMBER(N36),Backtest!$C$1,"")</f>
        <v>BBDC4</v>
      </c>
      <c r="R36" s="30">
        <f ca="1">IFERROR(VLOOKUP(N36,Backtest!A:C,3,FALSE)/VLOOKUP(M36,Backtest!A:C,3,FALSE)-1,"")</f>
        <v>-0.10077896561235999</v>
      </c>
      <c r="S36" s="32">
        <f t="shared" ca="1" si="8"/>
        <v>7.4936614822117442E-2</v>
      </c>
      <c r="T36" s="35">
        <f t="shared" ca="1" si="9"/>
        <v>7493.6614822117444</v>
      </c>
      <c r="U36" s="38">
        <f t="shared" ca="1" si="5"/>
        <v>2</v>
      </c>
    </row>
    <row r="37" spans="1:21" x14ac:dyDescent="0.3">
      <c r="A37" s="26">
        <v>35</v>
      </c>
      <c r="B37" s="27">
        <f ca="1">IFERROR(INDEX(Backtest!$A$8:$A$5000,MATCH(A37,Backtest!$N$8:$N$5000,0)),"")</f>
        <v>41942</v>
      </c>
      <c r="C37" s="27">
        <f ca="1">IFERROR(INDEX(Backtest!$A$8:$A$5000,MATCH(A37,Backtest!$O$8:$O$5000,0)),"")</f>
        <v>41962</v>
      </c>
      <c r="D37" s="28" t="str">
        <f ca="1">IF(ISNUMBER(B37),Backtest!$C$1,"")</f>
        <v>BBDC4</v>
      </c>
      <c r="E37" s="29">
        <f ca="1">IFERROR(VLOOKUP(C37,Backtest!A:C,3,FALSE)/VLOOKUP(B37,Backtest!A:C,3,FALSE)-1,"")</f>
        <v>5.8115845761950613E-2</v>
      </c>
      <c r="F37" s="28" t="str">
        <f ca="1">IF(ISNUMBER(C37),Backtest!$B$1,"")</f>
        <v>ITUB4</v>
      </c>
      <c r="G37" s="29">
        <f ca="1">IFERROR(VLOOKUP(C37,Backtest!A:C,2,FALSE)/VLOOKUP(B37,Backtest!A:C,2,FALSE)-1,"")</f>
        <v>5.5028346512296933E-2</v>
      </c>
      <c r="H37" s="31">
        <f t="shared" ca="1" si="6"/>
        <v>3.0874992496536802E-3</v>
      </c>
      <c r="I37" s="34">
        <f t="shared" ca="1" si="7"/>
        <v>308.749924965368</v>
      </c>
      <c r="J37" s="37">
        <f t="shared" ca="1" si="4"/>
        <v>15</v>
      </c>
      <c r="L37" s="26">
        <v>35</v>
      </c>
      <c r="M37" s="27">
        <f ca="1">IFERROR(INDEX(Backtest!$A$8:$A$5000,MATCH(L37,Backtest!$P$8:$P$5000,0)),"")</f>
        <v>41414</v>
      </c>
      <c r="N37" s="27">
        <f ca="1">IFERROR(INDEX(Backtest!$A$8:$A$5000,MATCH(L37,Backtest!$Q$8:$Q$5000,0)),"")</f>
        <v>41415</v>
      </c>
      <c r="O37" s="28" t="str">
        <f ca="1">IF(ISNUMBER(M37),Backtest!$B$1,"")</f>
        <v>ITUB4</v>
      </c>
      <c r="P37" s="29">
        <f ca="1">IFERROR(VLOOKUP(N37,Backtest!A:C,2,FALSE)/VLOOKUP(M37,Backtest!A:C,2,FALSE)-1,"")</f>
        <v>0.11770612018899573</v>
      </c>
      <c r="Q37" s="28" t="str">
        <f ca="1">IF(ISNUMBER(N37),Backtest!$C$1,"")</f>
        <v>BBDC4</v>
      </c>
      <c r="R37" s="29">
        <f ca="1">IFERROR(VLOOKUP(N37,Backtest!A:C,3,FALSE)/VLOOKUP(M37,Backtest!A:C,3,FALSE)-1,"")</f>
        <v>5.181686805531438E-3</v>
      </c>
      <c r="S37" s="31">
        <f t="shared" ca="1" si="8"/>
        <v>0.1125244333834643</v>
      </c>
      <c r="T37" s="34">
        <f t="shared" ca="1" si="9"/>
        <v>11252.443338346429</v>
      </c>
      <c r="U37" s="37">
        <f t="shared" ca="1" si="5"/>
        <v>2</v>
      </c>
    </row>
    <row r="38" spans="1:21" x14ac:dyDescent="0.3">
      <c r="A38">
        <v>36</v>
      </c>
      <c r="B38" s="1">
        <f ca="1">IFERROR(INDEX(Backtest!$A$8:$A$5000,MATCH(A38,Backtest!$N$8:$N$5000,0)),"")</f>
        <v>41981</v>
      </c>
      <c r="C38" s="1">
        <f ca="1">IFERROR(INDEX(Backtest!$A$8:$A$5000,MATCH(A38,Backtest!$O$8:$O$5000,0)),"")</f>
        <v>41982</v>
      </c>
      <c r="D38" s="25" t="str">
        <f ca="1">IF(ISNUMBER(B38),Backtest!$C$1,"")</f>
        <v>BBDC4</v>
      </c>
      <c r="E38" s="30">
        <f ca="1">IFERROR(VLOOKUP(C38,Backtest!A:C,3,FALSE)/VLOOKUP(B38,Backtest!A:C,3,FALSE)-1,"")</f>
        <v>2.3328886719883313E-2</v>
      </c>
      <c r="F38" s="25" t="str">
        <f ca="1">IF(ISNUMBER(C38),Backtest!$B$1,"")</f>
        <v>ITUB4</v>
      </c>
      <c r="G38" s="30">
        <f ca="1">IFERROR(VLOOKUP(C38,Backtest!A:C,2,FALSE)/VLOOKUP(B38,Backtest!A:C,2,FALSE)-1,"")</f>
        <v>3.9256925810411403E-3</v>
      </c>
      <c r="H38" s="32">
        <f t="shared" ca="1" si="6"/>
        <v>1.9403194138842172E-2</v>
      </c>
      <c r="I38" s="35">
        <f t="shared" ca="1" si="7"/>
        <v>1940.3194138842173</v>
      </c>
      <c r="J38" s="38">
        <f t="shared" ca="1" si="4"/>
        <v>2</v>
      </c>
      <c r="L38">
        <v>36</v>
      </c>
      <c r="M38" s="1">
        <f ca="1">IFERROR(INDEX(Backtest!$A$8:$A$5000,MATCH(L38,Backtest!$P$8:$P$5000,0)),"")</f>
        <v>41481</v>
      </c>
      <c r="N38" s="1">
        <f ca="1">IFERROR(INDEX(Backtest!$A$8:$A$5000,MATCH(L38,Backtest!$Q$8:$Q$5000,0)),"")</f>
        <v>41484</v>
      </c>
      <c r="O38" s="25" t="str">
        <f ca="1">IF(ISNUMBER(M38),Backtest!$B$1,"")</f>
        <v>ITUB4</v>
      </c>
      <c r="P38" s="30">
        <f ca="1">IFERROR(VLOOKUP(N38,Backtest!A:C,2,FALSE)/VLOOKUP(M38,Backtest!A:C,2,FALSE)-1,"")</f>
        <v>-3.4386122597462876E-4</v>
      </c>
      <c r="Q38" s="25" t="str">
        <f ca="1">IF(ISNUMBER(N38),Backtest!$C$1,"")</f>
        <v>BBDC4</v>
      </c>
      <c r="R38" s="30">
        <f ca="1">IFERROR(VLOOKUP(N38,Backtest!A:C,3,FALSE)/VLOOKUP(M38,Backtest!A:C,3,FALSE)-1,"")</f>
        <v>-0.10888253337529874</v>
      </c>
      <c r="S38" s="32">
        <f t="shared" ca="1" si="8"/>
        <v>0.10853867214932411</v>
      </c>
      <c r="T38" s="35">
        <f t="shared" ca="1" si="9"/>
        <v>10853.867214932412</v>
      </c>
      <c r="U38" s="38">
        <f t="shared" ca="1" si="5"/>
        <v>2</v>
      </c>
    </row>
    <row r="39" spans="1:21" x14ac:dyDescent="0.3">
      <c r="A39" s="26">
        <v>37</v>
      </c>
      <c r="B39" s="27">
        <f ca="1">IFERROR(INDEX(Backtest!$A$8:$A$5000,MATCH(A39,Backtest!$N$8:$N$5000,0)),"")</f>
        <v>41983</v>
      </c>
      <c r="C39" s="27">
        <f ca="1">IFERROR(INDEX(Backtest!$A$8:$A$5000,MATCH(A39,Backtest!$O$8:$O$5000,0)),"")</f>
        <v>41984</v>
      </c>
      <c r="D39" s="28" t="str">
        <f ca="1">IF(ISNUMBER(B39),Backtest!$C$1,"")</f>
        <v>BBDC4</v>
      </c>
      <c r="E39" s="29">
        <f ca="1">IFERROR(VLOOKUP(C39,Backtest!A:C,3,FALSE)/VLOOKUP(B39,Backtest!A:C,3,FALSE)-1,"")</f>
        <v>2.4046731503190255E-2</v>
      </c>
      <c r="F39" s="28" t="str">
        <f ca="1">IF(ISNUMBER(C39),Backtest!$B$1,"")</f>
        <v>ITUB4</v>
      </c>
      <c r="G39" s="29">
        <f ca="1">IFERROR(VLOOKUP(C39,Backtest!A:C,2,FALSE)/VLOOKUP(B39,Backtest!A:C,2,FALSE)-1,"")</f>
        <v>1.1348301803264738E-2</v>
      </c>
      <c r="H39" s="31">
        <f t="shared" ca="1" si="6"/>
        <v>1.2698429699925518E-2</v>
      </c>
      <c r="I39" s="34">
        <f t="shared" ca="1" si="7"/>
        <v>1269.8429699925518</v>
      </c>
      <c r="J39" s="37">
        <f t="shared" ca="1" si="4"/>
        <v>2</v>
      </c>
      <c r="L39" s="26">
        <v>37</v>
      </c>
      <c r="M39" s="27">
        <f ca="1">IFERROR(INDEX(Backtest!$A$8:$A$5000,MATCH(L39,Backtest!$P$8:$P$5000,0)),"")</f>
        <v>41528</v>
      </c>
      <c r="N39" s="27">
        <f ca="1">IFERROR(INDEX(Backtest!$A$8:$A$5000,MATCH(L39,Backtest!$Q$8:$Q$5000,0)),"")</f>
        <v>41529</v>
      </c>
      <c r="O39" s="28" t="str">
        <f ca="1">IF(ISNUMBER(M39),Backtest!$B$1,"")</f>
        <v>ITUB4</v>
      </c>
      <c r="P39" s="29">
        <f ca="1">IFERROR(VLOOKUP(N39,Backtest!A:C,2,FALSE)/VLOOKUP(M39,Backtest!A:C,2,FALSE)-1,"")</f>
        <v>-2.2677575565651642E-3</v>
      </c>
      <c r="Q39" s="28" t="str">
        <f ca="1">IF(ISNUMBER(N39),Backtest!$C$1,"")</f>
        <v>BBDC4</v>
      </c>
      <c r="R39" s="29">
        <f ca="1">IFERROR(VLOOKUP(N39,Backtest!A:C,3,FALSE)/VLOOKUP(M39,Backtest!A:C,3,FALSE)-1,"")</f>
        <v>-1.923626712397819E-2</v>
      </c>
      <c r="S39" s="31">
        <f t="shared" ca="1" si="8"/>
        <v>1.6968509567413026E-2</v>
      </c>
      <c r="T39" s="34">
        <f t="shared" ca="1" si="9"/>
        <v>1696.8509567413025</v>
      </c>
      <c r="U39" s="37">
        <f t="shared" ca="1" si="5"/>
        <v>2</v>
      </c>
    </row>
    <row r="40" spans="1:21" x14ac:dyDescent="0.3">
      <c r="A40">
        <v>38</v>
      </c>
      <c r="B40" s="1">
        <f ca="1">IFERROR(INDEX(Backtest!$A$8:$A$5000,MATCH(A40,Backtest!$N$8:$N$5000,0)),"")</f>
        <v>41988</v>
      </c>
      <c r="C40" s="1">
        <f ca="1">IFERROR(INDEX(Backtest!$A$8:$A$5000,MATCH(A40,Backtest!$O$8:$O$5000,0)),"")</f>
        <v>41992</v>
      </c>
      <c r="D40" s="25" t="str">
        <f ca="1">IF(ISNUMBER(B40),Backtest!$C$1,"")</f>
        <v>BBDC4</v>
      </c>
      <c r="E40" s="30">
        <f ca="1">IFERROR(VLOOKUP(C40,Backtest!A:C,3,FALSE)/VLOOKUP(B40,Backtest!A:C,3,FALSE)-1,"")</f>
        <v>7.4879061595398477E-2</v>
      </c>
      <c r="F40" s="25" t="str">
        <f ca="1">IF(ISNUMBER(C40),Backtest!$B$1,"")</f>
        <v>ITUB4</v>
      </c>
      <c r="G40" s="30">
        <f ca="1">IFERROR(VLOOKUP(C40,Backtest!A:C,2,FALSE)/VLOOKUP(B40,Backtest!A:C,2,FALSE)-1,"")</f>
        <v>5.3592759226782416E-2</v>
      </c>
      <c r="H40" s="32">
        <f t="shared" ca="1" si="6"/>
        <v>2.1286302368616061E-2</v>
      </c>
      <c r="I40" s="35">
        <f t="shared" ca="1" si="7"/>
        <v>2128.6302368616061</v>
      </c>
      <c r="J40" s="38">
        <f t="shared" ca="1" si="4"/>
        <v>5</v>
      </c>
      <c r="L40">
        <v>38</v>
      </c>
      <c r="M40" s="1">
        <f ca="1">IFERROR(INDEX(Backtest!$A$8:$A$5000,MATCH(L40,Backtest!$P$8:$P$5000,0)),"")</f>
        <v>41536</v>
      </c>
      <c r="N40" s="1">
        <f ca="1">IFERROR(INDEX(Backtest!$A$8:$A$5000,MATCH(L40,Backtest!$Q$8:$Q$5000,0)),"")</f>
        <v>41551</v>
      </c>
      <c r="O40" s="25" t="str">
        <f ca="1">IF(ISNUMBER(M40),Backtest!$B$1,"")</f>
        <v>ITUB4</v>
      </c>
      <c r="P40" s="30">
        <f ca="1">IFERROR(VLOOKUP(N40,Backtest!A:C,2,FALSE)/VLOOKUP(M40,Backtest!A:C,2,FALSE)-1,"")</f>
        <v>-1.6092078444579161E-2</v>
      </c>
      <c r="Q40" s="25" t="str">
        <f ca="1">IF(ISNUMBER(N40),Backtest!$C$1,"")</f>
        <v>BBDC4</v>
      </c>
      <c r="R40" s="30">
        <f ca="1">IFERROR(VLOOKUP(N40,Backtest!A:C,3,FALSE)/VLOOKUP(M40,Backtest!A:C,3,FALSE)-1,"")</f>
        <v>-2.3165925930457409E-2</v>
      </c>
      <c r="S40" s="32">
        <f t="shared" ca="1" si="8"/>
        <v>7.0738474858782485E-3</v>
      </c>
      <c r="T40" s="35">
        <f t="shared" ca="1" si="9"/>
        <v>707.3847485878249</v>
      </c>
      <c r="U40" s="38">
        <f t="shared" ca="1" si="5"/>
        <v>12</v>
      </c>
    </row>
    <row r="41" spans="1:21" x14ac:dyDescent="0.3">
      <c r="A41" s="26">
        <v>39</v>
      </c>
      <c r="B41" s="27">
        <f ca="1">IFERROR(INDEX(Backtest!$A$8:$A$5000,MATCH(A41,Backtest!$N$8:$N$5000,0)),"")</f>
        <v>42039</v>
      </c>
      <c r="C41" s="27">
        <f ca="1">IFERROR(INDEX(Backtest!$A$8:$A$5000,MATCH(A41,Backtest!$O$8:$O$5000,0)),"")</f>
        <v>42081</v>
      </c>
      <c r="D41" s="28" t="str">
        <f ca="1">IF(ISNUMBER(B41),Backtest!$C$1,"")</f>
        <v>BBDC4</v>
      </c>
      <c r="E41" s="29">
        <f ca="1">IFERROR(VLOOKUP(C41,Backtest!A:C,3,FALSE)/VLOOKUP(B41,Backtest!A:C,3,FALSE)-1,"")</f>
        <v>2.9713603250541398E-2</v>
      </c>
      <c r="F41" s="28" t="str">
        <f ca="1">IF(ISNUMBER(C41),Backtest!$B$1,"")</f>
        <v>ITUB4</v>
      </c>
      <c r="G41" s="29">
        <f ca="1">IFERROR(VLOOKUP(C41,Backtest!A:C,2,FALSE)/VLOOKUP(B41,Backtest!A:C,2,FALSE)-1,"")</f>
        <v>5.6731875486143224E-2</v>
      </c>
      <c r="H41" s="31">
        <f t="shared" ca="1" si="6"/>
        <v>-2.7018272235601826E-2</v>
      </c>
      <c r="I41" s="34">
        <f t="shared" ca="1" si="7"/>
        <v>-2701.8272235601826</v>
      </c>
      <c r="J41" s="37">
        <f t="shared" ca="1" si="4"/>
        <v>31</v>
      </c>
      <c r="L41" s="26">
        <v>39</v>
      </c>
      <c r="M41" s="27">
        <f ca="1">IFERROR(INDEX(Backtest!$A$8:$A$5000,MATCH(L41,Backtest!$P$8:$P$5000,0)),"")</f>
        <v>41556</v>
      </c>
      <c r="N41" s="27">
        <f ca="1">IFERROR(INDEX(Backtest!$A$8:$A$5000,MATCH(L41,Backtest!$Q$8:$Q$5000,0)),"")</f>
        <v>41565</v>
      </c>
      <c r="O41" s="28" t="str">
        <f ca="1">IF(ISNUMBER(M41),Backtest!$B$1,"")</f>
        <v>ITUB4</v>
      </c>
      <c r="P41" s="29">
        <f ca="1">IFERROR(VLOOKUP(N41,Backtest!A:C,2,FALSE)/VLOOKUP(M41,Backtest!A:C,2,FALSE)-1,"")</f>
        <v>6.5324914056974492E-2</v>
      </c>
      <c r="Q41" s="28" t="str">
        <f ca="1">IF(ISNUMBER(N41),Backtest!$C$1,"")</f>
        <v>BBDC4</v>
      </c>
      <c r="R41" s="29">
        <f ca="1">IFERROR(VLOOKUP(N41,Backtest!A:C,3,FALSE)/VLOOKUP(M41,Backtest!A:C,3,FALSE)-1,"")</f>
        <v>5.7015873782345183E-2</v>
      </c>
      <c r="S41" s="31">
        <f t="shared" ca="1" si="8"/>
        <v>8.3090402746293091E-3</v>
      </c>
      <c r="T41" s="34">
        <f t="shared" ca="1" si="9"/>
        <v>830.90402746293091</v>
      </c>
      <c r="U41" s="37">
        <f t="shared" ca="1" si="5"/>
        <v>8</v>
      </c>
    </row>
    <row r="42" spans="1:21" x14ac:dyDescent="0.3">
      <c r="A42">
        <v>40</v>
      </c>
      <c r="B42" s="1">
        <f ca="1">IFERROR(INDEX(Backtest!$A$8:$A$5000,MATCH(A42,Backtest!$N$8:$N$5000,0)),"")</f>
        <v>42093</v>
      </c>
      <c r="C42" s="1">
        <f ca="1">IFERROR(INDEX(Backtest!$A$8:$A$5000,MATCH(A42,Backtest!$O$8:$O$5000,0)),"")</f>
        <v>42108</v>
      </c>
      <c r="D42" s="25" t="str">
        <f ca="1">IF(ISNUMBER(B42),Backtest!$C$1,"")</f>
        <v>BBDC4</v>
      </c>
      <c r="E42" s="30">
        <f ca="1">IFERROR(VLOOKUP(C42,Backtest!A:C,3,FALSE)/VLOOKUP(B42,Backtest!A:C,3,FALSE)-1,"")</f>
        <v>7.445927161110566E-2</v>
      </c>
      <c r="F42" s="25" t="str">
        <f ca="1">IF(ISNUMBER(C42),Backtest!$B$1,"")</f>
        <v>ITUB4</v>
      </c>
      <c r="G42" s="30">
        <f ca="1">IFERROR(VLOOKUP(C42,Backtest!A:C,2,FALSE)/VLOOKUP(B42,Backtest!A:C,2,FALSE)-1,"")</f>
        <v>5.0539803028726071E-2</v>
      </c>
      <c r="H42" s="32">
        <f t="shared" ca="1" si="6"/>
        <v>2.3919468582379588E-2</v>
      </c>
      <c r="I42" s="35">
        <f t="shared" ca="1" si="7"/>
        <v>2391.9468582379586</v>
      </c>
      <c r="J42" s="38">
        <f t="shared" ca="1" si="4"/>
        <v>12</v>
      </c>
      <c r="L42">
        <v>40</v>
      </c>
      <c r="M42" s="1">
        <f ca="1">IFERROR(INDEX(Backtest!$A$8:$A$5000,MATCH(L42,Backtest!$P$8:$P$5000,0)),"")</f>
        <v>41691</v>
      </c>
      <c r="N42" s="1">
        <f ca="1">IFERROR(INDEX(Backtest!$A$8:$A$5000,MATCH(L42,Backtest!$Q$8:$Q$5000,0)),"")</f>
        <v>41753</v>
      </c>
      <c r="O42" s="25" t="str">
        <f ca="1">IF(ISNUMBER(M42),Backtest!$B$1,"")</f>
        <v>ITUB4</v>
      </c>
      <c r="P42" s="30">
        <f ca="1">IFERROR(VLOOKUP(N42,Backtest!A:C,2,FALSE)/VLOOKUP(M42,Backtest!A:C,2,FALSE)-1,"")</f>
        <v>0.17579724654556816</v>
      </c>
      <c r="Q42" s="25" t="str">
        <f ca="1">IF(ISNUMBER(N42),Backtest!$C$1,"")</f>
        <v>BBDC4</v>
      </c>
      <c r="R42" s="30">
        <f ca="1">IFERROR(VLOOKUP(N42,Backtest!A:C,3,FALSE)/VLOOKUP(M42,Backtest!A:C,3,FALSE)-1,"")</f>
        <v>0.23583082843583481</v>
      </c>
      <c r="S42" s="32">
        <f t="shared" ca="1" si="8"/>
        <v>-6.0033581890266641E-2</v>
      </c>
      <c r="T42" s="35">
        <f t="shared" ca="1" si="9"/>
        <v>-6003.3581890266641</v>
      </c>
      <c r="U42" s="38">
        <f t="shared" ca="1" si="5"/>
        <v>45</v>
      </c>
    </row>
    <row r="43" spans="1:21" x14ac:dyDescent="0.3">
      <c r="A43" s="26">
        <v>41</v>
      </c>
      <c r="B43" s="27">
        <f ca="1">IFERROR(INDEX(Backtest!$A$8:$A$5000,MATCH(A43,Backtest!$N$8:$N$5000,0)),"")</f>
        <v>42118</v>
      </c>
      <c r="C43" s="27">
        <f ca="1">IFERROR(INDEX(Backtest!$A$8:$A$5000,MATCH(A43,Backtest!$O$8:$O$5000,0)),"")</f>
        <v>42129</v>
      </c>
      <c r="D43" s="28" t="str">
        <f ca="1">IF(ISNUMBER(B43),Backtest!$C$1,"")</f>
        <v>BBDC4</v>
      </c>
      <c r="E43" s="29">
        <f ca="1">IFERROR(VLOOKUP(C43,Backtest!A:C,3,FALSE)/VLOOKUP(B43,Backtest!A:C,3,FALSE)-1,"")</f>
        <v>-6.0386200634898746E-4</v>
      </c>
      <c r="F43" s="28" t="str">
        <f ca="1">IF(ISNUMBER(C43),Backtest!$B$1,"")</f>
        <v>ITUB4</v>
      </c>
      <c r="G43" s="29">
        <f ca="1">IFERROR(VLOOKUP(C43,Backtest!A:C,2,FALSE)/VLOOKUP(B43,Backtest!A:C,2,FALSE)-1,"")</f>
        <v>-1.3612590914476086E-2</v>
      </c>
      <c r="H43" s="31">
        <f t="shared" ca="1" si="6"/>
        <v>1.3008728908127098E-2</v>
      </c>
      <c r="I43" s="34">
        <f t="shared" ca="1" si="7"/>
        <v>1300.8728908127098</v>
      </c>
      <c r="J43" s="37">
        <f t="shared" ca="1" si="4"/>
        <v>8</v>
      </c>
      <c r="L43" s="26">
        <v>41</v>
      </c>
      <c r="M43" s="27">
        <f ca="1">IFERROR(INDEX(Backtest!$A$8:$A$5000,MATCH(L43,Backtest!$P$8:$P$5000,0)),"")</f>
        <v>41773</v>
      </c>
      <c r="N43" s="27">
        <f ca="1">IFERROR(INDEX(Backtest!$A$8:$A$5000,MATCH(L43,Backtest!$Q$8:$Q$5000,0)),"")</f>
        <v>41778</v>
      </c>
      <c r="O43" s="28" t="str">
        <f ca="1">IF(ISNUMBER(M43),Backtest!$B$1,"")</f>
        <v>ITUB4</v>
      </c>
      <c r="P43" s="29">
        <f ca="1">IFERROR(VLOOKUP(N43,Backtest!A:C,2,FALSE)/VLOOKUP(M43,Backtest!A:C,2,FALSE)-1,"")</f>
        <v>-4.0042715808232821E-3</v>
      </c>
      <c r="Q43" s="28" t="str">
        <f ca="1">IF(ISNUMBER(N43),Backtest!$C$1,"")</f>
        <v>BBDC4</v>
      </c>
      <c r="R43" s="29">
        <f ca="1">IFERROR(VLOOKUP(N43,Backtest!A:C,3,FALSE)/VLOOKUP(M43,Backtest!A:C,3,FALSE)-1,"")</f>
        <v>-2.3214293736989355E-2</v>
      </c>
      <c r="S43" s="31">
        <f t="shared" ca="1" si="8"/>
        <v>1.9210022156166073E-2</v>
      </c>
      <c r="T43" s="34">
        <f t="shared" ca="1" si="9"/>
        <v>1921.0022156166074</v>
      </c>
      <c r="U43" s="37">
        <f t="shared" ca="1" si="5"/>
        <v>4</v>
      </c>
    </row>
    <row r="44" spans="1:21" x14ac:dyDescent="0.3">
      <c r="A44">
        <v>42</v>
      </c>
      <c r="B44" s="1">
        <f ca="1">IFERROR(INDEX(Backtest!$A$8:$A$5000,MATCH(A44,Backtest!$N$8:$N$5000,0)),"")</f>
        <v>42132</v>
      </c>
      <c r="C44" s="1">
        <f ca="1">IFERROR(INDEX(Backtest!$A$8:$A$5000,MATCH(A44,Backtest!$O$8:$O$5000,0)),"")</f>
        <v>42143</v>
      </c>
      <c r="D44" s="25" t="str">
        <f ca="1">IF(ISNUMBER(B44),Backtest!$C$1,"")</f>
        <v>BBDC4</v>
      </c>
      <c r="E44" s="30">
        <f ca="1">IFERROR(VLOOKUP(C44,Backtest!A:C,3,FALSE)/VLOOKUP(B44,Backtest!A:C,3,FALSE)-1,"")</f>
        <v>-1.8007533503531903E-2</v>
      </c>
      <c r="F44" s="25" t="str">
        <f ca="1">IF(ISNUMBER(C44),Backtest!$B$1,"")</f>
        <v>ITUB4</v>
      </c>
      <c r="G44" s="30">
        <f ca="1">IFERROR(VLOOKUP(C44,Backtest!A:C,2,FALSE)/VLOOKUP(B44,Backtest!A:C,2,FALSE)-1,"")</f>
        <v>-2.8498953431408958E-2</v>
      </c>
      <c r="H44" s="32">
        <f t="shared" ca="1" si="6"/>
        <v>1.0491419927877055E-2</v>
      </c>
      <c r="I44" s="35">
        <f t="shared" ca="1" si="7"/>
        <v>1049.1419927877055</v>
      </c>
      <c r="J44" s="38">
        <f t="shared" ca="1" si="4"/>
        <v>8</v>
      </c>
      <c r="L44">
        <v>42</v>
      </c>
      <c r="M44" s="1">
        <f ca="1">IFERROR(INDEX(Backtest!$A$8:$A$5000,MATCH(L44,Backtest!$P$8:$P$5000,0)),"")</f>
        <v>41808</v>
      </c>
      <c r="N44" s="1">
        <f ca="1">IFERROR(INDEX(Backtest!$A$8:$A$5000,MATCH(L44,Backtest!$Q$8:$Q$5000,0)),"")</f>
        <v>41830</v>
      </c>
      <c r="O44" s="25" t="str">
        <f ca="1">IF(ISNUMBER(M44),Backtest!$B$1,"")</f>
        <v>ITUB4</v>
      </c>
      <c r="P44" s="30">
        <f ca="1">IFERROR(VLOOKUP(N44,Backtest!A:C,2,FALSE)/VLOOKUP(M44,Backtest!A:C,2,FALSE)-1,"")</f>
        <v>-2.4702408603300863E-2</v>
      </c>
      <c r="Q44" s="25" t="str">
        <f ca="1">IF(ISNUMBER(N44),Backtest!$C$1,"")</f>
        <v>BBDC4</v>
      </c>
      <c r="R44" s="30">
        <f ca="1">IFERROR(VLOOKUP(N44,Backtest!A:C,3,FALSE)/VLOOKUP(M44,Backtest!A:C,3,FALSE)-1,"")</f>
        <v>-2.8169162752365806E-2</v>
      </c>
      <c r="S44" s="32">
        <f t="shared" ca="1" si="8"/>
        <v>3.4667541490649434E-3</v>
      </c>
      <c r="T44" s="35">
        <f t="shared" ca="1" si="9"/>
        <v>346.67541490649432</v>
      </c>
      <c r="U44" s="38">
        <f t="shared" ca="1" si="5"/>
        <v>17</v>
      </c>
    </row>
    <row r="45" spans="1:21" x14ac:dyDescent="0.3">
      <c r="A45" s="26">
        <v>43</v>
      </c>
      <c r="B45" s="27">
        <f ca="1">IFERROR(INDEX(Backtest!$A$8:$A$5000,MATCH(A45,Backtest!$N$8:$N$5000,0)),"")</f>
        <v>42146</v>
      </c>
      <c r="C45" s="27">
        <f ca="1">IFERROR(INDEX(Backtest!$A$8:$A$5000,MATCH(A45,Backtest!$O$8:$O$5000,0)),"")</f>
        <v>42157</v>
      </c>
      <c r="D45" s="28" t="str">
        <f ca="1">IF(ISNUMBER(B45),Backtest!$C$1,"")</f>
        <v>BBDC4</v>
      </c>
      <c r="E45" s="29">
        <f ca="1">IFERROR(VLOOKUP(C45,Backtest!A:C,3,FALSE)/VLOOKUP(B45,Backtest!A:C,3,FALSE)-1,"")</f>
        <v>1.5381129037872476E-4</v>
      </c>
      <c r="F45" s="28" t="str">
        <f ca="1">IF(ISNUMBER(C45),Backtest!$B$1,"")</f>
        <v>ITUB4</v>
      </c>
      <c r="G45" s="29">
        <f ca="1">IFERROR(VLOOKUP(C45,Backtest!A:C,2,FALSE)/VLOOKUP(B45,Backtest!A:C,2,FALSE)-1,"")</f>
        <v>-1.2245678711320429E-2</v>
      </c>
      <c r="H45" s="31">
        <f t="shared" ca="1" si="6"/>
        <v>1.2399490001699154E-2</v>
      </c>
      <c r="I45" s="34">
        <f t="shared" ca="1" si="7"/>
        <v>1239.9490001699153</v>
      </c>
      <c r="J45" s="37">
        <f t="shared" ca="1" si="4"/>
        <v>8</v>
      </c>
      <c r="L45" s="26">
        <v>43</v>
      </c>
      <c r="M45" s="27">
        <f ca="1">IFERROR(INDEX(Backtest!$A$8:$A$5000,MATCH(L45,Backtest!$P$8:$P$5000,0)),"")</f>
        <v>41879</v>
      </c>
      <c r="N45" s="27">
        <f ca="1">IFERROR(INDEX(Backtest!$A$8:$A$5000,MATCH(L45,Backtest!$Q$8:$Q$5000,0)),"")</f>
        <v>41886</v>
      </c>
      <c r="O45" s="28" t="str">
        <f ca="1">IF(ISNUMBER(M45),Backtest!$B$1,"")</f>
        <v>ITUB4</v>
      </c>
      <c r="P45" s="29">
        <f ca="1">IFERROR(VLOOKUP(N45,Backtest!A:C,2,FALSE)/VLOOKUP(M45,Backtest!A:C,2,FALSE)-1,"")</f>
        <v>2.0961238575537999E-2</v>
      </c>
      <c r="Q45" s="28" t="str">
        <f ca="1">IF(ISNUMBER(N45),Backtest!$C$1,"")</f>
        <v>BBDC4</v>
      </c>
      <c r="R45" s="29">
        <f ca="1">IFERROR(VLOOKUP(N45,Backtest!A:C,3,FALSE)/VLOOKUP(M45,Backtest!A:C,3,FALSE)-1,"")</f>
        <v>6.0804330254744521E-3</v>
      </c>
      <c r="S45" s="31">
        <f t="shared" ca="1" si="8"/>
        <v>1.4880805550063547E-2</v>
      </c>
      <c r="T45" s="34">
        <f t="shared" ca="1" si="9"/>
        <v>1488.0805550063546</v>
      </c>
      <c r="U45" s="37">
        <f t="shared" ca="1" si="5"/>
        <v>6</v>
      </c>
    </row>
    <row r="46" spans="1:21" x14ac:dyDescent="0.3">
      <c r="A46">
        <v>44</v>
      </c>
      <c r="B46" s="1">
        <f ca="1">IFERROR(INDEX(Backtest!$A$8:$A$5000,MATCH(A46,Backtest!$N$8:$N$5000,0)),"")</f>
        <v>42171</v>
      </c>
      <c r="C46" s="1">
        <f ca="1">IFERROR(INDEX(Backtest!$A$8:$A$5000,MATCH(A46,Backtest!$O$8:$O$5000,0)),"")</f>
        <v>42178</v>
      </c>
      <c r="D46" s="25" t="str">
        <f ca="1">IF(ISNUMBER(B46),Backtest!$C$1,"")</f>
        <v>BBDC4</v>
      </c>
      <c r="E46" s="30">
        <f ca="1">IFERROR(VLOOKUP(C46,Backtest!A:C,3,FALSE)/VLOOKUP(B46,Backtest!A:C,3,FALSE)-1,"")</f>
        <v>2.2953782862518146E-2</v>
      </c>
      <c r="F46" s="25" t="str">
        <f ca="1">IF(ISNUMBER(C46),Backtest!$B$1,"")</f>
        <v>ITUB4</v>
      </c>
      <c r="G46" s="30">
        <f ca="1">IFERROR(VLOOKUP(C46,Backtest!A:C,2,FALSE)/VLOOKUP(B46,Backtest!A:C,2,FALSE)-1,"")</f>
        <v>8.1053380566689093E-3</v>
      </c>
      <c r="H46" s="32">
        <f t="shared" ca="1" si="6"/>
        <v>1.4848444805849237E-2</v>
      </c>
      <c r="I46" s="35">
        <f t="shared" ca="1" si="7"/>
        <v>1484.8444805849238</v>
      </c>
      <c r="J46" s="38">
        <f t="shared" ca="1" si="4"/>
        <v>6</v>
      </c>
      <c r="L46">
        <v>44</v>
      </c>
      <c r="M46" s="1">
        <f ca="1">IFERROR(INDEX(Backtest!$A$8:$A$5000,MATCH(L46,Backtest!$P$8:$P$5000,0)),"")</f>
        <v>41904</v>
      </c>
      <c r="N46" s="1">
        <f ca="1">IFERROR(INDEX(Backtest!$A$8:$A$5000,MATCH(L46,Backtest!$Q$8:$Q$5000,0)),"")</f>
        <v>41928</v>
      </c>
      <c r="O46" s="25" t="str">
        <f ca="1">IF(ISNUMBER(M46),Backtest!$B$1,"")</f>
        <v>ITUB4</v>
      </c>
      <c r="P46" s="30">
        <f ca="1">IFERROR(VLOOKUP(N46,Backtest!A:C,2,FALSE)/VLOOKUP(M46,Backtest!A:C,2,FALSE)-1,"")</f>
        <v>-4.1655435002358687E-2</v>
      </c>
      <c r="Q46" s="25" t="str">
        <f ca="1">IF(ISNUMBER(N46),Backtest!$C$1,"")</f>
        <v>BBDC4</v>
      </c>
      <c r="R46" s="30">
        <f ca="1">IFERROR(VLOOKUP(N46,Backtest!A:C,3,FALSE)/VLOOKUP(M46,Backtest!A:C,3,FALSE)-1,"")</f>
        <v>-3.8281033077903204E-2</v>
      </c>
      <c r="S46" s="32">
        <f t="shared" ca="1" si="8"/>
        <v>-3.3744019244554835E-3</v>
      </c>
      <c r="T46" s="35">
        <f t="shared" ca="1" si="9"/>
        <v>-337.44019244554835</v>
      </c>
      <c r="U46" s="38">
        <f t="shared" ca="1" si="5"/>
        <v>19</v>
      </c>
    </row>
    <row r="47" spans="1:21" x14ac:dyDescent="0.3">
      <c r="A47" s="26">
        <v>45</v>
      </c>
      <c r="B47" s="27">
        <f ca="1">IFERROR(INDEX(Backtest!$A$8:$A$5000,MATCH(A47,Backtest!$N$8:$N$5000,0)),"")</f>
        <v>42193</v>
      </c>
      <c r="C47" s="27">
        <f ca="1">IFERROR(INDEX(Backtest!$A$8:$A$5000,MATCH(A47,Backtest!$O$8:$O$5000,0)),"")</f>
        <v>42198</v>
      </c>
      <c r="D47" s="28" t="str">
        <f ca="1">IF(ISNUMBER(B47),Backtest!$C$1,"")</f>
        <v>BBDC4</v>
      </c>
      <c r="E47" s="29">
        <f ca="1">IFERROR(VLOOKUP(C47,Backtest!A:C,3,FALSE)/VLOOKUP(B47,Backtest!A:C,3,FALSE)-1,"")</f>
        <v>6.1109600276547882E-2</v>
      </c>
      <c r="F47" s="28" t="str">
        <f ca="1">IF(ISNUMBER(C47),Backtest!$B$1,"")</f>
        <v>ITUB4</v>
      </c>
      <c r="G47" s="29">
        <f ca="1">IFERROR(VLOOKUP(C47,Backtest!A:C,2,FALSE)/VLOOKUP(B47,Backtest!A:C,2,FALSE)-1,"")</f>
        <v>3.9804147744366469E-2</v>
      </c>
      <c r="H47" s="31">
        <f t="shared" ca="1" si="6"/>
        <v>2.1305452532181413E-2</v>
      </c>
      <c r="I47" s="34">
        <f t="shared" ca="1" si="7"/>
        <v>2130.5452532181412</v>
      </c>
      <c r="J47" s="37">
        <f t="shared" ca="1" si="4"/>
        <v>4</v>
      </c>
      <c r="L47" s="26">
        <v>45</v>
      </c>
      <c r="M47" s="27">
        <f ca="1">IFERROR(INDEX(Backtest!$A$8:$A$5000,MATCH(L47,Backtest!$P$8:$P$5000,0)),"")</f>
        <v>41933</v>
      </c>
      <c r="N47" s="27">
        <f ca="1">IFERROR(INDEX(Backtest!$A$8:$A$5000,MATCH(L47,Backtest!$Q$8:$Q$5000,0)),"")</f>
        <v>41936</v>
      </c>
      <c r="O47" s="28" t="str">
        <f ca="1">IF(ISNUMBER(M47),Backtest!$B$1,"")</f>
        <v>ITUB4</v>
      </c>
      <c r="P47" s="29">
        <f ca="1">IFERROR(VLOOKUP(N47,Backtest!A:C,2,FALSE)/VLOOKUP(M47,Backtest!A:C,2,FALSE)-1,"")</f>
        <v>-2.4998699455366258E-2</v>
      </c>
      <c r="Q47" s="28" t="str">
        <f ca="1">IF(ISNUMBER(N47),Backtest!$C$1,"")</f>
        <v>BBDC4</v>
      </c>
      <c r="R47" s="29">
        <f ca="1">IFERROR(VLOOKUP(N47,Backtest!A:C,3,FALSE)/VLOOKUP(M47,Backtest!A:C,3,FALSE)-1,"")</f>
        <v>-3.4451967285780039E-2</v>
      </c>
      <c r="S47" s="31">
        <f t="shared" ca="1" si="8"/>
        <v>9.4532678304137807E-3</v>
      </c>
      <c r="T47" s="34">
        <f t="shared" ca="1" si="9"/>
        <v>945.32678304137812</v>
      </c>
      <c r="U47" s="37">
        <f t="shared" ca="1" si="5"/>
        <v>4</v>
      </c>
    </row>
    <row r="48" spans="1:21" x14ac:dyDescent="0.3">
      <c r="A48">
        <v>46</v>
      </c>
      <c r="B48" s="1">
        <f ca="1">IFERROR(INDEX(Backtest!$A$8:$A$5000,MATCH(A48,Backtest!$N$8:$N$5000,0)),"")</f>
        <v>42219</v>
      </c>
      <c r="C48" s="1">
        <f ca="1">IFERROR(INDEX(Backtest!$A$8:$A$5000,MATCH(A48,Backtest!$O$8:$O$5000,0)),"")</f>
        <v>42227</v>
      </c>
      <c r="D48" s="25" t="str">
        <f ca="1">IF(ISNUMBER(B48),Backtest!$C$1,"")</f>
        <v>BBDC4</v>
      </c>
      <c r="E48" s="30">
        <f ca="1">IFERROR(VLOOKUP(C48,Backtest!A:C,3,FALSE)/VLOOKUP(B48,Backtest!A:C,3,FALSE)-1,"")</f>
        <v>-7.4837458846020999E-3</v>
      </c>
      <c r="F48" s="25" t="str">
        <f ca="1">IF(ISNUMBER(C48),Backtest!$B$1,"")</f>
        <v>ITUB4</v>
      </c>
      <c r="G48" s="30">
        <f ca="1">IFERROR(VLOOKUP(C48,Backtest!A:C,2,FALSE)/VLOOKUP(B48,Backtest!A:C,2,FALSE)-1,"")</f>
        <v>-4.7459814000832323E-2</v>
      </c>
      <c r="H48" s="32">
        <f t="shared" ca="1" si="6"/>
        <v>3.9976068116230223E-2</v>
      </c>
      <c r="I48" s="35">
        <f t="shared" ca="1" si="7"/>
        <v>3997.6068116230222</v>
      </c>
      <c r="J48" s="38">
        <f t="shared" ca="1" si="4"/>
        <v>7</v>
      </c>
      <c r="L48">
        <v>46</v>
      </c>
      <c r="M48" s="1">
        <f ca="1">IFERROR(INDEX(Backtest!$A$8:$A$5000,MATCH(L48,Backtest!$P$8:$P$5000,0)),"")</f>
        <v>41939</v>
      </c>
      <c r="N48" s="1">
        <f ca="1">IFERROR(INDEX(Backtest!$A$8:$A$5000,MATCH(L48,Backtest!$Q$8:$Q$5000,0)),"")</f>
        <v>41941</v>
      </c>
      <c r="O48" s="25" t="str">
        <f ca="1">IF(ISNUMBER(M48),Backtest!$B$1,"")</f>
        <v>ITUB4</v>
      </c>
      <c r="P48" s="30">
        <f ca="1">IFERROR(VLOOKUP(N48,Backtest!A:C,2,FALSE)/VLOOKUP(M48,Backtest!A:C,2,FALSE)-1,"")</f>
        <v>1.5417831213770716E-2</v>
      </c>
      <c r="Q48" s="25" t="str">
        <f ca="1">IF(ISNUMBER(N48),Backtest!$C$1,"")</f>
        <v>BBDC4</v>
      </c>
      <c r="R48" s="30">
        <f ca="1">IFERROR(VLOOKUP(N48,Backtest!A:C,3,FALSE)/VLOOKUP(M48,Backtest!A:C,3,FALSE)-1,"")</f>
        <v>6.5630174354296411E-3</v>
      </c>
      <c r="S48" s="32">
        <f t="shared" ca="1" si="8"/>
        <v>8.8548137783410752E-3</v>
      </c>
      <c r="T48" s="35">
        <f t="shared" ca="1" si="9"/>
        <v>885.48137783410755</v>
      </c>
      <c r="U48" s="38">
        <f t="shared" ca="1" si="5"/>
        <v>3</v>
      </c>
    </row>
    <row r="49" spans="1:21" x14ac:dyDescent="0.3">
      <c r="A49" s="26">
        <v>47</v>
      </c>
      <c r="B49" s="27">
        <f ca="1">IFERROR(INDEX(Backtest!$A$8:$A$5000,MATCH(A49,Backtest!$N$8:$N$5000,0)),"")</f>
        <v>42229</v>
      </c>
      <c r="C49" s="27">
        <f ca="1">IFERROR(INDEX(Backtest!$A$8:$A$5000,MATCH(A49,Backtest!$O$8:$O$5000,0)),"")</f>
        <v>42292</v>
      </c>
      <c r="D49" s="28" t="str">
        <f ca="1">IF(ISNUMBER(B49),Backtest!$C$1,"")</f>
        <v>BBDC4</v>
      </c>
      <c r="E49" s="29">
        <f ca="1">IFERROR(VLOOKUP(C49,Backtest!A:C,3,FALSE)/VLOOKUP(B49,Backtest!A:C,3,FALSE)-1,"")</f>
        <v>-7.2092745893564625E-2</v>
      </c>
      <c r="F49" s="28" t="str">
        <f ca="1">IF(ISNUMBER(C49),Backtest!$B$1,"")</f>
        <v>ITUB4</v>
      </c>
      <c r="G49" s="29">
        <f ca="1">IFERROR(VLOOKUP(C49,Backtest!A:C,2,FALSE)/VLOOKUP(B49,Backtest!A:C,2,FALSE)-1,"")</f>
        <v>2.250974375465864E-2</v>
      </c>
      <c r="H49" s="31">
        <f t="shared" ca="1" si="6"/>
        <v>-9.4602489648223265E-2</v>
      </c>
      <c r="I49" s="34">
        <f t="shared" ca="1" si="7"/>
        <v>-9460.2489648223273</v>
      </c>
      <c r="J49" s="37">
        <f t="shared" ca="1" si="4"/>
        <v>46</v>
      </c>
      <c r="L49" s="26">
        <v>47</v>
      </c>
      <c r="M49" s="27">
        <f ca="1">IFERROR(INDEX(Backtest!$A$8:$A$5000,MATCH(L49,Backtest!$P$8:$P$5000,0)),"")</f>
        <v>41967</v>
      </c>
      <c r="N49" s="27">
        <f ca="1">IFERROR(INDEX(Backtest!$A$8:$A$5000,MATCH(L49,Backtest!$Q$8:$Q$5000,0)),"")</f>
        <v>41975</v>
      </c>
      <c r="O49" s="28" t="str">
        <f ca="1">IF(ISNUMBER(M49),Backtest!$B$1,"")</f>
        <v>ITUB4</v>
      </c>
      <c r="P49" s="29">
        <f ca="1">IFERROR(VLOOKUP(N49,Backtest!A:C,2,FALSE)/VLOOKUP(M49,Backtest!A:C,2,FALSE)-1,"")</f>
        <v>-6.498362899101684E-2</v>
      </c>
      <c r="Q49" s="28" t="str">
        <f ca="1">IF(ISNUMBER(N49),Backtest!$C$1,"")</f>
        <v>BBDC4</v>
      </c>
      <c r="R49" s="29">
        <f ca="1">IFERROR(VLOOKUP(N49,Backtest!A:C,3,FALSE)/VLOOKUP(M49,Backtest!A:C,3,FALSE)-1,"")</f>
        <v>-8.0740354011113791E-2</v>
      </c>
      <c r="S49" s="31">
        <f t="shared" ca="1" si="8"/>
        <v>1.5756725020096951E-2</v>
      </c>
      <c r="T49" s="34">
        <f t="shared" ca="1" si="9"/>
        <v>1575.6725020096951</v>
      </c>
      <c r="U49" s="37">
        <f t="shared" ca="1" si="5"/>
        <v>7</v>
      </c>
    </row>
    <row r="50" spans="1:21" x14ac:dyDescent="0.3">
      <c r="A50">
        <v>48</v>
      </c>
      <c r="B50" s="1">
        <f ca="1">IFERROR(INDEX(Backtest!$A$8:$A$5000,MATCH(A50,Backtest!$N$8:$N$5000,0)),"")</f>
        <v>42296</v>
      </c>
      <c r="C50" s="1">
        <f ca="1">IFERROR(INDEX(Backtest!$A$8:$A$5000,MATCH(A50,Backtest!$O$8:$O$5000,0)),"")</f>
        <v>42305</v>
      </c>
      <c r="D50" s="25" t="str">
        <f ca="1">IF(ISNUMBER(B50),Backtest!$C$1,"")</f>
        <v>BBDC4</v>
      </c>
      <c r="E50" s="30">
        <f ca="1">IFERROR(VLOOKUP(C50,Backtest!A:C,3,FALSE)/VLOOKUP(B50,Backtest!A:C,3,FALSE)-1,"")</f>
        <v>1.8167630316826333E-2</v>
      </c>
      <c r="F50" s="25" t="str">
        <f ca="1">IF(ISNUMBER(C50),Backtest!$B$1,"")</f>
        <v>ITUB4</v>
      </c>
      <c r="G50" s="30">
        <f ca="1">IFERROR(VLOOKUP(C50,Backtest!A:C,2,FALSE)/VLOOKUP(B50,Backtest!A:C,2,FALSE)-1,"")</f>
        <v>-2.7289569310676054E-2</v>
      </c>
      <c r="H50" s="32">
        <f t="shared" ca="1" si="6"/>
        <v>4.5457199627502387E-2</v>
      </c>
      <c r="I50" s="35">
        <f t="shared" ca="1" si="7"/>
        <v>4545.7199627502387</v>
      </c>
      <c r="J50" s="38">
        <f t="shared" ca="1" si="4"/>
        <v>8</v>
      </c>
      <c r="L50">
        <v>48</v>
      </c>
      <c r="M50" s="1">
        <f ca="1">IFERROR(INDEX(Backtest!$A$8:$A$5000,MATCH(L50,Backtest!$P$8:$P$5000,0)),"")</f>
        <v>41996</v>
      </c>
      <c r="N50" s="1">
        <f ca="1">IFERROR(INDEX(Backtest!$A$8:$A$5000,MATCH(L50,Backtest!$Q$8:$Q$5000,0)),"")</f>
        <v>42034</v>
      </c>
      <c r="O50" s="25" t="str">
        <f ca="1">IF(ISNUMBER(M50),Backtest!$B$1,"")</f>
        <v>ITUB4</v>
      </c>
      <c r="P50" s="30">
        <f ca="1">IFERROR(VLOOKUP(N50,Backtest!A:C,2,FALSE)/VLOOKUP(M50,Backtest!A:C,2,FALSE)-1,"")</f>
        <v>-6.4603889598086939E-2</v>
      </c>
      <c r="Q50" s="25" t="str">
        <f ca="1">IF(ISNUMBER(N50),Backtest!$C$1,"")</f>
        <v>BBDC4</v>
      </c>
      <c r="R50" s="30">
        <f ca="1">IFERROR(VLOOKUP(N50,Backtest!A:C,3,FALSE)/VLOOKUP(M50,Backtest!A:C,3,FALSE)-1,"")</f>
        <v>-5.7152069405933092E-2</v>
      </c>
      <c r="S50" s="32">
        <f t="shared" ca="1" si="8"/>
        <v>-7.4518201921538463E-3</v>
      </c>
      <c r="T50" s="35">
        <f t="shared" ca="1" si="9"/>
        <v>-745.18201921538457</v>
      </c>
      <c r="U50" s="38">
        <f t="shared" ca="1" si="5"/>
        <v>29</v>
      </c>
    </row>
    <row r="51" spans="1:21" x14ac:dyDescent="0.3">
      <c r="A51" s="26">
        <v>49</v>
      </c>
      <c r="B51" s="27">
        <f ca="1">IFERROR(INDEX(Backtest!$A$8:$A$5000,MATCH(A51,Backtest!$N$8:$N$5000,0)),"")</f>
        <v>42307</v>
      </c>
      <c r="C51" s="27">
        <f ca="1">IFERROR(INDEX(Backtest!$A$8:$A$5000,MATCH(A51,Backtest!$O$8:$O$5000,0)),"")</f>
        <v>42326</v>
      </c>
      <c r="D51" s="28" t="str">
        <f ca="1">IF(ISNUMBER(B51),Backtest!$C$1,"")</f>
        <v>BBDC4</v>
      </c>
      <c r="E51" s="29">
        <f ca="1">IFERROR(VLOOKUP(C51,Backtest!A:C,3,FALSE)/VLOOKUP(B51,Backtest!A:C,3,FALSE)-1,"")</f>
        <v>8.1629684502675381E-2</v>
      </c>
      <c r="F51" s="28" t="str">
        <f ca="1">IF(ISNUMBER(C51),Backtest!$B$1,"")</f>
        <v>ITUB4</v>
      </c>
      <c r="G51" s="29">
        <f ca="1">IFERROR(VLOOKUP(C51,Backtest!A:C,2,FALSE)/VLOOKUP(B51,Backtest!A:C,2,FALSE)-1,"")</f>
        <v>7.9214463183360007E-2</v>
      </c>
      <c r="H51" s="31">
        <f t="shared" ca="1" si="6"/>
        <v>2.4152213193153749E-3</v>
      </c>
      <c r="I51" s="34">
        <f t="shared" ca="1" si="7"/>
        <v>241.5221319315375</v>
      </c>
      <c r="J51" s="37">
        <f t="shared" ca="1" si="4"/>
        <v>14</v>
      </c>
      <c r="L51" s="26">
        <v>49</v>
      </c>
      <c r="M51" s="27">
        <f ca="1">IFERROR(INDEX(Backtest!$A$8:$A$5000,MATCH(L51,Backtest!$P$8:$P$5000,0)),"")</f>
        <v>42108</v>
      </c>
      <c r="N51" s="27">
        <f ca="1">IFERROR(INDEX(Backtest!$A$8:$A$5000,MATCH(L51,Backtest!$Q$8:$Q$5000,0)),"")</f>
        <v>42111</v>
      </c>
      <c r="O51" s="28" t="str">
        <f ca="1">IF(ISNUMBER(M51),Backtest!$B$1,"")</f>
        <v>ITUB4</v>
      </c>
      <c r="P51" s="29">
        <f ca="1">IFERROR(VLOOKUP(N51,Backtest!A:C,2,FALSE)/VLOOKUP(M51,Backtest!A:C,2,FALSE)-1,"")</f>
        <v>-5.9895566935197486E-3</v>
      </c>
      <c r="Q51" s="28" t="str">
        <f ca="1">IF(ISNUMBER(N51),Backtest!$C$1,"")</f>
        <v>BBDC4</v>
      </c>
      <c r="R51" s="29">
        <f ca="1">IFERROR(VLOOKUP(N51,Backtest!A:C,3,FALSE)/VLOOKUP(M51,Backtest!A:C,3,FALSE)-1,"")</f>
        <v>-1.8825139106921629E-2</v>
      </c>
      <c r="S51" s="31">
        <f t="shared" ca="1" si="8"/>
        <v>1.283558241340188E-2</v>
      </c>
      <c r="T51" s="34">
        <f t="shared" ca="1" si="9"/>
        <v>1283.558241340188</v>
      </c>
      <c r="U51" s="37">
        <f t="shared" ca="1" si="5"/>
        <v>4</v>
      </c>
    </row>
    <row r="52" spans="1:21" x14ac:dyDescent="0.3">
      <c r="A52">
        <v>50</v>
      </c>
      <c r="B52" s="1">
        <f ca="1">IFERROR(INDEX(Backtest!$A$8:$A$5000,MATCH(A52,Backtest!$N$8:$N$5000,0)),"")</f>
        <v>42338</v>
      </c>
      <c r="C52" s="1">
        <f ca="1">IFERROR(INDEX(Backtest!$A$8:$A$5000,MATCH(A52,Backtest!$O$8:$O$5000,0)),"")</f>
        <v>42355</v>
      </c>
      <c r="D52" s="25" t="str">
        <f ca="1">IF(ISNUMBER(B52),Backtest!$C$1,"")</f>
        <v>BBDC4</v>
      </c>
      <c r="E52" s="30">
        <f ca="1">IFERROR(VLOOKUP(C52,Backtest!A:C,3,FALSE)/VLOOKUP(B52,Backtest!A:C,3,FALSE)-1,"")</f>
        <v>4.8328744386766598E-2</v>
      </c>
      <c r="F52" s="25" t="str">
        <f ca="1">IF(ISNUMBER(C52),Backtest!$B$1,"")</f>
        <v>ITUB4</v>
      </c>
      <c r="G52" s="30">
        <f ca="1">IFERROR(VLOOKUP(C52,Backtest!A:C,2,FALSE)/VLOOKUP(B52,Backtest!A:C,2,FALSE)-1,"")</f>
        <v>4.2034796320694179E-2</v>
      </c>
      <c r="H52" s="32">
        <f t="shared" ca="1" si="6"/>
        <v>6.293948066072419E-3</v>
      </c>
      <c r="I52" s="35">
        <f t="shared" ca="1" si="7"/>
        <v>629.39480660724189</v>
      </c>
      <c r="J52" s="38">
        <f t="shared" ca="1" si="4"/>
        <v>14</v>
      </c>
      <c r="L52">
        <v>50</v>
      </c>
      <c r="M52" s="1">
        <f ca="1">IFERROR(INDEX(Backtest!$A$8:$A$5000,MATCH(L52,Backtest!$P$8:$P$5000,0)),"")</f>
        <v>42163</v>
      </c>
      <c r="N52" s="1">
        <f ca="1">IFERROR(INDEX(Backtest!$A$8:$A$5000,MATCH(L52,Backtest!$Q$8:$Q$5000,0)),"")</f>
        <v>42171</v>
      </c>
      <c r="O52" s="25" t="str">
        <f ca="1">IF(ISNUMBER(M52),Backtest!$B$1,"")</f>
        <v>ITUB4</v>
      </c>
      <c r="P52" s="30">
        <f ca="1">IFERROR(VLOOKUP(N52,Backtest!A:C,2,FALSE)/VLOOKUP(M52,Backtest!A:C,2,FALSE)-1,"")</f>
        <v>4.6653334168852423E-2</v>
      </c>
      <c r="Q52" s="25" t="str">
        <f ca="1">IF(ISNUMBER(N52),Backtest!$C$1,"")</f>
        <v>BBDC4</v>
      </c>
      <c r="R52" s="30">
        <f ca="1">IFERROR(VLOOKUP(N52,Backtest!A:C,3,FALSE)/VLOOKUP(M52,Backtest!A:C,3,FALSE)-1,"")</f>
        <v>2.7213922613493091E-2</v>
      </c>
      <c r="S52" s="32">
        <f t="shared" ca="1" si="8"/>
        <v>1.9439411555359332E-2</v>
      </c>
      <c r="T52" s="35">
        <f t="shared" ca="1" si="9"/>
        <v>1943.9411555359331</v>
      </c>
      <c r="U52" s="38">
        <f t="shared" ca="1" si="5"/>
        <v>7</v>
      </c>
    </row>
    <row r="53" spans="1:21" x14ac:dyDescent="0.3">
      <c r="A53" s="26">
        <v>51</v>
      </c>
      <c r="B53" s="27">
        <f ca="1">IFERROR(INDEX(Backtest!$A$8:$A$5000,MATCH(A53,Backtest!$N$8:$N$5000,0)),"")</f>
        <v>42521</v>
      </c>
      <c r="C53" s="27">
        <f ca="1">IFERROR(INDEX(Backtest!$A$8:$A$5000,MATCH(A53,Backtest!$O$8:$O$5000,0)),"")</f>
        <v>42529</v>
      </c>
      <c r="D53" s="28" t="str">
        <f ca="1">IF(ISNUMBER(B53),Backtest!$C$1,"")</f>
        <v>BBDC4</v>
      </c>
      <c r="E53" s="29">
        <f ca="1">IFERROR(VLOOKUP(C53,Backtest!A:C,3,FALSE)/VLOOKUP(B53,Backtest!A:C,3,FALSE)-1,"")</f>
        <v>9.7923312426323683E-2</v>
      </c>
      <c r="F53" s="28" t="str">
        <f ca="1">IF(ISNUMBER(C53),Backtest!$B$1,"")</f>
        <v>ITUB4</v>
      </c>
      <c r="G53" s="29">
        <f ca="1">IFERROR(VLOOKUP(C53,Backtest!A:C,2,FALSE)/VLOOKUP(B53,Backtest!A:C,2,FALSE)-1,"")</f>
        <v>5.1838746148111792E-2</v>
      </c>
      <c r="H53" s="31">
        <f t="shared" ca="1" si="6"/>
        <v>4.6084566278211891E-2</v>
      </c>
      <c r="I53" s="34">
        <f t="shared" ca="1" si="7"/>
        <v>4608.4566278211887</v>
      </c>
      <c r="J53" s="37">
        <f t="shared" ca="1" si="4"/>
        <v>7</v>
      </c>
      <c r="L53" s="26">
        <v>51</v>
      </c>
      <c r="M53" s="27">
        <f ca="1">IFERROR(INDEX(Backtest!$A$8:$A$5000,MATCH(L53,Backtest!$P$8:$P$5000,0)),"")</f>
        <v>42180</v>
      </c>
      <c r="N53" s="27">
        <f ca="1">IFERROR(INDEX(Backtest!$A$8:$A$5000,MATCH(L53,Backtest!$Q$8:$Q$5000,0)),"")</f>
        <v>42192</v>
      </c>
      <c r="O53" s="28" t="str">
        <f ca="1">IF(ISNUMBER(M53),Backtest!$B$1,"")</f>
        <v>ITUB4</v>
      </c>
      <c r="P53" s="29">
        <f ca="1">IFERROR(VLOOKUP(N53,Backtest!A:C,2,FALSE)/VLOOKUP(M53,Backtest!A:C,2,FALSE)-1,"")</f>
        <v>-7.9446966854404E-3</v>
      </c>
      <c r="Q53" s="28" t="str">
        <f ca="1">IF(ISNUMBER(N53),Backtest!$C$1,"")</f>
        <v>BBDC4</v>
      </c>
      <c r="R53" s="29">
        <f ca="1">IFERROR(VLOOKUP(N53,Backtest!A:C,3,FALSE)/VLOOKUP(M53,Backtest!A:C,3,FALSE)-1,"")</f>
        <v>-3.1611971886024048E-2</v>
      </c>
      <c r="S53" s="31">
        <f t="shared" ca="1" si="8"/>
        <v>2.3667275200583648E-2</v>
      </c>
      <c r="T53" s="34">
        <f t="shared" ca="1" si="9"/>
        <v>2366.7275200583649</v>
      </c>
      <c r="U53" s="37">
        <f t="shared" ca="1" si="5"/>
        <v>9</v>
      </c>
    </row>
    <row r="54" spans="1:21" x14ac:dyDescent="0.3">
      <c r="A54">
        <v>52</v>
      </c>
      <c r="B54" s="1">
        <f ca="1">IFERROR(INDEX(Backtest!$A$8:$A$5000,MATCH(A54,Backtest!$N$8:$N$5000,0)),"")</f>
        <v>42579</v>
      </c>
      <c r="C54" s="1">
        <f ca="1">IFERROR(INDEX(Backtest!$A$8:$A$5000,MATCH(A54,Backtest!$O$8:$O$5000,0)),"")</f>
        <v>42583</v>
      </c>
      <c r="D54" s="25" t="str">
        <f ca="1">IF(ISNUMBER(B54),Backtest!$C$1,"")</f>
        <v>BBDC4</v>
      </c>
      <c r="E54" s="30">
        <f ca="1">IFERROR(VLOOKUP(C54,Backtest!A:C,3,FALSE)/VLOOKUP(B54,Backtest!A:C,3,FALSE)-1,"")</f>
        <v>3.2728341404660632E-2</v>
      </c>
      <c r="F54" s="25" t="str">
        <f ca="1">IF(ISNUMBER(C54),Backtest!$B$1,"")</f>
        <v>ITUB4</v>
      </c>
      <c r="G54" s="30">
        <f ca="1">IFERROR(VLOOKUP(C54,Backtest!A:C,2,FALSE)/VLOOKUP(B54,Backtest!A:C,2,FALSE)-1,"")</f>
        <v>8.2727164275300247E-3</v>
      </c>
      <c r="H54" s="32">
        <f t="shared" ca="1" si="6"/>
        <v>2.4455624977130608E-2</v>
      </c>
      <c r="I54" s="35">
        <f t="shared" ca="1" si="7"/>
        <v>2445.5624977130606</v>
      </c>
      <c r="J54" s="38">
        <f t="shared" ca="1" si="4"/>
        <v>3</v>
      </c>
      <c r="L54">
        <v>52</v>
      </c>
      <c r="M54" s="1">
        <f ca="1">IFERROR(INDEX(Backtest!$A$8:$A$5000,MATCH(L54,Backtest!$P$8:$P$5000,0)),"")</f>
        <v>42199</v>
      </c>
      <c r="N54" s="1">
        <f ca="1">IFERROR(INDEX(Backtest!$A$8:$A$5000,MATCH(L54,Backtest!$Q$8:$Q$5000,0)),"")</f>
        <v>42206</v>
      </c>
      <c r="O54" s="25" t="str">
        <f ca="1">IF(ISNUMBER(M54),Backtest!$B$1,"")</f>
        <v>ITUB4</v>
      </c>
      <c r="P54" s="30">
        <f ca="1">IFERROR(VLOOKUP(N54,Backtest!A:C,2,FALSE)/VLOOKUP(M54,Backtest!A:C,2,FALSE)-1,"")</f>
        <v>-3.4549148999624801E-2</v>
      </c>
      <c r="Q54" s="25" t="str">
        <f ca="1">IF(ISNUMBER(N54),Backtest!$C$1,"")</f>
        <v>BBDC4</v>
      </c>
      <c r="R54" s="30">
        <f ca="1">IFERROR(VLOOKUP(N54,Backtest!A:C,3,FALSE)/VLOOKUP(M54,Backtest!A:C,3,FALSE)-1,"")</f>
        <v>-4.386279778729596E-2</v>
      </c>
      <c r="S54" s="32">
        <f t="shared" ca="1" si="8"/>
        <v>9.3136487876711582E-3</v>
      </c>
      <c r="T54" s="35">
        <f t="shared" ca="1" si="9"/>
        <v>931.36487876711578</v>
      </c>
      <c r="U54" s="38">
        <f t="shared" ca="1" si="5"/>
        <v>6</v>
      </c>
    </row>
    <row r="55" spans="1:21" x14ac:dyDescent="0.3">
      <c r="A55" s="26">
        <v>53</v>
      </c>
      <c r="B55" s="27">
        <f ca="1">IFERROR(INDEX(Backtest!$A$8:$A$5000,MATCH(A55,Backtest!$N$8:$N$5000,0)),"")</f>
        <v>42584</v>
      </c>
      <c r="C55" s="27">
        <f ca="1">IFERROR(INDEX(Backtest!$A$8:$A$5000,MATCH(A55,Backtest!$O$8:$O$5000,0)),"")</f>
        <v>42621</v>
      </c>
      <c r="D55" s="28" t="str">
        <f ca="1">IF(ISNUMBER(B55),Backtest!$C$1,"")</f>
        <v>BBDC4</v>
      </c>
      <c r="E55" s="29">
        <f ca="1">IFERROR(VLOOKUP(C55,Backtest!A:C,3,FALSE)/VLOOKUP(B55,Backtest!A:C,3,FALSE)-1,"")</f>
        <v>8.5692850710673341E-2</v>
      </c>
      <c r="F55" s="28" t="str">
        <f ca="1">IF(ISNUMBER(C55),Backtest!$B$1,"")</f>
        <v>ITUB4</v>
      </c>
      <c r="G55" s="29">
        <f ca="1">IFERROR(VLOOKUP(C55,Backtest!A:C,2,FALSE)/VLOOKUP(B55,Backtest!A:C,2,FALSE)-1,"")</f>
        <v>0.10403833602218038</v>
      </c>
      <c r="H55" s="31">
        <f t="shared" ca="1" si="6"/>
        <v>-1.8345485311507037E-2</v>
      </c>
      <c r="I55" s="34">
        <f t="shared" ca="1" si="7"/>
        <v>-1834.5485311507036</v>
      </c>
      <c r="J55" s="37">
        <f t="shared" ca="1" si="4"/>
        <v>28</v>
      </c>
      <c r="L55" s="26">
        <v>53</v>
      </c>
      <c r="M55" s="27">
        <f ca="1">IFERROR(INDEX(Backtest!$A$8:$A$5000,MATCH(L55,Backtest!$P$8:$P$5000,0)),"")</f>
        <v>42209</v>
      </c>
      <c r="N55" s="27">
        <f ca="1">IFERROR(INDEX(Backtest!$A$8:$A$5000,MATCH(L55,Backtest!$Q$8:$Q$5000,0)),"")</f>
        <v>42216</v>
      </c>
      <c r="O55" s="28" t="str">
        <f ca="1">IF(ISNUMBER(M55),Backtest!$B$1,"")</f>
        <v>ITUB4</v>
      </c>
      <c r="P55" s="29">
        <f ca="1">IFERROR(VLOOKUP(N55,Backtest!A:C,2,FALSE)/VLOOKUP(M55,Backtest!A:C,2,FALSE)-1,"")</f>
        <v>4.1910333341441008E-2</v>
      </c>
      <c r="Q55" s="28" t="str">
        <f ca="1">IF(ISNUMBER(N55),Backtest!$C$1,"")</f>
        <v>BBDC4</v>
      </c>
      <c r="R55" s="29">
        <f ca="1">IFERROR(VLOOKUP(N55,Backtest!A:C,3,FALSE)/VLOOKUP(M55,Backtest!A:C,3,FALSE)-1,"")</f>
        <v>2.8059643616645369E-2</v>
      </c>
      <c r="S55" s="31">
        <f t="shared" ca="1" si="8"/>
        <v>1.385068972479564E-2</v>
      </c>
      <c r="T55" s="34">
        <f t="shared" ca="1" si="9"/>
        <v>1385.0689724795639</v>
      </c>
      <c r="U55" s="37">
        <f t="shared" ca="1" si="5"/>
        <v>6</v>
      </c>
    </row>
    <row r="56" spans="1:21" x14ac:dyDescent="0.3">
      <c r="A56">
        <v>54</v>
      </c>
      <c r="B56" s="1">
        <f ca="1">IFERROR(INDEX(Backtest!$A$8:$A$5000,MATCH(A56,Backtest!$N$8:$N$5000,0)),"")</f>
        <v>42626</v>
      </c>
      <c r="C56" s="1">
        <f ca="1">IFERROR(INDEX(Backtest!$A$8:$A$5000,MATCH(A56,Backtest!$O$8:$O$5000,0)),"")</f>
        <v>42633</v>
      </c>
      <c r="D56" s="25" t="str">
        <f ca="1">IF(ISNUMBER(B56),Backtest!$C$1,"")</f>
        <v>BBDC4</v>
      </c>
      <c r="E56" s="30">
        <f ca="1">IFERROR(VLOOKUP(C56,Backtest!A:C,3,FALSE)/VLOOKUP(B56,Backtest!A:C,3,FALSE)-1,"")</f>
        <v>3.3666840229890305E-2</v>
      </c>
      <c r="F56" s="25" t="str">
        <f ca="1">IF(ISNUMBER(C56),Backtest!$B$1,"")</f>
        <v>ITUB4</v>
      </c>
      <c r="G56" s="30">
        <f ca="1">IFERROR(VLOOKUP(C56,Backtest!A:C,2,FALSE)/VLOOKUP(B56,Backtest!A:C,2,FALSE)-1,"")</f>
        <v>8.8583736605793995E-3</v>
      </c>
      <c r="H56" s="32">
        <f t="shared" ca="1" si="6"/>
        <v>2.4808466569310905E-2</v>
      </c>
      <c r="I56" s="35">
        <f t="shared" ca="1" si="7"/>
        <v>2480.8466569310904</v>
      </c>
      <c r="J56" s="38">
        <f t="shared" ca="1" si="4"/>
        <v>6</v>
      </c>
      <c r="L56">
        <v>54</v>
      </c>
      <c r="M56" s="1">
        <f ca="1">IFERROR(INDEX(Backtest!$A$8:$A$5000,MATCH(L56,Backtest!$P$8:$P$5000,0)),"")</f>
        <v>42305</v>
      </c>
      <c r="N56" s="1">
        <f ca="1">IFERROR(INDEX(Backtest!$A$8:$A$5000,MATCH(L56,Backtest!$Q$8:$Q$5000,0)),"")</f>
        <v>42306</v>
      </c>
      <c r="O56" s="25" t="str">
        <f ca="1">IF(ISNUMBER(M56),Backtest!$B$1,"")</f>
        <v>ITUB4</v>
      </c>
      <c r="P56" s="30">
        <f ca="1">IFERROR(VLOOKUP(N56,Backtest!A:C,2,FALSE)/VLOOKUP(M56,Backtest!A:C,2,FALSE)-1,"")</f>
        <v>-2.7308707455278025E-2</v>
      </c>
      <c r="Q56" s="25" t="str">
        <f ca="1">IF(ISNUMBER(N56),Backtest!$C$1,"")</f>
        <v>BBDC4</v>
      </c>
      <c r="R56" s="30">
        <f ca="1">IFERROR(VLOOKUP(N56,Backtest!A:C,3,FALSE)/VLOOKUP(M56,Backtest!A:C,3,FALSE)-1,"")</f>
        <v>-6.1554656820190345E-2</v>
      </c>
      <c r="S56" s="32">
        <f t="shared" ca="1" si="8"/>
        <v>3.424594936491232E-2</v>
      </c>
      <c r="T56" s="35">
        <f t="shared" ca="1" si="9"/>
        <v>3424.5949364912321</v>
      </c>
      <c r="U56" s="38">
        <f t="shared" ca="1" si="5"/>
        <v>2</v>
      </c>
    </row>
    <row r="57" spans="1:21" x14ac:dyDescent="0.3">
      <c r="A57" s="26">
        <v>55</v>
      </c>
      <c r="B57" s="27">
        <f ca="1">IFERROR(INDEX(Backtest!$A$8:$A$5000,MATCH(A57,Backtest!$N$8:$N$5000,0)),"")</f>
        <v>42657</v>
      </c>
      <c r="C57" s="27">
        <f ca="1">IFERROR(INDEX(Backtest!$A$8:$A$5000,MATCH(A57,Backtest!$O$8:$O$5000,0)),"")</f>
        <v>42663</v>
      </c>
      <c r="D57" s="28" t="str">
        <f ca="1">IF(ISNUMBER(B57),Backtest!$C$1,"")</f>
        <v>BBDC4</v>
      </c>
      <c r="E57" s="29">
        <f ca="1">IFERROR(VLOOKUP(C57,Backtest!A:C,3,FALSE)/VLOOKUP(B57,Backtest!A:C,3,FALSE)-1,"")</f>
        <v>5.2510699773657299E-2</v>
      </c>
      <c r="F57" s="28" t="str">
        <f ca="1">IF(ISNUMBER(C57),Backtest!$B$1,"")</f>
        <v>ITUB4</v>
      </c>
      <c r="G57" s="29">
        <f ca="1">IFERROR(VLOOKUP(C57,Backtest!A:C,2,FALSE)/VLOOKUP(B57,Backtest!A:C,2,FALSE)-1,"")</f>
        <v>2.2411741913584526E-2</v>
      </c>
      <c r="H57" s="31">
        <f t="shared" ca="1" si="6"/>
        <v>3.0098957860072773E-2</v>
      </c>
      <c r="I57" s="34">
        <f t="shared" ca="1" si="7"/>
        <v>3009.8957860072774</v>
      </c>
      <c r="J57" s="37">
        <f t="shared" ca="1" si="4"/>
        <v>5</v>
      </c>
      <c r="L57" s="26">
        <v>55</v>
      </c>
      <c r="M57" s="27">
        <f ca="1">IFERROR(INDEX(Backtest!$A$8:$A$5000,MATCH(L57,Backtest!$P$8:$P$5000,0)),"")</f>
        <v>42366</v>
      </c>
      <c r="N57" s="27">
        <f ca="1">IFERROR(INDEX(Backtest!$A$8:$A$5000,MATCH(L57,Backtest!$Q$8:$Q$5000,0)),"")</f>
        <v>42380</v>
      </c>
      <c r="O57" s="28" t="str">
        <f ca="1">IF(ISNUMBER(M57),Backtest!$B$1,"")</f>
        <v>ITUB4</v>
      </c>
      <c r="P57" s="29">
        <f ca="1">IFERROR(VLOOKUP(N57,Backtest!A:C,2,FALSE)/VLOOKUP(M57,Backtest!A:C,2,FALSE)-1,"")</f>
        <v>-7.185268631188757E-2</v>
      </c>
      <c r="Q57" s="28" t="str">
        <f ca="1">IF(ISNUMBER(N57),Backtest!$C$1,"")</f>
        <v>BBDC4</v>
      </c>
      <c r="R57" s="29">
        <f ca="1">IFERROR(VLOOKUP(N57,Backtest!A:C,3,FALSE)/VLOOKUP(M57,Backtest!A:C,3,FALSE)-1,"")</f>
        <v>-0.10358356414658865</v>
      </c>
      <c r="S57" s="31">
        <f t="shared" ca="1" si="8"/>
        <v>3.1730877834701077E-2</v>
      </c>
      <c r="T57" s="34">
        <f t="shared" ca="1" si="9"/>
        <v>3173.0877834701078</v>
      </c>
      <c r="U57" s="37">
        <f t="shared" ca="1" si="5"/>
        <v>11</v>
      </c>
    </row>
    <row r="58" spans="1:21" x14ac:dyDescent="0.3">
      <c r="A58">
        <v>56</v>
      </c>
      <c r="B58" s="1">
        <f ca="1">IFERROR(INDEX(Backtest!$A$8:$A$5000,MATCH(A58,Backtest!$N$8:$N$5000,0)),"")</f>
        <v>42670</v>
      </c>
      <c r="C58" s="1">
        <f ca="1">IFERROR(INDEX(Backtest!$A$8:$A$5000,MATCH(A58,Backtest!$O$8:$O$5000,0)),"")</f>
        <v>42710</v>
      </c>
      <c r="D58" s="25" t="str">
        <f ca="1">IF(ISNUMBER(B58),Backtest!$C$1,"")</f>
        <v>BBDC4</v>
      </c>
      <c r="E58" s="30">
        <f ca="1">IFERROR(VLOOKUP(C58,Backtest!A:C,3,FALSE)/VLOOKUP(B58,Backtest!A:C,3,FALSE)-1,"")</f>
        <v>-0.10097603266694655</v>
      </c>
      <c r="F58" s="25" t="str">
        <f ca="1">IF(ISNUMBER(C58),Backtest!$B$1,"")</f>
        <v>ITUB4</v>
      </c>
      <c r="G58" s="30">
        <f ca="1">IFERROR(VLOOKUP(C58,Backtest!A:C,2,FALSE)/VLOOKUP(B58,Backtest!A:C,2,FALSE)-1,"")</f>
        <v>-6.7609146624279859E-2</v>
      </c>
      <c r="H58" s="32">
        <f t="shared" ca="1" si="6"/>
        <v>-3.3366886042666688E-2</v>
      </c>
      <c r="I58" s="35">
        <f t="shared" ca="1" si="7"/>
        <v>-3336.6886042666688</v>
      </c>
      <c r="J58" s="38">
        <f t="shared" ca="1" si="4"/>
        <v>29</v>
      </c>
      <c r="L58">
        <v>56</v>
      </c>
      <c r="M58" s="1">
        <f ca="1">IFERROR(INDEX(Backtest!$A$8:$A$5000,MATCH(L58,Backtest!$P$8:$P$5000,0)),"")</f>
        <v>42389</v>
      </c>
      <c r="N58" s="1">
        <f ca="1">IFERROR(INDEX(Backtest!$A$8:$A$5000,MATCH(L58,Backtest!$Q$8:$Q$5000,0)),"")</f>
        <v>42395</v>
      </c>
      <c r="O58" s="25" t="str">
        <f ca="1">IF(ISNUMBER(M58),Backtest!$B$1,"")</f>
        <v>ITUB4</v>
      </c>
      <c r="P58" s="30">
        <f ca="1">IFERROR(VLOOKUP(N58,Backtest!A:C,2,FALSE)/VLOOKUP(M58,Backtest!A:C,2,FALSE)-1,"")</f>
        <v>2.2544066714038191E-2</v>
      </c>
      <c r="Q58" s="25" t="str">
        <f ca="1">IF(ISNUMBER(N58),Backtest!$C$1,"")</f>
        <v>BBDC4</v>
      </c>
      <c r="R58" s="30">
        <f ca="1">IFERROR(VLOOKUP(N58,Backtest!A:C,3,FALSE)/VLOOKUP(M58,Backtest!A:C,3,FALSE)-1,"")</f>
        <v>-5.7938246754988265E-3</v>
      </c>
      <c r="S58" s="32">
        <f t="shared" ca="1" si="8"/>
        <v>2.8337891389537018E-2</v>
      </c>
      <c r="T58" s="35">
        <f t="shared" ca="1" si="9"/>
        <v>2833.7891389537017</v>
      </c>
      <c r="U58" s="38">
        <f t="shared" ca="1" si="5"/>
        <v>5</v>
      </c>
    </row>
    <row r="59" spans="1:21" x14ac:dyDescent="0.3">
      <c r="A59" s="26">
        <v>57</v>
      </c>
      <c r="B59" s="27">
        <f ca="1">IFERROR(INDEX(Backtest!$A$8:$A$5000,MATCH(A59,Backtest!$N$8:$N$5000,0)),"")</f>
        <v>42727</v>
      </c>
      <c r="C59" s="27">
        <f ca="1">IFERROR(INDEX(Backtest!$A$8:$A$5000,MATCH(A59,Backtest!$O$8:$O$5000,0)),"")</f>
        <v>42732</v>
      </c>
      <c r="D59" s="28" t="str">
        <f ca="1">IF(ISNUMBER(B59),Backtest!$C$1,"")</f>
        <v>BBDC4</v>
      </c>
      <c r="E59" s="29">
        <f ca="1">IFERROR(VLOOKUP(C59,Backtest!A:C,3,FALSE)/VLOOKUP(B59,Backtest!A:C,3,FALSE)-1,"")</f>
        <v>4.4670310678433633E-2</v>
      </c>
      <c r="F59" s="28" t="str">
        <f ca="1">IF(ISNUMBER(C59),Backtest!$B$1,"")</f>
        <v>ITUB4</v>
      </c>
      <c r="G59" s="29">
        <f ca="1">IFERROR(VLOOKUP(C59,Backtest!A:C,2,FALSE)/VLOOKUP(B59,Backtest!A:C,2,FALSE)-1,"")</f>
        <v>3.1103949857958613E-2</v>
      </c>
      <c r="H59" s="31">
        <f t="shared" ca="1" si="6"/>
        <v>1.3566360820475021E-2</v>
      </c>
      <c r="I59" s="34">
        <f t="shared" ca="1" si="7"/>
        <v>1356.636082047502</v>
      </c>
      <c r="J59" s="37">
        <f t="shared" ca="1" si="4"/>
        <v>4</v>
      </c>
      <c r="L59" s="26">
        <v>57</v>
      </c>
      <c r="M59" s="27">
        <f ca="1">IFERROR(INDEX(Backtest!$A$8:$A$5000,MATCH(L59,Backtest!$P$8:$P$5000,0)),"")</f>
        <v>42402</v>
      </c>
      <c r="N59" s="27">
        <f ca="1">IFERROR(INDEX(Backtest!$A$8:$A$5000,MATCH(L59,Backtest!$Q$8:$Q$5000,0)),"")</f>
        <v>42438</v>
      </c>
      <c r="O59" s="28" t="str">
        <f ca="1">IF(ISNUMBER(M59),Backtest!$B$1,"")</f>
        <v>ITUB4</v>
      </c>
      <c r="P59" s="29">
        <f ca="1">IFERROR(VLOOKUP(N59,Backtest!A:C,2,FALSE)/VLOOKUP(M59,Backtest!A:C,2,FALSE)-1,"")</f>
        <v>0.30626375496174374</v>
      </c>
      <c r="Q59" s="28" t="str">
        <f ca="1">IF(ISNUMBER(N59),Backtest!$C$1,"")</f>
        <v>BBDC4</v>
      </c>
      <c r="R59" s="29">
        <f ca="1">IFERROR(VLOOKUP(N59,Backtest!A:C,3,FALSE)/VLOOKUP(M59,Backtest!A:C,3,FALSE)-1,"")</f>
        <v>0.40830916895493319</v>
      </c>
      <c r="S59" s="31">
        <f t="shared" ca="1" si="8"/>
        <v>-0.10204541399318945</v>
      </c>
      <c r="T59" s="34">
        <f t="shared" ca="1" si="9"/>
        <v>-10204.541399318945</v>
      </c>
      <c r="U59" s="37">
        <f t="shared" ca="1" si="5"/>
        <v>27</v>
      </c>
    </row>
    <row r="60" spans="1:21" x14ac:dyDescent="0.3">
      <c r="A60">
        <v>58</v>
      </c>
      <c r="B60" s="1">
        <f ca="1">IFERROR(INDEX(Backtest!$A$8:$A$5000,MATCH(A60,Backtest!$N$8:$N$5000,0)),"")</f>
        <v>42768</v>
      </c>
      <c r="C60" s="1">
        <f ca="1">IFERROR(INDEX(Backtest!$A$8:$A$5000,MATCH(A60,Backtest!$O$8:$O$5000,0)),"")</f>
        <v>42801</v>
      </c>
      <c r="D60" s="25" t="str">
        <f ca="1">IF(ISNUMBER(B60),Backtest!$C$1,"")</f>
        <v>BBDC4</v>
      </c>
      <c r="E60" s="30">
        <f ca="1">IFERROR(VLOOKUP(C60,Backtest!A:C,3,FALSE)/VLOOKUP(B60,Backtest!A:C,3,FALSE)-1,"")</f>
        <v>5.8662081332689908E-2</v>
      </c>
      <c r="F60" s="25" t="str">
        <f ca="1">IF(ISNUMBER(C60),Backtest!$B$1,"")</f>
        <v>ITUB4</v>
      </c>
      <c r="G60" s="30">
        <f ca="1">IFERROR(VLOOKUP(C60,Backtest!A:C,2,FALSE)/VLOOKUP(B60,Backtest!A:C,2,FALSE)-1,"")</f>
        <v>8.2454740240468505E-2</v>
      </c>
      <c r="H60" s="32">
        <f t="shared" ca="1" si="6"/>
        <v>-2.3792658907778597E-2</v>
      </c>
      <c r="I60" s="35">
        <f t="shared" ca="1" si="7"/>
        <v>-2379.2658907778596</v>
      </c>
      <c r="J60" s="38">
        <f t="shared" ca="1" si="4"/>
        <v>24</v>
      </c>
      <c r="L60">
        <v>58</v>
      </c>
      <c r="M60" s="1">
        <f ca="1">IFERROR(INDEX(Backtest!$A$8:$A$5000,MATCH(L60,Backtest!$P$8:$P$5000,0)),"")</f>
        <v>42446</v>
      </c>
      <c r="N60" s="1">
        <f ca="1">IFERROR(INDEX(Backtest!$A$8:$A$5000,MATCH(L60,Backtest!$Q$8:$Q$5000,0)),"")</f>
        <v>42485</v>
      </c>
      <c r="O60" s="25" t="str">
        <f ca="1">IF(ISNUMBER(M60),Backtest!$B$1,"")</f>
        <v>ITUB4</v>
      </c>
      <c r="P60" s="30">
        <f ca="1">IFERROR(VLOOKUP(N60,Backtest!A:C,2,FALSE)/VLOOKUP(M60,Backtest!A:C,2,FALSE)-1,"")</f>
        <v>-5.0606189235942844E-2</v>
      </c>
      <c r="Q60" s="25" t="str">
        <f ca="1">IF(ISNUMBER(N60),Backtest!$C$1,"")</f>
        <v>BBDC4</v>
      </c>
      <c r="R60" s="30">
        <f ca="1">IFERROR(VLOOKUP(N60,Backtest!A:C,3,FALSE)/VLOOKUP(M60,Backtest!A:C,3,FALSE)-1,"")</f>
        <v>-1.2957663783340734E-2</v>
      </c>
      <c r="S60" s="32">
        <f t="shared" ca="1" si="8"/>
        <v>-3.7648525452602111E-2</v>
      </c>
      <c r="T60" s="35">
        <f t="shared" ca="1" si="9"/>
        <v>-3764.8525452602112</v>
      </c>
      <c r="U60" s="38">
        <f t="shared" ca="1" si="5"/>
        <v>28</v>
      </c>
    </row>
    <row r="61" spans="1:21" x14ac:dyDescent="0.3">
      <c r="A61" s="26">
        <v>59</v>
      </c>
      <c r="B61" s="27">
        <f ca="1">IFERROR(INDEX(Backtest!$A$8:$A$5000,MATCH(A61,Backtest!$N$8:$N$5000,0)),"")</f>
        <v>42803</v>
      </c>
      <c r="C61" s="27">
        <f ca="1">IFERROR(INDEX(Backtest!$A$8:$A$5000,MATCH(A61,Backtest!$O$8:$O$5000,0)),"")</f>
        <v>42814</v>
      </c>
      <c r="D61" s="28" t="str">
        <f ca="1">IF(ISNUMBER(B61),Backtest!$C$1,"")</f>
        <v>BBDC4</v>
      </c>
      <c r="E61" s="29">
        <f ca="1">IFERROR(VLOOKUP(C61,Backtest!A:C,3,FALSE)/VLOOKUP(B61,Backtest!A:C,3,FALSE)-1,"")</f>
        <v>-2.1809039505030769E-3</v>
      </c>
      <c r="F61" s="28" t="str">
        <f ca="1">IF(ISNUMBER(C61),Backtest!$B$1,"")</f>
        <v>ITUB4</v>
      </c>
      <c r="G61" s="29">
        <f ca="1">IFERROR(VLOOKUP(C61,Backtest!A:C,2,FALSE)/VLOOKUP(B61,Backtest!A:C,2,FALSE)-1,"")</f>
        <v>-1.27905938774594E-2</v>
      </c>
      <c r="H61" s="31">
        <f t="shared" ca="1" si="6"/>
        <v>1.0609689926956323E-2</v>
      </c>
      <c r="I61" s="34">
        <f t="shared" ca="1" si="7"/>
        <v>1060.9689926956323</v>
      </c>
      <c r="J61" s="37">
        <f t="shared" ca="1" si="4"/>
        <v>8</v>
      </c>
      <c r="L61" s="26">
        <v>59</v>
      </c>
      <c r="M61" s="27">
        <f ca="1">IFERROR(INDEX(Backtest!$A$8:$A$5000,MATCH(L61,Backtest!$P$8:$P$5000,0)),"")</f>
        <v>42493</v>
      </c>
      <c r="N61" s="27">
        <f ca="1">IFERROR(INDEX(Backtest!$A$8:$A$5000,MATCH(L61,Backtest!$Q$8:$Q$5000,0)),"")</f>
        <v>42509</v>
      </c>
      <c r="O61" s="28" t="str">
        <f ca="1">IF(ISNUMBER(M61),Backtest!$B$1,"")</f>
        <v>ITUB4</v>
      </c>
      <c r="P61" s="29">
        <f ca="1">IFERROR(VLOOKUP(N61,Backtest!A:C,2,FALSE)/VLOOKUP(M61,Backtest!A:C,2,FALSE)-1,"")</f>
        <v>1.1957179917185812E-2</v>
      </c>
      <c r="Q61" s="28" t="str">
        <f ca="1">IF(ISNUMBER(N61),Backtest!$C$1,"")</f>
        <v>BBDC4</v>
      </c>
      <c r="R61" s="29">
        <f ca="1">IFERROR(VLOOKUP(N61,Backtest!A:C,3,FALSE)/VLOOKUP(M61,Backtest!A:C,3,FALSE)-1,"")</f>
        <v>-7.645493374324186E-3</v>
      </c>
      <c r="S61" s="31">
        <f t="shared" ca="1" si="8"/>
        <v>1.9602673291509998E-2</v>
      </c>
      <c r="T61" s="34">
        <f t="shared" ca="1" si="9"/>
        <v>1960.2673291509998</v>
      </c>
      <c r="U61" s="37">
        <f t="shared" ca="1" si="5"/>
        <v>13</v>
      </c>
    </row>
    <row r="62" spans="1:21" x14ac:dyDescent="0.3">
      <c r="A62">
        <v>60</v>
      </c>
      <c r="B62" s="1">
        <f ca="1">IFERROR(INDEX(Backtest!$A$8:$A$5000,MATCH(A62,Backtest!$N$8:$N$5000,0)),"")</f>
        <v>42844</v>
      </c>
      <c r="C62" s="1">
        <f ca="1">IFERROR(INDEX(Backtest!$A$8:$A$5000,MATCH(A62,Backtest!$O$8:$O$5000,0)),"")</f>
        <v>42851</v>
      </c>
      <c r="D62" s="25" t="str">
        <f ca="1">IF(ISNUMBER(B62),Backtest!$C$1,"")</f>
        <v>BBDC4</v>
      </c>
      <c r="E62" s="30">
        <f ca="1">IFERROR(VLOOKUP(C62,Backtest!A:C,3,FALSE)/VLOOKUP(B62,Backtest!A:C,3,FALSE)-1,"")</f>
        <v>2.6817897380320366E-2</v>
      </c>
      <c r="F62" s="25" t="str">
        <f ca="1">IF(ISNUMBER(C62),Backtest!$B$1,"")</f>
        <v>ITUB4</v>
      </c>
      <c r="G62" s="30">
        <f ca="1">IFERROR(VLOOKUP(C62,Backtest!A:C,2,FALSE)/VLOOKUP(B62,Backtest!A:C,2,FALSE)-1,"")</f>
        <v>1.2795238477416149E-2</v>
      </c>
      <c r="H62" s="32">
        <f t="shared" ca="1" si="6"/>
        <v>1.4022658902904217E-2</v>
      </c>
      <c r="I62" s="35">
        <f t="shared" ca="1" si="7"/>
        <v>1402.2658902904218</v>
      </c>
      <c r="J62" s="38">
        <f t="shared" ca="1" si="4"/>
        <v>6</v>
      </c>
      <c r="L62">
        <v>60</v>
      </c>
      <c r="M62" s="1">
        <f ca="1">IFERROR(INDEX(Backtest!$A$8:$A$5000,MATCH(L62,Backtest!$P$8:$P$5000,0)),"")</f>
        <v>42531</v>
      </c>
      <c r="N62" s="1">
        <f ca="1">IFERROR(INDEX(Backtest!$A$8:$A$5000,MATCH(L62,Backtest!$Q$8:$Q$5000,0)),"")</f>
        <v>42558</v>
      </c>
      <c r="O62" s="25" t="str">
        <f ca="1">IF(ISNUMBER(M62),Backtest!$B$1,"")</f>
        <v>ITUB4</v>
      </c>
      <c r="P62" s="30">
        <f ca="1">IFERROR(VLOOKUP(N62,Backtest!A:C,2,FALSE)/VLOOKUP(M62,Backtest!A:C,2,FALSE)-1,"")</f>
        <v>7.7002266282577336E-2</v>
      </c>
      <c r="Q62" s="25" t="str">
        <f ca="1">IF(ISNUMBER(N62),Backtest!$C$1,"")</f>
        <v>BBDC4</v>
      </c>
      <c r="R62" s="30">
        <f ca="1">IFERROR(VLOOKUP(N62,Backtest!A:C,3,FALSE)/VLOOKUP(M62,Backtest!A:C,3,FALSE)-1,"")</f>
        <v>8.7755070592057782E-2</v>
      </c>
      <c r="S62" s="32">
        <f t="shared" ca="1" si="8"/>
        <v>-1.0752804309480446E-2</v>
      </c>
      <c r="T62" s="35">
        <f t="shared" ca="1" si="9"/>
        <v>-1075.2804309480446</v>
      </c>
      <c r="U62" s="38">
        <f t="shared" ca="1" si="5"/>
        <v>20</v>
      </c>
    </row>
    <row r="63" spans="1:21" x14ac:dyDescent="0.3">
      <c r="A63" s="26">
        <v>61</v>
      </c>
      <c r="B63" s="27">
        <f ca="1">IFERROR(INDEX(Backtest!$A$8:$A$5000,MATCH(A63,Backtest!$N$8:$N$5000,0)),"")</f>
        <v>42886</v>
      </c>
      <c r="C63" s="27">
        <f ca="1">IFERROR(INDEX(Backtest!$A$8:$A$5000,MATCH(A63,Backtest!$O$8:$O$5000,0)),"")</f>
        <v>42895</v>
      </c>
      <c r="D63" s="28" t="str">
        <f ca="1">IF(ISNUMBER(B63),Backtest!$C$1,"")</f>
        <v>BBDC4</v>
      </c>
      <c r="E63" s="29">
        <f ca="1">IFERROR(VLOOKUP(C63,Backtest!A:C,3,FALSE)/VLOOKUP(B63,Backtest!A:C,3,FALSE)-1,"")</f>
        <v>7.109772295777872E-2</v>
      </c>
      <c r="F63" s="28" t="str">
        <f ca="1">IF(ISNUMBER(C63),Backtest!$B$1,"")</f>
        <v>ITUB4</v>
      </c>
      <c r="G63" s="29">
        <f ca="1">IFERROR(VLOOKUP(C63,Backtest!A:C,2,FALSE)/VLOOKUP(B63,Backtest!A:C,2,FALSE)-1,"")</f>
        <v>3.449040240362411E-3</v>
      </c>
      <c r="H63" s="31">
        <f t="shared" ca="1" si="6"/>
        <v>6.7648682717416309E-2</v>
      </c>
      <c r="I63" s="34">
        <f t="shared" ca="1" si="7"/>
        <v>6764.8682717416305</v>
      </c>
      <c r="J63" s="37">
        <f t="shared" ca="1" si="4"/>
        <v>8</v>
      </c>
      <c r="L63" s="26">
        <v>61</v>
      </c>
      <c r="M63" s="27">
        <f ca="1">IFERROR(INDEX(Backtest!$A$8:$A$5000,MATCH(L63,Backtest!$P$8:$P$5000,0)),"")</f>
        <v>42569</v>
      </c>
      <c r="N63" s="27">
        <f ca="1">IFERROR(INDEX(Backtest!$A$8:$A$5000,MATCH(L63,Backtest!$Q$8:$Q$5000,0)),"")</f>
        <v>42579</v>
      </c>
      <c r="O63" s="28" t="str">
        <f ca="1">IF(ISNUMBER(M63),Backtest!$B$1,"")</f>
        <v>ITUB4</v>
      </c>
      <c r="P63" s="29">
        <f ca="1">IFERROR(VLOOKUP(N63,Backtest!A:C,2,FALSE)/VLOOKUP(M63,Backtest!A:C,2,FALSE)-1,"")</f>
        <v>-2.4975722847641713E-2</v>
      </c>
      <c r="Q63" s="28" t="str">
        <f ca="1">IF(ISNUMBER(N63),Backtest!$C$1,"")</f>
        <v>BBDC4</v>
      </c>
      <c r="R63" s="29">
        <f ca="1">IFERROR(VLOOKUP(N63,Backtest!A:C,3,FALSE)/VLOOKUP(M63,Backtest!A:C,3,FALSE)-1,"")</f>
        <v>-4.8114894370154371E-2</v>
      </c>
      <c r="S63" s="31">
        <f t="shared" ca="1" si="8"/>
        <v>2.3139171522512658E-2</v>
      </c>
      <c r="T63" s="34">
        <f t="shared" ca="1" si="9"/>
        <v>2313.9171522512656</v>
      </c>
      <c r="U63" s="37">
        <f t="shared" ca="1" si="5"/>
        <v>9</v>
      </c>
    </row>
    <row r="64" spans="1:21" x14ac:dyDescent="0.3">
      <c r="A64">
        <v>62</v>
      </c>
      <c r="B64" s="1">
        <f ca="1">IFERROR(INDEX(Backtest!$A$8:$A$5000,MATCH(A64,Backtest!$N$8:$N$5000,0)),"")</f>
        <v>42986</v>
      </c>
      <c r="C64" s="1">
        <f ca="1">IFERROR(INDEX(Backtest!$A$8:$A$5000,MATCH(A64,Backtest!$O$8:$O$5000,0)),"")</f>
        <v>42989</v>
      </c>
      <c r="D64" s="25" t="str">
        <f ca="1">IF(ISNUMBER(B64),Backtest!$C$1,"")</f>
        <v>BBDC4</v>
      </c>
      <c r="E64" s="30">
        <f ca="1">IFERROR(VLOOKUP(C64,Backtest!A:C,3,FALSE)/VLOOKUP(B64,Backtest!A:C,3,FALSE)-1,"")</f>
        <v>3.8528470519293201E-2</v>
      </c>
      <c r="F64" s="25" t="str">
        <f ca="1">IF(ISNUMBER(C64),Backtest!$B$1,"")</f>
        <v>ITUB4</v>
      </c>
      <c r="G64" s="30">
        <f ca="1">IFERROR(VLOOKUP(C64,Backtest!A:C,2,FALSE)/VLOOKUP(B64,Backtest!A:C,2,FALSE)-1,"")</f>
        <v>1.6887570644388283E-2</v>
      </c>
      <c r="H64" s="32">
        <f t="shared" ca="1" si="6"/>
        <v>2.1640899874904918E-2</v>
      </c>
      <c r="I64" s="35">
        <f t="shared" ca="1" si="7"/>
        <v>2164.0899874904917</v>
      </c>
      <c r="J64" s="38">
        <f t="shared" ca="1" si="4"/>
        <v>2</v>
      </c>
      <c r="L64">
        <v>62</v>
      </c>
      <c r="M64" s="1">
        <f ca="1">IFERROR(INDEX(Backtest!$A$8:$A$5000,MATCH(L64,Backtest!$P$8:$P$5000,0)),"")</f>
        <v>42621</v>
      </c>
      <c r="N64" s="1">
        <f ca="1">IFERROR(INDEX(Backtest!$A$8:$A$5000,MATCH(L64,Backtest!$Q$8:$Q$5000,0)),"")</f>
        <v>42625</v>
      </c>
      <c r="O64" s="25" t="str">
        <f ca="1">IF(ISNUMBER(M64),Backtest!$B$1,"")</f>
        <v>ITUB4</v>
      </c>
      <c r="P64" s="30">
        <f ca="1">IFERROR(VLOOKUP(N64,Backtest!A:C,2,FALSE)/VLOOKUP(M64,Backtest!A:C,2,FALSE)-1,"")</f>
        <v>-2.5384732818128253E-2</v>
      </c>
      <c r="Q64" s="25" t="str">
        <f ca="1">IF(ISNUMBER(N64),Backtest!$C$1,"")</f>
        <v>BBDC4</v>
      </c>
      <c r="R64" s="30">
        <f ca="1">IFERROR(VLOOKUP(N64,Backtest!A:C,3,FALSE)/VLOOKUP(M64,Backtest!A:C,3,FALSE)-1,"")</f>
        <v>-5.1972117587160915E-2</v>
      </c>
      <c r="S64" s="32">
        <f t="shared" ca="1" si="8"/>
        <v>2.6587384769032663E-2</v>
      </c>
      <c r="T64" s="35">
        <f t="shared" ca="1" si="9"/>
        <v>2658.7384769032665</v>
      </c>
      <c r="U64" s="38">
        <f t="shared" ca="1" si="5"/>
        <v>3</v>
      </c>
    </row>
    <row r="65" spans="1:21" x14ac:dyDescent="0.3">
      <c r="A65" s="26">
        <v>63</v>
      </c>
      <c r="B65" s="27">
        <f ca="1">IFERROR(INDEX(Backtest!$A$8:$A$5000,MATCH(A65,Backtest!$N$8:$N$5000,0)),"")</f>
        <v>43005</v>
      </c>
      <c r="C65" s="27">
        <f ca="1">IFERROR(INDEX(Backtest!$A$8:$A$5000,MATCH(A65,Backtest!$O$8:$O$5000,0)),"")</f>
        <v>43011</v>
      </c>
      <c r="D65" s="28" t="str">
        <f ca="1">IF(ISNUMBER(B65),Backtest!$C$1,"")</f>
        <v>BBDC4</v>
      </c>
      <c r="E65" s="29">
        <f ca="1">IFERROR(VLOOKUP(C65,Backtest!A:C,3,FALSE)/VLOOKUP(B65,Backtest!A:C,3,FALSE)-1,"")</f>
        <v>5.4796291030258404E-2</v>
      </c>
      <c r="F65" s="28" t="str">
        <f ca="1">IF(ISNUMBER(C65),Backtest!$B$1,"")</f>
        <v>ITUB4</v>
      </c>
      <c r="G65" s="29">
        <f ca="1">IFERROR(VLOOKUP(C65,Backtest!A:C,2,FALSE)/VLOOKUP(B65,Backtest!A:C,2,FALSE)-1,"")</f>
        <v>3.9468854895899463E-2</v>
      </c>
      <c r="H65" s="31">
        <f t="shared" ca="1" si="6"/>
        <v>1.532743613435894E-2</v>
      </c>
      <c r="I65" s="34">
        <f t="shared" ca="1" si="7"/>
        <v>1532.7436134358941</v>
      </c>
      <c r="J65" s="37">
        <f t="shared" ca="1" si="4"/>
        <v>5</v>
      </c>
      <c r="L65" s="26">
        <v>63</v>
      </c>
      <c r="M65" s="27">
        <f ca="1">IFERROR(INDEX(Backtest!$A$8:$A$5000,MATCH(L65,Backtest!$P$8:$P$5000,0)),"")</f>
        <v>42634</v>
      </c>
      <c r="N65" s="27">
        <f ca="1">IFERROR(INDEX(Backtest!$A$8:$A$5000,MATCH(L65,Backtest!$Q$8:$Q$5000,0)),"")</f>
        <v>42648</v>
      </c>
      <c r="O65" s="28" t="str">
        <f ca="1">IF(ISNUMBER(M65),Backtest!$B$1,"")</f>
        <v>ITUB4</v>
      </c>
      <c r="P65" s="29">
        <f ca="1">IFERROR(VLOOKUP(N65,Backtest!A:C,2,FALSE)/VLOOKUP(M65,Backtest!A:C,2,FALSE)-1,"")</f>
        <v>4.953702303251406E-2</v>
      </c>
      <c r="Q65" s="28" t="str">
        <f ca="1">IF(ISNUMBER(N65),Backtest!$C$1,"")</f>
        <v>BBDC4</v>
      </c>
      <c r="R65" s="29">
        <f ca="1">IFERROR(VLOOKUP(N65,Backtest!A:C,3,FALSE)/VLOOKUP(M65,Backtest!A:C,3,FALSE)-1,"")</f>
        <v>4.6753241387013533E-2</v>
      </c>
      <c r="S65" s="31">
        <f t="shared" ca="1" si="8"/>
        <v>2.7837816455005271E-3</v>
      </c>
      <c r="T65" s="34">
        <f t="shared" ca="1" si="9"/>
        <v>278.3781645500527</v>
      </c>
      <c r="U65" s="37">
        <f t="shared" ca="1" si="5"/>
        <v>11</v>
      </c>
    </row>
    <row r="66" spans="1:21" x14ac:dyDescent="0.3">
      <c r="A66">
        <v>64</v>
      </c>
      <c r="B66" s="1">
        <f ca="1">IFERROR(INDEX(Backtest!$A$8:$A$5000,MATCH(A66,Backtest!$N$8:$N$5000,0)),"")</f>
        <v>43013</v>
      </c>
      <c r="C66" s="1">
        <f ca="1">IFERROR(INDEX(Backtest!$A$8:$A$5000,MATCH(A66,Backtest!$O$8:$O$5000,0)),"")</f>
        <v>43017</v>
      </c>
      <c r="D66" s="25" t="str">
        <f ca="1">IF(ISNUMBER(B66),Backtest!$C$1,"")</f>
        <v>BBDC4</v>
      </c>
      <c r="E66" s="30">
        <f ca="1">IFERROR(VLOOKUP(C66,Backtest!A:C,3,FALSE)/VLOOKUP(B66,Backtest!A:C,3,FALSE)-1,"")</f>
        <v>-1.0904944492421964E-2</v>
      </c>
      <c r="F66" s="25" t="str">
        <f ca="1">IF(ISNUMBER(C66),Backtest!$B$1,"")</f>
        <v>ITUB4</v>
      </c>
      <c r="G66" s="30">
        <f ca="1">IFERROR(VLOOKUP(C66,Backtest!A:C,2,FALSE)/VLOOKUP(B66,Backtest!A:C,2,FALSE)-1,"")</f>
        <v>-2.3447093966285637E-2</v>
      </c>
      <c r="H66" s="32">
        <f t="shared" ca="1" si="6"/>
        <v>1.2542149473863673E-2</v>
      </c>
      <c r="I66" s="35">
        <f t="shared" ca="1" si="7"/>
        <v>1254.2149473863674</v>
      </c>
      <c r="J66" s="38">
        <f t="shared" ca="1" si="4"/>
        <v>3</v>
      </c>
      <c r="L66">
        <v>64</v>
      </c>
      <c r="M66" s="1">
        <f ca="1">IFERROR(INDEX(Backtest!$A$8:$A$5000,MATCH(L66,Backtest!$P$8:$P$5000,0)),"")</f>
        <v>42713</v>
      </c>
      <c r="N66" s="1">
        <f ca="1">IFERROR(INDEX(Backtest!$A$8:$A$5000,MATCH(L66,Backtest!$Q$8:$Q$5000,0)),"")</f>
        <v>42727</v>
      </c>
      <c r="O66" s="25" t="str">
        <f ca="1">IF(ISNUMBER(M66),Backtest!$B$1,"")</f>
        <v>ITUB4</v>
      </c>
      <c r="P66" s="30">
        <f ca="1">IFERROR(VLOOKUP(N66,Backtest!A:C,2,FALSE)/VLOOKUP(M66,Backtest!A:C,2,FALSE)-1,"")</f>
        <v>-2.0572919912182241E-2</v>
      </c>
      <c r="Q66" s="25" t="str">
        <f ca="1">IF(ISNUMBER(N66),Backtest!$C$1,"")</f>
        <v>BBDC4</v>
      </c>
      <c r="R66" s="30">
        <f ca="1">IFERROR(VLOOKUP(N66,Backtest!A:C,3,FALSE)/VLOOKUP(M66,Backtest!A:C,3,FALSE)-1,"")</f>
        <v>-3.8384453043125988E-2</v>
      </c>
      <c r="S66" s="32">
        <f t="shared" ca="1" si="8"/>
        <v>1.7811533130943746E-2</v>
      </c>
      <c r="T66" s="35">
        <f t="shared" ca="1" si="9"/>
        <v>1781.1533130943747</v>
      </c>
      <c r="U66" s="38">
        <f t="shared" ca="1" si="5"/>
        <v>11</v>
      </c>
    </row>
    <row r="67" spans="1:21" x14ac:dyDescent="0.3">
      <c r="A67" s="26">
        <v>65</v>
      </c>
      <c r="B67" s="27">
        <f ca="1">IFERROR(INDEX(Backtest!$A$8:$A$5000,MATCH(A67,Backtest!$N$8:$N$5000,0)),"")</f>
        <v>43040</v>
      </c>
      <c r="C67" s="27">
        <f ca="1">IFERROR(INDEX(Backtest!$A$8:$A$5000,MATCH(A67,Backtest!$O$8:$O$5000,0)),"")</f>
        <v>43081</v>
      </c>
      <c r="D67" s="28" t="str">
        <f ca="1">IF(ISNUMBER(B67),Backtest!$C$1,"")</f>
        <v>BBDC4</v>
      </c>
      <c r="E67" s="29">
        <f ca="1">IFERROR(VLOOKUP(C67,Backtest!A:C,3,FALSE)/VLOOKUP(B67,Backtest!A:C,3,FALSE)-1,"")</f>
        <v>1.3425156941293537E-3</v>
      </c>
      <c r="F67" s="28" t="str">
        <f ca="1">IF(ISNUMBER(C67),Backtest!$B$1,"")</f>
        <v>ITUB4</v>
      </c>
      <c r="G67" s="29">
        <f ca="1">IFERROR(VLOOKUP(C67,Backtest!A:C,2,FALSE)/VLOOKUP(B67,Backtest!A:C,2,FALSE)-1,"")</f>
        <v>3.3525974132433189E-2</v>
      </c>
      <c r="H67" s="31">
        <f t="shared" ref="H67:H98" ca="1" si="10">IF(ISNUMBER(C67),E67-G67,"")</f>
        <v>-3.2183458438303836E-2</v>
      </c>
      <c r="I67" s="34">
        <f t="shared" ref="I67:I98" ca="1" si="11">IF(ISNUMBER(C67),H67*$B$1,"")</f>
        <v>-3218.3458438303837</v>
      </c>
      <c r="J67" s="37">
        <f t="shared" ca="1" si="4"/>
        <v>30</v>
      </c>
      <c r="L67" s="26">
        <v>65</v>
      </c>
      <c r="M67" s="27">
        <f ca="1">IFERROR(INDEX(Backtest!$A$8:$A$5000,MATCH(L67,Backtest!$P$8:$P$5000,0)),"")</f>
        <v>42748</v>
      </c>
      <c r="N67" s="27">
        <f ca="1">IFERROR(INDEX(Backtest!$A$8:$A$5000,MATCH(L67,Backtest!$Q$8:$Q$5000,0)),"")</f>
        <v>42758</v>
      </c>
      <c r="O67" s="28" t="str">
        <f ca="1">IF(ISNUMBER(M67),Backtest!$B$1,"")</f>
        <v>ITUB4</v>
      </c>
      <c r="P67" s="29">
        <f ca="1">IFERROR(VLOOKUP(N67,Backtest!A:C,2,FALSE)/VLOOKUP(M67,Backtest!A:C,2,FALSE)-1,"")</f>
        <v>5.1416096310376469E-2</v>
      </c>
      <c r="Q67" s="28" t="str">
        <f ca="1">IF(ISNUMBER(N67),Backtest!$C$1,"")</f>
        <v>BBDC4</v>
      </c>
      <c r="R67" s="29">
        <f ca="1">IFERROR(VLOOKUP(N67,Backtest!A:C,3,FALSE)/VLOOKUP(M67,Backtest!A:C,3,FALSE)-1,"")</f>
        <v>3.7655250327154111E-2</v>
      </c>
      <c r="S67" s="31">
        <f t="shared" ref="S67:S98" ca="1" si="12">IF(ISNUMBER(N67),P67-R67,"")</f>
        <v>1.3760845983222358E-2</v>
      </c>
      <c r="T67" s="34">
        <f t="shared" ref="T67:T98" ca="1" si="13">IF(ISNUMBER(N67),S67*$B$1,"")</f>
        <v>1376.0845983222359</v>
      </c>
      <c r="U67" s="37">
        <f t="shared" ca="1" si="5"/>
        <v>7</v>
      </c>
    </row>
    <row r="68" spans="1:21" x14ac:dyDescent="0.3">
      <c r="A68">
        <v>66</v>
      </c>
      <c r="B68" s="1">
        <f ca="1">IFERROR(INDEX(Backtest!$A$8:$A$5000,MATCH(A68,Backtest!$N$8:$N$5000,0)),"")</f>
        <v>43126</v>
      </c>
      <c r="C68" s="1">
        <f ca="1">IFERROR(INDEX(Backtest!$A$8:$A$5000,MATCH(A68,Backtest!$O$8:$O$5000,0)),"")</f>
        <v>43180</v>
      </c>
      <c r="D68" s="25" t="str">
        <f ca="1">IF(ISNUMBER(B68),Backtest!$C$1,"")</f>
        <v>BBDC4</v>
      </c>
      <c r="E68" s="30">
        <f ca="1">IFERROR(VLOOKUP(C68,Backtest!A:C,3,FALSE)/VLOOKUP(B68,Backtest!A:C,3,FALSE)-1,"")</f>
        <v>-7.7102383150221887E-2</v>
      </c>
      <c r="F68" s="25" t="str">
        <f ca="1">IF(ISNUMBER(C68),Backtest!$B$1,"")</f>
        <v>ITUB4</v>
      </c>
      <c r="G68" s="30">
        <f ca="1">IFERROR(VLOOKUP(C68,Backtest!A:C,2,FALSE)/VLOOKUP(B68,Backtest!A:C,2,FALSE)-1,"")</f>
        <v>-1.3172119662927972E-2</v>
      </c>
      <c r="H68" s="32">
        <f t="shared" ca="1" si="10"/>
        <v>-6.3930263487293915E-2</v>
      </c>
      <c r="I68" s="35">
        <f t="shared" ca="1" si="11"/>
        <v>-6393.0263487293914</v>
      </c>
      <c r="J68" s="38">
        <f t="shared" ref="J68:J102" ca="1" si="14">IF(ISNUMBER(C68),NETWORKDAYS(B68,C68),"")</f>
        <v>39</v>
      </c>
      <c r="L68">
        <v>66</v>
      </c>
      <c r="M68" s="1">
        <f ca="1">IFERROR(INDEX(Backtest!$A$8:$A$5000,MATCH(L68,Backtest!$P$8:$P$5000,0)),"")</f>
        <v>42762</v>
      </c>
      <c r="N68" s="1">
        <f ca="1">IFERROR(INDEX(Backtest!$A$8:$A$5000,MATCH(L68,Backtest!$Q$8:$Q$5000,0)),"")</f>
        <v>42768</v>
      </c>
      <c r="O68" s="25" t="str">
        <f ca="1">IF(ISNUMBER(M68),Backtest!$B$1,"")</f>
        <v>ITUB4</v>
      </c>
      <c r="P68" s="30">
        <f ca="1">IFERROR(VLOOKUP(N68,Backtest!A:C,2,FALSE)/VLOOKUP(M68,Backtest!A:C,2,FALSE)-1,"")</f>
        <v>-1.3595742568959901E-2</v>
      </c>
      <c r="Q68" s="25" t="str">
        <f ca="1">IF(ISNUMBER(N68),Backtest!$C$1,"")</f>
        <v>BBDC4</v>
      </c>
      <c r="R68" s="30">
        <f ca="1">IFERROR(VLOOKUP(N68,Backtest!A:C,3,FALSE)/VLOOKUP(M68,Backtest!A:C,3,FALSE)-1,"")</f>
        <v>-5.1936944887630676E-2</v>
      </c>
      <c r="S68" s="32">
        <f t="shared" ca="1" si="12"/>
        <v>3.8341202318670775E-2</v>
      </c>
      <c r="T68" s="35">
        <f t="shared" ca="1" si="13"/>
        <v>3834.1202318670776</v>
      </c>
      <c r="U68" s="38">
        <f t="shared" ref="U68:U102" ca="1" si="15">IF(ISNUMBER(N68),NETWORKDAYS(M68,N68),"")</f>
        <v>5</v>
      </c>
    </row>
    <row r="69" spans="1:21" x14ac:dyDescent="0.3">
      <c r="A69" s="26">
        <v>67</v>
      </c>
      <c r="B69" s="27">
        <f ca="1">IFERROR(INDEX(Backtest!$A$8:$A$5000,MATCH(A69,Backtest!$N$8:$N$5000,0)),"")</f>
        <v>43202</v>
      </c>
      <c r="C69" s="27">
        <f ca="1">IFERROR(INDEX(Backtest!$A$8:$A$5000,MATCH(A69,Backtest!$O$8:$O$5000,0)),"")</f>
        <v>43215</v>
      </c>
      <c r="D69" s="28" t="str">
        <f ca="1">IF(ISNUMBER(B69),Backtest!$C$1,"")</f>
        <v>BBDC4</v>
      </c>
      <c r="E69" s="29">
        <f ca="1">IFERROR(VLOOKUP(C69,Backtest!A:C,3,FALSE)/VLOOKUP(B69,Backtest!A:C,3,FALSE)-1,"")</f>
        <v>-8.6308874230711652E-4</v>
      </c>
      <c r="F69" s="28" t="str">
        <f ca="1">IF(ISNUMBER(C69),Backtest!$B$1,"")</f>
        <v>ITUB4</v>
      </c>
      <c r="G69" s="29">
        <f ca="1">IFERROR(VLOOKUP(C69,Backtest!A:C,2,FALSE)/VLOOKUP(B69,Backtest!A:C,2,FALSE)-1,"")</f>
        <v>-2.3432164087328511E-2</v>
      </c>
      <c r="H69" s="31">
        <f t="shared" ca="1" si="10"/>
        <v>2.2569075345021394E-2</v>
      </c>
      <c r="I69" s="34">
        <f t="shared" ca="1" si="11"/>
        <v>2256.9075345021392</v>
      </c>
      <c r="J69" s="37">
        <f t="shared" ca="1" si="14"/>
        <v>10</v>
      </c>
      <c r="L69" s="26">
        <v>67</v>
      </c>
      <c r="M69" s="27">
        <f ca="1">IFERROR(INDEX(Backtest!$A$8:$A$5000,MATCH(L69,Backtest!$P$8:$P$5000,0)),"")</f>
        <v>42822</v>
      </c>
      <c r="N69" s="27">
        <f ca="1">IFERROR(INDEX(Backtest!$A$8:$A$5000,MATCH(L69,Backtest!$Q$8:$Q$5000,0)),"")</f>
        <v>42838</v>
      </c>
      <c r="O69" s="28" t="str">
        <f ca="1">IF(ISNUMBER(M69),Backtest!$B$1,"")</f>
        <v>ITUB4</v>
      </c>
      <c r="P69" s="29">
        <f ca="1">IFERROR(VLOOKUP(N69,Backtest!A:C,2,FALSE)/VLOOKUP(M69,Backtest!A:C,2,FALSE)-1,"")</f>
        <v>-3.3513058452982691E-2</v>
      </c>
      <c r="Q69" s="28" t="str">
        <f ca="1">IF(ISNUMBER(N69),Backtest!$C$1,"")</f>
        <v>BBDC4</v>
      </c>
      <c r="R69" s="29">
        <f ca="1">IFERROR(VLOOKUP(N69,Backtest!A:C,3,FALSE)/VLOOKUP(M69,Backtest!A:C,3,FALSE)-1,"")</f>
        <v>-4.1369926340074192E-2</v>
      </c>
      <c r="S69" s="31">
        <f t="shared" ca="1" si="12"/>
        <v>7.856867887091501E-3</v>
      </c>
      <c r="T69" s="34">
        <f t="shared" ca="1" si="13"/>
        <v>785.68678870915005</v>
      </c>
      <c r="U69" s="37">
        <f t="shared" ca="1" si="15"/>
        <v>13</v>
      </c>
    </row>
    <row r="70" spans="1:21" x14ac:dyDescent="0.3">
      <c r="A70">
        <v>68</v>
      </c>
      <c r="B70" s="1">
        <f ca="1">IFERROR(INDEX(Backtest!$A$8:$A$5000,MATCH(A70,Backtest!$N$8:$N$5000,0)),"")</f>
        <v>43216</v>
      </c>
      <c r="C70" s="1">
        <f ca="1">IFERROR(INDEX(Backtest!$A$8:$A$5000,MATCH(A70,Backtest!$O$8:$O$5000,0)),"")</f>
        <v>43222</v>
      </c>
      <c r="D70" s="25" t="str">
        <f ca="1">IF(ISNUMBER(B70),Backtest!$C$1,"")</f>
        <v>BBDC4</v>
      </c>
      <c r="E70" s="30">
        <f ca="1">IFERROR(VLOOKUP(C70,Backtest!A:C,3,FALSE)/VLOOKUP(B70,Backtest!A:C,3,FALSE)-1,"")</f>
        <v>-3.0233281969315629E-2</v>
      </c>
      <c r="F70" s="25" t="str">
        <f ca="1">IF(ISNUMBER(C70),Backtest!$B$1,"")</f>
        <v>ITUB4</v>
      </c>
      <c r="G70" s="30">
        <f ca="1">IFERROR(VLOOKUP(C70,Backtest!A:C,2,FALSE)/VLOOKUP(B70,Backtest!A:C,2,FALSE)-1,"")</f>
        <v>-5.5922676565986928E-2</v>
      </c>
      <c r="H70" s="32">
        <f t="shared" ca="1" si="10"/>
        <v>2.56893945966713E-2</v>
      </c>
      <c r="I70" s="35">
        <f t="shared" ca="1" si="11"/>
        <v>2568.93945966713</v>
      </c>
      <c r="J70" s="38">
        <f t="shared" ca="1" si="14"/>
        <v>5</v>
      </c>
      <c r="L70">
        <v>68</v>
      </c>
      <c r="M70" s="1">
        <f ca="1">IFERROR(INDEX(Backtest!$A$8:$A$5000,MATCH(L70,Backtest!$P$8:$P$5000,0)),"")</f>
        <v>42852</v>
      </c>
      <c r="N70" s="1">
        <f ca="1">IFERROR(INDEX(Backtest!$A$8:$A$5000,MATCH(L70,Backtest!$Q$8:$Q$5000,0)),"")</f>
        <v>42874</v>
      </c>
      <c r="O70" s="25" t="str">
        <f ca="1">IF(ISNUMBER(M70),Backtest!$B$1,"")</f>
        <v>ITUB4</v>
      </c>
      <c r="P70" s="30">
        <f ca="1">IFERROR(VLOOKUP(N70,Backtest!A:C,2,FALSE)/VLOOKUP(M70,Backtest!A:C,2,FALSE)-1,"")</f>
        <v>-8.7404347067280397E-2</v>
      </c>
      <c r="Q70" s="25" t="str">
        <f ca="1">IF(ISNUMBER(N70),Backtest!$C$1,"")</f>
        <v>BBDC4</v>
      </c>
      <c r="R70" s="30">
        <f ca="1">IFERROR(VLOOKUP(N70,Backtest!A:C,3,FALSE)/VLOOKUP(M70,Backtest!A:C,3,FALSE)-1,"")</f>
        <v>-8.7724802071885932E-2</v>
      </c>
      <c r="S70" s="32">
        <f t="shared" ca="1" si="12"/>
        <v>3.2045500460553544E-4</v>
      </c>
      <c r="T70" s="35">
        <f t="shared" ca="1" si="13"/>
        <v>32.045500460553541</v>
      </c>
      <c r="U70" s="38">
        <f t="shared" ca="1" si="15"/>
        <v>17</v>
      </c>
    </row>
    <row r="71" spans="1:21" x14ac:dyDescent="0.3">
      <c r="A71" s="26">
        <v>69</v>
      </c>
      <c r="B71" s="27">
        <f ca="1">IFERROR(INDEX(Backtest!$A$8:$A$5000,MATCH(A71,Backtest!$N$8:$N$5000,0)),"")</f>
        <v>43245</v>
      </c>
      <c r="C71" s="27">
        <f ca="1">IFERROR(INDEX(Backtest!$A$8:$A$5000,MATCH(A71,Backtest!$O$8:$O$5000,0)),"")</f>
        <v>43284</v>
      </c>
      <c r="D71" s="28" t="str">
        <f ca="1">IF(ISNUMBER(B71),Backtest!$C$1,"")</f>
        <v>BBDC4</v>
      </c>
      <c r="E71" s="29">
        <f ca="1">IFERROR(VLOOKUP(C71,Backtest!A:C,3,FALSE)/VLOOKUP(B71,Backtest!A:C,3,FALSE)-1,"")</f>
        <v>-8.3439286711408656E-2</v>
      </c>
      <c r="F71" s="28" t="str">
        <f ca="1">IF(ISNUMBER(C71),Backtest!$B$1,"")</f>
        <v>ITUB4</v>
      </c>
      <c r="G71" s="29">
        <f ca="1">IFERROR(VLOOKUP(C71,Backtest!A:C,2,FALSE)/VLOOKUP(B71,Backtest!A:C,2,FALSE)-1,"")</f>
        <v>-8.0540634815102985E-2</v>
      </c>
      <c r="H71" s="31">
        <f t="shared" ca="1" si="10"/>
        <v>-2.8986518963056707E-3</v>
      </c>
      <c r="I71" s="34">
        <f t="shared" ca="1" si="11"/>
        <v>-289.86518963056704</v>
      </c>
      <c r="J71" s="37">
        <f t="shared" ca="1" si="14"/>
        <v>28</v>
      </c>
      <c r="L71" s="26">
        <v>69</v>
      </c>
      <c r="M71" s="27">
        <f ca="1">IFERROR(INDEX(Backtest!$A$8:$A$5000,MATCH(L71,Backtest!$P$8:$P$5000,0)),"")</f>
        <v>42895</v>
      </c>
      <c r="N71" s="27">
        <f ca="1">IFERROR(INDEX(Backtest!$A$8:$A$5000,MATCH(L71,Backtest!$Q$8:$Q$5000,0)),"")</f>
        <v>42955</v>
      </c>
      <c r="O71" s="28" t="str">
        <f ca="1">IF(ISNUMBER(M71),Backtest!$B$1,"")</f>
        <v>ITUB4</v>
      </c>
      <c r="P71" s="29">
        <f ca="1">IFERROR(VLOOKUP(N71,Backtest!A:C,2,FALSE)/VLOOKUP(M71,Backtest!A:C,2,FALSE)-1,"")</f>
        <v>0.11731184563111619</v>
      </c>
      <c r="Q71" s="28" t="str">
        <f ca="1">IF(ISNUMBER(N71),Backtest!$C$1,"")</f>
        <v>BBDC4</v>
      </c>
      <c r="R71" s="29">
        <f ca="1">IFERROR(VLOOKUP(N71,Backtest!A:C,3,FALSE)/VLOOKUP(M71,Backtest!A:C,3,FALSE)-1,"")</f>
        <v>0.19173476535684197</v>
      </c>
      <c r="S71" s="31">
        <f t="shared" ca="1" si="12"/>
        <v>-7.4422919725725789E-2</v>
      </c>
      <c r="T71" s="34">
        <f t="shared" ca="1" si="13"/>
        <v>-7442.2919725725787</v>
      </c>
      <c r="U71" s="37">
        <f t="shared" ca="1" si="15"/>
        <v>43</v>
      </c>
    </row>
    <row r="72" spans="1:21" x14ac:dyDescent="0.3">
      <c r="A72">
        <v>70</v>
      </c>
      <c r="B72" s="1">
        <f ca="1">IFERROR(INDEX(Backtest!$A$8:$A$5000,MATCH(A72,Backtest!$N$8:$N$5000,0)),"")</f>
        <v>43292</v>
      </c>
      <c r="C72" s="1">
        <f ca="1">IFERROR(INDEX(Backtest!$A$8:$A$5000,MATCH(A72,Backtest!$O$8:$O$5000,0)),"")</f>
        <v>43297</v>
      </c>
      <c r="D72" s="25" t="str">
        <f ca="1">IF(ISNUMBER(B72),Backtest!$C$1,"")</f>
        <v>BBDC4</v>
      </c>
      <c r="E72" s="30">
        <f ca="1">IFERROR(VLOOKUP(C72,Backtest!A:C,3,FALSE)/VLOOKUP(B72,Backtest!A:C,3,FALSE)-1,"")</f>
        <v>5.4530751842736924E-2</v>
      </c>
      <c r="F72" s="25" t="str">
        <f ca="1">IF(ISNUMBER(C72),Backtest!$B$1,"")</f>
        <v>ITUB4</v>
      </c>
      <c r="G72" s="30">
        <f ca="1">IFERROR(VLOOKUP(C72,Backtest!A:C,2,FALSE)/VLOOKUP(B72,Backtest!A:C,2,FALSE)-1,"")</f>
        <v>4.1076739161105325E-2</v>
      </c>
      <c r="H72" s="32">
        <f t="shared" ca="1" si="10"/>
        <v>1.34540126816316E-2</v>
      </c>
      <c r="I72" s="35">
        <f t="shared" ca="1" si="11"/>
        <v>1345.40126816316</v>
      </c>
      <c r="J72" s="38">
        <f t="shared" ca="1" si="14"/>
        <v>4</v>
      </c>
      <c r="L72">
        <v>70</v>
      </c>
      <c r="M72" s="1">
        <f ca="1">IFERROR(INDEX(Backtest!$A$8:$A$5000,MATCH(L72,Backtest!$P$8:$P$5000,0)),"")</f>
        <v>42958</v>
      </c>
      <c r="N72" s="1">
        <f ca="1">IFERROR(INDEX(Backtest!$A$8:$A$5000,MATCH(L72,Backtest!$Q$8:$Q$5000,0)),"")</f>
        <v>42984</v>
      </c>
      <c r="O72" s="25" t="str">
        <f ca="1">IF(ISNUMBER(M72),Backtest!$B$1,"")</f>
        <v>ITUB4</v>
      </c>
      <c r="P72" s="30">
        <f ca="1">IFERROR(VLOOKUP(N72,Backtest!A:C,2,FALSE)/VLOOKUP(M72,Backtest!A:C,2,FALSE)-1,"")</f>
        <v>8.357356769998181E-2</v>
      </c>
      <c r="Q72" s="25" t="str">
        <f ca="1">IF(ISNUMBER(N72),Backtest!$C$1,"")</f>
        <v>BBDC4</v>
      </c>
      <c r="R72" s="30">
        <f ca="1">IFERROR(VLOOKUP(N72,Backtest!A:C,3,FALSE)/VLOOKUP(M72,Backtest!A:C,3,FALSE)-1,"")</f>
        <v>8.264188823741514E-2</v>
      </c>
      <c r="S72" s="32">
        <f t="shared" ca="1" si="12"/>
        <v>9.3167946256667022E-4</v>
      </c>
      <c r="T72" s="35">
        <f t="shared" ca="1" si="13"/>
        <v>93.167946256667022</v>
      </c>
      <c r="U72" s="38">
        <f t="shared" ca="1" si="15"/>
        <v>19</v>
      </c>
    </row>
    <row r="73" spans="1:21" x14ac:dyDescent="0.3">
      <c r="A73" s="26">
        <v>71</v>
      </c>
      <c r="B73" s="27">
        <f ca="1">IFERROR(INDEX(Backtest!$A$8:$A$5000,MATCH(A73,Backtest!$N$8:$N$5000,0)),"")</f>
        <v>43333</v>
      </c>
      <c r="C73" s="27">
        <f ca="1">IFERROR(INDEX(Backtest!$A$8:$A$5000,MATCH(A73,Backtest!$O$8:$O$5000,0)),"")</f>
        <v>43377</v>
      </c>
      <c r="D73" s="28" t="str">
        <f ca="1">IF(ISNUMBER(B73),Backtest!$C$1,"")</f>
        <v>BBDC4</v>
      </c>
      <c r="E73" s="29">
        <f ca="1">IFERROR(VLOOKUP(C73,Backtest!A:C,3,FALSE)/VLOOKUP(B73,Backtest!A:C,3,FALSE)-1,"")</f>
        <v>0.12058246773961212</v>
      </c>
      <c r="F73" s="28" t="str">
        <f ca="1">IF(ISNUMBER(C73),Backtest!$B$1,"")</f>
        <v>ITUB4</v>
      </c>
      <c r="G73" s="29">
        <f ca="1">IFERROR(VLOOKUP(C73,Backtest!A:C,2,FALSE)/VLOOKUP(B73,Backtest!A:C,2,FALSE)-1,"")</f>
        <v>0.12989272631578519</v>
      </c>
      <c r="H73" s="31">
        <f ca="1">IF(ISNUMBER(E73),E73-G73,"")</f>
        <v>-9.3102585761730694E-3</v>
      </c>
      <c r="I73" s="34">
        <f ca="1">IF(ISNUMBER(G73),H73*$B$1,"")</f>
        <v>-931.02585761730688</v>
      </c>
      <c r="J73" s="37">
        <f t="shared" ca="1" si="14"/>
        <v>33</v>
      </c>
      <c r="L73" s="26">
        <v>71</v>
      </c>
      <c r="M73" s="27">
        <f ca="1">IFERROR(INDEX(Backtest!$A$8:$A$5000,MATCH(L73,Backtest!$P$8:$P$5000,0)),"")</f>
        <v>42998</v>
      </c>
      <c r="N73" s="27">
        <f ca="1">IFERROR(INDEX(Backtest!$A$8:$A$5000,MATCH(L73,Backtest!$Q$8:$Q$5000,0)),"")</f>
        <v>43003</v>
      </c>
      <c r="O73" s="28" t="str">
        <f ca="1">IF(ISNUMBER(M73),Backtest!$B$1,"")</f>
        <v>ITUB4</v>
      </c>
      <c r="P73" s="29">
        <f ca="1">IFERROR(VLOOKUP(N73,Backtest!A:C,2,FALSE)/VLOOKUP(M73,Backtest!A:C,2,FALSE)-1,"")</f>
        <v>-5.0799316788933124E-3</v>
      </c>
      <c r="Q73" s="28" t="str">
        <f ca="1">IF(ISNUMBER(N73),Backtest!$C$1,"")</f>
        <v>BBDC4</v>
      </c>
      <c r="R73" s="29">
        <f ca="1">IFERROR(VLOOKUP(N73,Backtest!A:C,3,FALSE)/VLOOKUP(M73,Backtest!A:C,3,FALSE)-1,"")</f>
        <v>-1.9112493102631301E-2</v>
      </c>
      <c r="S73" s="31">
        <f ca="1">IF(ISNUMBER(P73),P73-R73,"")</f>
        <v>1.4032561423737988E-2</v>
      </c>
      <c r="T73" s="34">
        <f ca="1">IF(ISNUMBER(R73),S73*$B$1,"")</f>
        <v>1403.2561423737989</v>
      </c>
      <c r="U73" s="37">
        <f t="shared" ca="1" si="15"/>
        <v>4</v>
      </c>
    </row>
    <row r="74" spans="1:21" x14ac:dyDescent="0.3">
      <c r="A74">
        <v>72</v>
      </c>
      <c r="B74" s="1">
        <f ca="1">IFERROR(INDEX(Backtest!$A$8:$A$5000,MATCH(A74,Backtest!$N$8:$N$5000,0)),"")</f>
        <v>43378</v>
      </c>
      <c r="C74" s="1">
        <f ca="1">IFERROR(INDEX(Backtest!$A$8:$A$5000,MATCH(A74,Backtest!$O$8:$O$5000,0)),"")</f>
        <v>43382</v>
      </c>
      <c r="D74" s="25" t="str">
        <f ca="1">IF(ISNUMBER(B74),Backtest!$C$1,"")</f>
        <v>BBDC4</v>
      </c>
      <c r="E74" s="30">
        <f ca="1">IFERROR(VLOOKUP(C74,Backtest!A:C,3,FALSE)/VLOOKUP(B74,Backtest!A:C,3,FALSE)-1,"")</f>
        <v>7.1658824966669643E-2</v>
      </c>
      <c r="F74" s="25" t="str">
        <f ca="1">IF(ISNUMBER(C74),Backtest!$B$1,"")</f>
        <v>ITUB4</v>
      </c>
      <c r="G74" s="30">
        <f ca="1">IFERROR(VLOOKUP(C74,Backtest!A:C,2,FALSE)/VLOOKUP(B74,Backtest!A:C,2,FALSE)-1,"")</f>
        <v>5.3979744923473572E-2</v>
      </c>
      <c r="H74" s="32">
        <f ca="1">IF(ISNUMBER(E74),E74-G74,"")</f>
        <v>1.7679080043196072E-2</v>
      </c>
      <c r="I74" s="35">
        <f ca="1">IF(ISNUMBER(G74),H74*$B$1,"")</f>
        <v>1767.9080043196072</v>
      </c>
      <c r="J74" s="38">
        <f t="shared" ca="1" si="14"/>
        <v>3</v>
      </c>
      <c r="L74">
        <v>72</v>
      </c>
      <c r="M74" s="1">
        <f ca="1">IFERROR(INDEX(Backtest!$A$8:$A$5000,MATCH(L74,Backtest!$P$8:$P$5000,0)),"")</f>
        <v>43039</v>
      </c>
      <c r="N74" s="1">
        <f ca="1">IFERROR(INDEX(Backtest!$A$8:$A$5000,MATCH(L74,Backtest!$Q$8:$Q$5000,0)),"")</f>
        <v>43040</v>
      </c>
      <c r="O74" s="25" t="str">
        <f ca="1">IF(ISNUMBER(M74),Backtest!$B$1,"")</f>
        <v>ITUB4</v>
      </c>
      <c r="P74" s="30">
        <f ca="1">IFERROR(VLOOKUP(N74,Backtest!A:C,2,FALSE)/VLOOKUP(M74,Backtest!A:C,2,FALSE)-1,"")</f>
        <v>-1.6771793810713143E-2</v>
      </c>
      <c r="Q74" s="25" t="str">
        <f ca="1">IF(ISNUMBER(N74),Backtest!$C$1,"")</f>
        <v>BBDC4</v>
      </c>
      <c r="R74" s="30">
        <f ca="1">IFERROR(VLOOKUP(N74,Backtest!A:C,3,FALSE)/VLOOKUP(M74,Backtest!A:C,3,FALSE)-1,"")</f>
        <v>-3.1142275868440317E-2</v>
      </c>
      <c r="S74" s="32">
        <f ca="1">IF(ISNUMBER(P74),P74-R74,"")</f>
        <v>1.4370482057727174E-2</v>
      </c>
      <c r="T74" s="35">
        <f ca="1">IF(ISNUMBER(R74),S74*$B$1,"")</f>
        <v>1437.0482057727174</v>
      </c>
      <c r="U74" s="38">
        <f t="shared" ca="1" si="15"/>
        <v>2</v>
      </c>
    </row>
    <row r="75" spans="1:21" x14ac:dyDescent="0.3">
      <c r="A75" s="26">
        <v>73</v>
      </c>
      <c r="B75" s="27">
        <f ca="1">IFERROR(INDEX(Backtest!$A$8:$A$5000,MATCH(A75,Backtest!$N$8:$N$5000,0)),"")</f>
        <v>43531</v>
      </c>
      <c r="C75" s="27">
        <f ca="1">IFERROR(INDEX(Backtest!$A$8:$A$5000,MATCH(A75,Backtest!$O$8:$O$5000,0)),"")</f>
        <v>43538</v>
      </c>
      <c r="D75" s="28" t="str">
        <f ca="1">IF(ISNUMBER(B75),Backtest!$C$1,"")</f>
        <v>BBDC4</v>
      </c>
      <c r="E75" s="29">
        <f ca="1">IFERROR(VLOOKUP(C75,Backtest!A:C,3,FALSE)/VLOOKUP(B75,Backtest!A:C,3,FALSE)-1,"")</f>
        <v>7.0571474991685035E-2</v>
      </c>
      <c r="F75" s="28" t="str">
        <f ca="1">IF(ISNUMBER(C75),Backtest!$B$1,"")</f>
        <v>ITUB4</v>
      </c>
      <c r="G75" s="29">
        <f ca="1">IFERROR(VLOOKUP(C75,Backtest!A:C,2,FALSE)/VLOOKUP(B75,Backtest!A:C,2,FALSE)-1,"")</f>
        <v>4.1890555624194192E-2</v>
      </c>
      <c r="H75" s="31">
        <f t="shared" ref="H75:H102" ca="1" si="16">IF(ISNUMBER(E75),E75-G75,"")</f>
        <v>2.8680919367490842E-2</v>
      </c>
      <c r="I75" s="34">
        <f t="shared" ref="I75:I102" ca="1" si="17">IF(ISNUMBER(G75),H75*$B$1,"")</f>
        <v>2868.0919367490842</v>
      </c>
      <c r="J75" s="37">
        <f t="shared" ca="1" si="14"/>
        <v>6</v>
      </c>
      <c r="L75" s="26">
        <v>73</v>
      </c>
      <c r="M75" s="27">
        <f ca="1">IFERROR(INDEX(Backtest!$A$8:$A$5000,MATCH(L75,Backtest!$P$8:$P$5000,0)),"")</f>
        <v>43082</v>
      </c>
      <c r="N75" s="27">
        <f ca="1">IFERROR(INDEX(Backtest!$A$8:$A$5000,MATCH(L75,Backtest!$Q$8:$Q$5000,0)),"")</f>
        <v>43122</v>
      </c>
      <c r="O75" s="28" t="str">
        <f ca="1">IF(ISNUMBER(M75),Backtest!$B$1,"")</f>
        <v>ITUB4</v>
      </c>
      <c r="P75" s="29">
        <f ca="1">IFERROR(VLOOKUP(N75,Backtest!A:C,2,FALSE)/VLOOKUP(M75,Backtest!A:C,2,FALSE)-1,"")</f>
        <v>0.15969558070896794</v>
      </c>
      <c r="Q75" s="28" t="str">
        <f ca="1">IF(ISNUMBER(N75),Backtest!$C$1,"")</f>
        <v>BBDC4</v>
      </c>
      <c r="R75" s="29">
        <f ca="1">IFERROR(VLOOKUP(N75,Backtest!A:C,3,FALSE)/VLOOKUP(M75,Backtest!A:C,3,FALSE)-1,"")</f>
        <v>0.20380678515049166</v>
      </c>
      <c r="S75" s="31">
        <f t="shared" ref="S75:S102" ca="1" si="18">IF(ISNUMBER(P75),P75-R75,"")</f>
        <v>-4.4111204441523721E-2</v>
      </c>
      <c r="T75" s="34">
        <f t="shared" ref="T75:T102" ca="1" si="19">IF(ISNUMBER(R75),S75*$B$1,"")</f>
        <v>-4411.1204441523723</v>
      </c>
      <c r="U75" s="37">
        <f t="shared" ca="1" si="15"/>
        <v>29</v>
      </c>
    </row>
    <row r="76" spans="1:21" x14ac:dyDescent="0.3">
      <c r="A76">
        <v>74</v>
      </c>
      <c r="B76" s="1">
        <f ca="1">IFERROR(INDEX(Backtest!$A$8:$A$5000,MATCH(A76,Backtest!$N$8:$N$5000,0)),"")</f>
        <v>43587</v>
      </c>
      <c r="C76" s="1">
        <f ca="1">IFERROR(INDEX(Backtest!$A$8:$A$5000,MATCH(A76,Backtest!$O$8:$O$5000,0)),"")</f>
        <v>43588</v>
      </c>
      <c r="D76" s="25" t="str">
        <f ca="1">IF(ISNUMBER(B76),Backtest!$C$1,"")</f>
        <v>BBDC4</v>
      </c>
      <c r="E76" s="30">
        <f ca="1">IFERROR(VLOOKUP(C76,Backtest!A:C,3,FALSE)/VLOOKUP(B76,Backtest!A:C,3,FALSE)-1,"")</f>
        <v>1.0601952430752792E-2</v>
      </c>
      <c r="F76" s="25" t="str">
        <f ca="1">IF(ISNUMBER(C76),Backtest!$B$1,"")</f>
        <v>ITUB4</v>
      </c>
      <c r="G76" s="30">
        <f ca="1">IFERROR(VLOOKUP(C76,Backtest!A:C,2,FALSE)/VLOOKUP(B76,Backtest!A:C,2,FALSE)-1,"")</f>
        <v>-9.6947757421699254E-3</v>
      </c>
      <c r="H76" s="32">
        <f t="shared" ca="1" si="16"/>
        <v>2.0296728172922718E-2</v>
      </c>
      <c r="I76" s="35">
        <f t="shared" ca="1" si="17"/>
        <v>2029.6728172922717</v>
      </c>
      <c r="J76" s="38">
        <f t="shared" ca="1" si="14"/>
        <v>2</v>
      </c>
      <c r="L76">
        <v>74</v>
      </c>
      <c r="M76" s="1">
        <f ca="1">IFERROR(INDEX(Backtest!$A$8:$A$5000,MATCH(L76,Backtest!$P$8:$P$5000,0)),"")</f>
        <v>43124</v>
      </c>
      <c r="N76" s="1">
        <f ca="1">IFERROR(INDEX(Backtest!$A$8:$A$5000,MATCH(L76,Backtest!$Q$8:$Q$5000,0)),"")</f>
        <v>43126</v>
      </c>
      <c r="O76" s="25" t="str">
        <f ca="1">IF(ISNUMBER(M76),Backtest!$B$1,"")</f>
        <v>ITUB4</v>
      </c>
      <c r="P76" s="30">
        <f ca="1">IFERROR(VLOOKUP(N76,Backtest!A:C,2,FALSE)/VLOOKUP(M76,Backtest!A:C,2,FALSE)-1,"")</f>
        <v>5.0229086974233672E-2</v>
      </c>
      <c r="Q76" s="25" t="str">
        <f ca="1">IF(ISNUMBER(N76),Backtest!$C$1,"")</f>
        <v>BBDC4</v>
      </c>
      <c r="R76" s="30">
        <f ca="1">IFERROR(VLOOKUP(N76,Backtest!A:C,3,FALSE)/VLOOKUP(M76,Backtest!A:C,3,FALSE)-1,"")</f>
        <v>3.5175578728069423E-2</v>
      </c>
      <c r="S76" s="32">
        <f t="shared" ca="1" si="18"/>
        <v>1.5053508246164249E-2</v>
      </c>
      <c r="T76" s="35">
        <f t="shared" ca="1" si="19"/>
        <v>1505.3508246164249</v>
      </c>
      <c r="U76" s="38">
        <f t="shared" ca="1" si="15"/>
        <v>3</v>
      </c>
    </row>
    <row r="77" spans="1:21" x14ac:dyDescent="0.3">
      <c r="A77" s="26">
        <v>75</v>
      </c>
      <c r="B77" s="27">
        <f ca="1">IFERROR(INDEX(Backtest!$A$8:$A$5000,MATCH(A77,Backtest!$N$8:$N$5000,0)),"")</f>
        <v>43592</v>
      </c>
      <c r="C77" s="27">
        <f ca="1">IFERROR(INDEX(Backtest!$A$8:$A$5000,MATCH(A77,Backtest!$O$8:$O$5000,0)),"")</f>
        <v>43593</v>
      </c>
      <c r="D77" s="28" t="str">
        <f ca="1">IF(ISNUMBER(B77),Backtest!$C$1,"")</f>
        <v>BBDC4</v>
      </c>
      <c r="E77" s="29">
        <f ca="1">IFERROR(VLOOKUP(C77,Backtest!A:C,3,FALSE)/VLOOKUP(B77,Backtest!A:C,3,FALSE)-1,"")</f>
        <v>0.12277828009820668</v>
      </c>
      <c r="F77" s="28" t="str">
        <f ca="1">IF(ISNUMBER(C77),Backtest!$B$1,"")</f>
        <v>ITUB4</v>
      </c>
      <c r="G77" s="29">
        <f ca="1">IFERROR(VLOOKUP(C77,Backtest!A:C,2,FALSE)/VLOOKUP(B77,Backtest!A:C,2,FALSE)-1,"")</f>
        <v>1.1349883927178173E-2</v>
      </c>
      <c r="H77" s="31">
        <f t="shared" ca="1" si="16"/>
        <v>0.11142839617102851</v>
      </c>
      <c r="I77" s="34">
        <f t="shared" ca="1" si="17"/>
        <v>11142.839617102851</v>
      </c>
      <c r="J77" s="37">
        <f t="shared" ca="1" si="14"/>
        <v>2</v>
      </c>
      <c r="L77" s="26">
        <v>75</v>
      </c>
      <c r="M77" s="27">
        <f ca="1">IFERROR(INDEX(Backtest!$A$8:$A$5000,MATCH(L77,Backtest!$P$8:$P$5000,0)),"")</f>
        <v>43181</v>
      </c>
      <c r="N77" s="27">
        <f ca="1">IFERROR(INDEX(Backtest!$A$8:$A$5000,MATCH(L77,Backtest!$Q$8:$Q$5000,0)),"")</f>
        <v>43199</v>
      </c>
      <c r="O77" s="28" t="str">
        <f ca="1">IF(ISNUMBER(M77),Backtest!$B$1,"")</f>
        <v>ITUB4</v>
      </c>
      <c r="P77" s="29">
        <f ca="1">IFERROR(VLOOKUP(N77,Backtest!A:C,2,FALSE)/VLOOKUP(M77,Backtest!A:C,2,FALSE)-1,"")</f>
        <v>4.1010650857118414E-3</v>
      </c>
      <c r="Q77" s="28" t="str">
        <f ca="1">IF(ISNUMBER(N77),Backtest!$C$1,"")</f>
        <v>BBDC4</v>
      </c>
      <c r="R77" s="29">
        <f ca="1">IFERROR(VLOOKUP(N77,Backtest!A:C,3,FALSE)/VLOOKUP(M77,Backtest!A:C,3,FALSE)-1,"")</f>
        <v>-1.2341290374080605E-2</v>
      </c>
      <c r="S77" s="31">
        <f t="shared" ca="1" si="18"/>
        <v>1.6442355459792446E-2</v>
      </c>
      <c r="T77" s="34">
        <f t="shared" ca="1" si="19"/>
        <v>1644.2355459792445</v>
      </c>
      <c r="U77" s="37">
        <f t="shared" ca="1" si="15"/>
        <v>13</v>
      </c>
    </row>
    <row r="78" spans="1:21" x14ac:dyDescent="0.3">
      <c r="A78">
        <v>76</v>
      </c>
      <c r="B78" s="1">
        <f ca="1">IFERROR(INDEX(Backtest!$A$8:$A$5000,MATCH(A78,Backtest!$N$8:$N$5000,0)),"")</f>
        <v>43634</v>
      </c>
      <c r="C78" s="1">
        <f ca="1">IFERROR(INDEX(Backtest!$A$8:$A$5000,MATCH(A78,Backtest!$O$8:$O$5000,0)),"")</f>
        <v>43641</v>
      </c>
      <c r="D78" s="25" t="str">
        <f ca="1">IF(ISNUMBER(B78),Backtest!$C$1,"")</f>
        <v>BBDC4</v>
      </c>
      <c r="E78" s="30">
        <f ca="1">IFERROR(VLOOKUP(C78,Backtest!A:C,3,FALSE)/VLOOKUP(B78,Backtest!A:C,3,FALSE)-1,"")</f>
        <v>3.4663224088350431E-2</v>
      </c>
      <c r="F78" s="25" t="str">
        <f ca="1">IF(ISNUMBER(C78),Backtest!$B$1,"")</f>
        <v>ITUB4</v>
      </c>
      <c r="G78" s="30">
        <f ca="1">IFERROR(VLOOKUP(C78,Backtest!A:C,2,FALSE)/VLOOKUP(B78,Backtest!A:C,2,FALSE)-1,"")</f>
        <v>2.35426891729551E-2</v>
      </c>
      <c r="H78" s="32">
        <f t="shared" ca="1" si="16"/>
        <v>1.112053491539533E-2</v>
      </c>
      <c r="I78" s="35">
        <f t="shared" ca="1" si="17"/>
        <v>1112.0534915395331</v>
      </c>
      <c r="J78" s="38">
        <f t="shared" ca="1" si="14"/>
        <v>6</v>
      </c>
      <c r="L78">
        <v>76</v>
      </c>
      <c r="M78" s="1">
        <f ca="1">IFERROR(INDEX(Backtest!$A$8:$A$5000,MATCH(L78,Backtest!$P$8:$P$5000,0)),"")</f>
        <v>43224</v>
      </c>
      <c r="N78" s="1">
        <f ca="1">IFERROR(INDEX(Backtest!$A$8:$A$5000,MATCH(L78,Backtest!$Q$8:$Q$5000,0)),"")</f>
        <v>43236</v>
      </c>
      <c r="O78" s="25" t="str">
        <f ca="1">IF(ISNUMBER(M78),Backtest!$B$1,"")</f>
        <v>ITUB4</v>
      </c>
      <c r="P78" s="30">
        <f ca="1">IFERROR(VLOOKUP(N78,Backtest!A:C,2,FALSE)/VLOOKUP(M78,Backtest!A:C,2,FALSE)-1,"")</f>
        <v>1.716811548638586E-2</v>
      </c>
      <c r="Q78" s="25" t="str">
        <f ca="1">IF(ISNUMBER(N78),Backtest!$C$1,"")</f>
        <v>BBDC4</v>
      </c>
      <c r="R78" s="30">
        <f ca="1">IFERROR(VLOOKUP(N78,Backtest!A:C,3,FALSE)/VLOOKUP(M78,Backtest!A:C,3,FALSE)-1,"")</f>
        <v>-8.7893614979495105E-3</v>
      </c>
      <c r="S78" s="32">
        <f t="shared" ca="1" si="18"/>
        <v>2.595747698433537E-2</v>
      </c>
      <c r="T78" s="35">
        <f t="shared" ca="1" si="19"/>
        <v>2595.7476984335372</v>
      </c>
      <c r="U78" s="38">
        <f t="shared" ca="1" si="15"/>
        <v>9</v>
      </c>
    </row>
    <row r="79" spans="1:21" x14ac:dyDescent="0.3">
      <c r="A79" s="26">
        <v>77</v>
      </c>
      <c r="B79" s="27">
        <f ca="1">IFERROR(INDEX(Backtest!$A$8:$A$5000,MATCH(A79,Backtest!$N$8:$N$5000,0)),"")</f>
        <v>43642</v>
      </c>
      <c r="C79" s="27">
        <f ca="1">IFERROR(INDEX(Backtest!$A$8:$A$5000,MATCH(A79,Backtest!$O$8:$O$5000,0)),"")</f>
        <v>43649</v>
      </c>
      <c r="D79" s="28" t="str">
        <f ca="1">IF(ISNUMBER(B79),Backtest!$C$1,"")</f>
        <v>BBDC4</v>
      </c>
      <c r="E79" s="29">
        <f ca="1">IFERROR(VLOOKUP(C79,Backtest!A:C,3,FALSE)/VLOOKUP(B79,Backtest!A:C,3,FALSE)-1,"")</f>
        <v>1.3499345235310489E-2</v>
      </c>
      <c r="F79" s="28" t="str">
        <f ca="1">IF(ISNUMBER(C79),Backtest!$B$1,"")</f>
        <v>ITUB4</v>
      </c>
      <c r="G79" s="29">
        <f ca="1">IFERROR(VLOOKUP(C79,Backtest!A:C,2,FALSE)/VLOOKUP(B79,Backtest!A:C,2,FALSE)-1,"")</f>
        <v>2.3324540325913024E-3</v>
      </c>
      <c r="H79" s="31">
        <f t="shared" ca="1" si="16"/>
        <v>1.1166891202719187E-2</v>
      </c>
      <c r="I79" s="34">
        <f t="shared" ca="1" si="17"/>
        <v>1116.6891202719187</v>
      </c>
      <c r="J79" s="37">
        <f t="shared" ca="1" si="14"/>
        <v>6</v>
      </c>
      <c r="L79" s="26">
        <v>77</v>
      </c>
      <c r="M79" s="27">
        <f ca="1">IFERROR(INDEX(Backtest!$A$8:$A$5000,MATCH(L79,Backtest!$P$8:$P$5000,0)),"")</f>
        <v>43238</v>
      </c>
      <c r="N79" s="27">
        <f ca="1">IFERROR(INDEX(Backtest!$A$8:$A$5000,MATCH(L79,Backtest!$Q$8:$Q$5000,0)),"")</f>
        <v>43244</v>
      </c>
      <c r="O79" s="28" t="str">
        <f ca="1">IF(ISNUMBER(M79),Backtest!$B$1,"")</f>
        <v>ITUB4</v>
      </c>
      <c r="P79" s="29">
        <f ca="1">IFERROR(VLOOKUP(N79,Backtest!A:C,2,FALSE)/VLOOKUP(M79,Backtest!A:C,2,FALSE)-1,"")</f>
        <v>4.2050674595235371E-3</v>
      </c>
      <c r="Q79" s="28" t="str">
        <f ca="1">IF(ISNUMBER(N79),Backtest!$C$1,"")</f>
        <v>BBDC4</v>
      </c>
      <c r="R79" s="29">
        <f ca="1">IFERROR(VLOOKUP(N79,Backtest!A:C,3,FALSE)/VLOOKUP(M79,Backtest!A:C,3,FALSE)-1,"")</f>
        <v>-1.1115732602567485E-2</v>
      </c>
      <c r="S79" s="31">
        <f t="shared" ca="1" si="18"/>
        <v>1.5320800062091022E-2</v>
      </c>
      <c r="T79" s="34">
        <f t="shared" ca="1" si="19"/>
        <v>1532.0800062091023</v>
      </c>
      <c r="U79" s="37">
        <f t="shared" ca="1" si="15"/>
        <v>5</v>
      </c>
    </row>
    <row r="80" spans="1:21" x14ac:dyDescent="0.3">
      <c r="A80">
        <v>78</v>
      </c>
      <c r="B80" s="1">
        <f ca="1">IFERROR(INDEX(Backtest!$A$8:$A$5000,MATCH(A80,Backtest!$N$8:$N$5000,0)),"")</f>
        <v>43662</v>
      </c>
      <c r="C80" s="1">
        <f ca="1">IFERROR(INDEX(Backtest!$A$8:$A$5000,MATCH(A80,Backtest!$O$8:$O$5000,0)),"")</f>
        <v>43670</v>
      </c>
      <c r="D80" s="25" t="str">
        <f ca="1">IF(ISNUMBER(B80),Backtest!$C$1,"")</f>
        <v>BBDC4</v>
      </c>
      <c r="E80" s="30">
        <f ca="1">IFERROR(VLOOKUP(C80,Backtest!A:C,3,FALSE)/VLOOKUP(B80,Backtest!A:C,3,FALSE)-1,"")</f>
        <v>2.9590713140409841E-2</v>
      </c>
      <c r="F80" s="25" t="str">
        <f ca="1">IF(ISNUMBER(C80),Backtest!$B$1,"")</f>
        <v>ITUB4</v>
      </c>
      <c r="G80" s="30">
        <f ca="1">IFERROR(VLOOKUP(C80,Backtest!A:C,2,FALSE)/VLOOKUP(B80,Backtest!A:C,2,FALSE)-1,"")</f>
        <v>2.3287583838117909E-2</v>
      </c>
      <c r="H80" s="32">
        <f t="shared" ca="1" si="16"/>
        <v>6.3031293022919321E-3</v>
      </c>
      <c r="I80" s="35">
        <f t="shared" ca="1" si="17"/>
        <v>630.31293022919317</v>
      </c>
      <c r="J80" s="38">
        <f t="shared" ca="1" si="14"/>
        <v>7</v>
      </c>
      <c r="L80">
        <v>78</v>
      </c>
      <c r="M80" s="1">
        <f ca="1">IFERROR(INDEX(Backtest!$A$8:$A$5000,MATCH(L80,Backtest!$P$8:$P$5000,0)),"")</f>
        <v>43284</v>
      </c>
      <c r="N80" s="1">
        <f ca="1">IFERROR(INDEX(Backtest!$A$8:$A$5000,MATCH(L80,Backtest!$Q$8:$Q$5000,0)),"")</f>
        <v>43291</v>
      </c>
      <c r="O80" s="25" t="str">
        <f ca="1">IF(ISNUMBER(M80),Backtest!$B$1,"")</f>
        <v>ITUB4</v>
      </c>
      <c r="P80" s="30">
        <f ca="1">IFERROR(VLOOKUP(N80,Backtest!A:C,2,FALSE)/VLOOKUP(M80,Backtest!A:C,2,FALSE)-1,"")</f>
        <v>2.1551793478817194E-2</v>
      </c>
      <c r="Q80" s="25" t="str">
        <f ca="1">IF(ISNUMBER(N80),Backtest!$C$1,"")</f>
        <v>BBDC4</v>
      </c>
      <c r="R80" s="30">
        <f ca="1">IFERROR(VLOOKUP(N80,Backtest!A:C,3,FALSE)/VLOOKUP(M80,Backtest!A:C,3,FALSE)-1,"")</f>
        <v>1.4437189744720413E-3</v>
      </c>
      <c r="S80" s="32">
        <f t="shared" ca="1" si="18"/>
        <v>2.0108074504345153E-2</v>
      </c>
      <c r="T80" s="35">
        <f t="shared" ca="1" si="19"/>
        <v>2010.8074504345152</v>
      </c>
      <c r="U80" s="38">
        <f t="shared" ca="1" si="15"/>
        <v>6</v>
      </c>
    </row>
    <row r="81" spans="1:21" x14ac:dyDescent="0.3">
      <c r="A81" s="26">
        <v>79</v>
      </c>
      <c r="B81" s="27">
        <f ca="1">IFERROR(INDEX(Backtest!$A$8:$A$5000,MATCH(A81,Backtest!$N$8:$N$5000,0)),"")</f>
        <v>43671</v>
      </c>
      <c r="C81" s="27">
        <f ca="1">IFERROR(INDEX(Backtest!$A$8:$A$5000,MATCH(A81,Backtest!$O$8:$O$5000,0)),"")</f>
        <v>43707</v>
      </c>
      <c r="D81" s="28" t="str">
        <f ca="1">IF(ISNUMBER(B81),Backtest!$C$1,"")</f>
        <v>BBDC4</v>
      </c>
      <c r="E81" s="29">
        <f ca="1">IFERROR(VLOOKUP(C81,Backtest!A:C,3,FALSE)/VLOOKUP(B81,Backtest!A:C,3,FALSE)-1,"")</f>
        <v>-0.1017267445838167</v>
      </c>
      <c r="F81" s="28" t="str">
        <f ca="1">IF(ISNUMBER(C81),Backtest!$B$1,"")</f>
        <v>ITUB4</v>
      </c>
      <c r="G81" s="29">
        <f ca="1">IFERROR(VLOOKUP(C81,Backtest!A:C,2,FALSE)/VLOOKUP(B81,Backtest!A:C,2,FALSE)-1,"")</f>
        <v>-4.7118453614958922E-2</v>
      </c>
      <c r="H81" s="31">
        <f t="shared" ca="1" si="16"/>
        <v>-5.4608290968857776E-2</v>
      </c>
      <c r="I81" s="34">
        <f t="shared" ca="1" si="17"/>
        <v>-5460.8290968857773</v>
      </c>
      <c r="J81" s="37">
        <f t="shared" ca="1" si="14"/>
        <v>27</v>
      </c>
      <c r="L81" s="26">
        <v>79</v>
      </c>
      <c r="M81" s="27">
        <f ca="1">IFERROR(INDEX(Backtest!$A$8:$A$5000,MATCH(L81,Backtest!$P$8:$P$5000,0)),"")</f>
        <v>43298</v>
      </c>
      <c r="N81" s="27">
        <f ca="1">IFERROR(INDEX(Backtest!$A$8:$A$5000,MATCH(L81,Backtest!$Q$8:$Q$5000,0)),"")</f>
        <v>43299</v>
      </c>
      <c r="O81" s="28" t="str">
        <f ca="1">IF(ISNUMBER(M81),Backtest!$B$1,"")</f>
        <v>ITUB4</v>
      </c>
      <c r="P81" s="29">
        <f ca="1">IFERROR(VLOOKUP(N81,Backtest!A:C,2,FALSE)/VLOOKUP(M81,Backtest!A:C,2,FALSE)-1,"")</f>
        <v>-1.2686329510961269E-2</v>
      </c>
      <c r="Q81" s="28" t="str">
        <f ca="1">IF(ISNUMBER(N81),Backtest!$C$1,"")</f>
        <v>BBDC4</v>
      </c>
      <c r="R81" s="29">
        <f ca="1">IFERROR(VLOOKUP(N81,Backtest!A:C,3,FALSE)/VLOOKUP(M81,Backtest!A:C,3,FALSE)-1,"")</f>
        <v>-2.4631360414352321E-2</v>
      </c>
      <c r="S81" s="31">
        <f t="shared" ca="1" si="18"/>
        <v>1.1945030903391052E-2</v>
      </c>
      <c r="T81" s="34">
        <f t="shared" ca="1" si="19"/>
        <v>1194.5030903391053</v>
      </c>
      <c r="U81" s="37">
        <f t="shared" ca="1" si="15"/>
        <v>2</v>
      </c>
    </row>
    <row r="82" spans="1:21" x14ac:dyDescent="0.3">
      <c r="A82">
        <v>80</v>
      </c>
      <c r="B82" s="1">
        <f ca="1">IFERROR(INDEX(Backtest!$A$8:$A$5000,MATCH(A82,Backtest!$N$8:$N$5000,0)),"")</f>
        <v>43721</v>
      </c>
      <c r="C82" s="1">
        <f ca="1">IFERROR(INDEX(Backtest!$A$8:$A$5000,MATCH(A82,Backtest!$O$8:$O$5000,0)),"")</f>
        <v>43726</v>
      </c>
      <c r="D82" s="25" t="str">
        <f ca="1">IF(ISNUMBER(B82),Backtest!$C$1,"")</f>
        <v>BBDC4</v>
      </c>
      <c r="E82" s="30">
        <f ca="1">IFERROR(VLOOKUP(C82,Backtest!A:C,3,FALSE)/VLOOKUP(B82,Backtest!A:C,3,FALSE)-1,"")</f>
        <v>1.6138728680678893E-2</v>
      </c>
      <c r="F82" s="25" t="str">
        <f ca="1">IF(ISNUMBER(C82),Backtest!$B$1,"")</f>
        <v>ITUB4</v>
      </c>
      <c r="G82" s="30">
        <f ca="1">IFERROR(VLOOKUP(C82,Backtest!A:C,2,FALSE)/VLOOKUP(B82,Backtest!A:C,2,FALSE)-1,"")</f>
        <v>-1.7284370402003812E-2</v>
      </c>
      <c r="H82" s="32">
        <f t="shared" ca="1" si="16"/>
        <v>3.3423099082682706E-2</v>
      </c>
      <c r="I82" s="35">
        <f t="shared" ca="1" si="17"/>
        <v>3342.3099082682706</v>
      </c>
      <c r="J82" s="38">
        <f t="shared" ca="1" si="14"/>
        <v>4</v>
      </c>
      <c r="L82">
        <v>80</v>
      </c>
      <c r="M82" s="1">
        <f ca="1">IFERROR(INDEX(Backtest!$A$8:$A$5000,MATCH(L82,Backtest!$P$8:$P$5000,0)),"")</f>
        <v>43304</v>
      </c>
      <c r="N82" s="1">
        <f ca="1">IFERROR(INDEX(Backtest!$A$8:$A$5000,MATCH(L82,Backtest!$Q$8:$Q$5000,0)),"")</f>
        <v>43307</v>
      </c>
      <c r="O82" s="25" t="str">
        <f ca="1">IF(ISNUMBER(M82),Backtest!$B$1,"")</f>
        <v>ITUB4</v>
      </c>
      <c r="P82" s="30">
        <f ca="1">IFERROR(VLOOKUP(N82,Backtest!A:C,2,FALSE)/VLOOKUP(M82,Backtest!A:C,2,FALSE)-1,"")</f>
        <v>1.4540681093172969E-2</v>
      </c>
      <c r="Q82" s="25" t="str">
        <f ca="1">IF(ISNUMBER(N82),Backtest!$C$1,"")</f>
        <v>BBDC4</v>
      </c>
      <c r="R82" s="30">
        <f ca="1">IFERROR(VLOOKUP(N82,Backtest!A:C,3,FALSE)/VLOOKUP(M82,Backtest!A:C,3,FALSE)-1,"")</f>
        <v>6.9197168325461078E-3</v>
      </c>
      <c r="S82" s="32">
        <f t="shared" ca="1" si="18"/>
        <v>7.6209642606268613E-3</v>
      </c>
      <c r="T82" s="35">
        <f t="shared" ca="1" si="19"/>
        <v>762.09642606268608</v>
      </c>
      <c r="U82" s="38">
        <f t="shared" ca="1" si="15"/>
        <v>4</v>
      </c>
    </row>
    <row r="83" spans="1:21" x14ac:dyDescent="0.3">
      <c r="A83" s="26">
        <v>81</v>
      </c>
      <c r="B83" s="27">
        <f ca="1">IFERROR(INDEX(Backtest!$A$8:$A$5000,MATCH(A83,Backtest!$N$8:$N$5000,0)),"")</f>
        <v>43770</v>
      </c>
      <c r="C83" s="27">
        <f ca="1">IFERROR(INDEX(Backtest!$A$8:$A$5000,MATCH(A83,Backtest!$O$8:$O$5000,0)),"")</f>
        <v>43796</v>
      </c>
      <c r="D83" s="28" t="str">
        <f ca="1">IF(ISNUMBER(B83),Backtest!$C$1,"")</f>
        <v>BBDC4</v>
      </c>
      <c r="E83" s="29">
        <f ca="1">IFERROR(VLOOKUP(C83,Backtest!A:C,3,FALSE)/VLOOKUP(B83,Backtest!A:C,3,FALSE)-1,"")</f>
        <v>-3.9673984478580837E-2</v>
      </c>
      <c r="F83" s="28" t="str">
        <f ca="1">IF(ISNUMBER(C83),Backtest!$B$1,"")</f>
        <v>ITUB4</v>
      </c>
      <c r="G83" s="29">
        <f ca="1">IFERROR(VLOOKUP(C83,Backtest!A:C,2,FALSE)/VLOOKUP(B83,Backtest!A:C,2,FALSE)-1,"")</f>
        <v>-4.5392317070582111E-2</v>
      </c>
      <c r="H83" s="31">
        <f t="shared" ca="1" si="16"/>
        <v>5.718332592001274E-3</v>
      </c>
      <c r="I83" s="34">
        <f t="shared" ca="1" si="17"/>
        <v>571.83325920012737</v>
      </c>
      <c r="J83" s="37">
        <f t="shared" ca="1" si="14"/>
        <v>19</v>
      </c>
      <c r="L83" s="26">
        <v>81</v>
      </c>
      <c r="M83" s="27">
        <f ca="1">IFERROR(INDEX(Backtest!$A$8:$A$5000,MATCH(L83,Backtest!$P$8:$P$5000,0)),"")</f>
        <v>43312</v>
      </c>
      <c r="N83" s="27">
        <f ca="1">IFERROR(INDEX(Backtest!$A$8:$A$5000,MATCH(L83,Backtest!$Q$8:$Q$5000,0)),"")</f>
        <v>43322</v>
      </c>
      <c r="O83" s="28" t="str">
        <f ca="1">IF(ISNUMBER(M83),Backtest!$B$1,"")</f>
        <v>ITUB4</v>
      </c>
      <c r="P83" s="29">
        <f ca="1">IFERROR(VLOOKUP(N83,Backtest!A:C,2,FALSE)/VLOOKUP(M83,Backtest!A:C,2,FALSE)-1,"")</f>
        <v>-3.9013041856721387E-2</v>
      </c>
      <c r="Q83" s="28" t="str">
        <f ca="1">IF(ISNUMBER(N83),Backtest!$C$1,"")</f>
        <v>BBDC4</v>
      </c>
      <c r="R83" s="29">
        <f ca="1">IFERROR(VLOOKUP(N83,Backtest!A:C,3,FALSE)/VLOOKUP(M83,Backtest!A:C,3,FALSE)-1,"")</f>
        <v>-5.548385263035216E-2</v>
      </c>
      <c r="S83" s="31">
        <f t="shared" ca="1" si="18"/>
        <v>1.6470810773630773E-2</v>
      </c>
      <c r="T83" s="34">
        <f t="shared" ca="1" si="19"/>
        <v>1647.0810773630774</v>
      </c>
      <c r="U83" s="37">
        <f t="shared" ca="1" si="15"/>
        <v>9</v>
      </c>
    </row>
    <row r="84" spans="1:21" x14ac:dyDescent="0.3">
      <c r="A84">
        <v>82</v>
      </c>
      <c r="B84" s="1">
        <f ca="1">IFERROR(INDEX(Backtest!$A$8:$A$5000,MATCH(A84,Backtest!$N$8:$N$5000,0)),"")</f>
        <v>43872</v>
      </c>
      <c r="C84" s="1">
        <f ca="1">IFERROR(INDEX(Backtest!$A$8:$A$5000,MATCH(A84,Backtest!$O$8:$O$5000,0)),"")</f>
        <v>43903</v>
      </c>
      <c r="D84" s="25" t="str">
        <f ca="1">IF(ISNUMBER(B84),Backtest!$C$1,"")</f>
        <v>BBDC4</v>
      </c>
      <c r="E84" s="30">
        <f ca="1">IFERROR(VLOOKUP(C84,Backtest!A:C,3,FALSE)/VLOOKUP(B84,Backtest!A:C,3,FALSE)-1,"")</f>
        <v>-0.18915756291672481</v>
      </c>
      <c r="F84" s="25" t="str">
        <f ca="1">IF(ISNUMBER(C84),Backtest!$B$1,"")</f>
        <v>ITUB4</v>
      </c>
      <c r="G84" s="30">
        <f ca="1">IFERROR(VLOOKUP(C84,Backtest!A:C,2,FALSE)/VLOOKUP(B84,Backtest!A:C,2,FALSE)-1,"")</f>
        <v>-0.2415076738609947</v>
      </c>
      <c r="H84" s="32">
        <f t="shared" ca="1" si="16"/>
        <v>5.235011094426989E-2</v>
      </c>
      <c r="I84" s="35">
        <f t="shared" ca="1" si="17"/>
        <v>5235.0110944269891</v>
      </c>
      <c r="J84" s="38">
        <f t="shared" ca="1" si="14"/>
        <v>24</v>
      </c>
      <c r="L84">
        <v>82</v>
      </c>
      <c r="M84" s="1">
        <f ca="1">IFERROR(INDEX(Backtest!$A$8:$A$5000,MATCH(L84,Backtest!$P$8:$P$5000,0)),"")</f>
        <v>43383</v>
      </c>
      <c r="N84" s="1">
        <f ca="1">IFERROR(INDEX(Backtest!$A$8:$A$5000,MATCH(L84,Backtest!$Q$8:$Q$5000,0)),"")</f>
        <v>43417</v>
      </c>
      <c r="O84" s="25" t="str">
        <f ca="1">IF(ISNUMBER(M84),Backtest!$B$1,"")</f>
        <v>ITUB4</v>
      </c>
      <c r="P84" s="30">
        <f ca="1">IFERROR(VLOOKUP(N84,Backtest!A:C,2,FALSE)/VLOOKUP(M84,Backtest!A:C,2,FALSE)-1,"")</f>
        <v>5.5656410043303906E-2</v>
      </c>
      <c r="Q84" s="25" t="str">
        <f ca="1">IF(ISNUMBER(N84),Backtest!$C$1,"")</f>
        <v>BBDC4</v>
      </c>
      <c r="R84" s="30">
        <f ca="1">IFERROR(VLOOKUP(N84,Backtest!A:C,3,FALSE)/VLOOKUP(M84,Backtest!A:C,3,FALSE)-1,"")</f>
        <v>9.0492749662521632E-2</v>
      </c>
      <c r="S84" s="32">
        <f t="shared" ca="1" si="18"/>
        <v>-3.4836339619217727E-2</v>
      </c>
      <c r="T84" s="35">
        <f t="shared" ca="1" si="19"/>
        <v>-3483.6339619217729</v>
      </c>
      <c r="U84" s="38">
        <f t="shared" ca="1" si="15"/>
        <v>25</v>
      </c>
    </row>
    <row r="85" spans="1:21" x14ac:dyDescent="0.3">
      <c r="A85" s="26">
        <v>83</v>
      </c>
      <c r="B85" s="27">
        <f ca="1">IFERROR(INDEX(Backtest!$A$8:$A$5000,MATCH(A85,Backtest!$N$8:$N$5000,0)),"")</f>
        <v>43906</v>
      </c>
      <c r="C85" s="27">
        <f ca="1">IFERROR(INDEX(Backtest!$A$8:$A$5000,MATCH(A85,Backtest!$O$8:$O$5000,0)),"")</f>
        <v>43922</v>
      </c>
      <c r="D85" s="28" t="str">
        <f ca="1">IF(ISNUMBER(B85),Backtest!$C$1,"")</f>
        <v>BBDC4</v>
      </c>
      <c r="E85" s="29">
        <f ca="1">IFERROR(VLOOKUP(C85,Backtest!A:C,3,FALSE)/VLOOKUP(B85,Backtest!A:C,3,FALSE)-1,"")</f>
        <v>-8.3948288403516091E-2</v>
      </c>
      <c r="F85" s="28" t="str">
        <f ca="1">IF(ISNUMBER(C85),Backtest!$B$1,"")</f>
        <v>ITUB4</v>
      </c>
      <c r="G85" s="29">
        <f ca="1">IFERROR(VLOOKUP(C85,Backtest!A:C,2,FALSE)/VLOOKUP(B85,Backtest!A:C,2,FALSE)-1,"")</f>
        <v>-0.10025581606334599</v>
      </c>
      <c r="H85" s="31">
        <f t="shared" ca="1" si="16"/>
        <v>1.6307527659829901E-2</v>
      </c>
      <c r="I85" s="34">
        <f t="shared" ca="1" si="17"/>
        <v>1630.7527659829902</v>
      </c>
      <c r="J85" s="37">
        <f t="shared" ca="1" si="14"/>
        <v>13</v>
      </c>
      <c r="L85" s="26">
        <v>83</v>
      </c>
      <c r="M85" s="27">
        <f ca="1">IFERROR(INDEX(Backtest!$A$8:$A$5000,MATCH(L85,Backtest!$P$8:$P$5000,0)),"")</f>
        <v>43444</v>
      </c>
      <c r="N85" s="27">
        <f ca="1">IFERROR(INDEX(Backtest!$A$8:$A$5000,MATCH(L85,Backtest!$Q$8:$Q$5000,0)),"")</f>
        <v>43525</v>
      </c>
      <c r="O85" s="28" t="str">
        <f ca="1">IF(ISNUMBER(M85),Backtest!$B$1,"")</f>
        <v>ITUB4</v>
      </c>
      <c r="P85" s="29">
        <f ca="1">IFERROR(VLOOKUP(N85,Backtest!A:C,2,FALSE)/VLOOKUP(M85,Backtest!A:C,2,FALSE)-1,"")</f>
        <v>3.7227668451908391E-2</v>
      </c>
      <c r="Q85" s="28" t="str">
        <f ca="1">IF(ISNUMBER(N85),Backtest!$C$1,"")</f>
        <v>BBDC4</v>
      </c>
      <c r="R85" s="29">
        <f ca="1">IFERROR(VLOOKUP(N85,Backtest!A:C,3,FALSE)/VLOOKUP(M85,Backtest!A:C,3,FALSE)-1,"")</f>
        <v>0.16651237109311801</v>
      </c>
      <c r="S85" s="31">
        <f t="shared" ca="1" si="18"/>
        <v>-0.12928470264120961</v>
      </c>
      <c r="T85" s="34">
        <f t="shared" ca="1" si="19"/>
        <v>-12928.470264120961</v>
      </c>
      <c r="U85" s="37">
        <f t="shared" ca="1" si="15"/>
        <v>60</v>
      </c>
    </row>
    <row r="86" spans="1:21" x14ac:dyDescent="0.3">
      <c r="A86">
        <v>84</v>
      </c>
      <c r="B86" s="1">
        <f ca="1">IFERROR(INDEX(Backtest!$A$8:$A$5000,MATCH(A86,Backtest!$N$8:$N$5000,0)),"")</f>
        <v>43929</v>
      </c>
      <c r="C86" s="1">
        <f ca="1">IFERROR(INDEX(Backtest!$A$8:$A$5000,MATCH(A86,Backtest!$O$8:$O$5000,0)),"")</f>
        <v>43976</v>
      </c>
      <c r="D86" s="25" t="str">
        <f ca="1">IF(ISNUMBER(B86),Backtest!$C$1,"")</f>
        <v>BBDC4</v>
      </c>
      <c r="E86" s="30">
        <f ca="1">IFERROR(VLOOKUP(C86,Backtest!A:C,3,FALSE)/VLOOKUP(B86,Backtest!A:C,3,FALSE)-1,"")</f>
        <v>-1.2903267392911366E-2</v>
      </c>
      <c r="F86" s="25" t="str">
        <f ca="1">IF(ISNUMBER(C86),Backtest!$B$1,"")</f>
        <v>ITUB4</v>
      </c>
      <c r="G86" s="30">
        <f ca="1">IFERROR(VLOOKUP(C86,Backtest!A:C,2,FALSE)/VLOOKUP(B86,Backtest!A:C,2,FALSE)-1,"")</f>
        <v>-8.4452602907909569E-3</v>
      </c>
      <c r="H86" s="32">
        <f t="shared" ca="1" si="16"/>
        <v>-4.4580071021204093E-3</v>
      </c>
      <c r="I86" s="35">
        <f t="shared" ca="1" si="17"/>
        <v>-445.80071021204094</v>
      </c>
      <c r="J86" s="38">
        <f t="shared" ca="1" si="14"/>
        <v>34</v>
      </c>
      <c r="L86">
        <v>84</v>
      </c>
      <c r="M86" s="1">
        <f ca="1">IFERROR(INDEX(Backtest!$A$8:$A$5000,MATCH(L86,Backtest!$P$8:$P$5000,0)),"")</f>
        <v>43543</v>
      </c>
      <c r="N86" s="1">
        <f ca="1">IFERROR(INDEX(Backtest!$A$8:$A$5000,MATCH(L86,Backtest!$Q$8:$Q$5000,0)),"")</f>
        <v>43550</v>
      </c>
      <c r="O86" s="25" t="str">
        <f ca="1">IF(ISNUMBER(M86),Backtest!$B$1,"")</f>
        <v>ITUB4</v>
      </c>
      <c r="P86" s="30">
        <f ca="1">IFERROR(VLOOKUP(N86,Backtest!A:C,2,FALSE)/VLOOKUP(M86,Backtest!A:C,2,FALSE)-1,"")</f>
        <v>-5.6944297327212734E-2</v>
      </c>
      <c r="Q86" s="25" t="str">
        <f ca="1">IF(ISNUMBER(N86),Backtest!$C$1,"")</f>
        <v>BBDC4</v>
      </c>
      <c r="R86" s="30">
        <f ca="1">IFERROR(VLOOKUP(N86,Backtest!A:C,3,FALSE)/VLOOKUP(M86,Backtest!A:C,3,FALSE)-1,"")</f>
        <v>-7.4082510328784434E-2</v>
      </c>
      <c r="S86" s="32">
        <f t="shared" ca="1" si="18"/>
        <v>1.71382130015717E-2</v>
      </c>
      <c r="T86" s="35">
        <f t="shared" ca="1" si="19"/>
        <v>1713.8213001571701</v>
      </c>
      <c r="U86" s="38">
        <f t="shared" ca="1" si="15"/>
        <v>6</v>
      </c>
    </row>
    <row r="87" spans="1:21" x14ac:dyDescent="0.3">
      <c r="A87" s="26">
        <v>85</v>
      </c>
      <c r="B87" s="27">
        <f ca="1">IFERROR(INDEX(Backtest!$A$8:$A$5000,MATCH(A87,Backtest!$N$8:$N$5000,0)),"")</f>
        <v>44000</v>
      </c>
      <c r="C87" s="27" t="str">
        <f ca="1">IFERROR(INDEX(Backtest!$A$8:$A$5000,MATCH(A87,Backtest!$O$8:$O$5000,0)),"")</f>
        <v/>
      </c>
      <c r="D87" s="28" t="str">
        <f ca="1">IF(ISNUMBER(B87),Backtest!$C$1,"")</f>
        <v>BBDC4</v>
      </c>
      <c r="E87" s="29" t="str">
        <f ca="1">IFERROR(VLOOKUP(C87,Backtest!A:C,3,FALSE)/VLOOKUP(B87,Backtest!A:C,3,FALSE)-1,"")</f>
        <v/>
      </c>
      <c r="F87" s="28" t="str">
        <f ca="1">IF(ISNUMBER(C87),Backtest!$B$1,"")</f>
        <v/>
      </c>
      <c r="G87" s="29" t="str">
        <f ca="1">IFERROR(VLOOKUP(C87,Backtest!A:C,2,FALSE)/VLOOKUP(B87,Backtest!A:C,2,FALSE)-1,"")</f>
        <v/>
      </c>
      <c r="H87" s="31" t="str">
        <f t="shared" ca="1" si="16"/>
        <v/>
      </c>
      <c r="I87" s="34" t="str">
        <f t="shared" ca="1" si="17"/>
        <v/>
      </c>
      <c r="J87" s="37" t="str">
        <f t="shared" ca="1" si="14"/>
        <v/>
      </c>
      <c r="L87" s="26">
        <v>85</v>
      </c>
      <c r="M87" s="27">
        <f ca="1">IFERROR(INDEX(Backtest!$A$8:$A$5000,MATCH(L87,Backtest!$P$8:$P$5000,0)),"")</f>
        <v>43553</v>
      </c>
      <c r="N87" s="27">
        <f ca="1">IFERROR(INDEX(Backtest!$A$8:$A$5000,MATCH(L87,Backtest!$Q$8:$Q$5000,0)),"")</f>
        <v>43584</v>
      </c>
      <c r="O87" s="28" t="str">
        <f ca="1">IF(ISNUMBER(M87),Backtest!$B$1,"")</f>
        <v>ITUB4</v>
      </c>
      <c r="P87" s="29">
        <f ca="1">IFERROR(VLOOKUP(N87,Backtest!A:C,2,FALSE)/VLOOKUP(M87,Backtest!A:C,2,FALSE)-1,"")</f>
        <v>-2.5715331695795762E-2</v>
      </c>
      <c r="Q87" s="28" t="str">
        <f ca="1">IF(ISNUMBER(N87),Backtest!$C$1,"")</f>
        <v>BBDC4</v>
      </c>
      <c r="R87" s="29">
        <f ca="1">IFERROR(VLOOKUP(N87,Backtest!A:C,3,FALSE)/VLOOKUP(M87,Backtest!A:C,3,FALSE)-1,"")</f>
        <v>-7.7220170048103443E-3</v>
      </c>
      <c r="S87" s="31">
        <f t="shared" ca="1" si="18"/>
        <v>-1.7993314690985418E-2</v>
      </c>
      <c r="T87" s="34">
        <f t="shared" ca="1" si="19"/>
        <v>-1799.3314690985419</v>
      </c>
      <c r="U87" s="37">
        <f t="shared" ca="1" si="15"/>
        <v>22</v>
      </c>
    </row>
    <row r="88" spans="1:21" x14ac:dyDescent="0.3">
      <c r="A88">
        <v>86</v>
      </c>
      <c r="B88" s="1" t="str">
        <f ca="1">IFERROR(INDEX(Backtest!$A$8:$A$5000,MATCH(A88,Backtest!$N$8:$N$5000,0)),"")</f>
        <v/>
      </c>
      <c r="C88" s="1" t="str">
        <f ca="1">IFERROR(INDEX(Backtest!$A$8:$A$5000,MATCH(A88,Backtest!$O$8:$O$5000,0)),"")</f>
        <v/>
      </c>
      <c r="D88" s="25" t="str">
        <f ca="1">IF(ISNUMBER(B88),Backtest!$C$1,"")</f>
        <v/>
      </c>
      <c r="E88" s="30" t="str">
        <f ca="1">IFERROR(VLOOKUP(C88,Backtest!A:C,3,FALSE)/VLOOKUP(B88,Backtest!A:C,3,FALSE)-1,"")</f>
        <v/>
      </c>
      <c r="F88" s="25" t="str">
        <f ca="1">IF(ISNUMBER(C88),Backtest!$B$1,"")</f>
        <v/>
      </c>
      <c r="G88" s="30" t="str">
        <f ca="1">IFERROR(VLOOKUP(C88,Backtest!A:C,2,FALSE)/VLOOKUP(B88,Backtest!A:C,2,FALSE)-1,"")</f>
        <v/>
      </c>
      <c r="H88" s="32" t="str">
        <f t="shared" ca="1" si="16"/>
        <v/>
      </c>
      <c r="I88" s="35" t="str">
        <f t="shared" ca="1" si="17"/>
        <v/>
      </c>
      <c r="J88" s="38" t="str">
        <f t="shared" ca="1" si="14"/>
        <v/>
      </c>
      <c r="L88">
        <v>86</v>
      </c>
      <c r="M88" s="1">
        <f ca="1">IFERROR(INDEX(Backtest!$A$8:$A$5000,MATCH(L88,Backtest!$P$8:$P$5000,0)),"")</f>
        <v>43622</v>
      </c>
      <c r="N88" s="1">
        <f ca="1">IFERROR(INDEX(Backtest!$A$8:$A$5000,MATCH(L88,Backtest!$Q$8:$Q$5000,0)),"")</f>
        <v>43634</v>
      </c>
      <c r="O88" s="25" t="str">
        <f ca="1">IF(ISNUMBER(M88),Backtest!$B$1,"")</f>
        <v>ITUB4</v>
      </c>
      <c r="P88" s="30">
        <f ca="1">IFERROR(VLOOKUP(N88,Backtest!A:C,2,FALSE)/VLOOKUP(M88,Backtest!A:C,2,FALSE)-1,"")</f>
        <v>3.7467209463231121E-3</v>
      </c>
      <c r="Q88" s="25" t="str">
        <f ca="1">IF(ISNUMBER(N88),Backtest!$C$1,"")</f>
        <v>BBDC4</v>
      </c>
      <c r="R88" s="30">
        <f ca="1">IFERROR(VLOOKUP(N88,Backtest!A:C,3,FALSE)/VLOOKUP(M88,Backtest!A:C,3,FALSE)-1,"")</f>
        <v>-2.4946380412087077E-2</v>
      </c>
      <c r="S88" s="32">
        <f t="shared" ca="1" si="18"/>
        <v>2.8693101358410189E-2</v>
      </c>
      <c r="T88" s="35">
        <f t="shared" ca="1" si="19"/>
        <v>2869.310135841019</v>
      </c>
      <c r="U88" s="38">
        <f t="shared" ca="1" si="15"/>
        <v>9</v>
      </c>
    </row>
    <row r="89" spans="1:21" x14ac:dyDescent="0.3">
      <c r="A89" s="26">
        <v>87</v>
      </c>
      <c r="B89" s="27" t="str">
        <f ca="1">IFERROR(INDEX(Backtest!$A$8:$A$5000,MATCH(A89,Backtest!$N$8:$N$5000,0)),"")</f>
        <v/>
      </c>
      <c r="C89" s="27" t="str">
        <f ca="1">IFERROR(INDEX(Backtest!$A$8:$A$5000,MATCH(A89,Backtest!$O$8:$O$5000,0)),"")</f>
        <v/>
      </c>
      <c r="D89" s="28" t="str">
        <f ca="1">IF(ISNUMBER(B89),Backtest!$C$1,"")</f>
        <v/>
      </c>
      <c r="E89" s="29" t="str">
        <f ca="1">IFERROR(VLOOKUP(C89,Backtest!A:C,3,FALSE)/VLOOKUP(B89,Backtest!A:C,3,FALSE)-1,"")</f>
        <v/>
      </c>
      <c r="F89" s="28" t="str">
        <f ca="1">IF(ISNUMBER(C89),Backtest!$B$1,"")</f>
        <v/>
      </c>
      <c r="G89" s="29" t="str">
        <f ca="1">IFERROR(VLOOKUP(C89,Backtest!A:C,2,FALSE)/VLOOKUP(B89,Backtest!A:C,2,FALSE)-1,"")</f>
        <v/>
      </c>
      <c r="H89" s="31" t="str">
        <f t="shared" ca="1" si="16"/>
        <v/>
      </c>
      <c r="I89" s="34" t="str">
        <f t="shared" ca="1" si="17"/>
        <v/>
      </c>
      <c r="J89" s="37" t="str">
        <f t="shared" ca="1" si="14"/>
        <v/>
      </c>
      <c r="L89" s="26">
        <v>87</v>
      </c>
      <c r="M89" s="27">
        <f ca="1">IFERROR(INDEX(Backtest!$A$8:$A$5000,MATCH(L89,Backtest!$P$8:$P$5000,0)),"")</f>
        <v>43712</v>
      </c>
      <c r="N89" s="27">
        <f ca="1">IFERROR(INDEX(Backtest!$A$8:$A$5000,MATCH(L89,Backtest!$Q$8:$Q$5000,0)),"")</f>
        <v>43720</v>
      </c>
      <c r="O89" s="28" t="str">
        <f ca="1">IF(ISNUMBER(M89),Backtest!$B$1,"")</f>
        <v>ITUB4</v>
      </c>
      <c r="P89" s="29">
        <f ca="1">IFERROR(VLOOKUP(N89,Backtest!A:C,2,FALSE)/VLOOKUP(M89,Backtest!A:C,2,FALSE)-1,"")</f>
        <v>6.9507585800378191E-2</v>
      </c>
      <c r="Q89" s="28" t="str">
        <f ca="1">IF(ISNUMBER(N89),Backtest!$C$1,"")</f>
        <v>BBDC4</v>
      </c>
      <c r="R89" s="29">
        <f ca="1">IFERROR(VLOOKUP(N89,Backtest!A:C,3,FALSE)/VLOOKUP(M89,Backtest!A:C,3,FALSE)-1,"")</f>
        <v>4.4362563254353837E-2</v>
      </c>
      <c r="S89" s="31">
        <f t="shared" ca="1" si="18"/>
        <v>2.5145022546024354E-2</v>
      </c>
      <c r="T89" s="34">
        <f t="shared" ca="1" si="19"/>
        <v>2514.5022546024352</v>
      </c>
      <c r="U89" s="37">
        <f t="shared" ca="1" si="15"/>
        <v>7</v>
      </c>
    </row>
    <row r="90" spans="1:21" x14ac:dyDescent="0.3">
      <c r="A90">
        <v>88</v>
      </c>
      <c r="B90" s="1" t="str">
        <f ca="1">IFERROR(INDEX(Backtest!$A$8:$A$5000,MATCH(A90,Backtest!$N$8:$N$5000,0)),"")</f>
        <v/>
      </c>
      <c r="C90" s="1" t="str">
        <f ca="1">IFERROR(INDEX(Backtest!$A$8:$A$5000,MATCH(A90,Backtest!$O$8:$O$5000,0)),"")</f>
        <v/>
      </c>
      <c r="D90" s="25" t="str">
        <f ca="1">IF(ISNUMBER(B90),Backtest!$C$1,"")</f>
        <v/>
      </c>
      <c r="E90" s="30" t="str">
        <f ca="1">IFERROR(VLOOKUP(C90,Backtest!A:C,3,FALSE)/VLOOKUP(B90,Backtest!A:C,3,FALSE)-1,"")</f>
        <v/>
      </c>
      <c r="F90" s="25" t="str">
        <f ca="1">IF(ISNUMBER(C90),Backtest!$B$1,"")</f>
        <v/>
      </c>
      <c r="G90" s="30" t="str">
        <f ca="1">IFERROR(VLOOKUP(C90,Backtest!A:C,2,FALSE)/VLOOKUP(B90,Backtest!A:C,2,FALSE)-1,"")</f>
        <v/>
      </c>
      <c r="H90" s="32" t="str">
        <f t="shared" ca="1" si="16"/>
        <v/>
      </c>
      <c r="I90" s="35" t="str">
        <f t="shared" ca="1" si="17"/>
        <v/>
      </c>
      <c r="J90" s="38" t="str">
        <f t="shared" ca="1" si="14"/>
        <v/>
      </c>
      <c r="L90">
        <v>88</v>
      </c>
      <c r="M90" s="1">
        <f ca="1">IFERROR(INDEX(Backtest!$A$8:$A$5000,MATCH(L90,Backtest!$P$8:$P$5000,0)),"")</f>
        <v>43728</v>
      </c>
      <c r="N90" s="1">
        <f ca="1">IFERROR(INDEX(Backtest!$A$8:$A$5000,MATCH(L90,Backtest!$Q$8:$Q$5000,0)),"")</f>
        <v>43734</v>
      </c>
      <c r="O90" s="25" t="str">
        <f ca="1">IF(ISNUMBER(M90),Backtest!$B$1,"")</f>
        <v>ITUB4</v>
      </c>
      <c r="P90" s="30">
        <f ca="1">IFERROR(VLOOKUP(N90,Backtest!A:C,2,FALSE)/VLOOKUP(M90,Backtest!A:C,2,FALSE)-1,"")</f>
        <v>2.6762674516638052E-2</v>
      </c>
      <c r="Q90" s="25" t="str">
        <f ca="1">IF(ISNUMBER(N90),Backtest!$C$1,"")</f>
        <v>BBDC4</v>
      </c>
      <c r="R90" s="30">
        <f ca="1">IFERROR(VLOOKUP(N90,Backtest!A:C,3,FALSE)/VLOOKUP(M90,Backtest!A:C,3,FALSE)-1,"")</f>
        <v>9.947191097901209E-3</v>
      </c>
      <c r="S90" s="32">
        <f t="shared" ca="1" si="18"/>
        <v>1.6815483418736843E-2</v>
      </c>
      <c r="T90" s="35">
        <f t="shared" ca="1" si="19"/>
        <v>1681.5483418736842</v>
      </c>
      <c r="U90" s="38">
        <f t="shared" ca="1" si="15"/>
        <v>5</v>
      </c>
    </row>
    <row r="91" spans="1:21" x14ac:dyDescent="0.3">
      <c r="A91" s="26">
        <v>89</v>
      </c>
      <c r="B91" s="27" t="str">
        <f ca="1">IFERROR(INDEX(Backtest!$A$8:$A$5000,MATCH(A91,Backtest!$N$8:$N$5000,0)),"")</f>
        <v/>
      </c>
      <c r="C91" s="27" t="str">
        <f ca="1">IFERROR(INDEX(Backtest!$A$8:$A$5000,MATCH(A91,Backtest!$O$8:$O$5000,0)),"")</f>
        <v/>
      </c>
      <c r="D91" s="28" t="str">
        <f ca="1">IF(ISNUMBER(B91),Backtest!$C$1,"")</f>
        <v/>
      </c>
      <c r="E91" s="29" t="str">
        <f ca="1">IFERROR(VLOOKUP(C91,Backtest!A:C,3,FALSE)/VLOOKUP(B91,Backtest!A:C,3,FALSE)-1,"")</f>
        <v/>
      </c>
      <c r="F91" s="28" t="str">
        <f ca="1">IF(ISNUMBER(C91),Backtest!$B$1,"")</f>
        <v/>
      </c>
      <c r="G91" s="29" t="str">
        <f ca="1">IFERROR(VLOOKUP(C91,Backtest!A:C,2,FALSE)/VLOOKUP(B91,Backtest!A:C,2,FALSE)-1,"")</f>
        <v/>
      </c>
      <c r="H91" s="31" t="str">
        <f t="shared" ca="1" si="16"/>
        <v/>
      </c>
      <c r="I91" s="34" t="str">
        <f t="shared" ca="1" si="17"/>
        <v/>
      </c>
      <c r="J91" s="37" t="str">
        <f t="shared" ca="1" si="14"/>
        <v/>
      </c>
      <c r="L91" s="26">
        <v>89</v>
      </c>
      <c r="M91" s="27">
        <f ca="1">IFERROR(INDEX(Backtest!$A$8:$A$5000,MATCH(L91,Backtest!$P$8:$P$5000,0)),"")</f>
        <v>43745</v>
      </c>
      <c r="N91" s="27">
        <f ca="1">IFERROR(INDEX(Backtest!$A$8:$A$5000,MATCH(L91,Backtest!$Q$8:$Q$5000,0)),"")</f>
        <v>43769</v>
      </c>
      <c r="O91" s="28" t="str">
        <f ca="1">IF(ISNUMBER(M91),Backtest!$B$1,"")</f>
        <v>ITUB4</v>
      </c>
      <c r="P91" s="29">
        <f ca="1">IFERROR(VLOOKUP(N91,Backtest!A:C,2,FALSE)/VLOOKUP(M91,Backtest!A:C,2,FALSE)-1,"")</f>
        <v>0.10356376087884867</v>
      </c>
      <c r="Q91" s="28" t="str">
        <f ca="1">IF(ISNUMBER(N91),Backtest!$C$1,"")</f>
        <v>BBDC4</v>
      </c>
      <c r="R91" s="29">
        <f ca="1">IFERROR(VLOOKUP(N91,Backtest!A:C,3,FALSE)/VLOOKUP(M91,Backtest!A:C,3,FALSE)-1,"")</f>
        <v>0.11711397516844579</v>
      </c>
      <c r="S91" s="31">
        <f t="shared" ca="1" si="18"/>
        <v>-1.3550214289597129E-2</v>
      </c>
      <c r="T91" s="34">
        <f t="shared" ca="1" si="19"/>
        <v>-1355.0214289597129</v>
      </c>
      <c r="U91" s="37">
        <f t="shared" ca="1" si="15"/>
        <v>19</v>
      </c>
    </row>
    <row r="92" spans="1:21" x14ac:dyDescent="0.3">
      <c r="A92">
        <v>90</v>
      </c>
      <c r="B92" s="1" t="str">
        <f ca="1">IFERROR(INDEX(Backtest!$A$8:$A$5000,MATCH(A92,Backtest!$N$8:$N$5000,0)),"")</f>
        <v/>
      </c>
      <c r="C92" s="1" t="str">
        <f ca="1">IFERROR(INDEX(Backtest!$A$8:$A$5000,MATCH(A92,Backtest!$O$8:$O$5000,0)),"")</f>
        <v/>
      </c>
      <c r="D92" s="25" t="str">
        <f ca="1">IF(ISNUMBER(B92),Backtest!$C$1,"")</f>
        <v/>
      </c>
      <c r="E92" s="30" t="str">
        <f ca="1">IFERROR(VLOOKUP(C92,Backtest!A:C,3,FALSE)/VLOOKUP(B92,Backtest!A:C,3,FALSE)-1,"")</f>
        <v/>
      </c>
      <c r="F92" s="25" t="str">
        <f ca="1">IF(ISNUMBER(C92),Backtest!$B$1,"")</f>
        <v/>
      </c>
      <c r="G92" s="30" t="str">
        <f ca="1">IFERROR(VLOOKUP(C92,Backtest!A:C,2,FALSE)/VLOOKUP(B92,Backtest!A:C,2,FALSE)-1,"")</f>
        <v/>
      </c>
      <c r="H92" s="32" t="str">
        <f t="shared" ca="1" si="16"/>
        <v/>
      </c>
      <c r="I92" s="35" t="str">
        <f t="shared" ca="1" si="17"/>
        <v/>
      </c>
      <c r="J92" s="38" t="str">
        <f t="shared" ca="1" si="14"/>
        <v/>
      </c>
      <c r="L92">
        <v>90</v>
      </c>
      <c r="M92" s="1">
        <f ca="1">IFERROR(INDEX(Backtest!$A$8:$A$5000,MATCH(L92,Backtest!$P$8:$P$5000,0)),"")</f>
        <v>43810</v>
      </c>
      <c r="N92" s="1">
        <f ca="1">IFERROR(INDEX(Backtest!$A$8:$A$5000,MATCH(L92,Backtest!$Q$8:$Q$5000,0)),"")</f>
        <v>43865</v>
      </c>
      <c r="O92" s="25" t="str">
        <f ca="1">IF(ISNUMBER(M92),Backtest!$B$1,"")</f>
        <v>ITUB4</v>
      </c>
      <c r="P92" s="30">
        <f ca="1">IFERROR(VLOOKUP(N92,Backtest!A:C,2,FALSE)/VLOOKUP(M92,Backtest!A:C,2,FALSE)-1,"")</f>
        <v>-6.6751462772899006E-2</v>
      </c>
      <c r="Q92" s="25" t="str">
        <f ca="1">IF(ISNUMBER(N92),Backtest!$C$1,"")</f>
        <v>BBDC4</v>
      </c>
      <c r="R92" s="30">
        <f ca="1">IFERROR(VLOOKUP(N92,Backtest!A:C,3,FALSE)/VLOOKUP(M92,Backtest!A:C,3,FALSE)-1,"")</f>
        <v>-4.0656591029926137E-3</v>
      </c>
      <c r="S92" s="32">
        <f t="shared" ca="1" si="18"/>
        <v>-6.2685803669906393E-2</v>
      </c>
      <c r="T92" s="35">
        <f t="shared" ca="1" si="19"/>
        <v>-6268.580366990639</v>
      </c>
      <c r="U92" s="38">
        <f t="shared" ca="1" si="15"/>
        <v>40</v>
      </c>
    </row>
    <row r="93" spans="1:21" x14ac:dyDescent="0.3">
      <c r="A93" s="26">
        <v>91</v>
      </c>
      <c r="B93" s="27" t="str">
        <f ca="1">IFERROR(INDEX(Backtest!$A$8:$A$5000,MATCH(A93,Backtest!$N$8:$N$5000,0)),"")</f>
        <v/>
      </c>
      <c r="C93" s="27" t="str">
        <f ca="1">IFERROR(INDEX(Backtest!$A$8:$A$5000,MATCH(A93,Backtest!$O$8:$O$5000,0)),"")</f>
        <v/>
      </c>
      <c r="D93" s="28" t="str">
        <f ca="1">IF(ISNUMBER(B93),Backtest!$C$1,"")</f>
        <v/>
      </c>
      <c r="E93" s="29" t="str">
        <f ca="1">IFERROR(VLOOKUP(C93,Backtest!A:C,3,FALSE)/VLOOKUP(B93,Backtest!A:C,3,FALSE)-1,"")</f>
        <v/>
      </c>
      <c r="F93" s="28" t="str">
        <f ca="1">IF(ISNUMBER(C93),Backtest!$B$1,"")</f>
        <v/>
      </c>
      <c r="G93" s="29" t="str">
        <f ca="1">IFERROR(VLOOKUP(C93,Backtest!A:C,2,FALSE)/VLOOKUP(B93,Backtest!A:C,2,FALSE)-1,"")</f>
        <v/>
      </c>
      <c r="H93" s="31" t="str">
        <f t="shared" ca="1" si="16"/>
        <v/>
      </c>
      <c r="I93" s="34" t="str">
        <f t="shared" ca="1" si="17"/>
        <v/>
      </c>
      <c r="J93" s="37" t="str">
        <f t="shared" ca="1" si="14"/>
        <v/>
      </c>
      <c r="L93" s="26">
        <v>91</v>
      </c>
      <c r="M93" s="27">
        <f ca="1">IFERROR(INDEX(Backtest!$A$8:$A$5000,MATCH(L93,Backtest!$P$8:$P$5000,0)),"")</f>
        <v>43866</v>
      </c>
      <c r="N93" s="27">
        <f ca="1">IFERROR(INDEX(Backtest!$A$8:$A$5000,MATCH(L93,Backtest!$Q$8:$Q$5000,0)),"")</f>
        <v>43868</v>
      </c>
      <c r="O93" s="28" t="str">
        <f ca="1">IF(ISNUMBER(M93),Backtest!$B$1,"")</f>
        <v>ITUB4</v>
      </c>
      <c r="P93" s="29">
        <f ca="1">IFERROR(VLOOKUP(N93,Backtest!A:C,2,FALSE)/VLOOKUP(M93,Backtest!A:C,2,FALSE)-1,"")</f>
        <v>1.04917333397061E-2</v>
      </c>
      <c r="Q93" s="28" t="str">
        <f ca="1">IF(ISNUMBER(N93),Backtest!$C$1,"")</f>
        <v>BBDC4</v>
      </c>
      <c r="R93" s="29">
        <f ca="1">IFERROR(VLOOKUP(N93,Backtest!A:C,3,FALSE)/VLOOKUP(M93,Backtest!A:C,3,FALSE)-1,"")</f>
        <v>-2.9629924477814207E-4</v>
      </c>
      <c r="S93" s="31">
        <f t="shared" ca="1" si="18"/>
        <v>1.0788032584484242E-2</v>
      </c>
      <c r="T93" s="34">
        <f t="shared" ca="1" si="19"/>
        <v>1078.8032584484242</v>
      </c>
      <c r="U93" s="37">
        <f t="shared" ca="1" si="15"/>
        <v>3</v>
      </c>
    </row>
    <row r="94" spans="1:21" x14ac:dyDescent="0.3">
      <c r="A94">
        <v>92</v>
      </c>
      <c r="B94" s="1" t="str">
        <f ca="1">IFERROR(INDEX(Backtest!$A$8:$A$5000,MATCH(A94,Backtest!$N$8:$N$5000,0)),"")</f>
        <v/>
      </c>
      <c r="C94" s="1" t="str">
        <f ca="1">IFERROR(INDEX(Backtest!$A$8:$A$5000,MATCH(A94,Backtest!$O$8:$O$5000,0)),"")</f>
        <v/>
      </c>
      <c r="D94" s="25" t="str">
        <f ca="1">IF(ISNUMBER(B94),Backtest!$C$1,"")</f>
        <v/>
      </c>
      <c r="E94" s="30" t="str">
        <f ca="1">IFERROR(VLOOKUP(C94,Backtest!A:C,3,FALSE)/VLOOKUP(B94,Backtest!A:C,3,FALSE)-1,"")</f>
        <v/>
      </c>
      <c r="F94" s="25" t="str">
        <f ca="1">IF(ISNUMBER(C94),Backtest!$B$1,"")</f>
        <v/>
      </c>
      <c r="G94" s="30" t="str">
        <f ca="1">IFERROR(VLOOKUP(C94,Backtest!A:C,2,FALSE)/VLOOKUP(B94,Backtest!A:C,2,FALSE)-1,"")</f>
        <v/>
      </c>
      <c r="H94" s="32" t="str">
        <f t="shared" ca="1" si="16"/>
        <v/>
      </c>
      <c r="I94" s="35" t="str">
        <f t="shared" ca="1" si="17"/>
        <v/>
      </c>
      <c r="J94" s="38" t="str">
        <f t="shared" ca="1" si="14"/>
        <v/>
      </c>
      <c r="L94">
        <v>92</v>
      </c>
      <c r="M94" s="1">
        <f ca="1">IFERROR(INDEX(Backtest!$A$8:$A$5000,MATCH(L94,Backtest!$P$8:$P$5000,0)),"")</f>
        <v>43928</v>
      </c>
      <c r="N94" s="1">
        <f ca="1">IFERROR(INDEX(Backtest!$A$8:$A$5000,MATCH(L94,Backtest!$Q$8:$Q$5000,0)),"")</f>
        <v>43929</v>
      </c>
      <c r="O94" s="25" t="str">
        <f ca="1">IF(ISNUMBER(M94),Backtest!$B$1,"")</f>
        <v>ITUB4</v>
      </c>
      <c r="P94" s="30">
        <f ca="1">IFERROR(VLOOKUP(N94,Backtest!A:C,2,FALSE)/VLOOKUP(M94,Backtest!A:C,2,FALSE)-1,"")</f>
        <v>5.1304262080545726E-2</v>
      </c>
      <c r="Q94" s="25" t="str">
        <f ca="1">IF(ISNUMBER(N94),Backtest!$C$1,"")</f>
        <v>BBDC4</v>
      </c>
      <c r="R94" s="30">
        <f ca="1">IFERROR(VLOOKUP(N94,Backtest!A:C,3,FALSE)/VLOOKUP(M94,Backtest!A:C,3,FALSE)-1,"")</f>
        <v>-6.6746159126019E-2</v>
      </c>
      <c r="S94" s="32">
        <f t="shared" ca="1" si="18"/>
        <v>0.11805042120656473</v>
      </c>
      <c r="T94" s="35">
        <f t="shared" ca="1" si="19"/>
        <v>11805.042120656473</v>
      </c>
      <c r="U94" s="38">
        <f t="shared" ca="1" si="15"/>
        <v>2</v>
      </c>
    </row>
    <row r="95" spans="1:21" x14ac:dyDescent="0.3">
      <c r="A95" s="26">
        <v>93</v>
      </c>
      <c r="B95" s="27" t="str">
        <f ca="1">IFERROR(INDEX(Backtest!$A$8:$A$5000,MATCH(A95,Backtest!$N$8:$N$5000,0)),"")</f>
        <v/>
      </c>
      <c r="C95" s="27" t="str">
        <f ca="1">IFERROR(INDEX(Backtest!$A$8:$A$5000,MATCH(A95,Backtest!$O$8:$O$5000,0)),"")</f>
        <v/>
      </c>
      <c r="D95" s="28" t="str">
        <f ca="1">IF(ISNUMBER(B95),Backtest!$C$1,"")</f>
        <v/>
      </c>
      <c r="E95" s="29" t="str">
        <f ca="1">IFERROR(VLOOKUP(C95,Backtest!A:C,3,FALSE)/VLOOKUP(B95,Backtest!A:C,3,FALSE)-1,"")</f>
        <v/>
      </c>
      <c r="F95" s="28" t="str">
        <f ca="1">IF(ISNUMBER(C95),Backtest!$B$1,"")</f>
        <v/>
      </c>
      <c r="G95" s="29" t="str">
        <f ca="1">IFERROR(VLOOKUP(C95,Backtest!A:C,2,FALSE)/VLOOKUP(B95,Backtest!A:C,2,FALSE)-1,"")</f>
        <v/>
      </c>
      <c r="H95" s="31" t="str">
        <f t="shared" ca="1" si="16"/>
        <v/>
      </c>
      <c r="I95" s="34" t="str">
        <f t="shared" ca="1" si="17"/>
        <v/>
      </c>
      <c r="J95" s="37" t="str">
        <f t="shared" ca="1" si="14"/>
        <v/>
      </c>
      <c r="L95" s="26">
        <v>93</v>
      </c>
      <c r="M95" s="27">
        <f ca="1">IFERROR(INDEX(Backtest!$A$8:$A$5000,MATCH(L95,Backtest!$P$8:$P$5000,0)),"")</f>
        <v>43983</v>
      </c>
      <c r="N95" s="27">
        <f ca="1">IFERROR(INDEX(Backtest!$A$8:$A$5000,MATCH(L95,Backtest!$Q$8:$Q$5000,0)),"")</f>
        <v>44000</v>
      </c>
      <c r="O95" s="28" t="str">
        <f ca="1">IF(ISNUMBER(M95),Backtest!$B$1,"")</f>
        <v>ITUB4</v>
      </c>
      <c r="P95" s="29">
        <f ca="1">IFERROR(VLOOKUP(N95,Backtest!A:C,2,FALSE)/VLOOKUP(M95,Backtest!A:C,2,FALSE)-1,"")</f>
        <v>0.16441246830092981</v>
      </c>
      <c r="Q95" s="28" t="str">
        <f ca="1">IF(ISNUMBER(N95),Backtest!$C$1,"")</f>
        <v>BBDC4</v>
      </c>
      <c r="R95" s="29">
        <f ca="1">IFERROR(VLOOKUP(N95,Backtest!A:C,3,FALSE)/VLOOKUP(M95,Backtest!A:C,3,FALSE)-1,"")</f>
        <v>0.12734294608090324</v>
      </c>
      <c r="S95" s="31">
        <f t="shared" ca="1" si="18"/>
        <v>3.7069522220026574E-2</v>
      </c>
      <c r="T95" s="34">
        <f t="shared" ca="1" si="19"/>
        <v>3706.9522220026574</v>
      </c>
      <c r="U95" s="37">
        <f t="shared" ca="1" si="15"/>
        <v>14</v>
      </c>
    </row>
    <row r="96" spans="1:21" x14ac:dyDescent="0.3">
      <c r="A96">
        <v>94</v>
      </c>
      <c r="B96" s="1" t="str">
        <f ca="1">IFERROR(INDEX(Backtest!$A$8:$A$5000,MATCH(A96,Backtest!$N$8:$N$5000,0)),"")</f>
        <v/>
      </c>
      <c r="C96" s="1" t="str">
        <f ca="1">IFERROR(INDEX(Backtest!$A$8:$A$5000,MATCH(A96,Backtest!$O$8:$O$5000,0)),"")</f>
        <v/>
      </c>
      <c r="D96" s="25" t="str">
        <f ca="1">IF(ISNUMBER(B96),Backtest!$C$1,"")</f>
        <v/>
      </c>
      <c r="E96" s="30" t="str">
        <f ca="1">IFERROR(VLOOKUP(C96,Backtest!A:C,3,FALSE)/VLOOKUP(B96,Backtest!A:C,3,FALSE)-1,"")</f>
        <v/>
      </c>
      <c r="F96" s="25" t="str">
        <f ca="1">IF(ISNUMBER(C96),Backtest!$B$1,"")</f>
        <v/>
      </c>
      <c r="G96" s="30" t="str">
        <f ca="1">IFERROR(VLOOKUP(C96,Backtest!A:C,2,FALSE)/VLOOKUP(B96,Backtest!A:C,2,FALSE)-1,"")</f>
        <v/>
      </c>
      <c r="H96" s="32" t="str">
        <f t="shared" ca="1" si="16"/>
        <v/>
      </c>
      <c r="I96" s="35" t="str">
        <f t="shared" ca="1" si="17"/>
        <v/>
      </c>
      <c r="J96" s="38" t="str">
        <f t="shared" ca="1" si="14"/>
        <v/>
      </c>
      <c r="L96">
        <v>94</v>
      </c>
      <c r="M96" s="1" t="str">
        <f ca="1">IFERROR(INDEX(Backtest!$A$8:$A$5000,MATCH(L96,Backtest!$P$8:$P$5000,0)),"")</f>
        <v/>
      </c>
      <c r="N96" s="1" t="str">
        <f ca="1">IFERROR(INDEX(Backtest!$A$8:$A$5000,MATCH(L96,Backtest!$Q$8:$Q$5000,0)),"")</f>
        <v/>
      </c>
      <c r="O96" s="25" t="str">
        <f ca="1">IF(ISNUMBER(M96),Backtest!$B$1,"")</f>
        <v/>
      </c>
      <c r="P96" s="30" t="str">
        <f ca="1">IFERROR(VLOOKUP(N96,Backtest!A:C,2,FALSE)/VLOOKUP(M96,Backtest!A:C,2,FALSE)-1,"")</f>
        <v/>
      </c>
      <c r="Q96" s="25" t="str">
        <f ca="1">IF(ISNUMBER(N96),Backtest!$C$1,"")</f>
        <v/>
      </c>
      <c r="R96" s="30" t="str">
        <f ca="1">IFERROR(VLOOKUP(N96,Backtest!A:C,3,FALSE)/VLOOKUP(M96,Backtest!A:C,3,FALSE)-1,"")</f>
        <v/>
      </c>
      <c r="S96" s="32" t="str">
        <f t="shared" ca="1" si="18"/>
        <v/>
      </c>
      <c r="T96" s="35" t="str">
        <f t="shared" ca="1" si="19"/>
        <v/>
      </c>
      <c r="U96" s="38" t="str">
        <f t="shared" ca="1" si="15"/>
        <v/>
      </c>
    </row>
    <row r="97" spans="1:21" x14ac:dyDescent="0.3">
      <c r="A97" s="26">
        <v>95</v>
      </c>
      <c r="B97" s="27" t="str">
        <f ca="1">IFERROR(INDEX(Backtest!$A$8:$A$5000,MATCH(A97,Backtest!$N$8:$N$5000,0)),"")</f>
        <v/>
      </c>
      <c r="C97" s="27" t="str">
        <f ca="1">IFERROR(INDEX(Backtest!$A$8:$A$5000,MATCH(A97,Backtest!$O$8:$O$5000,0)),"")</f>
        <v/>
      </c>
      <c r="D97" s="28" t="str">
        <f ca="1">IF(ISNUMBER(B97),Backtest!$C$1,"")</f>
        <v/>
      </c>
      <c r="E97" s="29" t="str">
        <f ca="1">IFERROR(VLOOKUP(C97,Backtest!A:C,3,FALSE)/VLOOKUP(B97,Backtest!A:C,3,FALSE)-1,"")</f>
        <v/>
      </c>
      <c r="F97" s="28" t="str">
        <f ca="1">IF(ISNUMBER(C97),Backtest!$B$1,"")</f>
        <v/>
      </c>
      <c r="G97" s="29" t="str">
        <f ca="1">IFERROR(VLOOKUP(C97,Backtest!A:C,2,FALSE)/VLOOKUP(B97,Backtest!A:C,2,FALSE)-1,"")</f>
        <v/>
      </c>
      <c r="H97" s="31" t="str">
        <f t="shared" ca="1" si="16"/>
        <v/>
      </c>
      <c r="I97" s="34" t="str">
        <f t="shared" ca="1" si="17"/>
        <v/>
      </c>
      <c r="J97" s="37" t="str">
        <f t="shared" ca="1" si="14"/>
        <v/>
      </c>
      <c r="L97" s="26">
        <v>95</v>
      </c>
      <c r="M97" s="27" t="str">
        <f ca="1">IFERROR(INDEX(Backtest!$A$8:$A$5000,MATCH(L97,Backtest!$P$8:$P$5000,0)),"")</f>
        <v/>
      </c>
      <c r="N97" s="27" t="str">
        <f ca="1">IFERROR(INDEX(Backtest!$A$8:$A$5000,MATCH(L97,Backtest!$Q$8:$Q$5000,0)),"")</f>
        <v/>
      </c>
      <c r="O97" s="28" t="str">
        <f ca="1">IF(ISNUMBER(M97),Backtest!$B$1,"")</f>
        <v/>
      </c>
      <c r="P97" s="29" t="str">
        <f ca="1">IFERROR(VLOOKUP(N97,Backtest!A:C,2,FALSE)/VLOOKUP(M97,Backtest!A:C,2,FALSE)-1,"")</f>
        <v/>
      </c>
      <c r="Q97" s="28" t="str">
        <f ca="1">IF(ISNUMBER(N97),Backtest!$C$1,"")</f>
        <v/>
      </c>
      <c r="R97" s="29" t="str">
        <f ca="1">IFERROR(VLOOKUP(N97,Backtest!A:C,3,FALSE)/VLOOKUP(M97,Backtest!A:C,3,FALSE)-1,"")</f>
        <v/>
      </c>
      <c r="S97" s="31" t="str">
        <f t="shared" ca="1" si="18"/>
        <v/>
      </c>
      <c r="T97" s="34" t="str">
        <f t="shared" ca="1" si="19"/>
        <v/>
      </c>
      <c r="U97" s="37" t="str">
        <f t="shared" ca="1" si="15"/>
        <v/>
      </c>
    </row>
    <row r="98" spans="1:21" x14ac:dyDescent="0.3">
      <c r="A98">
        <v>96</v>
      </c>
      <c r="B98" s="1" t="str">
        <f ca="1">IFERROR(INDEX(Backtest!$A$8:$A$5000,MATCH(A98,Backtest!$N$8:$N$5000,0)),"")</f>
        <v/>
      </c>
      <c r="C98" s="1" t="str">
        <f ca="1">IFERROR(INDEX(Backtest!$A$8:$A$5000,MATCH(A98,Backtest!$O$8:$O$5000,0)),"")</f>
        <v/>
      </c>
      <c r="D98" s="25" t="str">
        <f ca="1">IF(ISNUMBER(B98),Backtest!$C$1,"")</f>
        <v/>
      </c>
      <c r="E98" s="30" t="str">
        <f ca="1">IFERROR(VLOOKUP(C98,Backtest!A:C,3,FALSE)/VLOOKUP(B98,Backtest!A:C,3,FALSE)-1,"")</f>
        <v/>
      </c>
      <c r="F98" s="25" t="str">
        <f ca="1">IF(ISNUMBER(C98),Backtest!$B$1,"")</f>
        <v/>
      </c>
      <c r="G98" s="30" t="str">
        <f ca="1">IFERROR(VLOOKUP(C98,Backtest!A:C,2,FALSE)/VLOOKUP(B98,Backtest!A:C,2,FALSE)-1,"")</f>
        <v/>
      </c>
      <c r="H98" s="32" t="str">
        <f t="shared" ca="1" si="16"/>
        <v/>
      </c>
      <c r="I98" s="35" t="str">
        <f t="shared" ca="1" si="17"/>
        <v/>
      </c>
      <c r="J98" s="38" t="str">
        <f t="shared" ca="1" si="14"/>
        <v/>
      </c>
      <c r="L98">
        <v>96</v>
      </c>
      <c r="M98" s="1" t="str">
        <f ca="1">IFERROR(INDEX(Backtest!$A$8:$A$5000,MATCH(L98,Backtest!$P$8:$P$5000,0)),"")</f>
        <v/>
      </c>
      <c r="N98" s="1" t="str">
        <f ca="1">IFERROR(INDEX(Backtest!$A$8:$A$5000,MATCH(L98,Backtest!$Q$8:$Q$5000,0)),"")</f>
        <v/>
      </c>
      <c r="O98" s="25" t="str">
        <f ca="1">IF(ISNUMBER(M98),Backtest!$B$1,"")</f>
        <v/>
      </c>
      <c r="P98" s="30" t="str">
        <f ca="1">IFERROR(VLOOKUP(N98,Backtest!A:C,2,FALSE)/VLOOKUP(M98,Backtest!A:C,2,FALSE)-1,"")</f>
        <v/>
      </c>
      <c r="Q98" s="25" t="str">
        <f ca="1">IF(ISNUMBER(N98),Backtest!$C$1,"")</f>
        <v/>
      </c>
      <c r="R98" s="30" t="str">
        <f ca="1">IFERROR(VLOOKUP(N98,Backtest!A:C,3,FALSE)/VLOOKUP(M98,Backtest!A:C,3,FALSE)-1,"")</f>
        <v/>
      </c>
      <c r="S98" s="32" t="str">
        <f t="shared" ca="1" si="18"/>
        <v/>
      </c>
      <c r="T98" s="35" t="str">
        <f t="shared" ca="1" si="19"/>
        <v/>
      </c>
      <c r="U98" s="38" t="str">
        <f t="shared" ca="1" si="15"/>
        <v/>
      </c>
    </row>
    <row r="99" spans="1:21" x14ac:dyDescent="0.3">
      <c r="A99" s="26">
        <v>97</v>
      </c>
      <c r="B99" s="27" t="str">
        <f ca="1">IFERROR(INDEX(Backtest!$A$8:$A$5000,MATCH(A99,Backtest!$N$8:$N$5000,0)),"")</f>
        <v/>
      </c>
      <c r="C99" s="27" t="str">
        <f ca="1">IFERROR(INDEX(Backtest!$A$8:$A$5000,MATCH(A99,Backtest!$O$8:$O$5000,0)),"")</f>
        <v/>
      </c>
      <c r="D99" s="28" t="str">
        <f ca="1">IF(ISNUMBER(B99),Backtest!$C$1,"")</f>
        <v/>
      </c>
      <c r="E99" s="29" t="str">
        <f ca="1">IFERROR(VLOOKUP(C99,Backtest!A:C,3,FALSE)/VLOOKUP(B99,Backtest!A:C,3,FALSE)-1,"")</f>
        <v/>
      </c>
      <c r="F99" s="28" t="str">
        <f ca="1">IF(ISNUMBER(C99),Backtest!$B$1,"")</f>
        <v/>
      </c>
      <c r="G99" s="29" t="str">
        <f ca="1">IFERROR(VLOOKUP(C99,Backtest!A:C,2,FALSE)/VLOOKUP(B99,Backtest!A:C,2,FALSE)-1,"")</f>
        <v/>
      </c>
      <c r="H99" s="31" t="str">
        <f t="shared" ca="1" si="16"/>
        <v/>
      </c>
      <c r="I99" s="34" t="str">
        <f t="shared" ca="1" si="17"/>
        <v/>
      </c>
      <c r="J99" s="37" t="str">
        <f t="shared" ca="1" si="14"/>
        <v/>
      </c>
      <c r="L99" s="26">
        <v>97</v>
      </c>
      <c r="M99" s="27" t="str">
        <f ca="1">IFERROR(INDEX(Backtest!$A$8:$A$5000,MATCH(L99,Backtest!$P$8:$P$5000,0)),"")</f>
        <v/>
      </c>
      <c r="N99" s="27" t="str">
        <f ca="1">IFERROR(INDEX(Backtest!$A$8:$A$5000,MATCH(L99,Backtest!$Q$8:$Q$5000,0)),"")</f>
        <v/>
      </c>
      <c r="O99" s="28" t="str">
        <f ca="1">IF(ISNUMBER(M99),Backtest!$B$1,"")</f>
        <v/>
      </c>
      <c r="P99" s="29" t="str">
        <f ca="1">IFERROR(VLOOKUP(N99,Backtest!A:C,2,FALSE)/VLOOKUP(M99,Backtest!A:C,2,FALSE)-1,"")</f>
        <v/>
      </c>
      <c r="Q99" s="28" t="str">
        <f ca="1">IF(ISNUMBER(N99),Backtest!$C$1,"")</f>
        <v/>
      </c>
      <c r="R99" s="29" t="str">
        <f ca="1">IFERROR(VLOOKUP(N99,Backtest!A:C,3,FALSE)/VLOOKUP(M99,Backtest!A:C,3,FALSE)-1,"")</f>
        <v/>
      </c>
      <c r="S99" s="31" t="str">
        <f t="shared" ca="1" si="18"/>
        <v/>
      </c>
      <c r="T99" s="34" t="str">
        <f t="shared" ca="1" si="19"/>
        <v/>
      </c>
      <c r="U99" s="37" t="str">
        <f t="shared" ca="1" si="15"/>
        <v/>
      </c>
    </row>
    <row r="100" spans="1:21" x14ac:dyDescent="0.3">
      <c r="A100">
        <v>98</v>
      </c>
      <c r="B100" s="1" t="str">
        <f ca="1">IFERROR(INDEX(Backtest!$A$8:$A$5000,MATCH(A100,Backtest!$N$8:$N$5000,0)),"")</f>
        <v/>
      </c>
      <c r="C100" s="1" t="str">
        <f ca="1">IFERROR(INDEX(Backtest!$A$8:$A$5000,MATCH(A100,Backtest!$O$8:$O$5000,0)),"")</f>
        <v/>
      </c>
      <c r="D100" s="25" t="str">
        <f ca="1">IF(ISNUMBER(B100),Backtest!$C$1,"")</f>
        <v/>
      </c>
      <c r="E100" s="30" t="str">
        <f ca="1">IFERROR(VLOOKUP(C100,Backtest!A:C,3,FALSE)/VLOOKUP(B100,Backtest!A:C,3,FALSE)-1,"")</f>
        <v/>
      </c>
      <c r="F100" s="25" t="str">
        <f ca="1">IF(ISNUMBER(C100),Backtest!$B$1,"")</f>
        <v/>
      </c>
      <c r="G100" s="30" t="str">
        <f ca="1">IFERROR(VLOOKUP(C100,Backtest!A:C,2,FALSE)/VLOOKUP(B100,Backtest!A:C,2,FALSE)-1,"")</f>
        <v/>
      </c>
      <c r="H100" s="32" t="str">
        <f t="shared" ca="1" si="16"/>
        <v/>
      </c>
      <c r="I100" s="35" t="str">
        <f t="shared" ca="1" si="17"/>
        <v/>
      </c>
      <c r="J100" s="38" t="str">
        <f t="shared" ca="1" si="14"/>
        <v/>
      </c>
      <c r="L100">
        <v>98</v>
      </c>
      <c r="M100" s="1" t="str">
        <f ca="1">IFERROR(INDEX(Backtest!$A$8:$A$5000,MATCH(L100,Backtest!$P$8:$P$5000,0)),"")</f>
        <v/>
      </c>
      <c r="N100" s="1" t="str">
        <f ca="1">IFERROR(INDEX(Backtest!$A$8:$A$5000,MATCH(L100,Backtest!$Q$8:$Q$5000,0)),"")</f>
        <v/>
      </c>
      <c r="O100" s="25" t="str">
        <f ca="1">IF(ISNUMBER(M100),Backtest!$B$1,"")</f>
        <v/>
      </c>
      <c r="P100" s="30" t="str">
        <f ca="1">IFERROR(VLOOKUP(N100,Backtest!A:C,2,FALSE)/VLOOKUP(M100,Backtest!A:C,2,FALSE)-1,"")</f>
        <v/>
      </c>
      <c r="Q100" s="25" t="str">
        <f ca="1">IF(ISNUMBER(N100),Backtest!$C$1,"")</f>
        <v/>
      </c>
      <c r="R100" s="30" t="str">
        <f ca="1">IFERROR(VLOOKUP(N100,Backtest!A:C,3,FALSE)/VLOOKUP(M100,Backtest!A:C,3,FALSE)-1,"")</f>
        <v/>
      </c>
      <c r="S100" s="32" t="str">
        <f t="shared" ca="1" si="18"/>
        <v/>
      </c>
      <c r="T100" s="35" t="str">
        <f t="shared" ca="1" si="19"/>
        <v/>
      </c>
      <c r="U100" s="38" t="str">
        <f t="shared" ca="1" si="15"/>
        <v/>
      </c>
    </row>
    <row r="101" spans="1:21" x14ac:dyDescent="0.3">
      <c r="A101" s="26">
        <v>99</v>
      </c>
      <c r="B101" s="27" t="str">
        <f ca="1">IFERROR(INDEX(Backtest!$A$8:$A$5000,MATCH(A101,Backtest!$N$8:$N$5000,0)),"")</f>
        <v/>
      </c>
      <c r="C101" s="27" t="str">
        <f ca="1">IFERROR(INDEX(Backtest!$A$8:$A$5000,MATCH(A101,Backtest!$O$8:$O$5000,0)),"")</f>
        <v/>
      </c>
      <c r="D101" s="28" t="str">
        <f ca="1">IF(ISNUMBER(B101),Backtest!$C$1,"")</f>
        <v/>
      </c>
      <c r="E101" s="29" t="str">
        <f ca="1">IFERROR(VLOOKUP(C101,Backtest!A:C,3,FALSE)/VLOOKUP(B101,Backtest!A:C,3,FALSE)-1,"")</f>
        <v/>
      </c>
      <c r="F101" s="28" t="str">
        <f ca="1">IF(ISNUMBER(C101),Backtest!$B$1,"")</f>
        <v/>
      </c>
      <c r="G101" s="29" t="str">
        <f ca="1">IFERROR(VLOOKUP(C101,Backtest!A:C,2,FALSE)/VLOOKUP(B101,Backtest!A:C,2,FALSE)-1,"")</f>
        <v/>
      </c>
      <c r="H101" s="31" t="str">
        <f t="shared" ca="1" si="16"/>
        <v/>
      </c>
      <c r="I101" s="34" t="str">
        <f t="shared" ca="1" si="17"/>
        <v/>
      </c>
      <c r="J101" s="37" t="str">
        <f t="shared" ca="1" si="14"/>
        <v/>
      </c>
      <c r="L101" s="26">
        <v>99</v>
      </c>
      <c r="M101" s="27" t="str">
        <f ca="1">IFERROR(INDEX(Backtest!$A$8:$A$5000,MATCH(L101,Backtest!$P$8:$P$5000,0)),"")</f>
        <v/>
      </c>
      <c r="N101" s="27" t="str">
        <f ca="1">IFERROR(INDEX(Backtest!$A$8:$A$5000,MATCH(L101,Backtest!$Q$8:$Q$5000,0)),"")</f>
        <v/>
      </c>
      <c r="O101" s="28" t="str">
        <f ca="1">IF(ISNUMBER(M101),Backtest!$B$1,"")</f>
        <v/>
      </c>
      <c r="P101" s="29" t="str">
        <f ca="1">IFERROR(VLOOKUP(N101,Backtest!A:C,2,FALSE)/VLOOKUP(M101,Backtest!A:C,2,FALSE)-1,"")</f>
        <v/>
      </c>
      <c r="Q101" s="28" t="str">
        <f ca="1">IF(ISNUMBER(N101),Backtest!$C$1,"")</f>
        <v/>
      </c>
      <c r="R101" s="29" t="str">
        <f ca="1">IFERROR(VLOOKUP(N101,Backtest!A:C,3,FALSE)/VLOOKUP(M101,Backtest!A:C,3,FALSE)-1,"")</f>
        <v/>
      </c>
      <c r="S101" s="31" t="str">
        <f t="shared" ca="1" si="18"/>
        <v/>
      </c>
      <c r="T101" s="34" t="str">
        <f t="shared" ca="1" si="19"/>
        <v/>
      </c>
      <c r="U101" s="37" t="str">
        <f t="shared" ca="1" si="15"/>
        <v/>
      </c>
    </row>
    <row r="102" spans="1:21" x14ac:dyDescent="0.3">
      <c r="A102">
        <v>100</v>
      </c>
      <c r="B102" s="1" t="str">
        <f ca="1">IFERROR(INDEX(Backtest!$A$8:$A$5000,MATCH(A102,Backtest!$N$8:$N$5000,0)),"")</f>
        <v/>
      </c>
      <c r="C102" s="1" t="str">
        <f ca="1">IFERROR(INDEX(Backtest!$A$8:$A$5000,MATCH(A102,Backtest!$O$8:$O$5000,0)),"")</f>
        <v/>
      </c>
      <c r="D102" s="25" t="str">
        <f ca="1">IF(ISNUMBER(B102),Backtest!$C$1,"")</f>
        <v/>
      </c>
      <c r="E102" s="30" t="str">
        <f ca="1">IFERROR(VLOOKUP(C102,Backtest!A:C,3,FALSE)/VLOOKUP(B102,Backtest!A:C,3,FALSE)-1,"")</f>
        <v/>
      </c>
      <c r="F102" s="25" t="str">
        <f ca="1">IF(ISNUMBER(C102),Backtest!$B$1,"")</f>
        <v/>
      </c>
      <c r="G102" s="30" t="str">
        <f ca="1">IFERROR(VLOOKUP(C102,Backtest!A:C,2,FALSE)/VLOOKUP(B102,Backtest!A:C,2,FALSE)-1,"")</f>
        <v/>
      </c>
      <c r="H102" s="32" t="str">
        <f t="shared" ca="1" si="16"/>
        <v/>
      </c>
      <c r="I102" s="35" t="str">
        <f t="shared" ca="1" si="17"/>
        <v/>
      </c>
      <c r="J102" s="38" t="str">
        <f t="shared" ca="1" si="14"/>
        <v/>
      </c>
      <c r="L102">
        <v>100</v>
      </c>
      <c r="M102" s="1" t="str">
        <f ca="1">IFERROR(INDEX(Backtest!$A$8:$A$5000,MATCH(L102,Backtest!$P$8:$P$5000,0)),"")</f>
        <v/>
      </c>
      <c r="N102" s="1" t="str">
        <f ca="1">IFERROR(INDEX(Backtest!$A$8:$A$5000,MATCH(L102,Backtest!$Q$8:$Q$5000,0)),"")</f>
        <v/>
      </c>
      <c r="O102" s="25" t="str">
        <f ca="1">IF(ISNUMBER(M102),Backtest!$B$1,"")</f>
        <v/>
      </c>
      <c r="P102" s="30" t="str">
        <f ca="1">IFERROR(VLOOKUP(N102,Backtest!A:C,2,FALSE)/VLOOKUP(M102,Backtest!A:C,2,FALSE)-1,"")</f>
        <v/>
      </c>
      <c r="Q102" s="25" t="str">
        <f ca="1">IF(ISNUMBER(N102),Backtest!$C$1,"")</f>
        <v/>
      </c>
      <c r="R102" s="30" t="str">
        <f ca="1">IFERROR(VLOOKUP(N102,Backtest!A:C,3,FALSE)/VLOOKUP(M102,Backtest!A:C,3,FALSE)-1,"")</f>
        <v/>
      </c>
      <c r="S102" s="32" t="str">
        <f t="shared" ca="1" si="18"/>
        <v/>
      </c>
      <c r="T102" s="35" t="str">
        <f t="shared" ca="1" si="19"/>
        <v/>
      </c>
      <c r="U102" s="38" t="str">
        <f t="shared" ca="1" si="15"/>
        <v/>
      </c>
    </row>
  </sheetData>
  <mergeCells count="3">
    <mergeCell ref="B1:C1"/>
    <mergeCell ref="D1:J1"/>
    <mergeCell ref="O1:U1"/>
  </mergeCells>
  <conditionalFormatting sqref="H3:I102">
    <cfRule type="cellIs" dxfId="2" priority="10" operator="lessThan">
      <formula>0</formula>
    </cfRule>
  </conditionalFormatting>
  <conditionalFormatting sqref="X10">
    <cfRule type="cellIs" dxfId="1" priority="2" operator="lessThan">
      <formula>0</formula>
    </cfRule>
  </conditionalFormatting>
  <conditionalFormatting sqref="S3:T102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Exemplo_Serie</vt:lpstr>
      <vt:lpstr>Backtest</vt:lpstr>
      <vt:lpstr>Trades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2020-06-29T12:14:44Z</dcterms:created>
  <dcterms:modified xsi:type="dcterms:W3CDTF">2020-07-03T09:56:09Z</dcterms:modified>
</cp:coreProperties>
</file>